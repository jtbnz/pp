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zfe.sharepoint.com/sites/msteams_791879_bafc56/Shared Documents/Attendance Record/"/>
    </mc:Choice>
  </mc:AlternateContent>
  <xr:revisionPtr revIDLastSave="1073" documentId="13_ncr:1_{CD7451AE-4AD8-43D5-96B1-C03B27F33A1C}" xr6:coauthVersionLast="47" xr6:coauthVersionMax="47" xr10:uidLastSave="{79024210-0E21-4C1C-9354-6C180E10BC45}"/>
  <bookViews>
    <workbookView xWindow="-120" yWindow="-120" windowWidth="29040" windowHeight="17520" tabRatio="676" firstSheet="3" activeTab="3" xr2:uid="{EE8EBBE3-01D3-4856-9B7E-F8A5468CF882}"/>
  </bookViews>
  <sheets>
    <sheet name="Call Stats" sheetId="32" state="hidden" r:id="rId1"/>
    <sheet name="Summary" sheetId="2" r:id="rId2"/>
    <sheet name="Musters" sheetId="13" r:id="rId3"/>
    <sheet name="AllCalls25" sheetId="29" r:id="rId4"/>
    <sheet name="AllMusters25" sheetId="30" r:id="rId5"/>
    <sheet name="SMS" sheetId="31" r:id="rId6"/>
    <sheet name="Jan25" sheetId="1" state="hidden" r:id="rId7"/>
    <sheet name="Feb25" sheetId="14" state="hidden" r:id="rId8"/>
    <sheet name="Mar25" sheetId="17" state="hidden" r:id="rId9"/>
    <sheet name="Apr25" sheetId="18" state="hidden" r:id="rId10"/>
    <sheet name="May25" sheetId="20" state="hidden" r:id="rId11"/>
    <sheet name="Jun25" sheetId="21" state="hidden" r:id="rId12"/>
    <sheet name="Jul25" sheetId="22" state="hidden" r:id="rId13"/>
    <sheet name="Aug25" sheetId="24" state="hidden" r:id="rId14"/>
    <sheet name="Sep25" sheetId="25" state="hidden" r:id="rId15"/>
    <sheet name="Oct25" sheetId="26" state="hidden" r:id="rId16"/>
    <sheet name="Nov25" sheetId="27" state="hidden" r:id="rId17"/>
    <sheet name="Dec25" sheetId="28" state="hidden" r:id="rId18"/>
    <sheet name="Admin" sheetId="15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6" i="29" l="1"/>
  <c r="BP666" i="29"/>
  <c r="BO666" i="29"/>
  <c r="BN666" i="29"/>
  <c r="BM666" i="29"/>
  <c r="AV699" i="31"/>
  <c r="K665" i="29"/>
  <c r="BM665" i="29"/>
  <c r="BN665" i="29"/>
  <c r="BO665" i="29"/>
  <c r="BP665" i="29"/>
  <c r="AV698" i="31"/>
  <c r="K664" i="29"/>
  <c r="BP664" i="29"/>
  <c r="BO664" i="29"/>
  <c r="BN664" i="29"/>
  <c r="BM664" i="29"/>
  <c r="AV697" i="31"/>
  <c r="AV696" i="31"/>
  <c r="K663" i="29"/>
  <c r="BP663" i="29"/>
  <c r="BO663" i="29"/>
  <c r="BN663" i="29"/>
  <c r="BM663" i="29"/>
  <c r="K662" i="29"/>
  <c r="BP662" i="29"/>
  <c r="BO662" i="29"/>
  <c r="BN662" i="29"/>
  <c r="BM662" i="29"/>
  <c r="AV695" i="31"/>
  <c r="AV694" i="31"/>
  <c r="K661" i="29"/>
  <c r="BP661" i="29"/>
  <c r="BO661" i="29"/>
  <c r="BN661" i="29"/>
  <c r="BM661" i="29"/>
  <c r="K660" i="29"/>
  <c r="BP660" i="29"/>
  <c r="BO660" i="29"/>
  <c r="BN660" i="29"/>
  <c r="BM660" i="29"/>
  <c r="AV693" i="31"/>
  <c r="F136" i="29"/>
  <c r="BM136" i="29"/>
  <c r="BN136" i="29"/>
  <c r="BO136" i="29"/>
  <c r="BP136" i="29"/>
  <c r="F137" i="29"/>
  <c r="BM137" i="29"/>
  <c r="BN137" i="29"/>
  <c r="BO137" i="29"/>
  <c r="BP137" i="29"/>
  <c r="K659" i="29"/>
  <c r="BM659" i="29"/>
  <c r="BN659" i="29"/>
  <c r="BO659" i="29"/>
  <c r="BP659" i="29"/>
  <c r="AV692" i="31"/>
  <c r="K658" i="29"/>
  <c r="BP658" i="29"/>
  <c r="BO658" i="29"/>
  <c r="BN658" i="29"/>
  <c r="BM658" i="29"/>
  <c r="AV691" i="31"/>
  <c r="AV690" i="31"/>
  <c r="K657" i="29"/>
  <c r="BM657" i="29"/>
  <c r="BN657" i="29"/>
  <c r="BO657" i="29"/>
  <c r="BP657" i="29"/>
  <c r="K656" i="29"/>
  <c r="BP656" i="29"/>
  <c r="BO656" i="29"/>
  <c r="BN656" i="29"/>
  <c r="BM656" i="29"/>
  <c r="AV689" i="31"/>
  <c r="K655" i="29"/>
  <c r="BP655" i="29"/>
  <c r="BO655" i="29"/>
  <c r="BN655" i="29"/>
  <c r="BM655" i="29"/>
  <c r="AV688" i="31"/>
  <c r="K654" i="29"/>
  <c r="BP654" i="29"/>
  <c r="BO654" i="29"/>
  <c r="BN654" i="29"/>
  <c r="BM654" i="29"/>
  <c r="AV687" i="31"/>
  <c r="AV686" i="31"/>
  <c r="K653" i="29"/>
  <c r="BP653" i="29"/>
  <c r="BO653" i="29"/>
  <c r="BN653" i="29"/>
  <c r="BM653" i="29"/>
  <c r="AV685" i="31"/>
  <c r="K652" i="29"/>
  <c r="BP652" i="29"/>
  <c r="BO652" i="29"/>
  <c r="BN652" i="29"/>
  <c r="BM652" i="29"/>
  <c r="AV684" i="31"/>
  <c r="K651" i="29"/>
  <c r="BP651" i="29"/>
  <c r="BO651" i="29"/>
  <c r="BN651" i="29"/>
  <c r="BM651" i="29"/>
  <c r="K650" i="29"/>
  <c r="BP650" i="29"/>
  <c r="BO650" i="29"/>
  <c r="BN650" i="29"/>
  <c r="BM650" i="29"/>
  <c r="AV683" i="31"/>
  <c r="K649" i="29"/>
  <c r="BP649" i="29"/>
  <c r="BO649" i="29"/>
  <c r="BN649" i="29"/>
  <c r="BM649" i="29"/>
  <c r="AV682" i="31"/>
  <c r="K648" i="29"/>
  <c r="BP648" i="29"/>
  <c r="BO648" i="29"/>
  <c r="BN648" i="29"/>
  <c r="BM648" i="29"/>
  <c r="AV681" i="31"/>
  <c r="K647" i="29"/>
  <c r="BP647" i="29"/>
  <c r="BO647" i="29"/>
  <c r="BN647" i="29"/>
  <c r="BM647" i="29"/>
  <c r="AV680" i="31"/>
  <c r="K646" i="29"/>
  <c r="BP646" i="29"/>
  <c r="BO646" i="29"/>
  <c r="BN646" i="29"/>
  <c r="BM646" i="29"/>
  <c r="AV679" i="31"/>
  <c r="K645" i="29"/>
  <c r="BP645" i="29"/>
  <c r="BO645" i="29"/>
  <c r="BN645" i="29"/>
  <c r="BM645" i="29"/>
  <c r="AV678" i="31"/>
  <c r="K644" i="29"/>
  <c r="BP644" i="29"/>
  <c r="BO644" i="29"/>
  <c r="BN644" i="29"/>
  <c r="BM644" i="29"/>
  <c r="AV677" i="31"/>
  <c r="K643" i="29"/>
  <c r="BP643" i="29"/>
  <c r="BO643" i="29"/>
  <c r="BN643" i="29"/>
  <c r="BM643" i="29"/>
  <c r="AV676" i="31"/>
  <c r="K642" i="29"/>
  <c r="BP642" i="29"/>
  <c r="BO642" i="29"/>
  <c r="BN642" i="29"/>
  <c r="BM642" i="29"/>
  <c r="AV675" i="31"/>
  <c r="K641" i="29"/>
  <c r="BP641" i="29"/>
  <c r="BO641" i="29"/>
  <c r="BN641" i="29"/>
  <c r="BM641" i="29"/>
  <c r="AV674" i="31"/>
  <c r="K640" i="29"/>
  <c r="BP640" i="29"/>
  <c r="BO640" i="29"/>
  <c r="BN640" i="29"/>
  <c r="BM640" i="29"/>
  <c r="AV673" i="31"/>
  <c r="AV672" i="31"/>
  <c r="K639" i="29"/>
  <c r="BP639" i="29"/>
  <c r="BO639" i="29"/>
  <c r="BN639" i="29"/>
  <c r="BM639" i="29"/>
  <c r="AV671" i="31"/>
  <c r="K638" i="29"/>
  <c r="BP638" i="29"/>
  <c r="BO638" i="29"/>
  <c r="BN638" i="29"/>
  <c r="BM638" i="29"/>
  <c r="K637" i="29"/>
  <c r="BP637" i="29"/>
  <c r="BO637" i="29"/>
  <c r="BN637" i="29"/>
  <c r="BM637" i="29"/>
  <c r="AV670" i="31"/>
  <c r="AV669" i="31"/>
  <c r="K636" i="29"/>
  <c r="BP636" i="29"/>
  <c r="BO636" i="29"/>
  <c r="BN636" i="29"/>
  <c r="BM636" i="29"/>
  <c r="AV668" i="31"/>
  <c r="K635" i="29"/>
  <c r="BM635" i="29"/>
  <c r="BN635" i="29"/>
  <c r="BO635" i="29"/>
  <c r="BP635" i="29"/>
  <c r="K634" i="29"/>
  <c r="BM634" i="29"/>
  <c r="BN634" i="29"/>
  <c r="BO634" i="29"/>
  <c r="BP634" i="29"/>
  <c r="AV667" i="31"/>
  <c r="K633" i="29"/>
  <c r="BM633" i="29"/>
  <c r="BN633" i="29"/>
  <c r="BO633" i="29"/>
  <c r="BP633" i="29"/>
  <c r="AV666" i="31"/>
  <c r="K632" i="29"/>
  <c r="BM632" i="29"/>
  <c r="BN632" i="29"/>
  <c r="BO632" i="29"/>
  <c r="BP632" i="29"/>
  <c r="AV665" i="31"/>
  <c r="AV664" i="31"/>
  <c r="K631" i="29"/>
  <c r="BM631" i="29"/>
  <c r="BN631" i="29"/>
  <c r="BO631" i="29"/>
  <c r="BP631" i="29"/>
  <c r="K630" i="29"/>
  <c r="BP630" i="29"/>
  <c r="BO630" i="29"/>
  <c r="BN630" i="29"/>
  <c r="BM630" i="29"/>
  <c r="AV663" i="31"/>
  <c r="K629" i="29"/>
  <c r="BM629" i="29"/>
  <c r="BN629" i="29"/>
  <c r="BO629" i="29"/>
  <c r="BP629" i="29"/>
  <c r="AV662" i="31"/>
  <c r="K628" i="29"/>
  <c r="BM628" i="29"/>
  <c r="BN628" i="29"/>
  <c r="BO628" i="29"/>
  <c r="BP628" i="29"/>
  <c r="AV661" i="31"/>
  <c r="K627" i="29"/>
  <c r="BM627" i="29"/>
  <c r="BN627" i="29"/>
  <c r="BO627" i="29"/>
  <c r="BP627" i="29"/>
  <c r="AV660" i="31"/>
  <c r="K626" i="29"/>
  <c r="BM626" i="29"/>
  <c r="BN626" i="29"/>
  <c r="BO626" i="29"/>
  <c r="BP626" i="29"/>
  <c r="AV659" i="31"/>
  <c r="K625" i="29"/>
  <c r="BM625" i="29"/>
  <c r="BN625" i="29"/>
  <c r="BO625" i="29"/>
  <c r="BP625" i="29"/>
  <c r="AV658" i="31"/>
  <c r="K624" i="29"/>
  <c r="BM624" i="29"/>
  <c r="BN624" i="29"/>
  <c r="BO624" i="29"/>
  <c r="BP624" i="29"/>
  <c r="AV657" i="31"/>
  <c r="K623" i="29"/>
  <c r="BP623" i="29"/>
  <c r="BO623" i="29"/>
  <c r="BN623" i="29"/>
  <c r="BM623" i="29"/>
  <c r="AV656" i="31"/>
  <c r="K622" i="29"/>
  <c r="BM622" i="29"/>
  <c r="BN622" i="29"/>
  <c r="BO622" i="29"/>
  <c r="BP622" i="29"/>
  <c r="AV655" i="31"/>
  <c r="K621" i="29"/>
  <c r="BM621" i="29"/>
  <c r="BN621" i="29"/>
  <c r="BO621" i="29"/>
  <c r="BP621" i="29"/>
  <c r="AV654" i="31"/>
  <c r="K620" i="29"/>
  <c r="BM620" i="29"/>
  <c r="BN620" i="29"/>
  <c r="BO620" i="29"/>
  <c r="BP620" i="29"/>
  <c r="AV653" i="31"/>
  <c r="K619" i="29"/>
  <c r="BM619" i="29"/>
  <c r="BN619" i="29"/>
  <c r="BO619" i="29"/>
  <c r="BP619" i="29"/>
  <c r="AV652" i="31"/>
  <c r="K618" i="29"/>
  <c r="BM618" i="29"/>
  <c r="BN618" i="29"/>
  <c r="BO618" i="29"/>
  <c r="BP618" i="29"/>
  <c r="AV651" i="31"/>
  <c r="AV650" i="31"/>
  <c r="K617" i="29"/>
  <c r="BP617" i="29"/>
  <c r="BO617" i="29"/>
  <c r="BN617" i="29"/>
  <c r="BM617" i="29"/>
  <c r="K616" i="29"/>
  <c r="BM616" i="29"/>
  <c r="BN616" i="29"/>
  <c r="BO616" i="29"/>
  <c r="BP616" i="29"/>
  <c r="AV649" i="31"/>
  <c r="K615" i="29"/>
  <c r="BM615" i="29"/>
  <c r="BN615" i="29"/>
  <c r="BO615" i="29"/>
  <c r="BP615" i="29"/>
  <c r="AV648" i="31"/>
  <c r="K614" i="29"/>
  <c r="BM614" i="29"/>
  <c r="BN614" i="29"/>
  <c r="BO614" i="29"/>
  <c r="BP614" i="29"/>
  <c r="AV647" i="31"/>
  <c r="K613" i="29"/>
  <c r="BM613" i="29"/>
  <c r="BN613" i="29"/>
  <c r="BO613" i="29"/>
  <c r="BP613" i="29"/>
  <c r="AV646" i="31"/>
  <c r="K612" i="29"/>
  <c r="BM612" i="29"/>
  <c r="BN612" i="29"/>
  <c r="BO612" i="29"/>
  <c r="BP612" i="29"/>
  <c r="AV645" i="31"/>
  <c r="K611" i="29"/>
  <c r="BM611" i="29"/>
  <c r="BN611" i="29"/>
  <c r="BO611" i="29"/>
  <c r="BP611" i="29"/>
  <c r="AV644" i="31"/>
  <c r="F63" i="30"/>
  <c r="AZ63" i="30"/>
  <c r="AY63" i="30"/>
  <c r="AV643" i="31"/>
  <c r="K610" i="29"/>
  <c r="BM610" i="29"/>
  <c r="BN610" i="29"/>
  <c r="BO610" i="29"/>
  <c r="BP610" i="29"/>
  <c r="AV642" i="31"/>
  <c r="K609" i="29"/>
  <c r="BM609" i="29"/>
  <c r="BN609" i="29"/>
  <c r="BO609" i="29"/>
  <c r="BP609" i="29"/>
  <c r="AV641" i="31"/>
  <c r="AV640" i="31"/>
  <c r="K608" i="29"/>
  <c r="BM608" i="29"/>
  <c r="BN608" i="29"/>
  <c r="BO608" i="29"/>
  <c r="BP608" i="29"/>
  <c r="K607" i="29"/>
  <c r="BM607" i="29"/>
  <c r="BN607" i="29"/>
  <c r="BO607" i="29"/>
  <c r="BP607" i="29"/>
  <c r="AV639" i="31"/>
  <c r="K606" i="29"/>
  <c r="BM606" i="29"/>
  <c r="BN606" i="29"/>
  <c r="BO606" i="29"/>
  <c r="BP606" i="29"/>
  <c r="AV638" i="31"/>
  <c r="AV637" i="31"/>
  <c r="K605" i="29"/>
  <c r="BM605" i="29"/>
  <c r="BN605" i="29"/>
  <c r="BO605" i="29"/>
  <c r="BP605" i="29"/>
  <c r="AV636" i="31"/>
  <c r="K604" i="29"/>
  <c r="BM604" i="29"/>
  <c r="BN604" i="29"/>
  <c r="BO604" i="29"/>
  <c r="BP604" i="29"/>
  <c r="K603" i="29"/>
  <c r="BP603" i="29"/>
  <c r="BO603" i="29"/>
  <c r="BN603" i="29"/>
  <c r="BM603" i="29"/>
  <c r="AV635" i="31"/>
  <c r="K602" i="29"/>
  <c r="BM602" i="29"/>
  <c r="BN602" i="29"/>
  <c r="BO602" i="29"/>
  <c r="BP602" i="29"/>
  <c r="AV634" i="31"/>
  <c r="K601" i="29"/>
  <c r="BM601" i="29"/>
  <c r="BN601" i="29"/>
  <c r="BO601" i="29"/>
  <c r="BP601" i="29"/>
  <c r="AV633" i="31"/>
  <c r="K600" i="29"/>
  <c r="BP600" i="29"/>
  <c r="BO600" i="29"/>
  <c r="BN600" i="29"/>
  <c r="BM600" i="29"/>
  <c r="AV632" i="31"/>
  <c r="K599" i="29"/>
  <c r="BM599" i="29"/>
  <c r="BN599" i="29"/>
  <c r="BO599" i="29"/>
  <c r="BP599" i="29"/>
  <c r="AV631" i="31"/>
  <c r="AV630" i="31"/>
  <c r="K598" i="29"/>
  <c r="BM598" i="29"/>
  <c r="BN598" i="29"/>
  <c r="BO598" i="29"/>
  <c r="BP598" i="29"/>
  <c r="F62" i="30"/>
  <c r="AY62" i="30"/>
  <c r="AZ62" i="30"/>
  <c r="AV629" i="31"/>
  <c r="AV628" i="31"/>
  <c r="K597" i="29"/>
  <c r="BM597" i="29"/>
  <c r="BN597" i="29"/>
  <c r="BO597" i="29"/>
  <c r="BP597" i="29"/>
  <c r="AV627" i="31"/>
  <c r="K596" i="29"/>
  <c r="BM596" i="29"/>
  <c r="BN596" i="29"/>
  <c r="BO596" i="29"/>
  <c r="BP596" i="29"/>
  <c r="K595" i="29"/>
  <c r="BM595" i="29"/>
  <c r="BN595" i="29"/>
  <c r="BO595" i="29"/>
  <c r="BP595" i="29"/>
  <c r="AV626" i="31"/>
  <c r="K594" i="29"/>
  <c r="BM594" i="29"/>
  <c r="BN594" i="29"/>
  <c r="BO594" i="29"/>
  <c r="BP594" i="29"/>
  <c r="AV625" i="31"/>
  <c r="AV624" i="31"/>
  <c r="K593" i="29"/>
  <c r="BM593" i="29"/>
  <c r="BN593" i="29"/>
  <c r="BO593" i="29"/>
  <c r="BP593" i="29"/>
  <c r="AV623" i="31"/>
  <c r="K592" i="29"/>
  <c r="BP592" i="29"/>
  <c r="BO592" i="29"/>
  <c r="BN592" i="29"/>
  <c r="BM592" i="29"/>
  <c r="K591" i="29"/>
  <c r="BP591" i="29"/>
  <c r="BO591" i="29"/>
  <c r="BN591" i="29"/>
  <c r="BM591" i="29"/>
  <c r="AV622" i="31"/>
  <c r="K590" i="29"/>
  <c r="BM590" i="29"/>
  <c r="BN590" i="29"/>
  <c r="BO590" i="29"/>
  <c r="BP590" i="29"/>
  <c r="AV621" i="31"/>
  <c r="F61" i="30"/>
  <c r="AY61" i="30"/>
  <c r="AZ61" i="30"/>
  <c r="AV620" i="31"/>
  <c r="K589" i="29"/>
  <c r="BM589" i="29"/>
  <c r="BN589" i="29"/>
  <c r="BO589" i="29"/>
  <c r="BP589" i="29"/>
  <c r="AV619" i="31"/>
  <c r="AV618" i="31"/>
  <c r="K588" i="29"/>
  <c r="BM588" i="29"/>
  <c r="BN588" i="29"/>
  <c r="BO588" i="29"/>
  <c r="BP588" i="29"/>
  <c r="K587" i="29"/>
  <c r="BM587" i="29"/>
  <c r="BN587" i="29"/>
  <c r="BO587" i="29"/>
  <c r="BP587" i="29"/>
  <c r="AV617" i="31"/>
  <c r="K586" i="29"/>
  <c r="BM586" i="29"/>
  <c r="BN586" i="29"/>
  <c r="BO586" i="29"/>
  <c r="BP586" i="29"/>
  <c r="AV616" i="31"/>
  <c r="AV615" i="31"/>
  <c r="K585" i="29"/>
  <c r="BM585" i="29"/>
  <c r="BN585" i="29"/>
  <c r="BO585" i="29"/>
  <c r="BP585" i="29"/>
  <c r="K584" i="29"/>
  <c r="BM584" i="29"/>
  <c r="BN584" i="29"/>
  <c r="BO584" i="29"/>
  <c r="BP584" i="29"/>
  <c r="AV614" i="31"/>
  <c r="AV613" i="31"/>
  <c r="K583" i="29"/>
  <c r="BM583" i="29"/>
  <c r="BN583" i="29"/>
  <c r="BO583" i="29"/>
  <c r="BP583" i="29"/>
  <c r="K582" i="29"/>
  <c r="BM582" i="29"/>
  <c r="BN582" i="29"/>
  <c r="BO582" i="29"/>
  <c r="BP582" i="29"/>
  <c r="AV612" i="31"/>
  <c r="AV611" i="31"/>
  <c r="K581" i="29"/>
  <c r="BM581" i="29"/>
  <c r="BN581" i="29"/>
  <c r="BO581" i="29"/>
  <c r="BP581" i="29"/>
  <c r="K580" i="29"/>
  <c r="BM580" i="29"/>
  <c r="BN580" i="29"/>
  <c r="BO580" i="29"/>
  <c r="BP580" i="29"/>
  <c r="AV610" i="31"/>
  <c r="K579" i="29"/>
  <c r="BM579" i="29"/>
  <c r="BN579" i="29"/>
  <c r="BO579" i="29"/>
  <c r="BP579" i="29"/>
  <c r="AV609" i="31"/>
  <c r="K578" i="29"/>
  <c r="BM578" i="29"/>
  <c r="BN578" i="29"/>
  <c r="BO578" i="29"/>
  <c r="BP578" i="29"/>
  <c r="AV608" i="31"/>
  <c r="K577" i="29"/>
  <c r="BM577" i="29"/>
  <c r="BN577" i="29"/>
  <c r="BO577" i="29"/>
  <c r="BP577" i="29"/>
  <c r="AV607" i="31"/>
  <c r="F60" i="30"/>
  <c r="AY60" i="30"/>
  <c r="AZ60" i="30"/>
  <c r="AV606" i="31"/>
  <c r="K576" i="29"/>
  <c r="BM576" i="29"/>
  <c r="BN576" i="29"/>
  <c r="BO576" i="29"/>
  <c r="BP576" i="29"/>
  <c r="AV605" i="31"/>
  <c r="AV604" i="31"/>
  <c r="K575" i="29"/>
  <c r="BM575" i="29"/>
  <c r="BN575" i="29"/>
  <c r="BO575" i="29"/>
  <c r="BP575" i="29"/>
  <c r="K574" i="29"/>
  <c r="BM574" i="29"/>
  <c r="BN574" i="29"/>
  <c r="BO574" i="29"/>
  <c r="BP574" i="29"/>
  <c r="AV603" i="31"/>
  <c r="K573" i="29"/>
  <c r="BM573" i="29"/>
  <c r="BN573" i="29"/>
  <c r="BO573" i="29"/>
  <c r="BP573" i="29"/>
  <c r="AV602" i="31"/>
  <c r="K572" i="29"/>
  <c r="BM572" i="29"/>
  <c r="BN572" i="29"/>
  <c r="BO572" i="29"/>
  <c r="BP572" i="29"/>
  <c r="AV601" i="31"/>
  <c r="K571" i="29"/>
  <c r="BM571" i="29"/>
  <c r="BN571" i="29"/>
  <c r="BO571" i="29"/>
  <c r="BP571" i="29"/>
  <c r="AV600" i="31"/>
  <c r="K570" i="29"/>
  <c r="BM570" i="29"/>
  <c r="BN570" i="29"/>
  <c r="BO570" i="29"/>
  <c r="BP570" i="29"/>
  <c r="AV599" i="31"/>
  <c r="K569" i="29"/>
  <c r="BM569" i="29"/>
  <c r="BN569" i="29"/>
  <c r="BO569" i="29"/>
  <c r="BP569" i="29"/>
  <c r="AV598" i="31"/>
  <c r="F59" i="30"/>
  <c r="AZ59" i="30"/>
  <c r="AY59" i="30"/>
  <c r="AV597" i="31"/>
  <c r="K568" i="29"/>
  <c r="BP568" i="29"/>
  <c r="BO568" i="29"/>
  <c r="BN568" i="29"/>
  <c r="BM568" i="29"/>
  <c r="AV596" i="31"/>
  <c r="K567" i="29"/>
  <c r="BM567" i="29"/>
  <c r="BN567" i="29"/>
  <c r="BO567" i="29"/>
  <c r="BP567" i="29"/>
  <c r="AV595" i="31"/>
  <c r="K566" i="29"/>
  <c r="BM566" i="29"/>
  <c r="BN566" i="29"/>
  <c r="BO566" i="29"/>
  <c r="BP566" i="29"/>
  <c r="AV594" i="31"/>
  <c r="K565" i="29"/>
  <c r="BM565" i="29"/>
  <c r="BN565" i="29"/>
  <c r="BO565" i="29"/>
  <c r="BP565" i="29"/>
  <c r="AV593" i="31"/>
  <c r="K564" i="29"/>
  <c r="BM564" i="29"/>
  <c r="BN564" i="29"/>
  <c r="BO564" i="29"/>
  <c r="BP564" i="29"/>
  <c r="AV592" i="31"/>
  <c r="K563" i="29"/>
  <c r="BM563" i="29"/>
  <c r="BN563" i="29"/>
  <c r="BO563" i="29"/>
  <c r="BP563" i="29"/>
  <c r="AV591" i="31"/>
  <c r="K562" i="29"/>
  <c r="BM562" i="29"/>
  <c r="BN562" i="29"/>
  <c r="BO562" i="29"/>
  <c r="BP562" i="29"/>
  <c r="AV590" i="31"/>
  <c r="AV589" i="31"/>
  <c r="K561" i="29"/>
  <c r="BM561" i="29"/>
  <c r="BN561" i="29"/>
  <c r="BO561" i="29"/>
  <c r="BP561" i="29"/>
  <c r="K560" i="29"/>
  <c r="BP560" i="29"/>
  <c r="BO560" i="29"/>
  <c r="BN560" i="29"/>
  <c r="BM560" i="29"/>
  <c r="AV588" i="31"/>
  <c r="AV587" i="31"/>
  <c r="K559" i="29"/>
  <c r="BP559" i="29"/>
  <c r="BO559" i="29"/>
  <c r="BN559" i="29"/>
  <c r="BM559" i="29"/>
  <c r="K558" i="29"/>
  <c r="BM558" i="29"/>
  <c r="BN558" i="29"/>
  <c r="BO558" i="29"/>
  <c r="BP558" i="29"/>
  <c r="AV586" i="31"/>
  <c r="K557" i="29"/>
  <c r="BM557" i="29"/>
  <c r="BN557" i="29"/>
  <c r="BO557" i="29"/>
  <c r="BP557" i="29"/>
  <c r="AV585" i="31"/>
  <c r="K556" i="29"/>
  <c r="BM556" i="29"/>
  <c r="BN556" i="29"/>
  <c r="BO556" i="29"/>
  <c r="BP556" i="29"/>
  <c r="AV584" i="31"/>
  <c r="K555" i="29"/>
  <c r="BM555" i="29"/>
  <c r="BN555" i="29"/>
  <c r="BO555" i="29"/>
  <c r="BP555" i="29"/>
  <c r="AV583" i="31"/>
  <c r="J44" i="2"/>
  <c r="BG11" i="29"/>
  <c r="J39" i="13"/>
  <c r="J39" i="2"/>
  <c r="J30" i="13"/>
  <c r="J29" i="13"/>
  <c r="J28" i="13"/>
  <c r="J27" i="13"/>
  <c r="J26" i="13"/>
  <c r="J31" i="13"/>
  <c r="J30" i="2"/>
  <c r="J29" i="2"/>
  <c r="J28" i="2"/>
  <c r="J27" i="2"/>
  <c r="J26" i="2"/>
  <c r="AX11" i="29"/>
  <c r="AW11" i="29"/>
  <c r="AV11" i="29"/>
  <c r="AU11" i="29"/>
  <c r="AT11" i="29"/>
  <c r="AV582" i="31"/>
  <c r="K554" i="29"/>
  <c r="BM554" i="29"/>
  <c r="BN554" i="29"/>
  <c r="BO554" i="29"/>
  <c r="BP554" i="29"/>
  <c r="F58" i="30"/>
  <c r="AY58" i="30"/>
  <c r="AZ58" i="30"/>
  <c r="AV581" i="31"/>
  <c r="AV580" i="31"/>
  <c r="K553" i="29"/>
  <c r="BM553" i="29"/>
  <c r="BN553" i="29"/>
  <c r="BO553" i="29"/>
  <c r="BP553" i="29"/>
  <c r="K552" i="29"/>
  <c r="BM552" i="29"/>
  <c r="BN552" i="29"/>
  <c r="BO552" i="29"/>
  <c r="BP552" i="29"/>
  <c r="AV579" i="31"/>
  <c r="K551" i="29"/>
  <c r="BP551" i="29"/>
  <c r="BO551" i="29"/>
  <c r="BN551" i="29"/>
  <c r="BM551" i="29"/>
  <c r="AV578" i="31"/>
  <c r="K550" i="29"/>
  <c r="BM550" i="29"/>
  <c r="BN550" i="29"/>
  <c r="BO550" i="29"/>
  <c r="BP550" i="29"/>
  <c r="AV577" i="31"/>
  <c r="AV576" i="31"/>
  <c r="K549" i="29"/>
  <c r="BM549" i="29"/>
  <c r="BN549" i="29"/>
  <c r="BO549" i="29"/>
  <c r="BP549" i="29"/>
  <c r="AV575" i="31"/>
  <c r="K548" i="29"/>
  <c r="BM548" i="29"/>
  <c r="BN548" i="29"/>
  <c r="BO548" i="29"/>
  <c r="BP548" i="29"/>
  <c r="AV574" i="31"/>
  <c r="K547" i="29"/>
  <c r="BM547" i="29"/>
  <c r="BN547" i="29"/>
  <c r="BO547" i="29"/>
  <c r="BP547" i="29"/>
  <c r="AV573" i="31"/>
  <c r="K546" i="29"/>
  <c r="BM546" i="29"/>
  <c r="BN546" i="29"/>
  <c r="BO546" i="29"/>
  <c r="BP546" i="29"/>
  <c r="K545" i="29"/>
  <c r="BM545" i="29"/>
  <c r="BN545" i="29"/>
  <c r="BO545" i="29"/>
  <c r="BP545" i="29"/>
  <c r="AV572" i="31"/>
  <c r="K544" i="29"/>
  <c r="BM544" i="29"/>
  <c r="BN544" i="29"/>
  <c r="BO544" i="29"/>
  <c r="BP544" i="29"/>
  <c r="AV571" i="31"/>
  <c r="K543" i="29"/>
  <c r="BM543" i="29"/>
  <c r="BN543" i="29"/>
  <c r="BO543" i="29"/>
  <c r="BP543" i="29"/>
  <c r="AV570" i="31"/>
  <c r="AV569" i="31"/>
  <c r="K542" i="29"/>
  <c r="BP542" i="29"/>
  <c r="BO542" i="29"/>
  <c r="BN542" i="29"/>
  <c r="BM542" i="29"/>
  <c r="K541" i="29"/>
  <c r="BP541" i="29"/>
  <c r="BO541" i="29"/>
  <c r="BN541" i="29"/>
  <c r="BM541" i="29"/>
  <c r="AV568" i="31"/>
  <c r="K540" i="29"/>
  <c r="BP540" i="29"/>
  <c r="BO540" i="29"/>
  <c r="BN540" i="29"/>
  <c r="BM540" i="29"/>
  <c r="AV567" i="31"/>
  <c r="K539" i="29"/>
  <c r="BP539" i="29"/>
  <c r="BO539" i="29"/>
  <c r="BN539" i="29"/>
  <c r="BM539" i="29"/>
  <c r="AV566" i="31"/>
  <c r="K538" i="29"/>
  <c r="BM538" i="29"/>
  <c r="BN538" i="29"/>
  <c r="BO538" i="29"/>
  <c r="BP538" i="29"/>
  <c r="AV565" i="31"/>
  <c r="K537" i="29"/>
  <c r="BM537" i="29"/>
  <c r="BN537" i="29"/>
  <c r="BO537" i="29"/>
  <c r="BP537" i="29"/>
  <c r="AV564" i="31"/>
  <c r="AV563" i="31"/>
  <c r="K536" i="29"/>
  <c r="BM536" i="29"/>
  <c r="BN536" i="29"/>
  <c r="BO536" i="29"/>
  <c r="BP536" i="29"/>
  <c r="K535" i="29"/>
  <c r="BM535" i="29"/>
  <c r="BN535" i="29"/>
  <c r="BO535" i="29"/>
  <c r="BP535" i="29"/>
  <c r="AV562" i="31"/>
  <c r="BI11" i="29"/>
  <c r="BJ11" i="29"/>
  <c r="K534" i="29"/>
  <c r="BP534" i="29"/>
  <c r="BO534" i="29"/>
  <c r="BN534" i="29"/>
  <c r="BM534" i="29"/>
  <c r="AV561" i="31"/>
  <c r="K533" i="29"/>
  <c r="BM533" i="29"/>
  <c r="BN533" i="29"/>
  <c r="BO533" i="29"/>
  <c r="BP533" i="29"/>
  <c r="AV560" i="31"/>
  <c r="AV559" i="31"/>
  <c r="F57" i="30"/>
  <c r="AY57" i="30"/>
  <c r="AZ57" i="30"/>
  <c r="K532" i="29"/>
  <c r="BM532" i="29"/>
  <c r="BN532" i="29"/>
  <c r="BO532" i="29"/>
  <c r="BP532" i="29"/>
  <c r="AV558" i="31"/>
  <c r="K531" i="29"/>
  <c r="BM531" i="29"/>
  <c r="BN531" i="29"/>
  <c r="BO531" i="29"/>
  <c r="BP531" i="29"/>
  <c r="AV557" i="31"/>
  <c r="AV556" i="31"/>
  <c r="K530" i="29"/>
  <c r="BM530" i="29"/>
  <c r="BN530" i="29"/>
  <c r="BO530" i="29"/>
  <c r="BP530" i="29"/>
  <c r="K529" i="29"/>
  <c r="BM529" i="29"/>
  <c r="BN529" i="29"/>
  <c r="BO529" i="29"/>
  <c r="BP529" i="29"/>
  <c r="AV555" i="31"/>
  <c r="K528" i="29"/>
  <c r="BM528" i="29"/>
  <c r="BN528" i="29"/>
  <c r="BO528" i="29"/>
  <c r="BP528" i="29"/>
  <c r="AV554" i="31"/>
  <c r="AV553" i="31"/>
  <c r="K527" i="29"/>
  <c r="BM527" i="29"/>
  <c r="BN527" i="29"/>
  <c r="BO527" i="29"/>
  <c r="BP527" i="29"/>
  <c r="K526" i="29"/>
  <c r="BP526" i="29"/>
  <c r="BO526" i="29"/>
  <c r="BN526" i="29"/>
  <c r="BM526" i="29"/>
  <c r="AV552" i="31"/>
  <c r="AV551" i="31"/>
  <c r="K525" i="29"/>
  <c r="BM525" i="29"/>
  <c r="BN525" i="29"/>
  <c r="BO525" i="29"/>
  <c r="BP525" i="29"/>
  <c r="AV550" i="31"/>
  <c r="K524" i="29"/>
  <c r="BM524" i="29"/>
  <c r="BN524" i="29"/>
  <c r="BO524" i="29"/>
  <c r="BP524" i="29"/>
  <c r="F56" i="30"/>
  <c r="AY56" i="30"/>
  <c r="AZ56" i="30"/>
  <c r="AV549" i="31"/>
  <c r="K523" i="29"/>
  <c r="BM523" i="29"/>
  <c r="BN523" i="29"/>
  <c r="BO523" i="29"/>
  <c r="BP523" i="29"/>
  <c r="AV548" i="31"/>
  <c r="AV547" i="31"/>
  <c r="K522" i="29"/>
  <c r="BM522" i="29"/>
  <c r="BN522" i="29"/>
  <c r="BO522" i="29"/>
  <c r="BP522" i="29"/>
  <c r="K521" i="29"/>
  <c r="BP521" i="29"/>
  <c r="BO521" i="29"/>
  <c r="BN521" i="29"/>
  <c r="BM521" i="29"/>
  <c r="AV546" i="31"/>
  <c r="K520" i="29"/>
  <c r="BM520" i="29"/>
  <c r="BN520" i="29"/>
  <c r="BO520" i="29"/>
  <c r="BP520" i="29"/>
  <c r="AV545" i="31"/>
  <c r="AV544" i="31"/>
  <c r="K519" i="29"/>
  <c r="BM519" i="29"/>
  <c r="BN519" i="29"/>
  <c r="BO519" i="29"/>
  <c r="BP519" i="29"/>
  <c r="K518" i="29"/>
  <c r="BM518" i="29"/>
  <c r="BN518" i="29"/>
  <c r="BO518" i="29"/>
  <c r="BP518" i="29"/>
  <c r="AV543" i="31"/>
  <c r="K517" i="29"/>
  <c r="BM517" i="29"/>
  <c r="BN517" i="29"/>
  <c r="BO517" i="29"/>
  <c r="BP517" i="29"/>
  <c r="AV542" i="31"/>
  <c r="K516" i="29"/>
  <c r="BM516" i="29"/>
  <c r="BN516" i="29"/>
  <c r="BO516" i="29"/>
  <c r="BP516" i="29"/>
  <c r="AV541" i="31"/>
  <c r="K515" i="29"/>
  <c r="BM515" i="29"/>
  <c r="BN515" i="29"/>
  <c r="BO515" i="29"/>
  <c r="BP515" i="29"/>
  <c r="AV540" i="31"/>
  <c r="K514" i="29"/>
  <c r="BM514" i="29"/>
  <c r="BN514" i="29"/>
  <c r="BO514" i="29"/>
  <c r="BP514" i="29"/>
  <c r="AV539" i="31"/>
  <c r="K513" i="29"/>
  <c r="BM513" i="29"/>
  <c r="BN513" i="29"/>
  <c r="BO513" i="29"/>
  <c r="BP513" i="29"/>
  <c r="AV538" i="31"/>
  <c r="K512" i="29"/>
  <c r="BM512" i="29"/>
  <c r="BN512" i="29"/>
  <c r="BO512" i="29"/>
  <c r="BP512" i="29"/>
  <c r="AV537" i="31"/>
  <c r="F55" i="30"/>
  <c r="AY55" i="30"/>
  <c r="AZ55" i="30"/>
  <c r="AV536" i="31"/>
  <c r="K511" i="29"/>
  <c r="BM511" i="29"/>
  <c r="BN511" i="29"/>
  <c r="BO511" i="29"/>
  <c r="BP511" i="29"/>
  <c r="AV535" i="31"/>
  <c r="AV534" i="31"/>
  <c r="K510" i="29"/>
  <c r="BM510" i="29"/>
  <c r="BN510" i="29"/>
  <c r="BO510" i="29"/>
  <c r="BP510" i="29"/>
  <c r="K509" i="29"/>
  <c r="BM509" i="29"/>
  <c r="BN509" i="29"/>
  <c r="BO509" i="29"/>
  <c r="BP509" i="29"/>
  <c r="AV533" i="31"/>
  <c r="K508" i="29"/>
  <c r="BM508" i="29"/>
  <c r="BN508" i="29"/>
  <c r="BO508" i="29"/>
  <c r="BP508" i="29"/>
  <c r="AV532" i="31"/>
  <c r="AV531" i="31"/>
  <c r="K507" i="29"/>
  <c r="BM507" i="29"/>
  <c r="BN507" i="29"/>
  <c r="BO507" i="29"/>
  <c r="BP507" i="29"/>
  <c r="K506" i="29"/>
  <c r="BM506" i="29"/>
  <c r="BN506" i="29"/>
  <c r="BO506" i="29"/>
  <c r="BP506" i="29"/>
  <c r="AV530" i="31"/>
  <c r="K505" i="29"/>
  <c r="BM505" i="29"/>
  <c r="BN505" i="29"/>
  <c r="BO505" i="29"/>
  <c r="BP505" i="29"/>
  <c r="AV529" i="31"/>
  <c r="AV528" i="31"/>
  <c r="K504" i="29"/>
  <c r="BM504" i="29"/>
  <c r="BN504" i="29"/>
  <c r="BO504" i="29"/>
  <c r="BP504" i="29"/>
  <c r="F54" i="30"/>
  <c r="AZ54" i="30"/>
  <c r="AY54" i="30"/>
  <c r="AV527" i="31"/>
  <c r="K503" i="29"/>
  <c r="BM503" i="29"/>
  <c r="BN503" i="29"/>
  <c r="BO503" i="29"/>
  <c r="BP503" i="29"/>
  <c r="AV526" i="31"/>
  <c r="K502" i="29"/>
  <c r="BM502" i="29"/>
  <c r="BN502" i="29"/>
  <c r="BO502" i="29"/>
  <c r="BP502" i="29"/>
  <c r="AV525" i="31"/>
  <c r="AV524" i="31"/>
  <c r="K501" i="29"/>
  <c r="BM501" i="29"/>
  <c r="BN501" i="29"/>
  <c r="BO501" i="29"/>
  <c r="BP501" i="29"/>
  <c r="AV523" i="31"/>
  <c r="K500" i="29"/>
  <c r="BM500" i="29"/>
  <c r="BN500" i="29"/>
  <c r="BO500" i="29"/>
  <c r="BP500" i="29"/>
  <c r="K499" i="29"/>
  <c r="BP499" i="29"/>
  <c r="BO499" i="29"/>
  <c r="BN499" i="29"/>
  <c r="BM499" i="29"/>
  <c r="AV522" i="31"/>
  <c r="K498" i="29"/>
  <c r="BP498" i="29"/>
  <c r="BO498" i="29"/>
  <c r="BN498" i="29"/>
  <c r="BM498" i="29"/>
  <c r="AV521" i="31"/>
  <c r="K497" i="29"/>
  <c r="BM497" i="29"/>
  <c r="BN497" i="29"/>
  <c r="BO497" i="29"/>
  <c r="BP497" i="29"/>
  <c r="AV520" i="31"/>
  <c r="K496" i="29"/>
  <c r="BM496" i="29"/>
  <c r="BN496" i="29"/>
  <c r="BO496" i="29"/>
  <c r="BP496" i="29"/>
  <c r="AV519" i="31"/>
  <c r="AV518" i="31"/>
  <c r="F53" i="30"/>
  <c r="AY53" i="30"/>
  <c r="AZ53" i="30"/>
  <c r="AV517" i="31"/>
  <c r="K495" i="29"/>
  <c r="BM495" i="29"/>
  <c r="BN495" i="29"/>
  <c r="BO495" i="29"/>
  <c r="BP495" i="29"/>
  <c r="K494" i="29"/>
  <c r="BM494" i="29"/>
  <c r="BN494" i="29"/>
  <c r="BO494" i="29"/>
  <c r="BP494" i="29"/>
  <c r="AV516" i="31"/>
  <c r="K493" i="29"/>
  <c r="BM493" i="29"/>
  <c r="BN493" i="29"/>
  <c r="BO493" i="29"/>
  <c r="BP493" i="29"/>
  <c r="AV515" i="31"/>
  <c r="K492" i="29"/>
  <c r="BM492" i="29"/>
  <c r="BN492" i="29"/>
  <c r="BO492" i="29"/>
  <c r="BP492" i="29"/>
  <c r="AV514" i="31"/>
  <c r="AV513" i="31"/>
  <c r="K491" i="29"/>
  <c r="BP491" i="29"/>
  <c r="BO491" i="29"/>
  <c r="BN491" i="29"/>
  <c r="BM491" i="29"/>
  <c r="K490" i="29"/>
  <c r="BM490" i="29"/>
  <c r="BN490" i="29"/>
  <c r="BO490" i="29"/>
  <c r="BP490" i="29"/>
  <c r="AV512" i="31"/>
  <c r="AV511" i="31"/>
  <c r="K489" i="29"/>
  <c r="BM489" i="29"/>
  <c r="BN489" i="29"/>
  <c r="BO489" i="29"/>
  <c r="BP489" i="29"/>
  <c r="AV510" i="31"/>
  <c r="K488" i="29"/>
  <c r="BM488" i="29"/>
  <c r="BN488" i="29"/>
  <c r="BO488" i="29"/>
  <c r="BP488" i="29"/>
  <c r="K487" i="29"/>
  <c r="BM487" i="29"/>
  <c r="BN487" i="29"/>
  <c r="BO487" i="29"/>
  <c r="BP487" i="29"/>
  <c r="K486" i="29"/>
  <c r="BM486" i="29"/>
  <c r="BN486" i="29"/>
  <c r="BO486" i="29"/>
  <c r="BP486" i="29"/>
  <c r="AV509" i="31"/>
  <c r="K485" i="29"/>
  <c r="BM485" i="29"/>
  <c r="BN485" i="29"/>
  <c r="BO485" i="29"/>
  <c r="BP485" i="29"/>
  <c r="AV508" i="31"/>
  <c r="F52" i="30"/>
  <c r="AY52" i="30"/>
  <c r="AZ52" i="30"/>
  <c r="AV507" i="31"/>
  <c r="K484" i="29"/>
  <c r="BM484" i="29"/>
  <c r="BN484" i="29"/>
  <c r="BO484" i="29"/>
  <c r="BP484" i="29"/>
  <c r="AV506" i="31"/>
  <c r="K483" i="29"/>
  <c r="BM483" i="29"/>
  <c r="BN483" i="29"/>
  <c r="BO483" i="29"/>
  <c r="BP483" i="29"/>
  <c r="AV505" i="31"/>
  <c r="K482" i="29"/>
  <c r="BM482" i="29"/>
  <c r="BN482" i="29"/>
  <c r="BO482" i="29"/>
  <c r="BP482" i="29"/>
  <c r="AV504" i="31"/>
  <c r="K481" i="29"/>
  <c r="BM481" i="29"/>
  <c r="BN481" i="29"/>
  <c r="BO481" i="29"/>
  <c r="BP481" i="29"/>
  <c r="AV503" i="31"/>
  <c r="K480" i="29"/>
  <c r="BM480" i="29"/>
  <c r="BN480" i="29"/>
  <c r="BO480" i="29"/>
  <c r="BP480" i="29"/>
  <c r="AV502" i="31"/>
  <c r="AV501" i="31"/>
  <c r="K479" i="29"/>
  <c r="BM479" i="29"/>
  <c r="BN479" i="29"/>
  <c r="BO479" i="29"/>
  <c r="BP479" i="29"/>
  <c r="K478" i="29"/>
  <c r="BM478" i="29"/>
  <c r="BN478" i="29"/>
  <c r="BO478" i="29"/>
  <c r="BP478" i="29"/>
  <c r="AV500" i="31"/>
  <c r="AV499" i="31"/>
  <c r="K477" i="29"/>
  <c r="BM477" i="29"/>
  <c r="BN477" i="29"/>
  <c r="BO477" i="29"/>
  <c r="BP477" i="29"/>
  <c r="K476" i="29"/>
  <c r="BM476" i="29"/>
  <c r="BN476" i="29"/>
  <c r="BO476" i="29"/>
  <c r="BP476" i="29"/>
  <c r="AV498" i="31"/>
  <c r="F51" i="30"/>
  <c r="AY51" i="30"/>
  <c r="AZ51" i="30"/>
  <c r="AV497" i="31"/>
  <c r="K475" i="29"/>
  <c r="BM475" i="29"/>
  <c r="BN475" i="29"/>
  <c r="BO475" i="29"/>
  <c r="BP475" i="29"/>
  <c r="AV496" i="31"/>
  <c r="AV495" i="31"/>
  <c r="K474" i="29"/>
  <c r="BM474" i="29"/>
  <c r="BN474" i="29"/>
  <c r="BO474" i="29"/>
  <c r="BP474" i="29"/>
  <c r="K473" i="29"/>
  <c r="BM473" i="29"/>
  <c r="BN473" i="29"/>
  <c r="BO473" i="29"/>
  <c r="BP473" i="29"/>
  <c r="AV494" i="31"/>
  <c r="K472" i="29"/>
  <c r="BM472" i="29"/>
  <c r="BN472" i="29"/>
  <c r="BO472" i="29"/>
  <c r="BP472" i="29"/>
  <c r="AV493" i="31"/>
  <c r="K471" i="29"/>
  <c r="BM471" i="29"/>
  <c r="BN471" i="29"/>
  <c r="BO471" i="29"/>
  <c r="BP471" i="29"/>
  <c r="AV492" i="31"/>
  <c r="K470" i="29"/>
  <c r="BM470" i="29"/>
  <c r="BN470" i="29"/>
  <c r="BO470" i="29"/>
  <c r="BP470" i="29"/>
  <c r="AV491" i="31"/>
  <c r="AV490" i="31"/>
  <c r="K469" i="29"/>
  <c r="BM469" i="29"/>
  <c r="BN469" i="29"/>
  <c r="BO469" i="29"/>
  <c r="BP469" i="29"/>
  <c r="AV489" i="31"/>
  <c r="K468" i="29"/>
  <c r="BM468" i="29"/>
  <c r="BN468" i="29"/>
  <c r="BO468" i="29"/>
  <c r="BP468" i="29"/>
  <c r="K467" i="29"/>
  <c r="BM467" i="29"/>
  <c r="BN467" i="29"/>
  <c r="BO467" i="29"/>
  <c r="BP467" i="29"/>
  <c r="AV488" i="31"/>
  <c r="K466" i="29"/>
  <c r="BM466" i="29"/>
  <c r="BN466" i="29"/>
  <c r="BO466" i="29"/>
  <c r="BP466" i="29"/>
  <c r="AV487" i="31"/>
  <c r="K465" i="29"/>
  <c r="BP465" i="29"/>
  <c r="BO465" i="29"/>
  <c r="BN465" i="29"/>
  <c r="BM465" i="29"/>
  <c r="AV486" i="31"/>
  <c r="AY15" i="30"/>
  <c r="AY16" i="30"/>
  <c r="AY17" i="30"/>
  <c r="AY18" i="30"/>
  <c r="AY19" i="30"/>
  <c r="AY20" i="30"/>
  <c r="AY21" i="30"/>
  <c r="AY22" i="30"/>
  <c r="AY23" i="30"/>
  <c r="AY24" i="30"/>
  <c r="AY25" i="30"/>
  <c r="AY26" i="30"/>
  <c r="AY27" i="30"/>
  <c r="AY28" i="30"/>
  <c r="AY29" i="30"/>
  <c r="AY30" i="30"/>
  <c r="AY31" i="30"/>
  <c r="AY32" i="30"/>
  <c r="AY33" i="30"/>
  <c r="AY34" i="30"/>
  <c r="AY35" i="30"/>
  <c r="AY36" i="30"/>
  <c r="AY37" i="30"/>
  <c r="AY38" i="30"/>
  <c r="AY39" i="30"/>
  <c r="AY40" i="30"/>
  <c r="AY41" i="30"/>
  <c r="AY42" i="30"/>
  <c r="AY43" i="30"/>
  <c r="AY44" i="30"/>
  <c r="AY45" i="30"/>
  <c r="AY46" i="30"/>
  <c r="AY47" i="30"/>
  <c r="AY48" i="30"/>
  <c r="AY49" i="30"/>
  <c r="AY2" i="30"/>
  <c r="AY3" i="30"/>
  <c r="AY4" i="30"/>
  <c r="AY5" i="30"/>
  <c r="AY6" i="30"/>
  <c r="AY7" i="30"/>
  <c r="AY8" i="30"/>
  <c r="AY9" i="30"/>
  <c r="AY10" i="30"/>
  <c r="AY11" i="30"/>
  <c r="AY12" i="30"/>
  <c r="AY13" i="30"/>
  <c r="AY14" i="30"/>
  <c r="AY50" i="30"/>
  <c r="AV3" i="31"/>
  <c r="AV4" i="31"/>
  <c r="AV5" i="31"/>
  <c r="AV6" i="31"/>
  <c r="AV7" i="31"/>
  <c r="AV8" i="31"/>
  <c r="AV9" i="31"/>
  <c r="AV10" i="31"/>
  <c r="AV11" i="31"/>
  <c r="AV12" i="31"/>
  <c r="AV13" i="31"/>
  <c r="AV14" i="31"/>
  <c r="AV15" i="31"/>
  <c r="AV16" i="31"/>
  <c r="AV17" i="31"/>
  <c r="AV18" i="31"/>
  <c r="AV19" i="31"/>
  <c r="AV20" i="31"/>
  <c r="AV21" i="31"/>
  <c r="AV22" i="31"/>
  <c r="AV23" i="31"/>
  <c r="AV24" i="31"/>
  <c r="AV25" i="31"/>
  <c r="AV26" i="31"/>
  <c r="AV27" i="31"/>
  <c r="AV28" i="31"/>
  <c r="AV29" i="31"/>
  <c r="AV30" i="31"/>
  <c r="AV31" i="31"/>
  <c r="AV32" i="31"/>
  <c r="AV33" i="31"/>
  <c r="AV34" i="31"/>
  <c r="AV35" i="31"/>
  <c r="AV36" i="31"/>
  <c r="AV37" i="31"/>
  <c r="AV38" i="31"/>
  <c r="AV39" i="31"/>
  <c r="AV40" i="31"/>
  <c r="AV41" i="31"/>
  <c r="AV42" i="31"/>
  <c r="AV43" i="31"/>
  <c r="AV44" i="31"/>
  <c r="AV45" i="31"/>
  <c r="AV46" i="31"/>
  <c r="AV47" i="31"/>
  <c r="AV48" i="31"/>
  <c r="AV49" i="31"/>
  <c r="AV50" i="31"/>
  <c r="AV51" i="31"/>
  <c r="AV52" i="31"/>
  <c r="AV53" i="31"/>
  <c r="AV54" i="31"/>
  <c r="AV55" i="31"/>
  <c r="AV56" i="31"/>
  <c r="AV57" i="31"/>
  <c r="AV58" i="31"/>
  <c r="AV59" i="31"/>
  <c r="AV60" i="31"/>
  <c r="AV61" i="31"/>
  <c r="AV62" i="31"/>
  <c r="AV63" i="31"/>
  <c r="AV64" i="31"/>
  <c r="AV65" i="31"/>
  <c r="AV66" i="31"/>
  <c r="AV67" i="31"/>
  <c r="AV68" i="31"/>
  <c r="AV69" i="31"/>
  <c r="AV70" i="31"/>
  <c r="AV71" i="31"/>
  <c r="AV72" i="31"/>
  <c r="AV73" i="31"/>
  <c r="AV74" i="31"/>
  <c r="AV75" i="31"/>
  <c r="AV76" i="31"/>
  <c r="AV77" i="31"/>
  <c r="AV78" i="31"/>
  <c r="AV79" i="31"/>
  <c r="AV80" i="31"/>
  <c r="AV81" i="31"/>
  <c r="AV82" i="31"/>
  <c r="AV83" i="31"/>
  <c r="AV84" i="31"/>
  <c r="AV85" i="31"/>
  <c r="AV86" i="31"/>
  <c r="AV87" i="31"/>
  <c r="AV88" i="31"/>
  <c r="AV89" i="31"/>
  <c r="AV90" i="31"/>
  <c r="AV91" i="31"/>
  <c r="AV92" i="31"/>
  <c r="AV93" i="31"/>
  <c r="AV94" i="31"/>
  <c r="AV95" i="31"/>
  <c r="AV96" i="31"/>
  <c r="AV97" i="31"/>
  <c r="AV98" i="31"/>
  <c r="AV99" i="31"/>
  <c r="AV100" i="31"/>
  <c r="AV101" i="31"/>
  <c r="AV102" i="31"/>
  <c r="AV103" i="31"/>
  <c r="AV104" i="31"/>
  <c r="AV105" i="31"/>
  <c r="AV106" i="31"/>
  <c r="AV107" i="31"/>
  <c r="AV108" i="31"/>
  <c r="AV109" i="31"/>
  <c r="AV110" i="31"/>
  <c r="AV111" i="31"/>
  <c r="AV112" i="31"/>
  <c r="AV113" i="31"/>
  <c r="AV114" i="31"/>
  <c r="AV115" i="31"/>
  <c r="AV116" i="31"/>
  <c r="AV117" i="31"/>
  <c r="AV118" i="31"/>
  <c r="AV119" i="31"/>
  <c r="AV120" i="31"/>
  <c r="AV121" i="31"/>
  <c r="AV122" i="31"/>
  <c r="AV123" i="31"/>
  <c r="AV124" i="31"/>
  <c r="AV125" i="31"/>
  <c r="AV126" i="31"/>
  <c r="AV127" i="31"/>
  <c r="AV128" i="31"/>
  <c r="AV129" i="31"/>
  <c r="AV130" i="31"/>
  <c r="AV131" i="31"/>
  <c r="AV132" i="31"/>
  <c r="AV133" i="31"/>
  <c r="AV134" i="31"/>
  <c r="AV135" i="31"/>
  <c r="AV136" i="31"/>
  <c r="AV137" i="31"/>
  <c r="AV138" i="31"/>
  <c r="AV139" i="31"/>
  <c r="AV140" i="31"/>
  <c r="AV141" i="31"/>
  <c r="AV142" i="31"/>
  <c r="AV143" i="31"/>
  <c r="AV144" i="31"/>
  <c r="AV145" i="31"/>
  <c r="AV146" i="31"/>
  <c r="AV147" i="31"/>
  <c r="AV148" i="31"/>
  <c r="AV149" i="31"/>
  <c r="AV150" i="31"/>
  <c r="AV151" i="31"/>
  <c r="AV152" i="31"/>
  <c r="AV153" i="31"/>
  <c r="AV154" i="31"/>
  <c r="AV155" i="31"/>
  <c r="AV156" i="31"/>
  <c r="AV157" i="31"/>
  <c r="AV158" i="31"/>
  <c r="AV159" i="31"/>
  <c r="AV160" i="31"/>
  <c r="AV161" i="31"/>
  <c r="AV162" i="31"/>
  <c r="AV163" i="31"/>
  <c r="AV164" i="31"/>
  <c r="AV165" i="31"/>
  <c r="AV166" i="31"/>
  <c r="AV167" i="31"/>
  <c r="AV168" i="31"/>
  <c r="AV169" i="31"/>
  <c r="AV170" i="31"/>
  <c r="AV171" i="31"/>
  <c r="AV172" i="31"/>
  <c r="AV173" i="31"/>
  <c r="AV174" i="31"/>
  <c r="AV175" i="31"/>
  <c r="AV176" i="31"/>
  <c r="AV177" i="31"/>
  <c r="AV178" i="31"/>
  <c r="AV179" i="31"/>
  <c r="AV180" i="31"/>
  <c r="AV181" i="31"/>
  <c r="AV182" i="31"/>
  <c r="AV183" i="31"/>
  <c r="AV184" i="31"/>
  <c r="AV185" i="31"/>
  <c r="AV186" i="31"/>
  <c r="AV187" i="31"/>
  <c r="AV188" i="31"/>
  <c r="AV189" i="31"/>
  <c r="AV190" i="31"/>
  <c r="AV191" i="31"/>
  <c r="AV192" i="31"/>
  <c r="AV193" i="31"/>
  <c r="AV194" i="31"/>
  <c r="AV195" i="31"/>
  <c r="AV196" i="31"/>
  <c r="AV197" i="31"/>
  <c r="AV198" i="31"/>
  <c r="AV199" i="31"/>
  <c r="AV200" i="31"/>
  <c r="AV201" i="31"/>
  <c r="AV202" i="31"/>
  <c r="AV203" i="31"/>
  <c r="AV204" i="31"/>
  <c r="AV205" i="31"/>
  <c r="AV206" i="31"/>
  <c r="AV207" i="31"/>
  <c r="AV208" i="31"/>
  <c r="AV209" i="31"/>
  <c r="AV210" i="31"/>
  <c r="AV211" i="31"/>
  <c r="AV212" i="31"/>
  <c r="AV213" i="31"/>
  <c r="AV214" i="31"/>
  <c r="AV215" i="31"/>
  <c r="AV216" i="31"/>
  <c r="AV217" i="31"/>
  <c r="AV218" i="31"/>
  <c r="AV219" i="31"/>
  <c r="AV220" i="31"/>
  <c r="AV221" i="31"/>
  <c r="AV222" i="31"/>
  <c r="AV223" i="31"/>
  <c r="AV224" i="31"/>
  <c r="AV225" i="31"/>
  <c r="AV226" i="31"/>
  <c r="AV227" i="31"/>
  <c r="AV228" i="31"/>
  <c r="AV229" i="31"/>
  <c r="AV230" i="31"/>
  <c r="AV231" i="31"/>
  <c r="AV232" i="31"/>
  <c r="AV233" i="31"/>
  <c r="AV234" i="31"/>
  <c r="AV235" i="31"/>
  <c r="AV236" i="31"/>
  <c r="AV237" i="31"/>
  <c r="AV238" i="31"/>
  <c r="AV239" i="31"/>
  <c r="AV240" i="31"/>
  <c r="AV241" i="31"/>
  <c r="AV242" i="31"/>
  <c r="AV243" i="31"/>
  <c r="AV244" i="31"/>
  <c r="AV245" i="31"/>
  <c r="AV246" i="31"/>
  <c r="AV247" i="31"/>
  <c r="AV248" i="31"/>
  <c r="AV249" i="31"/>
  <c r="AV250" i="31"/>
  <c r="AV251" i="31"/>
  <c r="AV252" i="31"/>
  <c r="AV253" i="31"/>
  <c r="AV254" i="31"/>
  <c r="AV255" i="31"/>
  <c r="AV256" i="31"/>
  <c r="AV257" i="31"/>
  <c r="AV258" i="31"/>
  <c r="AV259" i="31"/>
  <c r="AV260" i="31"/>
  <c r="AV261" i="31"/>
  <c r="AV262" i="31"/>
  <c r="AV263" i="31"/>
  <c r="AV264" i="31"/>
  <c r="AV265" i="31"/>
  <c r="AV266" i="31"/>
  <c r="AV267" i="31"/>
  <c r="AV268" i="31"/>
  <c r="AV269" i="31"/>
  <c r="AV270" i="31"/>
  <c r="AV271" i="31"/>
  <c r="AV272" i="31"/>
  <c r="AV273" i="31"/>
  <c r="AV274" i="31"/>
  <c r="AV275" i="31"/>
  <c r="AV276" i="31"/>
  <c r="AV277" i="31"/>
  <c r="AV278" i="31"/>
  <c r="AV279" i="31"/>
  <c r="AV280" i="31"/>
  <c r="AV281" i="31"/>
  <c r="AV282" i="31"/>
  <c r="AV283" i="31"/>
  <c r="AV284" i="31"/>
  <c r="AV285" i="31"/>
  <c r="AV286" i="31"/>
  <c r="AV287" i="31"/>
  <c r="AV288" i="31"/>
  <c r="AV289" i="31"/>
  <c r="AV290" i="31"/>
  <c r="AV291" i="31"/>
  <c r="AV292" i="31"/>
  <c r="AV293" i="31"/>
  <c r="AV294" i="31"/>
  <c r="AV295" i="31"/>
  <c r="AV296" i="31"/>
  <c r="AV297" i="31"/>
  <c r="AV298" i="31"/>
  <c r="AV299" i="31"/>
  <c r="AV300" i="31"/>
  <c r="AV301" i="31"/>
  <c r="AV302" i="31"/>
  <c r="AV303" i="31"/>
  <c r="AV304" i="31"/>
  <c r="AV305" i="31"/>
  <c r="AV306" i="31"/>
  <c r="AV307" i="31"/>
  <c r="AV308" i="31"/>
  <c r="AV309" i="31"/>
  <c r="AV310" i="31"/>
  <c r="AV311" i="31"/>
  <c r="AV312" i="31"/>
  <c r="AV313" i="31"/>
  <c r="AV314" i="31"/>
  <c r="AV315" i="31"/>
  <c r="AV316" i="31"/>
  <c r="AV317" i="31"/>
  <c r="AV318" i="31"/>
  <c r="AV319" i="31"/>
  <c r="AV320" i="31"/>
  <c r="AV321" i="31"/>
  <c r="AV322" i="31"/>
  <c r="AV323" i="31"/>
  <c r="AV324" i="31"/>
  <c r="AV325" i="31"/>
  <c r="AV326" i="31"/>
  <c r="AV327" i="31"/>
  <c r="AV328" i="31"/>
  <c r="AV329" i="31"/>
  <c r="AV330" i="31"/>
  <c r="AV331" i="31"/>
  <c r="AV332" i="31"/>
  <c r="AV333" i="31"/>
  <c r="AV334" i="31"/>
  <c r="AV335" i="31"/>
  <c r="AV336" i="31"/>
  <c r="AV337" i="31"/>
  <c r="AV338" i="31"/>
  <c r="AV339" i="31"/>
  <c r="AV340" i="31"/>
  <c r="AV341" i="31"/>
  <c r="AV342" i="31"/>
  <c r="AV343" i="31"/>
  <c r="AV344" i="31"/>
  <c r="AV345" i="31"/>
  <c r="AV346" i="31"/>
  <c r="AV347" i="31"/>
  <c r="AV348" i="31"/>
  <c r="AV349" i="31"/>
  <c r="AV350" i="31"/>
  <c r="AV351" i="31"/>
  <c r="AV352" i="31"/>
  <c r="AV353" i="31"/>
  <c r="AV354" i="31"/>
  <c r="AV355" i="31"/>
  <c r="AV356" i="31"/>
  <c r="AV357" i="31"/>
  <c r="AV358" i="31"/>
  <c r="AV359" i="31"/>
  <c r="AV360" i="31"/>
  <c r="AV361" i="31"/>
  <c r="AV362" i="31"/>
  <c r="AV363" i="31"/>
  <c r="AV364" i="31"/>
  <c r="AV365" i="31"/>
  <c r="AV366" i="31"/>
  <c r="AV367" i="31"/>
  <c r="AV368" i="31"/>
  <c r="AV369" i="31"/>
  <c r="AV370" i="31"/>
  <c r="AV371" i="31"/>
  <c r="AV372" i="31"/>
  <c r="AV373" i="31"/>
  <c r="AV374" i="31"/>
  <c r="AV375" i="31"/>
  <c r="AV376" i="31"/>
  <c r="AV377" i="31"/>
  <c r="AV378" i="31"/>
  <c r="AV379" i="31"/>
  <c r="AV380" i="31"/>
  <c r="AV381" i="31"/>
  <c r="AV382" i="31"/>
  <c r="AV383" i="31"/>
  <c r="AV384" i="31"/>
  <c r="AV385" i="31"/>
  <c r="AV386" i="31"/>
  <c r="AV387" i="31"/>
  <c r="AV388" i="31"/>
  <c r="AV389" i="31"/>
  <c r="AV390" i="31"/>
  <c r="AV391" i="31"/>
  <c r="AV392" i="31"/>
  <c r="AV393" i="31"/>
  <c r="AV394" i="31"/>
  <c r="AV395" i="31"/>
  <c r="AV396" i="31"/>
  <c r="AV397" i="31"/>
  <c r="AV398" i="31"/>
  <c r="AV399" i="31"/>
  <c r="AV400" i="31"/>
  <c r="AV401" i="31"/>
  <c r="AV402" i="31"/>
  <c r="AV403" i="31"/>
  <c r="AV404" i="31"/>
  <c r="AV405" i="31"/>
  <c r="AV406" i="31"/>
  <c r="AV407" i="31"/>
  <c r="AV408" i="31"/>
  <c r="AV409" i="31"/>
  <c r="AV410" i="31"/>
  <c r="AV411" i="31"/>
  <c r="AV412" i="31"/>
  <c r="AV413" i="31"/>
  <c r="AV414" i="31"/>
  <c r="AV415" i="31"/>
  <c r="AV416" i="31"/>
  <c r="AV417" i="31"/>
  <c r="AV418" i="31"/>
  <c r="AV419" i="31"/>
  <c r="AV420" i="31"/>
  <c r="AV421" i="31"/>
  <c r="AV422" i="31"/>
  <c r="AV423" i="31"/>
  <c r="AV424" i="31"/>
  <c r="AV425" i="31"/>
  <c r="AV426" i="31"/>
  <c r="AV427" i="31"/>
  <c r="AV428" i="31"/>
  <c r="AV429" i="31"/>
  <c r="AV430" i="31"/>
  <c r="AV431" i="31"/>
  <c r="AV432" i="31"/>
  <c r="AV433" i="31"/>
  <c r="AV434" i="31"/>
  <c r="AV435" i="31"/>
  <c r="AV436" i="31"/>
  <c r="AV437" i="31"/>
  <c r="AV438" i="31"/>
  <c r="AV439" i="31"/>
  <c r="AV440" i="31"/>
  <c r="AV441" i="31"/>
  <c r="AV442" i="31"/>
  <c r="AV443" i="31"/>
  <c r="AV444" i="31"/>
  <c r="AV445" i="31"/>
  <c r="AV446" i="31"/>
  <c r="AV447" i="31"/>
  <c r="AV448" i="31"/>
  <c r="AV449" i="31"/>
  <c r="AV450" i="31"/>
  <c r="AV451" i="31"/>
  <c r="AV452" i="31"/>
  <c r="AV453" i="31"/>
  <c r="AV454" i="31"/>
  <c r="AV455" i="31"/>
  <c r="AV456" i="31"/>
  <c r="AV457" i="31"/>
  <c r="AV458" i="31"/>
  <c r="AV459" i="31"/>
  <c r="AV460" i="31"/>
  <c r="AV461" i="31"/>
  <c r="AV462" i="31"/>
  <c r="AV463" i="31"/>
  <c r="AV464" i="31"/>
  <c r="AV465" i="31"/>
  <c r="AV466" i="31"/>
  <c r="AV467" i="31"/>
  <c r="AV468" i="31"/>
  <c r="AV469" i="31"/>
  <c r="AV470" i="31"/>
  <c r="AV471" i="31"/>
  <c r="AV472" i="31"/>
  <c r="AV473" i="31"/>
  <c r="AV474" i="31"/>
  <c r="AV475" i="31"/>
  <c r="AV476" i="31"/>
  <c r="AV477" i="31"/>
  <c r="AV478" i="31"/>
  <c r="AV479" i="31"/>
  <c r="AV480" i="31"/>
  <c r="AV481" i="31"/>
  <c r="AV482" i="31"/>
  <c r="AV483" i="31"/>
  <c r="AV484" i="31"/>
  <c r="AV485" i="31"/>
  <c r="F50" i="30"/>
  <c r="AZ50" i="30"/>
  <c r="K464" i="29"/>
  <c r="BM464" i="29"/>
  <c r="BN464" i="29"/>
  <c r="BO464" i="29"/>
  <c r="BP464" i="29"/>
  <c r="K463" i="29"/>
  <c r="BM463" i="29"/>
  <c r="BN463" i="29"/>
  <c r="BO463" i="29"/>
  <c r="BP463" i="29"/>
  <c r="K462" i="29"/>
  <c r="BM462" i="29"/>
  <c r="BN462" i="29"/>
  <c r="BO462" i="29"/>
  <c r="BP462" i="29"/>
  <c r="K461" i="29"/>
  <c r="BM461" i="29"/>
  <c r="BN461" i="29"/>
  <c r="BO461" i="29"/>
  <c r="BP461" i="29"/>
  <c r="K460" i="29"/>
  <c r="BM460" i="29"/>
  <c r="BN460" i="29"/>
  <c r="BO460" i="29"/>
  <c r="BP460" i="29"/>
  <c r="K459" i="29"/>
  <c r="BM459" i="29"/>
  <c r="BN459" i="29"/>
  <c r="BO459" i="29"/>
  <c r="BP459" i="29"/>
  <c r="K458" i="29"/>
  <c r="BM458" i="29"/>
  <c r="BN458" i="29"/>
  <c r="BO458" i="29"/>
  <c r="BP458" i="29"/>
  <c r="K457" i="29"/>
  <c r="BM457" i="29"/>
  <c r="BN457" i="29"/>
  <c r="BO457" i="29"/>
  <c r="BP457" i="29"/>
  <c r="F49" i="30"/>
  <c r="AZ49" i="30"/>
  <c r="K456" i="29"/>
  <c r="BM456" i="29"/>
  <c r="BN456" i="29"/>
  <c r="BO456" i="29"/>
  <c r="BP456" i="29"/>
  <c r="K455" i="29"/>
  <c r="BM455" i="29"/>
  <c r="BN455" i="29"/>
  <c r="BO455" i="29"/>
  <c r="BP455" i="29"/>
  <c r="K454" i="29"/>
  <c r="BM454" i="29"/>
  <c r="BN454" i="29"/>
  <c r="BO454" i="29"/>
  <c r="BP454" i="29"/>
  <c r="K453" i="29"/>
  <c r="BM453" i="29"/>
  <c r="BN453" i="29"/>
  <c r="BO453" i="29"/>
  <c r="BP453" i="29"/>
  <c r="K452" i="29"/>
  <c r="BM452" i="29"/>
  <c r="BN452" i="29"/>
  <c r="BO452" i="29"/>
  <c r="BP452" i="29"/>
  <c r="K451" i="29"/>
  <c r="BM451" i="29"/>
  <c r="BN451" i="29"/>
  <c r="BO451" i="29"/>
  <c r="BP451" i="29"/>
  <c r="K450" i="29"/>
  <c r="BM450" i="29"/>
  <c r="BN450" i="29"/>
  <c r="BO450" i="29"/>
  <c r="BP450" i="29"/>
  <c r="K449" i="29"/>
  <c r="BM449" i="29"/>
  <c r="BN449" i="29"/>
  <c r="BO449" i="29"/>
  <c r="BP449" i="29"/>
  <c r="K448" i="29"/>
  <c r="BM448" i="29"/>
  <c r="BN448" i="29"/>
  <c r="BO448" i="29"/>
  <c r="BP448" i="29"/>
  <c r="K447" i="29"/>
  <c r="BM447" i="29"/>
  <c r="BN447" i="29"/>
  <c r="BO447" i="29"/>
  <c r="BP447" i="29"/>
  <c r="F48" i="30"/>
  <c r="AZ48" i="30"/>
  <c r="K446" i="29"/>
  <c r="BM446" i="29"/>
  <c r="BN446" i="29"/>
  <c r="BO446" i="29"/>
  <c r="BP446" i="29"/>
  <c r="K445" i="29"/>
  <c r="BM445" i="29"/>
  <c r="BN445" i="29"/>
  <c r="BO445" i="29"/>
  <c r="BP445" i="29"/>
  <c r="K444" i="29"/>
  <c r="BM444" i="29"/>
  <c r="BN444" i="29"/>
  <c r="BO444" i="29"/>
  <c r="BP444" i="29"/>
  <c r="K443" i="29"/>
  <c r="BM443" i="29"/>
  <c r="BN443" i="29"/>
  <c r="BO443" i="29"/>
  <c r="BP443" i="29"/>
  <c r="K442" i="29"/>
  <c r="BM442" i="29"/>
  <c r="BN442" i="29"/>
  <c r="BO442" i="29"/>
  <c r="BP442" i="29"/>
  <c r="K441" i="29"/>
  <c r="BM441" i="29"/>
  <c r="BN441" i="29"/>
  <c r="BO441" i="29"/>
  <c r="BP441" i="29"/>
  <c r="K440" i="29"/>
  <c r="BM440" i="29"/>
  <c r="BN440" i="29"/>
  <c r="BO440" i="29"/>
  <c r="BP440" i="29"/>
  <c r="K439" i="29"/>
  <c r="BM439" i="29"/>
  <c r="BN439" i="29"/>
  <c r="BO439" i="29"/>
  <c r="BP439" i="29"/>
  <c r="K438" i="29"/>
  <c r="BM438" i="29"/>
  <c r="BN438" i="29"/>
  <c r="BO438" i="29"/>
  <c r="BP438" i="29"/>
  <c r="K437" i="29"/>
  <c r="BM437" i="29"/>
  <c r="BN437" i="29"/>
  <c r="BO437" i="29"/>
  <c r="BP437" i="29"/>
  <c r="K436" i="29"/>
  <c r="BM436" i="29"/>
  <c r="BN436" i="29"/>
  <c r="BO436" i="29"/>
  <c r="BP436" i="29"/>
  <c r="K435" i="29"/>
  <c r="BM435" i="29"/>
  <c r="BN435" i="29"/>
  <c r="BO435" i="29"/>
  <c r="BP435" i="29"/>
  <c r="K434" i="29"/>
  <c r="BM434" i="29"/>
  <c r="BN434" i="29"/>
  <c r="BO434" i="29"/>
  <c r="BP434" i="29"/>
  <c r="K433" i="29"/>
  <c r="BM433" i="29"/>
  <c r="BN433" i="29"/>
  <c r="BO433" i="29"/>
  <c r="BP433" i="29"/>
  <c r="K432" i="29"/>
  <c r="BM432" i="29"/>
  <c r="BN432" i="29"/>
  <c r="BO432" i="29"/>
  <c r="BP432" i="29"/>
  <c r="K431" i="29"/>
  <c r="BM431" i="29"/>
  <c r="BN431" i="29"/>
  <c r="BO431" i="29"/>
  <c r="BP431" i="29"/>
  <c r="K430" i="29"/>
  <c r="BM430" i="29"/>
  <c r="BN430" i="29"/>
  <c r="BO430" i="29"/>
  <c r="BP430" i="29"/>
  <c r="F47" i="30"/>
  <c r="AZ47" i="30"/>
  <c r="K429" i="29"/>
  <c r="BM429" i="29"/>
  <c r="BN429" i="29"/>
  <c r="BO429" i="29"/>
  <c r="BP429" i="29"/>
  <c r="K428" i="29"/>
  <c r="BM428" i="29"/>
  <c r="BN428" i="29"/>
  <c r="BO428" i="29"/>
  <c r="BP428" i="29"/>
  <c r="K427" i="29"/>
  <c r="BM427" i="29"/>
  <c r="BN427" i="29"/>
  <c r="BO427" i="29"/>
  <c r="BP427" i="29"/>
  <c r="K426" i="29"/>
  <c r="BM426" i="29"/>
  <c r="BN426" i="29"/>
  <c r="BO426" i="29"/>
  <c r="BP426" i="29"/>
  <c r="K425" i="29"/>
  <c r="BM425" i="29"/>
  <c r="BN425" i="29"/>
  <c r="BO425" i="29"/>
  <c r="BP425" i="29"/>
  <c r="K424" i="29"/>
  <c r="BM424" i="29"/>
  <c r="BN424" i="29"/>
  <c r="BO424" i="29"/>
  <c r="BP424" i="29"/>
  <c r="K423" i="29"/>
  <c r="BM423" i="29"/>
  <c r="BN423" i="29"/>
  <c r="BO423" i="29"/>
  <c r="BP423" i="29"/>
  <c r="K422" i="29"/>
  <c r="BM422" i="29"/>
  <c r="BN422" i="29"/>
  <c r="BO422" i="29"/>
  <c r="BP422" i="29"/>
  <c r="K421" i="29"/>
  <c r="BM421" i="29"/>
  <c r="BN421" i="29"/>
  <c r="BO421" i="29"/>
  <c r="BP421" i="29"/>
  <c r="K420" i="29"/>
  <c r="BP420" i="29"/>
  <c r="BO420" i="29"/>
  <c r="BN420" i="29"/>
  <c r="BM420" i="29"/>
  <c r="F46" i="30"/>
  <c r="AZ46" i="30"/>
  <c r="K419" i="29"/>
  <c r="BM419" i="29"/>
  <c r="BN419" i="29"/>
  <c r="BO419" i="29"/>
  <c r="BP419" i="29"/>
  <c r="K418" i="29"/>
  <c r="BM418" i="29"/>
  <c r="BN418" i="29"/>
  <c r="BO418" i="29"/>
  <c r="BP418" i="29"/>
  <c r="K417" i="29"/>
  <c r="BM417" i="29"/>
  <c r="BN417" i="29"/>
  <c r="BO417" i="29"/>
  <c r="BP417" i="29"/>
  <c r="K416" i="29"/>
  <c r="BM416" i="29"/>
  <c r="BN416" i="29"/>
  <c r="BO416" i="29"/>
  <c r="BP416" i="29"/>
  <c r="K415" i="29"/>
  <c r="BM415" i="29"/>
  <c r="BN415" i="29"/>
  <c r="BO415" i="29"/>
  <c r="BP415" i="29"/>
  <c r="K414" i="29"/>
  <c r="BM414" i="29"/>
  <c r="BN414" i="29"/>
  <c r="BO414" i="29"/>
  <c r="BP414" i="29"/>
  <c r="K413" i="29"/>
  <c r="BM413" i="29"/>
  <c r="BN413" i="29"/>
  <c r="BO413" i="29"/>
  <c r="BP413" i="29"/>
  <c r="K412" i="29"/>
  <c r="BM412" i="29"/>
  <c r="BN412" i="29"/>
  <c r="BO412" i="29"/>
  <c r="BP412" i="29"/>
  <c r="K411" i="29"/>
  <c r="BP411" i="29"/>
  <c r="BO411" i="29"/>
  <c r="BN411" i="29"/>
  <c r="BM411" i="29"/>
  <c r="F45" i="30"/>
  <c r="AZ45" i="30"/>
  <c r="K410" i="29"/>
  <c r="BM410" i="29"/>
  <c r="BN410" i="29"/>
  <c r="BO410" i="29"/>
  <c r="BP410" i="29"/>
  <c r="K409" i="29"/>
  <c r="BM409" i="29"/>
  <c r="BN409" i="29"/>
  <c r="BO409" i="29"/>
  <c r="BP409" i="29"/>
  <c r="K408" i="29"/>
  <c r="BM408" i="29"/>
  <c r="BN408" i="29"/>
  <c r="BO408" i="29"/>
  <c r="BP408" i="29"/>
  <c r="K407" i="29"/>
  <c r="BM407" i="29"/>
  <c r="BN407" i="29"/>
  <c r="BO407" i="29"/>
  <c r="BP407" i="29"/>
  <c r="K406" i="29"/>
  <c r="BM406" i="29"/>
  <c r="BN406" i="29"/>
  <c r="BO406" i="29"/>
  <c r="BP406" i="29"/>
  <c r="K405" i="29"/>
  <c r="BM405" i="29"/>
  <c r="BN405" i="29"/>
  <c r="BO405" i="29"/>
  <c r="BP405" i="29"/>
  <c r="K404" i="29"/>
  <c r="BM404" i="29"/>
  <c r="BN404" i="29"/>
  <c r="BO404" i="29"/>
  <c r="BP404" i="29"/>
  <c r="K403" i="29"/>
  <c r="BM403" i="29"/>
  <c r="BN403" i="29"/>
  <c r="BO403" i="29"/>
  <c r="BP403" i="29"/>
  <c r="K402" i="29"/>
  <c r="BM402" i="29"/>
  <c r="BN402" i="29"/>
  <c r="BO402" i="29"/>
  <c r="BP402" i="29"/>
  <c r="K401" i="29"/>
  <c r="BM401" i="29"/>
  <c r="BN401" i="29"/>
  <c r="BO401" i="29"/>
  <c r="BP401" i="29"/>
  <c r="K400" i="29"/>
  <c r="BM400" i="29"/>
  <c r="BN400" i="29"/>
  <c r="BO400" i="29"/>
  <c r="BP400" i="29"/>
  <c r="F44" i="30"/>
  <c r="AZ44" i="30"/>
  <c r="K399" i="29"/>
  <c r="BM399" i="29"/>
  <c r="BN399" i="29"/>
  <c r="BO399" i="29"/>
  <c r="BP399" i="29"/>
  <c r="K398" i="29"/>
  <c r="BM398" i="29"/>
  <c r="BN398" i="29"/>
  <c r="BO398" i="29"/>
  <c r="BP398" i="29"/>
  <c r="K397" i="29"/>
  <c r="BM397" i="29"/>
  <c r="BN397" i="29"/>
  <c r="BO397" i="29"/>
  <c r="BP397" i="29"/>
  <c r="K396" i="29"/>
  <c r="BM396" i="29"/>
  <c r="BN396" i="29"/>
  <c r="BO396" i="29"/>
  <c r="BP396" i="29"/>
  <c r="K395" i="29"/>
  <c r="BM395" i="29"/>
  <c r="BN395" i="29"/>
  <c r="BO395" i="29"/>
  <c r="BP395" i="29"/>
  <c r="K394" i="29"/>
  <c r="BM394" i="29"/>
  <c r="BN394" i="29"/>
  <c r="BO394" i="29"/>
  <c r="BP394" i="29"/>
  <c r="K393" i="29"/>
  <c r="BP393" i="29"/>
  <c r="BO393" i="29"/>
  <c r="BN393" i="29"/>
  <c r="BM393" i="29"/>
  <c r="K392" i="29"/>
  <c r="BP392" i="29"/>
  <c r="BO392" i="29"/>
  <c r="BN392" i="29"/>
  <c r="BM392" i="29"/>
  <c r="K391" i="29"/>
  <c r="BP391" i="29"/>
  <c r="BO391" i="29"/>
  <c r="BN391" i="29"/>
  <c r="BM391" i="29"/>
  <c r="K390" i="29"/>
  <c r="BM390" i="29"/>
  <c r="BN390" i="29"/>
  <c r="BO390" i="29"/>
  <c r="BP390" i="29"/>
  <c r="K389" i="29"/>
  <c r="BM389" i="29"/>
  <c r="BN389" i="29"/>
  <c r="BO389" i="29"/>
  <c r="BP389" i="29"/>
  <c r="F43" i="30"/>
  <c r="AZ43" i="30"/>
  <c r="K388" i="29"/>
  <c r="BM388" i="29"/>
  <c r="BN388" i="29"/>
  <c r="BO388" i="29"/>
  <c r="BP388" i="29"/>
  <c r="K387" i="29"/>
  <c r="BM387" i="29"/>
  <c r="BN387" i="29"/>
  <c r="BO387" i="29"/>
  <c r="BP387" i="29"/>
  <c r="K386" i="29"/>
  <c r="BM386" i="29"/>
  <c r="BN386" i="29"/>
  <c r="BO386" i="29"/>
  <c r="BP386" i="29"/>
  <c r="K385" i="29"/>
  <c r="BM385" i="29"/>
  <c r="BN385" i="29"/>
  <c r="BO385" i="29"/>
  <c r="BP385" i="29"/>
  <c r="K384" i="29"/>
  <c r="BM384" i="29"/>
  <c r="BN384" i="29"/>
  <c r="BO384" i="29"/>
  <c r="BP384" i="29"/>
  <c r="K383" i="29"/>
  <c r="BM383" i="29"/>
  <c r="BN383" i="29"/>
  <c r="BO383" i="29"/>
  <c r="BP383" i="29"/>
  <c r="K382" i="29"/>
  <c r="BM382" i="29"/>
  <c r="BN382" i="29"/>
  <c r="BO382" i="29"/>
  <c r="BP382" i="29"/>
  <c r="K381" i="29"/>
  <c r="BM381" i="29"/>
  <c r="BN381" i="29"/>
  <c r="BO381" i="29"/>
  <c r="BP381" i="29"/>
  <c r="K380" i="29"/>
  <c r="BP380" i="29"/>
  <c r="BO380" i="29"/>
  <c r="BN380" i="29"/>
  <c r="BM380" i="29"/>
  <c r="F42" i="30"/>
  <c r="AZ42" i="30"/>
  <c r="K379" i="29"/>
  <c r="BM379" i="29"/>
  <c r="BN379" i="29"/>
  <c r="BO379" i="29"/>
  <c r="BP379" i="29"/>
  <c r="K378" i="29"/>
  <c r="BM378" i="29"/>
  <c r="BN378" i="29"/>
  <c r="BO378" i="29"/>
  <c r="BP378" i="29"/>
  <c r="K377" i="29"/>
  <c r="BM377" i="29"/>
  <c r="BN377" i="29"/>
  <c r="BO377" i="29"/>
  <c r="BP377" i="29"/>
  <c r="K376" i="29"/>
  <c r="BM376" i="29"/>
  <c r="BN376" i="29"/>
  <c r="BO376" i="29"/>
  <c r="BP376" i="29"/>
  <c r="K375" i="29"/>
  <c r="BM375" i="29"/>
  <c r="BN375" i="29"/>
  <c r="BO375" i="29"/>
  <c r="BP375" i="29"/>
  <c r="K374" i="29"/>
  <c r="BM374" i="29"/>
  <c r="BN374" i="29"/>
  <c r="BO374" i="29"/>
  <c r="BP374" i="29"/>
  <c r="K373" i="29"/>
  <c r="BP373" i="29"/>
  <c r="BO373" i="29"/>
  <c r="BN373" i="29"/>
  <c r="BM373" i="29"/>
  <c r="K372" i="29"/>
  <c r="BM372" i="29"/>
  <c r="BN372" i="29"/>
  <c r="BO372" i="29"/>
  <c r="BP372" i="29"/>
  <c r="K371" i="29"/>
  <c r="BM371" i="29"/>
  <c r="BN371" i="29"/>
  <c r="BO371" i="29"/>
  <c r="BP371" i="29"/>
  <c r="K370" i="29"/>
  <c r="BM370" i="29"/>
  <c r="BN370" i="29"/>
  <c r="BO370" i="29"/>
  <c r="BP370" i="29"/>
  <c r="K369" i="29"/>
  <c r="BM369" i="29"/>
  <c r="BN369" i="29"/>
  <c r="BO369" i="29"/>
  <c r="BP369" i="29"/>
  <c r="K368" i="29"/>
  <c r="BM368" i="29"/>
  <c r="BN368" i="29"/>
  <c r="BO368" i="29"/>
  <c r="BP368" i="29"/>
  <c r="K367" i="29"/>
  <c r="BM367" i="29"/>
  <c r="BN367" i="29"/>
  <c r="BO367" i="29"/>
  <c r="BP367" i="29"/>
  <c r="F41" i="30"/>
  <c r="AZ41" i="30"/>
  <c r="K366" i="29"/>
  <c r="BM366" i="29"/>
  <c r="BN366" i="29"/>
  <c r="BO366" i="29"/>
  <c r="BP366" i="29"/>
  <c r="K365" i="29"/>
  <c r="BM365" i="29"/>
  <c r="BN365" i="29"/>
  <c r="BO365" i="29"/>
  <c r="BP365" i="29"/>
  <c r="K364" i="29"/>
  <c r="BM364" i="29"/>
  <c r="BN364" i="29"/>
  <c r="BO364" i="29"/>
  <c r="BP364" i="29"/>
  <c r="K363" i="29"/>
  <c r="BM363" i="29"/>
  <c r="BN363" i="29"/>
  <c r="BO363" i="29"/>
  <c r="BP363" i="29"/>
  <c r="K362" i="29"/>
  <c r="BM362" i="29"/>
  <c r="BN362" i="29"/>
  <c r="BO362" i="29"/>
  <c r="BP362" i="29"/>
  <c r="K361" i="29"/>
  <c r="BM361" i="29"/>
  <c r="BN361" i="29"/>
  <c r="BO361" i="29"/>
  <c r="BP361" i="29"/>
  <c r="K360" i="29"/>
  <c r="BM360" i="29"/>
  <c r="BN360" i="29"/>
  <c r="BO360" i="29"/>
  <c r="BP360" i="29"/>
  <c r="K359" i="29"/>
  <c r="BM359" i="29"/>
  <c r="BN359" i="29"/>
  <c r="BO359" i="29"/>
  <c r="BP359" i="29"/>
  <c r="K358" i="29"/>
  <c r="BM358" i="29"/>
  <c r="BN358" i="29"/>
  <c r="BO358" i="29"/>
  <c r="BP358" i="29"/>
  <c r="K357" i="29"/>
  <c r="BM357" i="29"/>
  <c r="BN357" i="29"/>
  <c r="BO357" i="29"/>
  <c r="BP357" i="29"/>
  <c r="K356" i="29"/>
  <c r="BM356" i="29"/>
  <c r="BN356" i="29"/>
  <c r="BO356" i="29"/>
  <c r="BP356" i="29"/>
  <c r="K355" i="29"/>
  <c r="BM355" i="29"/>
  <c r="BN355" i="29"/>
  <c r="BO355" i="29"/>
  <c r="BP355" i="29"/>
  <c r="K354" i="29"/>
  <c r="BM354" i="29"/>
  <c r="BN354" i="29"/>
  <c r="BO354" i="29"/>
  <c r="BP354" i="29"/>
  <c r="K353" i="29"/>
  <c r="BM353" i="29"/>
  <c r="BN353" i="29"/>
  <c r="BO353" i="29"/>
  <c r="BP353" i="29"/>
  <c r="K352" i="29"/>
  <c r="BM352" i="29"/>
  <c r="BN352" i="29"/>
  <c r="BO352" i="29"/>
  <c r="BP352" i="29"/>
  <c r="AE11" i="29"/>
  <c r="J11" i="13"/>
  <c r="J11" i="2"/>
  <c r="BP348" i="29"/>
  <c r="BO348" i="29"/>
  <c r="BN348" i="29"/>
  <c r="BM348" i="29"/>
  <c r="K348" i="29"/>
  <c r="BP347" i="29"/>
  <c r="BO347" i="29"/>
  <c r="BN347" i="29"/>
  <c r="BM347" i="29"/>
  <c r="K347" i="29"/>
  <c r="K351" i="29"/>
  <c r="BM351" i="29"/>
  <c r="BN351" i="29"/>
  <c r="BO351" i="29"/>
  <c r="BP351" i="29"/>
  <c r="F40" i="30"/>
  <c r="AZ40" i="30"/>
  <c r="K350" i="29"/>
  <c r="BP350" i="29"/>
  <c r="BO350" i="29"/>
  <c r="BN350" i="29"/>
  <c r="BM350" i="29"/>
  <c r="K349" i="29"/>
  <c r="BM349" i="29"/>
  <c r="BN349" i="29"/>
  <c r="BO349" i="29"/>
  <c r="BP349" i="29"/>
  <c r="K346" i="29"/>
  <c r="BM346" i="29"/>
  <c r="BN346" i="29"/>
  <c r="BO346" i="29"/>
  <c r="BP346" i="29"/>
  <c r="K345" i="29"/>
  <c r="BM345" i="29"/>
  <c r="BN345" i="29"/>
  <c r="BO345" i="29"/>
  <c r="BP345" i="29"/>
  <c r="K344" i="29"/>
  <c r="BM344" i="29"/>
  <c r="BN344" i="29"/>
  <c r="BO344" i="29"/>
  <c r="BP344" i="29"/>
  <c r="K343" i="29"/>
  <c r="BM343" i="29"/>
  <c r="BN343" i="29"/>
  <c r="BO343" i="29"/>
  <c r="BP343" i="29"/>
  <c r="K342" i="29"/>
  <c r="BM342" i="29"/>
  <c r="BN342" i="29"/>
  <c r="BO342" i="29"/>
  <c r="BP342" i="29"/>
  <c r="K341" i="29"/>
  <c r="BM341" i="29"/>
  <c r="BN341" i="29"/>
  <c r="BO341" i="29"/>
  <c r="BP341" i="29"/>
  <c r="K340" i="29"/>
  <c r="BM340" i="29"/>
  <c r="BN340" i="29"/>
  <c r="BO340" i="29"/>
  <c r="BP340" i="29"/>
  <c r="K339" i="29"/>
  <c r="BM339" i="29"/>
  <c r="BN339" i="29"/>
  <c r="BO339" i="29"/>
  <c r="BP339" i="29"/>
  <c r="K338" i="29"/>
  <c r="BP338" i="29"/>
  <c r="BO338" i="29"/>
  <c r="BN338" i="29"/>
  <c r="BM338" i="29"/>
  <c r="K337" i="29"/>
  <c r="BM337" i="29"/>
  <c r="BN337" i="29"/>
  <c r="BO337" i="29"/>
  <c r="BP337" i="29"/>
  <c r="K336" i="29"/>
  <c r="BM336" i="29"/>
  <c r="BN336" i="29"/>
  <c r="BO336" i="29"/>
  <c r="BP336" i="29"/>
  <c r="K335" i="29"/>
  <c r="BM335" i="29"/>
  <c r="BN335" i="29"/>
  <c r="BO335" i="29"/>
  <c r="BP335" i="29"/>
  <c r="F39" i="30"/>
  <c r="AZ39" i="30"/>
  <c r="K334" i="29"/>
  <c r="BM334" i="29"/>
  <c r="BN334" i="29"/>
  <c r="BO334" i="29"/>
  <c r="BP334" i="29"/>
  <c r="K333" i="29"/>
  <c r="BM333" i="29"/>
  <c r="BN333" i="29"/>
  <c r="BO333" i="29"/>
  <c r="BP333" i="29"/>
  <c r="K332" i="29"/>
  <c r="BM332" i="29"/>
  <c r="BN332" i="29"/>
  <c r="BO332" i="29"/>
  <c r="BP332" i="29"/>
  <c r="K331" i="29"/>
  <c r="BM331" i="29"/>
  <c r="BN331" i="29"/>
  <c r="BO331" i="29"/>
  <c r="BP331" i="29"/>
  <c r="K330" i="29"/>
  <c r="BM330" i="29"/>
  <c r="BN330" i="29"/>
  <c r="BO330" i="29"/>
  <c r="BP330" i="29"/>
  <c r="K329" i="29"/>
  <c r="BM329" i="29"/>
  <c r="BN329" i="29"/>
  <c r="BO329" i="29"/>
  <c r="BP329" i="29"/>
  <c r="K328" i="29"/>
  <c r="BP328" i="29"/>
  <c r="BO328" i="29"/>
  <c r="BN328" i="29"/>
  <c r="BM328" i="29"/>
  <c r="K327" i="29"/>
  <c r="BM327" i="29"/>
  <c r="BN327" i="29"/>
  <c r="BO327" i="29"/>
  <c r="BP327" i="29"/>
  <c r="F38" i="30"/>
  <c r="AZ38" i="30"/>
  <c r="K326" i="29"/>
  <c r="BM326" i="29"/>
  <c r="BN326" i="29"/>
  <c r="BO326" i="29"/>
  <c r="BP326" i="29"/>
  <c r="K325" i="29"/>
  <c r="BM325" i="29"/>
  <c r="BN325" i="29"/>
  <c r="BO325" i="29"/>
  <c r="BP325" i="29"/>
  <c r="K324" i="29"/>
  <c r="BM324" i="29"/>
  <c r="BN324" i="29"/>
  <c r="BO324" i="29"/>
  <c r="BP324" i="29"/>
  <c r="K323" i="29"/>
  <c r="BM323" i="29"/>
  <c r="BN323" i="29"/>
  <c r="BO323" i="29"/>
  <c r="BP323" i="29"/>
  <c r="K322" i="29"/>
  <c r="BM322" i="29"/>
  <c r="BN322" i="29"/>
  <c r="BO322" i="29"/>
  <c r="BP322" i="29"/>
  <c r="K321" i="29"/>
  <c r="BM321" i="29"/>
  <c r="BN321" i="29"/>
  <c r="BO321" i="29"/>
  <c r="BP321" i="29"/>
  <c r="F37" i="30"/>
  <c r="AZ37" i="30"/>
  <c r="K320" i="29"/>
  <c r="BM320" i="29"/>
  <c r="BN320" i="29"/>
  <c r="BO320" i="29"/>
  <c r="BP320" i="29"/>
  <c r="AK11" i="29"/>
  <c r="K319" i="29"/>
  <c r="BM319" i="29"/>
  <c r="BN319" i="29"/>
  <c r="BO319" i="29"/>
  <c r="BP319" i="29"/>
  <c r="K318" i="29"/>
  <c r="BM318" i="29"/>
  <c r="BN318" i="29"/>
  <c r="BO318" i="29"/>
  <c r="BP318" i="29"/>
  <c r="K317" i="29"/>
  <c r="BM317" i="29"/>
  <c r="BN317" i="29"/>
  <c r="BO317" i="29"/>
  <c r="BP317" i="29"/>
  <c r="K316" i="29"/>
  <c r="BM316" i="29"/>
  <c r="BN316" i="29"/>
  <c r="BO316" i="29"/>
  <c r="BP316" i="29"/>
  <c r="F36" i="30"/>
  <c r="AZ36" i="30"/>
  <c r="K315" i="29"/>
  <c r="BM315" i="29"/>
  <c r="BN315" i="29"/>
  <c r="BO315" i="29"/>
  <c r="BP315" i="29"/>
  <c r="K314" i="29"/>
  <c r="BM314" i="29"/>
  <c r="BN314" i="29"/>
  <c r="BO314" i="29"/>
  <c r="BP314" i="29"/>
  <c r="K313" i="29"/>
  <c r="BM313" i="29"/>
  <c r="BN313" i="29"/>
  <c r="BO313" i="29"/>
  <c r="BP313" i="29"/>
  <c r="K312" i="29"/>
  <c r="BM312" i="29"/>
  <c r="BN312" i="29"/>
  <c r="BO312" i="29"/>
  <c r="BP312" i="29"/>
  <c r="K311" i="29"/>
  <c r="BM311" i="29"/>
  <c r="BN311" i="29"/>
  <c r="BO311" i="29"/>
  <c r="BP311" i="29"/>
  <c r="K310" i="29"/>
  <c r="BM310" i="29"/>
  <c r="BN310" i="29"/>
  <c r="BO310" i="29"/>
  <c r="BP310" i="29"/>
  <c r="K309" i="29"/>
  <c r="BM309" i="29"/>
  <c r="BN309" i="29"/>
  <c r="BO309" i="29"/>
  <c r="BP309" i="29"/>
  <c r="K308" i="29"/>
  <c r="BM308" i="29"/>
  <c r="BN308" i="29"/>
  <c r="BO308" i="29"/>
  <c r="BP308" i="29"/>
  <c r="K307" i="29"/>
  <c r="BM307" i="29"/>
  <c r="BN307" i="29"/>
  <c r="BO307" i="29"/>
  <c r="BP307" i="29"/>
  <c r="K306" i="29"/>
  <c r="BM306" i="29"/>
  <c r="BN306" i="29"/>
  <c r="BO306" i="29"/>
  <c r="BP306" i="29"/>
  <c r="K305" i="29"/>
  <c r="BP305" i="29"/>
  <c r="BO305" i="29"/>
  <c r="BN305" i="29"/>
  <c r="BM305" i="29"/>
  <c r="F35" i="30"/>
  <c r="AZ35" i="30"/>
  <c r="K304" i="29"/>
  <c r="BM304" i="29"/>
  <c r="BN304" i="29"/>
  <c r="BO304" i="29"/>
  <c r="BP304" i="29"/>
  <c r="K303" i="29"/>
  <c r="BM303" i="29"/>
  <c r="BN303" i="29"/>
  <c r="BO303" i="29"/>
  <c r="BP303" i="29"/>
  <c r="K302" i="29"/>
  <c r="BM302" i="29"/>
  <c r="BN302" i="29"/>
  <c r="BO302" i="29"/>
  <c r="BP302" i="29"/>
  <c r="K301" i="29"/>
  <c r="BM301" i="29"/>
  <c r="BN301" i="29"/>
  <c r="BO301" i="29"/>
  <c r="BP301" i="29"/>
  <c r="K300" i="29"/>
  <c r="BM300" i="29"/>
  <c r="BN300" i="29"/>
  <c r="BO300" i="29"/>
  <c r="BP300" i="29"/>
  <c r="K299" i="29"/>
  <c r="BM299" i="29"/>
  <c r="BN299" i="29"/>
  <c r="BO299" i="29"/>
  <c r="BP299" i="29"/>
  <c r="K298" i="29"/>
  <c r="BM298" i="29"/>
  <c r="BN298" i="29"/>
  <c r="BO298" i="29"/>
  <c r="BP298" i="29"/>
  <c r="K297" i="29"/>
  <c r="BM297" i="29"/>
  <c r="BN297" i="29"/>
  <c r="BO297" i="29"/>
  <c r="BP297" i="29"/>
  <c r="K296" i="29"/>
  <c r="BM296" i="29"/>
  <c r="BN296" i="29"/>
  <c r="BO296" i="29"/>
  <c r="BP296" i="29"/>
  <c r="K295" i="29"/>
  <c r="BM295" i="29"/>
  <c r="BN295" i="29"/>
  <c r="BO295" i="29"/>
  <c r="BP295" i="29"/>
  <c r="K294" i="29"/>
  <c r="BM294" i="29"/>
  <c r="BN294" i="29"/>
  <c r="BO294" i="29"/>
  <c r="BP294" i="29"/>
  <c r="K293" i="29"/>
  <c r="BM293" i="29"/>
  <c r="BN293" i="29"/>
  <c r="BO293" i="29"/>
  <c r="BP293" i="29"/>
  <c r="F34" i="30"/>
  <c r="AZ34" i="30"/>
  <c r="K292" i="29"/>
  <c r="BM292" i="29"/>
  <c r="BN292" i="29"/>
  <c r="BO292" i="29"/>
  <c r="BP292" i="29"/>
  <c r="K291" i="29"/>
  <c r="BM291" i="29"/>
  <c r="BN291" i="29"/>
  <c r="BO291" i="29"/>
  <c r="BP291" i="29"/>
  <c r="K290" i="29"/>
  <c r="BM290" i="29"/>
  <c r="BN290" i="29"/>
  <c r="BO290" i="29"/>
  <c r="BP290" i="29"/>
  <c r="K289" i="29"/>
  <c r="BP289" i="29"/>
  <c r="BO289" i="29"/>
  <c r="BN289" i="29"/>
  <c r="BM289" i="29"/>
  <c r="K288" i="29"/>
  <c r="BM288" i="29"/>
  <c r="BN288" i="29"/>
  <c r="BO288" i="29"/>
  <c r="BP288" i="29"/>
  <c r="K287" i="29"/>
  <c r="BM287" i="29"/>
  <c r="BN287" i="29"/>
  <c r="BO287" i="29"/>
  <c r="BP287" i="29"/>
  <c r="K286" i="29"/>
  <c r="BM286" i="29"/>
  <c r="BN286" i="29"/>
  <c r="BO286" i="29"/>
  <c r="BP286" i="29"/>
  <c r="K285" i="29"/>
  <c r="BM285" i="29"/>
  <c r="BN285" i="29"/>
  <c r="BO285" i="29"/>
  <c r="BP285" i="29"/>
  <c r="K284" i="29"/>
  <c r="BM284" i="29"/>
  <c r="BN284" i="29"/>
  <c r="BO284" i="29"/>
  <c r="BP284" i="29"/>
  <c r="K283" i="29"/>
  <c r="BM283" i="29"/>
  <c r="BN283" i="29"/>
  <c r="BO283" i="29"/>
  <c r="BP283" i="29"/>
  <c r="K282" i="29"/>
  <c r="BM282" i="29"/>
  <c r="BN282" i="29"/>
  <c r="BO282" i="29"/>
  <c r="BP282" i="29"/>
  <c r="K281" i="29"/>
  <c r="BM281" i="29"/>
  <c r="BN281" i="29"/>
  <c r="BO281" i="29"/>
  <c r="BP281" i="29"/>
  <c r="K280" i="29"/>
  <c r="BM280" i="29"/>
  <c r="BN280" i="29"/>
  <c r="BO280" i="29"/>
  <c r="BP280" i="29"/>
  <c r="K279" i="29"/>
  <c r="BM279" i="29"/>
  <c r="BN279" i="29"/>
  <c r="BO279" i="29"/>
  <c r="BP279" i="29"/>
  <c r="K278" i="29"/>
  <c r="BM278" i="29"/>
  <c r="BN278" i="29"/>
  <c r="BO278" i="29"/>
  <c r="BP278" i="29"/>
  <c r="F33" i="30"/>
  <c r="AZ33" i="30"/>
  <c r="K277" i="29"/>
  <c r="BP277" i="29"/>
  <c r="BO277" i="29"/>
  <c r="BN277" i="29"/>
  <c r="BM277" i="29"/>
  <c r="K276" i="29"/>
  <c r="BP276" i="29"/>
  <c r="BO276" i="29"/>
  <c r="BN276" i="29"/>
  <c r="BM276" i="29"/>
  <c r="K275" i="29"/>
  <c r="BP275" i="29"/>
  <c r="BO275" i="29"/>
  <c r="BN275" i="29"/>
  <c r="BM275" i="29"/>
  <c r="K274" i="29"/>
  <c r="BP274" i="29"/>
  <c r="BO274" i="29"/>
  <c r="BN274" i="29"/>
  <c r="BM274" i="29"/>
  <c r="K273" i="29"/>
  <c r="BP273" i="29"/>
  <c r="BO273" i="29"/>
  <c r="BN273" i="29"/>
  <c r="BM273" i="29"/>
  <c r="K272" i="29"/>
  <c r="BP272" i="29"/>
  <c r="BO272" i="29"/>
  <c r="BN272" i="29"/>
  <c r="BM272" i="29"/>
  <c r="K271" i="29"/>
  <c r="BM271" i="29"/>
  <c r="BN271" i="29"/>
  <c r="BO271" i="29"/>
  <c r="BP271" i="29"/>
  <c r="K270" i="29"/>
  <c r="BM270" i="29"/>
  <c r="BN270" i="29"/>
  <c r="BO270" i="29"/>
  <c r="BP270" i="29"/>
  <c r="K269" i="29"/>
  <c r="BM269" i="29"/>
  <c r="BN269" i="29"/>
  <c r="BO269" i="29"/>
  <c r="BP269" i="29"/>
  <c r="K268" i="29"/>
  <c r="BM268" i="29"/>
  <c r="BN268" i="29"/>
  <c r="BO268" i="29"/>
  <c r="BP268" i="29"/>
  <c r="K267" i="29"/>
  <c r="BM267" i="29"/>
  <c r="BN267" i="29"/>
  <c r="BO267" i="29"/>
  <c r="BP267" i="29"/>
  <c r="K266" i="29"/>
  <c r="BM266" i="29"/>
  <c r="BN266" i="29"/>
  <c r="BO266" i="29"/>
  <c r="BP266" i="29"/>
  <c r="F32" i="30"/>
  <c r="AZ32" i="30"/>
  <c r="K265" i="29"/>
  <c r="BM265" i="29"/>
  <c r="BN265" i="29"/>
  <c r="BO265" i="29"/>
  <c r="BP265" i="29"/>
  <c r="K264" i="29"/>
  <c r="BM264" i="29"/>
  <c r="BN264" i="29"/>
  <c r="BO264" i="29"/>
  <c r="BP264" i="29"/>
  <c r="K263" i="29"/>
  <c r="BM263" i="29"/>
  <c r="BN263" i="29"/>
  <c r="BO263" i="29"/>
  <c r="BP263" i="29"/>
  <c r="K262" i="29"/>
  <c r="BM262" i="29"/>
  <c r="BN262" i="29"/>
  <c r="BO262" i="29"/>
  <c r="BP262" i="29"/>
  <c r="K261" i="29"/>
  <c r="BP261" i="29"/>
  <c r="BO261" i="29"/>
  <c r="BN261" i="29"/>
  <c r="BM261" i="29"/>
  <c r="K260" i="29"/>
  <c r="BM260" i="29"/>
  <c r="BN260" i="29"/>
  <c r="BO260" i="29"/>
  <c r="BP260" i="29"/>
  <c r="K259" i="29"/>
  <c r="BM259" i="29"/>
  <c r="BN259" i="29"/>
  <c r="BO259" i="29"/>
  <c r="BP259" i="29"/>
  <c r="K258" i="29"/>
  <c r="BM258" i="29"/>
  <c r="BN258" i="29"/>
  <c r="BO258" i="29"/>
  <c r="BP258" i="29"/>
  <c r="K257" i="29"/>
  <c r="BM257" i="29"/>
  <c r="BN257" i="29"/>
  <c r="BO257" i="29"/>
  <c r="BP257" i="29"/>
  <c r="K256" i="29"/>
  <c r="BM256" i="29"/>
  <c r="BN256" i="29"/>
  <c r="BO256" i="29"/>
  <c r="BP256" i="29"/>
  <c r="K255" i="29"/>
  <c r="BM255" i="29"/>
  <c r="BN255" i="29"/>
  <c r="BO255" i="29"/>
  <c r="BP255" i="29"/>
  <c r="K254" i="29"/>
  <c r="BM254" i="29"/>
  <c r="BN254" i="29"/>
  <c r="BO254" i="29"/>
  <c r="BP254" i="29"/>
  <c r="K253" i="29"/>
  <c r="BM253" i="29"/>
  <c r="BN253" i="29"/>
  <c r="BO253" i="29"/>
  <c r="BP253" i="29"/>
  <c r="K252" i="29"/>
  <c r="BP252" i="29"/>
  <c r="BO252" i="29"/>
  <c r="BN252" i="29"/>
  <c r="BM252" i="29"/>
  <c r="K251" i="29"/>
  <c r="BM251" i="29"/>
  <c r="BN251" i="29"/>
  <c r="BO251" i="29"/>
  <c r="BP251" i="29"/>
  <c r="K250" i="29"/>
  <c r="BM250" i="29"/>
  <c r="BN250" i="29"/>
  <c r="BO250" i="29"/>
  <c r="BP250" i="29"/>
  <c r="K249" i="29"/>
  <c r="BM249" i="29"/>
  <c r="BN249" i="29"/>
  <c r="BO249" i="29"/>
  <c r="BP249" i="29"/>
  <c r="F31" i="30"/>
  <c r="AZ31" i="30"/>
  <c r="K248" i="29"/>
  <c r="BM248" i="29"/>
  <c r="BN248" i="29"/>
  <c r="BO248" i="29"/>
  <c r="BP248" i="29"/>
  <c r="K247" i="29"/>
  <c r="BM247" i="29"/>
  <c r="BN247" i="29"/>
  <c r="BO247" i="29"/>
  <c r="BP247" i="29"/>
  <c r="K246" i="29"/>
  <c r="BM246" i="29"/>
  <c r="BN246" i="29"/>
  <c r="BO246" i="29"/>
  <c r="BP246" i="29"/>
  <c r="K245" i="29"/>
  <c r="BM245" i="29"/>
  <c r="BN245" i="29"/>
  <c r="BO245" i="29"/>
  <c r="BP245" i="29"/>
  <c r="K244" i="29"/>
  <c r="BM244" i="29"/>
  <c r="BN244" i="29"/>
  <c r="BO244" i="29"/>
  <c r="BP244" i="29"/>
  <c r="K243" i="29"/>
  <c r="BM243" i="29"/>
  <c r="BN243" i="29"/>
  <c r="BO243" i="29"/>
  <c r="BP243" i="29"/>
  <c r="K242" i="29"/>
  <c r="BM242" i="29"/>
  <c r="BN242" i="29"/>
  <c r="BO242" i="29"/>
  <c r="BP242" i="29"/>
  <c r="K241" i="29"/>
  <c r="BM241" i="29"/>
  <c r="BN241" i="29"/>
  <c r="BO241" i="29"/>
  <c r="BP241" i="29"/>
  <c r="K240" i="29"/>
  <c r="BM240" i="29"/>
  <c r="BN240" i="29"/>
  <c r="BO240" i="29"/>
  <c r="BP240" i="29"/>
  <c r="K239" i="29"/>
  <c r="BM239" i="29"/>
  <c r="BN239" i="29"/>
  <c r="BO239" i="29"/>
  <c r="BP239" i="29"/>
  <c r="K238" i="29"/>
  <c r="BM238" i="29"/>
  <c r="BN238" i="29"/>
  <c r="BO238" i="29"/>
  <c r="BP238" i="29"/>
  <c r="K237" i="29"/>
  <c r="BM237" i="29"/>
  <c r="BN237" i="29"/>
  <c r="BO237" i="29"/>
  <c r="BP237" i="29"/>
  <c r="K236" i="29"/>
  <c r="BM236" i="29"/>
  <c r="BN236" i="29"/>
  <c r="BO236" i="29"/>
  <c r="BP236" i="29"/>
  <c r="K235" i="29"/>
  <c r="BM235" i="29"/>
  <c r="BN235" i="29"/>
  <c r="BO235" i="29"/>
  <c r="BP235" i="29"/>
  <c r="K234" i="29"/>
  <c r="BP234" i="29"/>
  <c r="BO234" i="29"/>
  <c r="BN234" i="29"/>
  <c r="BM234" i="29"/>
  <c r="K233" i="29"/>
  <c r="BP233" i="29"/>
  <c r="BO233" i="29"/>
  <c r="BN233" i="29"/>
  <c r="BM233" i="29"/>
  <c r="K232" i="29"/>
  <c r="BM232" i="29"/>
  <c r="BN232" i="29"/>
  <c r="BO232" i="29"/>
  <c r="BP232" i="29"/>
  <c r="K231" i="29"/>
  <c r="BM231" i="29"/>
  <c r="BN231" i="29"/>
  <c r="BO231" i="29"/>
  <c r="BP231" i="29"/>
  <c r="K230" i="29"/>
  <c r="BM230" i="29"/>
  <c r="BN230" i="29"/>
  <c r="BO230" i="29"/>
  <c r="BP230" i="29"/>
  <c r="F30" i="30"/>
  <c r="AZ30" i="30"/>
  <c r="K229" i="29"/>
  <c r="BM229" i="29"/>
  <c r="BN229" i="29"/>
  <c r="BO229" i="29"/>
  <c r="BP229" i="29"/>
  <c r="K228" i="29"/>
  <c r="BM228" i="29"/>
  <c r="BN228" i="29"/>
  <c r="BO228" i="29"/>
  <c r="BP228" i="29"/>
  <c r="K227" i="29"/>
  <c r="BM227" i="29"/>
  <c r="BN227" i="29"/>
  <c r="BO227" i="29"/>
  <c r="BP227" i="29"/>
  <c r="K226" i="29"/>
  <c r="BM226" i="29"/>
  <c r="BN226" i="29"/>
  <c r="BO226" i="29"/>
  <c r="BP226" i="29"/>
  <c r="K225" i="29"/>
  <c r="BM225" i="29"/>
  <c r="BN225" i="29"/>
  <c r="BO225" i="29"/>
  <c r="BP225" i="29"/>
  <c r="K224" i="29"/>
  <c r="BM224" i="29"/>
  <c r="BN224" i="29"/>
  <c r="BO224" i="29"/>
  <c r="BP224" i="29"/>
  <c r="K223" i="29"/>
  <c r="BM223" i="29"/>
  <c r="BN223" i="29"/>
  <c r="BO223" i="29"/>
  <c r="BP223" i="29"/>
  <c r="K222" i="29"/>
  <c r="BP222" i="29"/>
  <c r="BO222" i="29"/>
  <c r="BN222" i="29"/>
  <c r="BM222" i="29"/>
  <c r="F29" i="30"/>
  <c r="AZ29" i="30"/>
  <c r="K221" i="29"/>
  <c r="BP221" i="29"/>
  <c r="BO221" i="29"/>
  <c r="BN221" i="29"/>
  <c r="BM221" i="29"/>
  <c r="K220" i="29"/>
  <c r="BP220" i="29"/>
  <c r="BO220" i="29"/>
  <c r="BN220" i="29"/>
  <c r="BM220" i="29"/>
  <c r="BH11" i="29"/>
  <c r="BR7" i="29"/>
  <c r="BR13" i="29"/>
  <c r="K219" i="29"/>
  <c r="BM219" i="29"/>
  <c r="BN219" i="29"/>
  <c r="BO219" i="29"/>
  <c r="BP219" i="29"/>
  <c r="K218" i="29"/>
  <c r="BM218" i="29"/>
  <c r="BN218" i="29"/>
  <c r="BO218" i="29"/>
  <c r="BP218" i="29"/>
  <c r="K217" i="29"/>
  <c r="BM217" i="29"/>
  <c r="BN217" i="29"/>
  <c r="BO217" i="29"/>
  <c r="BP217" i="29"/>
  <c r="K216" i="29"/>
  <c r="BP216" i="29"/>
  <c r="BO216" i="29"/>
  <c r="BN216" i="29"/>
  <c r="BM216" i="29"/>
  <c r="K215" i="29"/>
  <c r="BP215" i="29"/>
  <c r="BO215" i="29"/>
  <c r="BN215" i="29"/>
  <c r="BM215" i="29"/>
  <c r="K214" i="29"/>
  <c r="BM214" i="29"/>
  <c r="BN214" i="29"/>
  <c r="BO214" i="29"/>
  <c r="BP214" i="29"/>
  <c r="K213" i="29"/>
  <c r="BM213" i="29"/>
  <c r="BN213" i="29"/>
  <c r="BO213" i="29"/>
  <c r="BP213" i="29"/>
  <c r="F28" i="30"/>
  <c r="AZ28" i="30"/>
  <c r="K212" i="29"/>
  <c r="BM212" i="29"/>
  <c r="BN212" i="29"/>
  <c r="BO212" i="29"/>
  <c r="BP212" i="29"/>
  <c r="K211" i="29"/>
  <c r="BM211" i="29"/>
  <c r="BN211" i="29"/>
  <c r="BO211" i="29"/>
  <c r="BP211" i="29"/>
  <c r="K210" i="29"/>
  <c r="BM210" i="29"/>
  <c r="BN210" i="29"/>
  <c r="BO210" i="29"/>
  <c r="BP210" i="29"/>
  <c r="K209" i="29"/>
  <c r="BM209" i="29"/>
  <c r="BN209" i="29"/>
  <c r="BO209" i="29"/>
  <c r="BP209" i="29"/>
  <c r="K208" i="29"/>
  <c r="BM208" i="29"/>
  <c r="BN208" i="29"/>
  <c r="BO208" i="29"/>
  <c r="BP208" i="29"/>
  <c r="K207" i="29"/>
  <c r="BM207" i="29"/>
  <c r="BN207" i="29"/>
  <c r="BO207" i="29"/>
  <c r="BP207" i="29"/>
  <c r="K206" i="29"/>
  <c r="BM206" i="29"/>
  <c r="BN206" i="29"/>
  <c r="BO206" i="29"/>
  <c r="BP206" i="29"/>
  <c r="K205" i="29"/>
  <c r="BM205" i="29"/>
  <c r="BN205" i="29"/>
  <c r="BO205" i="29"/>
  <c r="BP205" i="29"/>
  <c r="K204" i="29"/>
  <c r="BM204" i="29"/>
  <c r="BN204" i="29"/>
  <c r="BO204" i="29"/>
  <c r="BP204" i="29"/>
  <c r="K203" i="29"/>
  <c r="BM203" i="29"/>
  <c r="BN203" i="29"/>
  <c r="BO203" i="29"/>
  <c r="BP203" i="29"/>
  <c r="K202" i="29"/>
  <c r="BM202" i="29"/>
  <c r="BN202" i="29"/>
  <c r="BO202" i="29"/>
  <c r="BP202" i="29"/>
  <c r="F27" i="30"/>
  <c r="AZ27" i="30"/>
  <c r="K201" i="29"/>
  <c r="BM201" i="29"/>
  <c r="BN201" i="29"/>
  <c r="BO201" i="29"/>
  <c r="BP201" i="29"/>
  <c r="K200" i="29"/>
  <c r="BM200" i="29"/>
  <c r="BN200" i="29"/>
  <c r="BO200" i="29"/>
  <c r="BP200" i="29"/>
  <c r="K199" i="29"/>
  <c r="BM199" i="29"/>
  <c r="BN199" i="29"/>
  <c r="BO199" i="29"/>
  <c r="BP199" i="29"/>
  <c r="BO2" i="29"/>
  <c r="BO3" i="29"/>
  <c r="BO4" i="29"/>
  <c r="BO5" i="29"/>
  <c r="BO6" i="29"/>
  <c r="BO7" i="29"/>
  <c r="BO8" i="29"/>
  <c r="BO9" i="29"/>
  <c r="BO10" i="29"/>
  <c r="BO13" i="29"/>
  <c r="BO14" i="29"/>
  <c r="BO15" i="29"/>
  <c r="BO16" i="29"/>
  <c r="BO17" i="29"/>
  <c r="BO18" i="29"/>
  <c r="BO19" i="29"/>
  <c r="BO20" i="29"/>
  <c r="BO21" i="29"/>
  <c r="BO22" i="29"/>
  <c r="BO23" i="29"/>
  <c r="BO24" i="29"/>
  <c r="BO25" i="29"/>
  <c r="BO26" i="29"/>
  <c r="BO27" i="29"/>
  <c r="BO28" i="29"/>
  <c r="BO29" i="29"/>
  <c r="BO30" i="29"/>
  <c r="BO31" i="29"/>
  <c r="BO32" i="29"/>
  <c r="BO33" i="29"/>
  <c r="BO34" i="29"/>
  <c r="BO35" i="29"/>
  <c r="BO36" i="29"/>
  <c r="BO37" i="29"/>
  <c r="BO38" i="29"/>
  <c r="BO39" i="29"/>
  <c r="BO40" i="29"/>
  <c r="BO41" i="29"/>
  <c r="BO42" i="29"/>
  <c r="BO43" i="29"/>
  <c r="BO44" i="29"/>
  <c r="BO45" i="29"/>
  <c r="BO46" i="29"/>
  <c r="BO47" i="29"/>
  <c r="BO48" i="29"/>
  <c r="BO49" i="29"/>
  <c r="BO50" i="29"/>
  <c r="BO51" i="29"/>
  <c r="BO52" i="29"/>
  <c r="BO53" i="29"/>
  <c r="BO54" i="29"/>
  <c r="BO55" i="29"/>
  <c r="BO56" i="29"/>
  <c r="BO57" i="29"/>
  <c r="BO58" i="29"/>
  <c r="BO59" i="29"/>
  <c r="BO60" i="29"/>
  <c r="BO61" i="29"/>
  <c r="BO62" i="29"/>
  <c r="BO63" i="29"/>
  <c r="BO64" i="29"/>
  <c r="BO65" i="29"/>
  <c r="BO66" i="29"/>
  <c r="BO67" i="29"/>
  <c r="BO68" i="29"/>
  <c r="BO69" i="29"/>
  <c r="BO70" i="29"/>
  <c r="BO71" i="29"/>
  <c r="BO72" i="29"/>
  <c r="BO73" i="29"/>
  <c r="BO74" i="29"/>
  <c r="BO75" i="29"/>
  <c r="BO76" i="29"/>
  <c r="BO77" i="29"/>
  <c r="BO78" i="29"/>
  <c r="BO79" i="29"/>
  <c r="BO80" i="29"/>
  <c r="BO81" i="29"/>
  <c r="BO82" i="29"/>
  <c r="BO83" i="29"/>
  <c r="BO84" i="29"/>
  <c r="BO85" i="29"/>
  <c r="BO86" i="29"/>
  <c r="BO87" i="29"/>
  <c r="BO88" i="29"/>
  <c r="BO89" i="29"/>
  <c r="BO90" i="29"/>
  <c r="BO91" i="29"/>
  <c r="BO92" i="29"/>
  <c r="BO93" i="29"/>
  <c r="BO94" i="29"/>
  <c r="BO95" i="29"/>
  <c r="BO96" i="29"/>
  <c r="BO97" i="29"/>
  <c r="BO98" i="29"/>
  <c r="BO99" i="29"/>
  <c r="BO100" i="29"/>
  <c r="BO101" i="29"/>
  <c r="BO102" i="29"/>
  <c r="BO103" i="29"/>
  <c r="BO104" i="29"/>
  <c r="BO105" i="29"/>
  <c r="BO106" i="29"/>
  <c r="BO107" i="29"/>
  <c r="BO108" i="29"/>
  <c r="BO109" i="29"/>
  <c r="BO110" i="29"/>
  <c r="BO111" i="29"/>
  <c r="BO112" i="29"/>
  <c r="BO113" i="29"/>
  <c r="BO114" i="29"/>
  <c r="BO115" i="29"/>
  <c r="BO116" i="29"/>
  <c r="BO117" i="29"/>
  <c r="BO118" i="29"/>
  <c r="BO119" i="29"/>
  <c r="BO120" i="29"/>
  <c r="BO121" i="29"/>
  <c r="BO122" i="29"/>
  <c r="BO123" i="29"/>
  <c r="BO124" i="29"/>
  <c r="BO125" i="29"/>
  <c r="BO126" i="29"/>
  <c r="BO127" i="29"/>
  <c r="BO128" i="29"/>
  <c r="BO129" i="29"/>
  <c r="BO130" i="29"/>
  <c r="BO131" i="29"/>
  <c r="BO132" i="29"/>
  <c r="BO133" i="29"/>
  <c r="BO134" i="29"/>
  <c r="BO135" i="29"/>
  <c r="BO138" i="29"/>
  <c r="BO139" i="29"/>
  <c r="BO140" i="29"/>
  <c r="BO141" i="29"/>
  <c r="BO142" i="29"/>
  <c r="BO143" i="29"/>
  <c r="BO144" i="29"/>
  <c r="BO145" i="29"/>
  <c r="BO146" i="29"/>
  <c r="BO147" i="29"/>
  <c r="BO148" i="29"/>
  <c r="BO149" i="29"/>
  <c r="BO150" i="29"/>
  <c r="BO151" i="29"/>
  <c r="BO152" i="29"/>
  <c r="BO153" i="29"/>
  <c r="BO154" i="29"/>
  <c r="BO155" i="29"/>
  <c r="BO156" i="29"/>
  <c r="BO157" i="29"/>
  <c r="BO158" i="29"/>
  <c r="BO159" i="29"/>
  <c r="BO160" i="29"/>
  <c r="BO161" i="29"/>
  <c r="BO162" i="29"/>
  <c r="BO163" i="29"/>
  <c r="BO164" i="29"/>
  <c r="BO165" i="29"/>
  <c r="BO166" i="29"/>
  <c r="BO167" i="29"/>
  <c r="BO168" i="29"/>
  <c r="BO169" i="29"/>
  <c r="BO170" i="29"/>
  <c r="BO171" i="29"/>
  <c r="BO172" i="29"/>
  <c r="BO173" i="29"/>
  <c r="BO174" i="29"/>
  <c r="BO175" i="29"/>
  <c r="BO176" i="29"/>
  <c r="BO177" i="29"/>
  <c r="BO178" i="29"/>
  <c r="BO179" i="29"/>
  <c r="BO180" i="29"/>
  <c r="BO181" i="29"/>
  <c r="BO182" i="29"/>
  <c r="BO183" i="29"/>
  <c r="BO184" i="29"/>
  <c r="BO185" i="29"/>
  <c r="BO186" i="29"/>
  <c r="BO187" i="29"/>
  <c r="BO188" i="29"/>
  <c r="BO189" i="29"/>
  <c r="BO190" i="29"/>
  <c r="BO191" i="29"/>
  <c r="BO192" i="29"/>
  <c r="BO193" i="29"/>
  <c r="BO194" i="29"/>
  <c r="BO195" i="29"/>
  <c r="BO196" i="29"/>
  <c r="BO197" i="29"/>
  <c r="BO198" i="29"/>
  <c r="BP2" i="29"/>
  <c r="BP3" i="29"/>
  <c r="BP4" i="29"/>
  <c r="BP5" i="29"/>
  <c r="BP6" i="29"/>
  <c r="BP7" i="29"/>
  <c r="BP8" i="29"/>
  <c r="BP9" i="29"/>
  <c r="BP10" i="29"/>
  <c r="BP13" i="29"/>
  <c r="BP14" i="29"/>
  <c r="BP15" i="29"/>
  <c r="BP16" i="29"/>
  <c r="BP17" i="29"/>
  <c r="BP18" i="29"/>
  <c r="BP19" i="29"/>
  <c r="BP20" i="29"/>
  <c r="BP21" i="29"/>
  <c r="BP22" i="29"/>
  <c r="BP23" i="29"/>
  <c r="BP24" i="29"/>
  <c r="BP25" i="29"/>
  <c r="BP26" i="29"/>
  <c r="BP27" i="29"/>
  <c r="BP28" i="29"/>
  <c r="BP29" i="29"/>
  <c r="BP30" i="29"/>
  <c r="BP31" i="29"/>
  <c r="BP32" i="29"/>
  <c r="BP33" i="29"/>
  <c r="BP34" i="29"/>
  <c r="BP35" i="29"/>
  <c r="BP36" i="29"/>
  <c r="BP37" i="29"/>
  <c r="BP38" i="29"/>
  <c r="BP39" i="29"/>
  <c r="BP40" i="29"/>
  <c r="BP41" i="29"/>
  <c r="BP42" i="29"/>
  <c r="BP43" i="29"/>
  <c r="BP44" i="29"/>
  <c r="BP45" i="29"/>
  <c r="BP46" i="29"/>
  <c r="BP47" i="29"/>
  <c r="BP48" i="29"/>
  <c r="BP49" i="29"/>
  <c r="BP50" i="29"/>
  <c r="BP51" i="29"/>
  <c r="BP52" i="29"/>
  <c r="BP53" i="29"/>
  <c r="BP54" i="29"/>
  <c r="BP55" i="29"/>
  <c r="BP56" i="29"/>
  <c r="BP57" i="29"/>
  <c r="BP58" i="29"/>
  <c r="BP59" i="29"/>
  <c r="BP60" i="29"/>
  <c r="BP61" i="29"/>
  <c r="BP62" i="29"/>
  <c r="BP63" i="29"/>
  <c r="BP64" i="29"/>
  <c r="BP65" i="29"/>
  <c r="BP66" i="29"/>
  <c r="BP67" i="29"/>
  <c r="BP68" i="29"/>
  <c r="BP69" i="29"/>
  <c r="BP70" i="29"/>
  <c r="BP71" i="29"/>
  <c r="BP72" i="29"/>
  <c r="BP73" i="29"/>
  <c r="BP74" i="29"/>
  <c r="BP75" i="29"/>
  <c r="BP76" i="29"/>
  <c r="BP77" i="29"/>
  <c r="BP78" i="29"/>
  <c r="BP79" i="29"/>
  <c r="BP80" i="29"/>
  <c r="BP81" i="29"/>
  <c r="BP82" i="29"/>
  <c r="BP83" i="29"/>
  <c r="BP84" i="29"/>
  <c r="BP85" i="29"/>
  <c r="BP86" i="29"/>
  <c r="BP87" i="29"/>
  <c r="BP88" i="29"/>
  <c r="BP89" i="29"/>
  <c r="BP90" i="29"/>
  <c r="BP91" i="29"/>
  <c r="BP92" i="29"/>
  <c r="BP93" i="29"/>
  <c r="BP94" i="29"/>
  <c r="BP95" i="29"/>
  <c r="BP96" i="29"/>
  <c r="BP97" i="29"/>
  <c r="BP98" i="29"/>
  <c r="BP99" i="29"/>
  <c r="BP100" i="29"/>
  <c r="BP101" i="29"/>
  <c r="BP102" i="29"/>
  <c r="BP103" i="29"/>
  <c r="BP104" i="29"/>
  <c r="BP105" i="29"/>
  <c r="BP106" i="29"/>
  <c r="BP107" i="29"/>
  <c r="BP108" i="29"/>
  <c r="BP109" i="29"/>
  <c r="BP110" i="29"/>
  <c r="BP111" i="29"/>
  <c r="BP112" i="29"/>
  <c r="BP113" i="29"/>
  <c r="BP114" i="29"/>
  <c r="BP115" i="29"/>
  <c r="BP116" i="29"/>
  <c r="BP117" i="29"/>
  <c r="BP118" i="29"/>
  <c r="BP119" i="29"/>
  <c r="BP120" i="29"/>
  <c r="BP121" i="29"/>
  <c r="BP122" i="29"/>
  <c r="BP123" i="29"/>
  <c r="BP124" i="29"/>
  <c r="BP125" i="29"/>
  <c r="BP126" i="29"/>
  <c r="BP127" i="29"/>
  <c r="BP128" i="29"/>
  <c r="BP129" i="29"/>
  <c r="BP130" i="29"/>
  <c r="BP131" i="29"/>
  <c r="BP132" i="29"/>
  <c r="BP133" i="29"/>
  <c r="BP134" i="29"/>
  <c r="BP135" i="29"/>
  <c r="BP138" i="29"/>
  <c r="BP139" i="29"/>
  <c r="BP140" i="29"/>
  <c r="BP141" i="29"/>
  <c r="BP142" i="29"/>
  <c r="BP143" i="29"/>
  <c r="BP144" i="29"/>
  <c r="BP145" i="29"/>
  <c r="BP146" i="29"/>
  <c r="BP147" i="29"/>
  <c r="BP148" i="29"/>
  <c r="BP149" i="29"/>
  <c r="BP150" i="29"/>
  <c r="BP151" i="29"/>
  <c r="BP152" i="29"/>
  <c r="BP153" i="29"/>
  <c r="BP154" i="29"/>
  <c r="BP155" i="29"/>
  <c r="BP156" i="29"/>
  <c r="BP157" i="29"/>
  <c r="BP158" i="29"/>
  <c r="BP159" i="29"/>
  <c r="BP160" i="29"/>
  <c r="BP161" i="29"/>
  <c r="BP162" i="29"/>
  <c r="BP163" i="29"/>
  <c r="BP164" i="29"/>
  <c r="BP165" i="29"/>
  <c r="BP166" i="29"/>
  <c r="BP167" i="29"/>
  <c r="BP168" i="29"/>
  <c r="BP169" i="29"/>
  <c r="BP170" i="29"/>
  <c r="BP171" i="29"/>
  <c r="BP172" i="29"/>
  <c r="BP173" i="29"/>
  <c r="BP174" i="29"/>
  <c r="BP175" i="29"/>
  <c r="BP176" i="29"/>
  <c r="BP177" i="29"/>
  <c r="BP178" i="29"/>
  <c r="BP179" i="29"/>
  <c r="BP180" i="29"/>
  <c r="BP181" i="29"/>
  <c r="BP182" i="29"/>
  <c r="BP183" i="29"/>
  <c r="BP184" i="29"/>
  <c r="BP185" i="29"/>
  <c r="BP186" i="29"/>
  <c r="BP187" i="29"/>
  <c r="BP188" i="29"/>
  <c r="BP189" i="29"/>
  <c r="BP190" i="29"/>
  <c r="BP191" i="29"/>
  <c r="BP192" i="29"/>
  <c r="BP193" i="29"/>
  <c r="BP194" i="29"/>
  <c r="BP195" i="29"/>
  <c r="BP196" i="29"/>
  <c r="BP197" i="29"/>
  <c r="BP198" i="29"/>
  <c r="BN2" i="29"/>
  <c r="K198" i="29"/>
  <c r="BM198" i="29"/>
  <c r="BN198" i="29"/>
  <c r="K197" i="29"/>
  <c r="BM197" i="29"/>
  <c r="BN197" i="29"/>
  <c r="K196" i="29"/>
  <c r="BM196" i="29"/>
  <c r="BN196" i="29"/>
  <c r="K195" i="29"/>
  <c r="BM195" i="29"/>
  <c r="BN195" i="29"/>
  <c r="K194" i="29"/>
  <c r="BM194" i="29"/>
  <c r="BN194" i="29"/>
  <c r="K193" i="29"/>
  <c r="BM193" i="29"/>
  <c r="BN193" i="29"/>
  <c r="K192" i="29"/>
  <c r="BM192" i="29"/>
  <c r="BN192" i="29"/>
  <c r="K191" i="29"/>
  <c r="BM191" i="29"/>
  <c r="BN191" i="29"/>
  <c r="K190" i="29"/>
  <c r="BM190" i="29"/>
  <c r="BN190" i="29"/>
  <c r="F26" i="30"/>
  <c r="AZ26" i="30"/>
  <c r="K189" i="29"/>
  <c r="BM189" i="29"/>
  <c r="BN189" i="29"/>
  <c r="K188" i="29"/>
  <c r="BM188" i="29"/>
  <c r="BN188" i="29"/>
  <c r="K187" i="29"/>
  <c r="BM187" i="29"/>
  <c r="BN187" i="29"/>
  <c r="K186" i="29"/>
  <c r="BM186" i="29"/>
  <c r="BN186" i="29"/>
  <c r="K185" i="29"/>
  <c r="BM185" i="29"/>
  <c r="BN185" i="29"/>
  <c r="K184" i="29"/>
  <c r="BM184" i="29"/>
  <c r="BN184" i="29"/>
  <c r="K183" i="29"/>
  <c r="BN183" i="29"/>
  <c r="BM183" i="29"/>
  <c r="K182" i="29"/>
  <c r="BM182" i="29"/>
  <c r="BN182" i="29"/>
  <c r="K181" i="29"/>
  <c r="BM181" i="29"/>
  <c r="BN181" i="29"/>
  <c r="K180" i="29"/>
  <c r="BM180" i="29"/>
  <c r="BN180" i="29"/>
  <c r="K179" i="29"/>
  <c r="BN179" i="29"/>
  <c r="BM179" i="29"/>
  <c r="F25" i="30"/>
  <c r="AZ25" i="30"/>
  <c r="K178" i="29"/>
  <c r="BM178" i="29"/>
  <c r="BN178" i="29"/>
  <c r="K177" i="29"/>
  <c r="BM177" i="29"/>
  <c r="BN177" i="29"/>
  <c r="K176" i="29"/>
  <c r="BM176" i="29"/>
  <c r="BN176" i="29"/>
  <c r="K175" i="29"/>
  <c r="BM175" i="29"/>
  <c r="BN175" i="29"/>
  <c r="K174" i="29"/>
  <c r="BM174" i="29"/>
  <c r="BN174" i="29"/>
  <c r="K173" i="29"/>
  <c r="BM173" i="29"/>
  <c r="BN173" i="29"/>
  <c r="K172" i="29"/>
  <c r="BM172" i="29"/>
  <c r="BN172" i="29"/>
  <c r="K171" i="29"/>
  <c r="BM171" i="29"/>
  <c r="BN171" i="29"/>
  <c r="K170" i="29"/>
  <c r="BM170" i="29"/>
  <c r="BN170" i="29"/>
  <c r="K169" i="29"/>
  <c r="BM169" i="29"/>
  <c r="BN169" i="29"/>
  <c r="K168" i="29"/>
  <c r="BM168" i="29"/>
  <c r="BN168" i="29"/>
  <c r="K167" i="29"/>
  <c r="BM167" i="29"/>
  <c r="BN167" i="29"/>
  <c r="K166" i="29"/>
  <c r="BM166" i="29"/>
  <c r="BN166" i="29"/>
  <c r="K165" i="29"/>
  <c r="BM165" i="29"/>
  <c r="BN165" i="29"/>
  <c r="K164" i="29"/>
  <c r="BM164" i="29"/>
  <c r="BN164" i="29"/>
  <c r="F24" i="30"/>
  <c r="AZ24" i="30"/>
  <c r="K163" i="29"/>
  <c r="BM163" i="29"/>
  <c r="BN163" i="29"/>
  <c r="K162" i="29"/>
  <c r="BM162" i="29"/>
  <c r="BN162" i="29"/>
  <c r="K161" i="29"/>
  <c r="BM161" i="29"/>
  <c r="BN161" i="29"/>
  <c r="K160" i="29"/>
  <c r="BN160" i="29"/>
  <c r="BM160" i="29"/>
  <c r="K159" i="29"/>
  <c r="BM159" i="29"/>
  <c r="BN159" i="29"/>
  <c r="K158" i="29"/>
  <c r="BM158" i="29"/>
  <c r="BN158" i="29"/>
  <c r="K157" i="29"/>
  <c r="BM157" i="29"/>
  <c r="BN157" i="29"/>
  <c r="K156" i="29"/>
  <c r="BM156" i="29"/>
  <c r="BN156" i="29"/>
  <c r="K155" i="29"/>
  <c r="BM155" i="29"/>
  <c r="BN155" i="29"/>
  <c r="K154" i="29"/>
  <c r="BM154" i="29"/>
  <c r="BN154" i="29"/>
  <c r="K153" i="29"/>
  <c r="BM153" i="29"/>
  <c r="BN153" i="29"/>
  <c r="K152" i="29"/>
  <c r="BM152" i="29"/>
  <c r="BN152" i="29"/>
  <c r="K151" i="29"/>
  <c r="BM151" i="29"/>
  <c r="BN151" i="29"/>
  <c r="F23" i="30"/>
  <c r="AZ23" i="30"/>
  <c r="K150" i="29"/>
  <c r="BM150" i="29"/>
  <c r="BN150" i="29"/>
  <c r="K149" i="29"/>
  <c r="BM149" i="29"/>
  <c r="BN149" i="29"/>
  <c r="K148" i="29"/>
  <c r="BN148" i="29"/>
  <c r="BM148" i="29"/>
  <c r="K147" i="29"/>
  <c r="BN147" i="29"/>
  <c r="BM147" i="29"/>
  <c r="K146" i="29"/>
  <c r="BN146" i="29"/>
  <c r="BM146" i="29"/>
  <c r="K145" i="29"/>
  <c r="BN145" i="29"/>
  <c r="BM145" i="29"/>
  <c r="K144" i="29"/>
  <c r="BN144" i="29"/>
  <c r="BM144" i="29"/>
  <c r="K143" i="29"/>
  <c r="BN143" i="29"/>
  <c r="BM143" i="29"/>
  <c r="K142" i="29"/>
  <c r="BN142" i="29"/>
  <c r="BM142" i="29"/>
  <c r="K141" i="29"/>
  <c r="BN141" i="29"/>
  <c r="BM141" i="29"/>
  <c r="K140" i="29"/>
  <c r="BM140" i="29"/>
  <c r="BN140" i="29"/>
  <c r="K139" i="29"/>
  <c r="BM139" i="29"/>
  <c r="BN139" i="29"/>
  <c r="K138" i="29"/>
  <c r="BM138" i="29"/>
  <c r="BN138" i="29"/>
  <c r="K135" i="29"/>
  <c r="BM135" i="29"/>
  <c r="BN135" i="29"/>
  <c r="K134" i="29"/>
  <c r="BM134" i="29"/>
  <c r="BN134" i="29"/>
  <c r="K133" i="29"/>
  <c r="BM133" i="29"/>
  <c r="BN133" i="29"/>
  <c r="K132" i="29"/>
  <c r="BM132" i="29"/>
  <c r="BN132" i="29"/>
  <c r="K131" i="29"/>
  <c r="BM131" i="29"/>
  <c r="BN131" i="29"/>
  <c r="K130" i="29"/>
  <c r="BM130" i="29"/>
  <c r="BN130" i="29"/>
  <c r="K129" i="29"/>
  <c r="BM129" i="29"/>
  <c r="BN129" i="29"/>
  <c r="K128" i="29"/>
  <c r="BM128" i="29"/>
  <c r="BN128" i="29"/>
  <c r="K127" i="29"/>
  <c r="BM127" i="29"/>
  <c r="BN127" i="29"/>
  <c r="F22" i="30"/>
  <c r="AZ22" i="30"/>
  <c r="K126" i="29"/>
  <c r="BM126" i="29"/>
  <c r="BN126" i="29"/>
  <c r="K125" i="29"/>
  <c r="BM125" i="29"/>
  <c r="BN125" i="29"/>
  <c r="K124" i="29"/>
  <c r="BM124" i="29"/>
  <c r="BN124" i="29"/>
  <c r="K123" i="29"/>
  <c r="BM123" i="29"/>
  <c r="BN123" i="29"/>
  <c r="K122" i="29"/>
  <c r="BM122" i="29"/>
  <c r="BN122" i="29"/>
  <c r="K121" i="29"/>
  <c r="BM121" i="29"/>
  <c r="BN121" i="29"/>
  <c r="K120" i="29"/>
  <c r="BM120" i="29"/>
  <c r="BN120" i="29"/>
  <c r="K119" i="29"/>
  <c r="BM119" i="29"/>
  <c r="BN119" i="29"/>
  <c r="K118" i="29"/>
  <c r="BM118" i="29"/>
  <c r="BN118" i="29"/>
  <c r="K117" i="29"/>
  <c r="BM117" i="29"/>
  <c r="BN117" i="29"/>
  <c r="K116" i="29"/>
  <c r="BM116" i="29"/>
  <c r="BN116" i="29"/>
  <c r="BN115" i="29"/>
  <c r="AS11" i="29"/>
  <c r="AY11" i="29"/>
  <c r="AZ11" i="29"/>
  <c r="BA11" i="29"/>
  <c r="BB11" i="29"/>
  <c r="BC11" i="29"/>
  <c r="BD11" i="29"/>
  <c r="BE11" i="29"/>
  <c r="BF11" i="29"/>
  <c r="X11" i="29"/>
  <c r="Y11" i="29"/>
  <c r="Z11" i="29"/>
  <c r="AA11" i="29"/>
  <c r="AB11" i="29"/>
  <c r="AC11" i="29"/>
  <c r="AD11" i="29"/>
  <c r="AF11" i="29"/>
  <c r="AG11" i="29"/>
  <c r="AH11" i="29"/>
  <c r="AI11" i="29"/>
  <c r="AJ11" i="29"/>
  <c r="AL11" i="29"/>
  <c r="AM11" i="29"/>
  <c r="AN11" i="29"/>
  <c r="AO11" i="29"/>
  <c r="AP11" i="29"/>
  <c r="AQ11" i="29"/>
  <c r="AR11" i="29"/>
  <c r="K115" i="29"/>
  <c r="BM115" i="29"/>
  <c r="K114" i="29"/>
  <c r="BM114" i="29"/>
  <c r="K113" i="29"/>
  <c r="BM113" i="29"/>
  <c r="BN113" i="29"/>
  <c r="K112" i="29"/>
  <c r="BM112" i="29"/>
  <c r="BN112" i="29"/>
  <c r="F21" i="30"/>
  <c r="AZ21" i="30"/>
  <c r="K111" i="29"/>
  <c r="BM111" i="29"/>
  <c r="BN111" i="29"/>
  <c r="K110" i="29"/>
  <c r="BM110" i="29"/>
  <c r="BN110" i="29"/>
  <c r="K109" i="29"/>
  <c r="BM109" i="29"/>
  <c r="BN109" i="29"/>
  <c r="K108" i="29"/>
  <c r="BM108" i="29"/>
  <c r="K107" i="29"/>
  <c r="BM107" i="29"/>
  <c r="BN107" i="29"/>
  <c r="K106" i="29"/>
  <c r="BM106" i="29"/>
  <c r="BN106" i="29"/>
  <c r="K105" i="29"/>
  <c r="BM105" i="29"/>
  <c r="BN105" i="29"/>
  <c r="F20" i="30"/>
  <c r="AZ20" i="30"/>
  <c r="K104" i="29"/>
  <c r="BM104" i="29"/>
  <c r="K103" i="29"/>
  <c r="BM103" i="29"/>
  <c r="K102" i="29"/>
  <c r="BM102" i="29"/>
  <c r="BN102" i="29"/>
  <c r="K101" i="29"/>
  <c r="BM101" i="29"/>
  <c r="BN101" i="29"/>
  <c r="K100" i="29"/>
  <c r="BM100" i="29"/>
  <c r="K99" i="29"/>
  <c r="BM99" i="29"/>
  <c r="BN99" i="29"/>
  <c r="K98" i="29"/>
  <c r="BM98" i="29"/>
  <c r="BN98" i="29"/>
  <c r="K97" i="29"/>
  <c r="BM97" i="29"/>
  <c r="BN97" i="29"/>
  <c r="K96" i="29"/>
  <c r="BM96" i="29"/>
  <c r="K95" i="29"/>
  <c r="BM95" i="29"/>
  <c r="BN95" i="29"/>
  <c r="K94" i="29"/>
  <c r="BM94" i="29"/>
  <c r="K93" i="29"/>
  <c r="BN93" i="29"/>
  <c r="BM93" i="29"/>
  <c r="K92" i="29"/>
  <c r="BM92" i="29"/>
  <c r="BN92" i="29"/>
  <c r="K91" i="29"/>
  <c r="BM91" i="29"/>
  <c r="F19" i="30"/>
  <c r="AZ19" i="30"/>
  <c r="K90" i="29"/>
  <c r="BM90" i="29"/>
  <c r="BN90" i="29"/>
  <c r="K89" i="29"/>
  <c r="BM89" i="29"/>
  <c r="BN89" i="29"/>
  <c r="K88" i="29"/>
  <c r="BM88" i="29"/>
  <c r="K87" i="29"/>
  <c r="BM87" i="29"/>
  <c r="BN87" i="29"/>
  <c r="K86" i="29"/>
  <c r="BM86" i="29"/>
  <c r="K85" i="29"/>
  <c r="BM85" i="29"/>
  <c r="K84" i="29"/>
  <c r="BM84" i="29"/>
  <c r="BN84" i="29"/>
  <c r="K83" i="29"/>
  <c r="BM83" i="29"/>
  <c r="BN83" i="29"/>
  <c r="K82" i="29"/>
  <c r="BM82" i="29"/>
  <c r="K81" i="29"/>
  <c r="BM81" i="29"/>
  <c r="BN81" i="29"/>
  <c r="K80" i="29"/>
  <c r="BM80" i="29"/>
  <c r="BN80" i="29"/>
  <c r="K79" i="29"/>
  <c r="BN79" i="29"/>
  <c r="BM79" i="29"/>
  <c r="K78" i="29"/>
  <c r="BM78" i="29"/>
  <c r="BN78" i="29"/>
  <c r="K77" i="29"/>
  <c r="BM77" i="29"/>
  <c r="BN77" i="29"/>
  <c r="K76" i="29"/>
  <c r="BN76" i="29"/>
  <c r="BM76" i="29"/>
  <c r="BN86" i="29"/>
  <c r="BN88" i="29"/>
  <c r="BN91" i="29"/>
  <c r="BN82" i="29"/>
  <c r="BN96" i="29"/>
  <c r="BN100" i="29"/>
  <c r="BN85" i="29"/>
  <c r="BN94" i="29"/>
  <c r="BN104" i="29"/>
  <c r="BN103" i="29"/>
  <c r="BN114" i="29"/>
  <c r="BN108" i="29"/>
  <c r="T6" i="29"/>
  <c r="T5" i="29"/>
  <c r="T3" i="29"/>
  <c r="W3" i="29"/>
  <c r="W4" i="29"/>
  <c r="K75" i="29"/>
  <c r="BM75" i="29"/>
  <c r="BN75" i="29"/>
  <c r="G2" i="31"/>
  <c r="F18" i="30"/>
  <c r="AZ18" i="30"/>
  <c r="K74" i="29"/>
  <c r="BM74" i="29"/>
  <c r="BN74" i="29"/>
  <c r="K73" i="29"/>
  <c r="BM73" i="29"/>
  <c r="BN73" i="29"/>
  <c r="K72" i="29"/>
  <c r="BM72" i="29"/>
  <c r="BN72" i="29"/>
  <c r="K71" i="29"/>
  <c r="BM71" i="29"/>
  <c r="BN71" i="29"/>
  <c r="K70" i="29"/>
  <c r="BM70" i="29"/>
  <c r="BN70" i="29"/>
  <c r="K69" i="29"/>
  <c r="BM69" i="29"/>
  <c r="BN69" i="29"/>
  <c r="K68" i="29"/>
  <c r="BM68" i="29"/>
  <c r="BN68" i="29"/>
  <c r="K67" i="29"/>
  <c r="BM67" i="29"/>
  <c r="BN67" i="29"/>
  <c r="K66" i="29"/>
  <c r="BM66" i="29"/>
  <c r="BN66" i="29"/>
  <c r="BN3" i="29"/>
  <c r="BN4" i="29"/>
  <c r="BN5" i="29"/>
  <c r="BN6" i="29"/>
  <c r="BN7" i="29"/>
  <c r="BN8" i="29"/>
  <c r="BN9" i="29"/>
  <c r="BN10" i="29"/>
  <c r="BN13" i="29"/>
  <c r="BN14" i="29"/>
  <c r="BN15" i="29"/>
  <c r="BN16" i="29"/>
  <c r="BN17" i="29"/>
  <c r="BN18" i="29"/>
  <c r="BN19" i="29"/>
  <c r="BN20" i="29"/>
  <c r="BN21" i="29"/>
  <c r="BN22" i="29"/>
  <c r="BN23" i="29"/>
  <c r="BN24" i="29"/>
  <c r="BN25" i="29"/>
  <c r="BN26" i="29"/>
  <c r="BN27" i="29"/>
  <c r="BN28" i="29"/>
  <c r="BN29" i="29"/>
  <c r="BN30" i="29"/>
  <c r="BN31" i="29"/>
  <c r="BN32" i="29"/>
  <c r="BN33" i="29"/>
  <c r="BN34" i="29"/>
  <c r="BN35" i="29"/>
  <c r="BN36" i="29"/>
  <c r="BN37" i="29"/>
  <c r="BN38" i="29"/>
  <c r="BN39" i="29"/>
  <c r="BN40" i="29"/>
  <c r="BN41" i="29"/>
  <c r="BN42" i="29"/>
  <c r="BN43" i="29"/>
  <c r="BN44" i="29"/>
  <c r="BN45" i="29"/>
  <c r="BN46" i="29"/>
  <c r="BN47" i="29"/>
  <c r="BN48" i="29"/>
  <c r="BN49" i="29"/>
  <c r="BN50" i="29"/>
  <c r="BN51" i="29"/>
  <c r="BN52" i="29"/>
  <c r="BN53" i="29"/>
  <c r="BN54" i="29"/>
  <c r="BN55" i="29"/>
  <c r="BN56" i="29"/>
  <c r="BN57" i="29"/>
  <c r="BN58" i="29"/>
  <c r="BN59" i="29"/>
  <c r="BN60" i="29"/>
  <c r="BN61" i="29"/>
  <c r="BN62" i="29"/>
  <c r="BN63" i="29"/>
  <c r="BN64" i="29"/>
  <c r="BN65" i="29"/>
  <c r="BM15" i="29"/>
  <c r="K65" i="29"/>
  <c r="BM65" i="29"/>
  <c r="AZ2" i="30"/>
  <c r="AZ3" i="30"/>
  <c r="AZ4" i="30"/>
  <c r="AZ5" i="30"/>
  <c r="AZ6" i="30"/>
  <c r="AZ7" i="30"/>
  <c r="AZ8" i="30"/>
  <c r="AZ9" i="30"/>
  <c r="AZ10" i="30"/>
  <c r="AZ11" i="30"/>
  <c r="AZ12" i="30"/>
  <c r="AZ13" i="30"/>
  <c r="AZ14" i="30"/>
  <c r="AZ15" i="30"/>
  <c r="AZ16" i="30"/>
  <c r="AZ17" i="30"/>
  <c r="K64" i="29"/>
  <c r="BM64" i="29"/>
  <c r="K63" i="29"/>
  <c r="BM63" i="29"/>
  <c r="K62" i="29"/>
  <c r="BM62" i="29"/>
  <c r="K61" i="29"/>
  <c r="BM61" i="29"/>
  <c r="F17" i="30"/>
  <c r="K60" i="29"/>
  <c r="BM60" i="29"/>
  <c r="K59" i="29"/>
  <c r="BM59" i="29"/>
  <c r="K58" i="29"/>
  <c r="BM58" i="29"/>
  <c r="K57" i="29"/>
  <c r="BM57" i="29"/>
  <c r="K56" i="29"/>
  <c r="BM56" i="29"/>
  <c r="K55" i="29"/>
  <c r="BM55" i="29"/>
  <c r="K54" i="29"/>
  <c r="BM54" i="29"/>
  <c r="K53" i="29"/>
  <c r="BM53" i="29"/>
  <c r="K52" i="29"/>
  <c r="BM52" i="29"/>
  <c r="K51" i="29"/>
  <c r="BM51" i="29"/>
  <c r="BM2" i="29"/>
  <c r="BM3" i="29"/>
  <c r="BM4" i="29"/>
  <c r="BM5" i="29"/>
  <c r="BM6" i="29"/>
  <c r="BM7" i="29"/>
  <c r="BM8" i="29"/>
  <c r="BM9" i="29"/>
  <c r="BM10" i="29"/>
  <c r="BM13" i="29"/>
  <c r="BM14" i="29"/>
  <c r="BM16" i="29"/>
  <c r="BM17" i="29"/>
  <c r="BM18" i="29"/>
  <c r="BM19" i="29"/>
  <c r="BM20" i="29"/>
  <c r="BM21" i="29"/>
  <c r="BM22" i="29"/>
  <c r="BM23" i="29"/>
  <c r="BM24" i="29"/>
  <c r="BM25" i="29"/>
  <c r="BM26" i="29"/>
  <c r="BM27" i="29"/>
  <c r="BM28" i="29"/>
  <c r="BM29" i="29"/>
  <c r="BM30" i="29"/>
  <c r="BM31" i="29"/>
  <c r="BM32" i="29"/>
  <c r="BM33" i="29"/>
  <c r="BM34" i="29"/>
  <c r="BM35" i="29"/>
  <c r="BM36" i="29"/>
  <c r="BM37" i="29"/>
  <c r="BM38" i="29"/>
  <c r="BM39" i="29"/>
  <c r="BM40" i="29"/>
  <c r="BM41" i="29"/>
  <c r="BM42" i="29"/>
  <c r="BM43" i="29"/>
  <c r="BM44" i="29"/>
  <c r="BM45" i="29"/>
  <c r="BM46" i="29"/>
  <c r="BM47" i="29"/>
  <c r="BM48" i="29"/>
  <c r="BM49" i="29"/>
  <c r="BM50" i="29"/>
  <c r="K50" i="29"/>
  <c r="K49" i="29"/>
  <c r="K39" i="29"/>
  <c r="K40" i="29"/>
  <c r="I2" i="30"/>
  <c r="E2" i="30"/>
  <c r="D2" i="30"/>
  <c r="G2" i="30" s="1"/>
  <c r="E15" i="30"/>
  <c r="F15" i="30" s="1"/>
  <c r="E16" i="30"/>
  <c r="F16" i="30" s="1"/>
  <c r="R2" i="29"/>
  <c r="C2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41" i="29"/>
  <c r="K42" i="29"/>
  <c r="K43" i="29"/>
  <c r="K44" i="29"/>
  <c r="K45" i="29"/>
  <c r="K46" i="29"/>
  <c r="K47" i="29"/>
  <c r="K48" i="29"/>
  <c r="K15" i="29"/>
  <c r="B2" i="31"/>
  <c r="F2" i="31" s="1"/>
  <c r="J2" i="29"/>
  <c r="X2" i="2"/>
  <c r="J1" i="2"/>
  <c r="J4" i="2"/>
  <c r="J2" i="2"/>
  <c r="J1" i="13"/>
  <c r="J2" i="13"/>
  <c r="J5" i="13"/>
  <c r="J6" i="13"/>
  <c r="J7" i="13"/>
  <c r="J8" i="13"/>
  <c r="J9" i="13"/>
  <c r="J10" i="13"/>
  <c r="J12" i="13"/>
  <c r="J13" i="13"/>
  <c r="J14" i="13"/>
  <c r="J15" i="13"/>
  <c r="J16" i="13"/>
  <c r="J18" i="13"/>
  <c r="J19" i="13"/>
  <c r="J20" i="13"/>
  <c r="J21" i="13"/>
  <c r="J22" i="13"/>
  <c r="J23" i="13"/>
  <c r="J24" i="13"/>
  <c r="J25" i="13"/>
  <c r="J32" i="13"/>
  <c r="J4" i="13"/>
  <c r="J33" i="13"/>
  <c r="J34" i="13"/>
  <c r="J25" i="2"/>
  <c r="J5" i="2"/>
  <c r="J6" i="2"/>
  <c r="J33" i="2"/>
  <c r="J7" i="2"/>
  <c r="J8" i="2"/>
  <c r="J9" i="2"/>
  <c r="J10" i="2"/>
  <c r="J12" i="2"/>
  <c r="J13" i="2"/>
  <c r="J14" i="2"/>
  <c r="J15" i="2"/>
  <c r="J16" i="2"/>
  <c r="J18" i="2"/>
  <c r="J19" i="2"/>
  <c r="J20" i="2"/>
  <c r="J21" i="2"/>
  <c r="J22" i="2"/>
  <c r="J23" i="2"/>
  <c r="J24" i="2"/>
  <c r="J31" i="2"/>
  <c r="J32" i="2"/>
  <c r="J34" i="2"/>
  <c r="AL43" i="2"/>
  <c r="AN43" i="2" s="1"/>
  <c r="K14" i="2" l="1"/>
  <c r="K34" i="2"/>
  <c r="K28" i="2"/>
  <c r="K15" i="2"/>
  <c r="AV2" i="31"/>
  <c r="AF20" i="13"/>
  <c r="AJ41" i="2"/>
  <c r="K16" i="2"/>
  <c r="AG37" i="13"/>
  <c r="AJ42" i="13"/>
  <c r="AJ42" i="2"/>
  <c r="AG16" i="2"/>
  <c r="AI38" i="2"/>
  <c r="AA31" i="2"/>
  <c r="AA35" i="2"/>
  <c r="AV12" i="29"/>
  <c r="K20" i="2"/>
  <c r="K22" i="2"/>
  <c r="AI42" i="2"/>
  <c r="K21" i="2"/>
  <c r="K7" i="2"/>
  <c r="AK18" i="2"/>
  <c r="Z11" i="13"/>
  <c r="AK32" i="2"/>
  <c r="AI6" i="13"/>
  <c r="AE31" i="13"/>
  <c r="AH7" i="13"/>
  <c r="D10" i="29"/>
  <c r="AG2" i="2" s="1"/>
  <c r="AG2" i="13" s="1"/>
  <c r="AJ34" i="2"/>
  <c r="AJ31" i="2"/>
  <c r="AD31" i="13"/>
  <c r="K4" i="2"/>
  <c r="K31" i="2"/>
  <c r="K19" i="2"/>
  <c r="AK20" i="13"/>
  <c r="AB34" i="13"/>
  <c r="AK31" i="13"/>
  <c r="AJ40" i="13"/>
  <c r="AI36" i="13"/>
  <c r="AC35" i="13"/>
  <c r="K32" i="2"/>
  <c r="K13" i="2"/>
  <c r="AG5" i="13"/>
  <c r="AD11" i="13"/>
  <c r="AE33" i="13"/>
  <c r="AG12" i="13"/>
  <c r="AA13" i="13"/>
  <c r="K5" i="2"/>
  <c r="AI31" i="13"/>
  <c r="AE23" i="13"/>
  <c r="AI23" i="13"/>
  <c r="AJ22" i="13"/>
  <c r="AK20" i="2"/>
  <c r="AA9" i="2"/>
  <c r="Z6" i="2"/>
  <c r="AA12" i="2"/>
  <c r="AB33" i="2"/>
  <c r="AE35" i="2"/>
  <c r="AG32" i="2"/>
  <c r="AC34" i="2"/>
  <c r="AF29" i="2"/>
  <c r="AA32" i="2"/>
  <c r="AC10" i="2"/>
  <c r="AQ12" i="29"/>
  <c r="BG12" i="29"/>
  <c r="AD12" i="29"/>
  <c r="BA12" i="29"/>
  <c r="AA12" i="29"/>
  <c r="Y12" i="29"/>
  <c r="X12" i="29"/>
  <c r="BJ12" i="29"/>
  <c r="Z12" i="29"/>
  <c r="BC12" i="29"/>
  <c r="AB10" i="13"/>
  <c r="Z10" i="13"/>
  <c r="AE10" i="13"/>
  <c r="AK10" i="13"/>
  <c r="AG10" i="13"/>
  <c r="AJ10" i="13"/>
  <c r="AF10" i="13"/>
  <c r="AC10" i="13"/>
  <c r="AH41" i="2"/>
  <c r="AK41" i="2"/>
  <c r="AX12" i="29"/>
  <c r="AJ16" i="13"/>
  <c r="AJ14" i="13"/>
  <c r="AK34" i="13"/>
  <c r="AG23" i="13"/>
  <c r="AG14" i="13"/>
  <c r="AI22" i="13"/>
  <c r="AK34" i="2"/>
  <c r="BB12" i="29"/>
  <c r="AI32" i="13"/>
  <c r="AT12" i="29"/>
  <c r="AI22" i="2"/>
  <c r="AA34" i="2"/>
  <c r="Z22" i="2"/>
  <c r="AE34" i="2"/>
  <c r="AD8" i="2"/>
  <c r="BN11" i="29"/>
  <c r="AB12" i="29"/>
  <c r="AI31" i="2"/>
  <c r="AB31" i="2"/>
  <c r="AF31" i="2"/>
  <c r="AH31" i="2"/>
  <c r="Z31" i="2"/>
  <c r="AJ12" i="29"/>
  <c r="AI42" i="13"/>
  <c r="AI41" i="13"/>
  <c r="AJ41" i="13"/>
  <c r="AK42" i="13"/>
  <c r="AK43" i="13"/>
  <c r="AL43" i="13" s="1"/>
  <c r="AN43" i="13" s="1"/>
  <c r="AH42" i="13"/>
  <c r="AB35" i="2"/>
  <c r="AK5" i="2"/>
  <c r="AF25" i="2"/>
  <c r="Z13" i="2"/>
  <c r="AG30" i="2"/>
  <c r="AB30" i="2"/>
  <c r="AD11" i="2"/>
  <c r="AY12" i="29"/>
  <c r="AA23" i="13"/>
  <c r="Z21" i="13"/>
  <c r="AC15" i="13"/>
  <c r="AE37" i="13"/>
  <c r="Z13" i="13"/>
  <c r="AJ13" i="13"/>
  <c r="E11" i="30"/>
  <c r="AH1" i="13" s="1"/>
  <c r="AH1" i="2" s="1"/>
  <c r="Z23" i="13"/>
  <c r="AC35" i="2"/>
  <c r="AE9" i="13"/>
  <c r="AE11" i="13"/>
  <c r="AK35" i="13"/>
  <c r="AE12" i="13"/>
  <c r="AE32" i="2"/>
  <c r="AK24" i="2"/>
  <c r="AC9" i="2"/>
  <c r="AM12" i="29"/>
  <c r="AK10" i="2"/>
  <c r="AA35" i="13"/>
  <c r="AD40" i="13"/>
  <c r="AK41" i="13"/>
  <c r="AI29" i="2"/>
  <c r="AI34" i="2"/>
  <c r="AA7" i="13"/>
  <c r="AE29" i="2"/>
  <c r="AH12" i="29"/>
  <c r="Z29" i="13"/>
  <c r="AE20" i="13"/>
  <c r="AH29" i="13"/>
  <c r="AH20" i="13"/>
  <c r="AI20" i="13"/>
  <c r="AG20" i="13"/>
  <c r="AA9" i="13"/>
  <c r="AG24" i="13"/>
  <c r="AI29" i="13"/>
  <c r="AK9" i="13"/>
  <c r="AC12" i="29"/>
  <c r="AK40" i="2"/>
  <c r="AH40" i="2"/>
  <c r="AJ40" i="2"/>
  <c r="AG40" i="2"/>
  <c r="AF40" i="2"/>
  <c r="AI40" i="2"/>
  <c r="AE15" i="13"/>
  <c r="AC14" i="13"/>
  <c r="AC23" i="13"/>
  <c r="AE6" i="13"/>
  <c r="Z36" i="13"/>
  <c r="AD18" i="13"/>
  <c r="AJ20" i="13"/>
  <c r="AD35" i="13"/>
  <c r="AG33" i="13"/>
  <c r="AP12" i="29"/>
  <c r="AA31" i="13"/>
  <c r="AF31" i="13"/>
  <c r="AB31" i="13"/>
  <c r="AJ31" i="13"/>
  <c r="Z31" i="13"/>
  <c r="AC12" i="13"/>
  <c r="AF23" i="13"/>
  <c r="AH36" i="13"/>
  <c r="AE16" i="13"/>
  <c r="Z18" i="13"/>
  <c r="AB36" i="13"/>
  <c r="AE34" i="13"/>
  <c r="AJ33" i="13"/>
  <c r="AA11" i="13"/>
  <c r="AK11" i="13"/>
  <c r="AJ11" i="13"/>
  <c r="AE8" i="2"/>
  <c r="AR12" i="29"/>
  <c r="AK31" i="2"/>
  <c r="AB20" i="2"/>
  <c r="AD12" i="13"/>
  <c r="Z29" i="2"/>
  <c r="AC32" i="2"/>
  <c r="AB16" i="2"/>
  <c r="AG11" i="13"/>
  <c r="BO11" i="29"/>
  <c r="AJ20" i="2"/>
  <c r="AF20" i="2"/>
  <c r="AH20" i="2"/>
  <c r="AA20" i="2"/>
  <c r="AI20" i="2"/>
  <c r="Z20" i="2"/>
  <c r="AK12" i="29"/>
  <c r="AJ36" i="2"/>
  <c r="AF35" i="13"/>
  <c r="AE12" i="29"/>
  <c r="AH42" i="2"/>
  <c r="AK42" i="2"/>
  <c r="AI34" i="13"/>
  <c r="AC18" i="13"/>
  <c r="Z24" i="13"/>
  <c r="AK38" i="13"/>
  <c r="E13" i="30"/>
  <c r="AJ1" i="13" s="1"/>
  <c r="AJ1" i="2" s="1"/>
  <c r="AH24" i="13"/>
  <c r="AC22" i="13"/>
  <c r="E14" i="30"/>
  <c r="AK1" i="13" s="1"/>
  <c r="AK1" i="2" s="1"/>
  <c r="AG8" i="13"/>
  <c r="AB23" i="13"/>
  <c r="Z20" i="13"/>
  <c r="AH23" i="13"/>
  <c r="AB20" i="13"/>
  <c r="AF8" i="13"/>
  <c r="AD7" i="13"/>
  <c r="AI18" i="13"/>
  <c r="AK13" i="13"/>
  <c r="Z22" i="13"/>
  <c r="AF22" i="13"/>
  <c r="AB22" i="13"/>
  <c r="AH33" i="13"/>
  <c r="AB33" i="13"/>
  <c r="AD20" i="13"/>
  <c r="AE13" i="2"/>
  <c r="Z24" i="2"/>
  <c r="AC23" i="2"/>
  <c r="AE7" i="13"/>
  <c r="AG31" i="13"/>
  <c r="AG31" i="2"/>
  <c r="AO12" i="29"/>
  <c r="AI41" i="2"/>
  <c r="AG29" i="2"/>
  <c r="AH15" i="2"/>
  <c r="AG18" i="2"/>
  <c r="AJ15" i="2"/>
  <c r="AH40" i="13"/>
  <c r="AI40" i="13"/>
  <c r="AK40" i="13"/>
  <c r="AF40" i="13"/>
  <c r="AG40" i="13"/>
  <c r="AE40" i="13"/>
  <c r="AD21" i="13"/>
  <c r="AH10" i="2"/>
  <c r="AB19" i="13"/>
  <c r="AE22" i="13"/>
  <c r="AB35" i="13"/>
  <c r="AC20" i="13"/>
  <c r="BP11" i="29"/>
  <c r="AG20" i="2"/>
  <c r="AK4" i="13"/>
  <c r="AB18" i="13"/>
  <c r="Z6" i="13"/>
  <c r="AJ37" i="13"/>
  <c r="AK17" i="13"/>
  <c r="AC9" i="13"/>
  <c r="AC25" i="13"/>
  <c r="AG22" i="13"/>
  <c r="AA22" i="13"/>
  <c r="AI11" i="13"/>
  <c r="AA20" i="13"/>
  <c r="AJ35" i="13"/>
  <c r="AJ10" i="2"/>
  <c r="AB5" i="2"/>
  <c r="AD24" i="2"/>
  <c r="AC33" i="2"/>
  <c r="AA10" i="13"/>
  <c r="AC31" i="13"/>
  <c r="AE31" i="2"/>
  <c r="F2" i="29"/>
  <c r="AH41" i="13"/>
  <c r="AE40" i="2"/>
  <c r="AJ29" i="13"/>
  <c r="AG25" i="2"/>
  <c r="AF34" i="2"/>
  <c r="AD20" i="2"/>
  <c r="AH11" i="2"/>
  <c r="AN12" i="29"/>
  <c r="AD36" i="13"/>
  <c r="AD9" i="13"/>
  <c r="AA6" i="13"/>
  <c r="AF19" i="13"/>
  <c r="AD4" i="13"/>
  <c r="AA34" i="13"/>
  <c r="Z9" i="13"/>
  <c r="AH22" i="13"/>
  <c r="AA24" i="13"/>
  <c r="AK23" i="13"/>
  <c r="AJ34" i="13"/>
  <c r="AC11" i="13"/>
  <c r="AJ32" i="2"/>
  <c r="AE21" i="2"/>
  <c r="AB13" i="2"/>
  <c r="AB18" i="2"/>
  <c r="AF33" i="13"/>
  <c r="Z32" i="2"/>
  <c r="AG27" i="2"/>
  <c r="AB17" i="2"/>
  <c r="AJ35" i="2"/>
  <c r="AF37" i="2"/>
  <c r="AA30" i="2"/>
  <c r="AI15" i="2"/>
  <c r="AC5" i="2"/>
  <c r="AF12" i="29"/>
  <c r="BM11" i="29"/>
  <c r="AF29" i="13"/>
  <c r="AC31" i="2"/>
  <c r="AC17" i="13"/>
  <c r="AJ29" i="2"/>
  <c r="AJ25" i="13"/>
  <c r="Z35" i="13"/>
  <c r="AF11" i="13"/>
  <c r="Z19" i="13"/>
  <c r="AI5" i="13"/>
  <c r="AH16" i="13"/>
  <c r="AF13" i="13"/>
  <c r="AJ9" i="13"/>
  <c r="AH32" i="2"/>
  <c r="AD36" i="2"/>
  <c r="AA16" i="2"/>
  <c r="AG11" i="2"/>
  <c r="AJ12" i="13"/>
  <c r="E12" i="30"/>
  <c r="AI1" i="13" s="1"/>
  <c r="AI1" i="2" s="1"/>
  <c r="AC13" i="13"/>
  <c r="AK7" i="13"/>
  <c r="AI24" i="13"/>
  <c r="AK33" i="13"/>
  <c r="Z25" i="13"/>
  <c r="AB4" i="13"/>
  <c r="AE35" i="13"/>
  <c r="AH37" i="13"/>
  <c r="AK5" i="13"/>
  <c r="E10" i="30"/>
  <c r="AG1" i="13" s="1"/>
  <c r="AG1" i="2" s="1"/>
  <c r="AF4" i="13"/>
  <c r="Z4" i="13"/>
  <c r="AD25" i="13"/>
  <c r="AE8" i="13"/>
  <c r="AI25" i="13"/>
  <c r="AC37" i="13"/>
  <c r="AI9" i="13"/>
  <c r="AG9" i="13"/>
  <c r="AD33" i="13"/>
  <c r="AI35" i="13"/>
  <c r="AI12" i="13"/>
  <c r="AA12" i="13"/>
  <c r="AB12" i="13"/>
  <c r="AF36" i="2"/>
  <c r="AI13" i="2"/>
  <c r="Z34" i="2"/>
  <c r="AB34" i="2"/>
  <c r="AC18" i="2"/>
  <c r="AD22" i="13"/>
  <c r="AC33" i="13"/>
  <c r="AA29" i="2"/>
  <c r="AI36" i="2"/>
  <c r="AD9" i="2"/>
  <c r="AJ8" i="2"/>
  <c r="AK38" i="2"/>
  <c r="AH35" i="2"/>
  <c r="K23" i="2"/>
  <c r="AJ17" i="2"/>
  <c r="K9" i="2"/>
  <c r="AG35" i="2"/>
  <c r="D7" i="29"/>
  <c r="AD2" i="2" s="1"/>
  <c r="AD2" i="13" s="1"/>
  <c r="AJ16" i="2"/>
  <c r="AJ11" i="2"/>
  <c r="AH18" i="2"/>
  <c r="Z4" i="2"/>
  <c r="AK4" i="2"/>
  <c r="AK25" i="2"/>
  <c r="AE36" i="2"/>
  <c r="AA22" i="2"/>
  <c r="Z16" i="2"/>
  <c r="AC16" i="2"/>
  <c r="AH16" i="2"/>
  <c r="AK9" i="2"/>
  <c r="AK6" i="2"/>
  <c r="AD5" i="2"/>
  <c r="Z15" i="2"/>
  <c r="AB38" i="2"/>
  <c r="AI33" i="2"/>
  <c r="AE23" i="2"/>
  <c r="AE33" i="2"/>
  <c r="AH5" i="2"/>
  <c r="AH19" i="2"/>
  <c r="AB14" i="2"/>
  <c r="AH14" i="2"/>
  <c r="AH7" i="2"/>
  <c r="Z8" i="2"/>
  <c r="AI35" i="2"/>
  <c r="AB7" i="2"/>
  <c r="AC17" i="2"/>
  <c r="AF23" i="2"/>
  <c r="K10" i="2"/>
  <c r="Z7" i="2"/>
  <c r="AD26" i="2"/>
  <c r="AF27" i="2"/>
  <c r="AH30" i="2"/>
  <c r="AI39" i="2"/>
  <c r="Z17" i="2"/>
  <c r="AG12" i="2"/>
  <c r="AF18" i="2"/>
  <c r="Z36" i="2"/>
  <c r="AJ25" i="2"/>
  <c r="AI4" i="2"/>
  <c r="AG13" i="2"/>
  <c r="AC24" i="2"/>
  <c r="AI18" i="2"/>
  <c r="AF5" i="2"/>
  <c r="AF6" i="2"/>
  <c r="AK17" i="2"/>
  <c r="K33" i="2"/>
  <c r="AH17" i="2"/>
  <c r="K8" i="2"/>
  <c r="K11" i="2"/>
  <c r="Z10" i="2"/>
  <c r="AA37" i="2"/>
  <c r="AF9" i="2"/>
  <c r="AJ6" i="2"/>
  <c r="AJ37" i="2"/>
  <c r="AD13" i="2"/>
  <c r="AB25" i="2"/>
  <c r="AB36" i="2"/>
  <c r="AC36" i="2"/>
  <c r="D5" i="29"/>
  <c r="AB2" i="2" s="1"/>
  <c r="AB2" i="13" s="1"/>
  <c r="AG37" i="2"/>
  <c r="AA24" i="2"/>
  <c r="AC8" i="2"/>
  <c r="AA8" i="2"/>
  <c r="AG8" i="2"/>
  <c r="AH8" i="2"/>
  <c r="AB8" i="2"/>
  <c r="AG6" i="2"/>
  <c r="Z5" i="2"/>
  <c r="AA15" i="2"/>
  <c r="AI12" i="2"/>
  <c r="AG33" i="2"/>
  <c r="AB23" i="2"/>
  <c r="AE25" i="2"/>
  <c r="AE22" i="2"/>
  <c r="AK19" i="2"/>
  <c r="D11" i="29"/>
  <c r="AH2" i="2" s="1"/>
  <c r="AH2" i="13" s="1"/>
  <c r="D8" i="29"/>
  <c r="AE2" i="2" s="1"/>
  <c r="AE2" i="13" s="1"/>
  <c r="AC14" i="2"/>
  <c r="AF12" i="2"/>
  <c r="D6" i="29"/>
  <c r="AC2" i="2" s="1"/>
  <c r="AC2" i="13" s="1"/>
  <c r="AD23" i="2"/>
  <c r="Z35" i="2"/>
  <c r="AK7" i="2"/>
  <c r="AG10" i="2"/>
  <c r="D9" i="29"/>
  <c r="AF2" i="2" s="1"/>
  <c r="AF2" i="13" s="1"/>
  <c r="AF34" i="13"/>
  <c r="AI23" i="2"/>
  <c r="AC25" i="2"/>
  <c r="K18" i="2"/>
  <c r="AC30" i="2"/>
  <c r="Z30" i="2"/>
  <c r="AA39" i="2"/>
  <c r="AG21" i="2"/>
  <c r="AD10" i="2"/>
  <c r="AK35" i="2"/>
  <c r="AD35" i="2"/>
  <c r="K25" i="2"/>
  <c r="AB10" i="2"/>
  <c r="AI19" i="2"/>
  <c r="D3" i="29"/>
  <c r="Z2" i="2" s="1"/>
  <c r="Z2" i="13" s="1"/>
  <c r="AI24" i="2"/>
  <c r="AJ13" i="2"/>
  <c r="AE4" i="2"/>
  <c r="AA4" i="2"/>
  <c r="AI37" i="2"/>
  <c r="AH36" i="2"/>
  <c r="AF13" i="2"/>
  <c r="AH37" i="2"/>
  <c r="AH24" i="2"/>
  <c r="AF22" i="2"/>
  <c r="AC22" i="2"/>
  <c r="AB15" i="2"/>
  <c r="AI6" i="2"/>
  <c r="AG5" i="2"/>
  <c r="AA13" i="2"/>
  <c r="AF15" i="2"/>
  <c r="AE12" i="2"/>
  <c r="AC12" i="2"/>
  <c r="AA38" i="2"/>
  <c r="AD4" i="2"/>
  <c r="AG4" i="2"/>
  <c r="AJ19" i="2"/>
  <c r="AA18" i="2"/>
  <c r="AE14" i="2"/>
  <c r="AF19" i="2"/>
  <c r="AE11" i="2"/>
  <c r="AJ33" i="2"/>
  <c r="AH9" i="2"/>
  <c r="AD19" i="2"/>
  <c r="AE17" i="2"/>
  <c r="K24" i="2"/>
  <c r="AK33" i="2"/>
  <c r="AA27" i="2"/>
  <c r="AI30" i="2"/>
  <c r="AF26" i="2"/>
  <c r="AJ5" i="2"/>
  <c r="AE5" i="2"/>
  <c r="AI5" i="2"/>
  <c r="AB6" i="2"/>
  <c r="AA25" i="2"/>
  <c r="Z25" i="2"/>
  <c r="AC6" i="2"/>
  <c r="AA6" i="2"/>
  <c r="AD25" i="2"/>
  <c r="AH6" i="2"/>
  <c r="AE30" i="2"/>
  <c r="AJ30" i="2"/>
  <c r="AK30" i="2"/>
  <c r="AH34" i="2"/>
  <c r="AD30" i="2"/>
  <c r="AD34" i="2"/>
  <c r="AF8" i="2"/>
  <c r="AD22" i="2"/>
  <c r="AG36" i="2"/>
  <c r="AJ4" i="2"/>
  <c r="AC4" i="2"/>
  <c r="AI11" i="2"/>
  <c r="AD37" i="2"/>
  <c r="AB37" i="2"/>
  <c r="AI9" i="2"/>
  <c r="AF16" i="2"/>
  <c r="AE16" i="2"/>
  <c r="AD6" i="2"/>
  <c r="AC13" i="2"/>
  <c r="AK15" i="2"/>
  <c r="AH38" i="2"/>
  <c r="AA23" i="2"/>
  <c r="Z38" i="2"/>
  <c r="AK16" i="2"/>
  <c r="AF4" i="2"/>
  <c r="AC19" i="2"/>
  <c r="AF14" i="2"/>
  <c r="Z18" i="2"/>
  <c r="Z19" i="2"/>
  <c r="AK11" i="2"/>
  <c r="AA10" i="2"/>
  <c r="AE10" i="2"/>
  <c r="Z9" i="2"/>
  <c r="Z37" i="2"/>
  <c r="AD32" i="2"/>
  <c r="AF32" i="2"/>
  <c r="AB32" i="2"/>
  <c r="AI32" i="2"/>
  <c r="AK37" i="2"/>
  <c r="AB11" i="2"/>
  <c r="Z11" i="2"/>
  <c r="AE37" i="2"/>
  <c r="AC11" i="2"/>
  <c r="AC37" i="2"/>
  <c r="AH4" i="2"/>
  <c r="AB4" i="2"/>
  <c r="AK24" i="13"/>
  <c r="AD24" i="13"/>
  <c r="AA33" i="13"/>
  <c r="AD34" i="13"/>
  <c r="Z12" i="13"/>
  <c r="AB11" i="13"/>
  <c r="AC24" i="13"/>
  <c r="AH11" i="13"/>
  <c r="AK12" i="13"/>
  <c r="AD23" i="13"/>
  <c r="W2" i="29"/>
  <c r="K39" i="2"/>
  <c r="K27" i="2"/>
  <c r="K26" i="2"/>
  <c r="K29" i="2"/>
  <c r="K30" i="2"/>
  <c r="AK39" i="2"/>
  <c r="Z39" i="2"/>
  <c r="AE27" i="2"/>
  <c r="AH22" i="2"/>
  <c r="AJ18" i="2"/>
  <c r="AG9" i="2"/>
  <c r="AD14" i="2"/>
  <c r="AJ14" i="2"/>
  <c r="AI7" i="2"/>
  <c r="AK14" i="2"/>
  <c r="AJ22" i="2"/>
  <c r="AF39" i="2"/>
  <c r="AC27" i="2"/>
  <c r="AK13" i="2"/>
  <c r="AD7" i="2"/>
  <c r="AJ7" i="2"/>
  <c r="Z14" i="2"/>
  <c r="D14" i="29"/>
  <c r="AK2" i="2" s="1"/>
  <c r="AK2" i="13" s="1"/>
  <c r="AI14" i="2"/>
  <c r="AE18" i="2"/>
  <c r="AB22" i="2"/>
  <c r="AG7" i="2"/>
  <c r="AB9" i="2"/>
  <c r="AA14" i="2"/>
  <c r="AG39" i="2"/>
  <c r="AD27" i="2"/>
  <c r="AA7" i="2"/>
  <c r="AA17" i="2"/>
  <c r="AI17" i="2"/>
  <c r="AF17" i="2"/>
  <c r="AA33" i="2"/>
  <c r="AD33" i="2"/>
  <c r="Z33" i="2"/>
  <c r="AF33" i="2"/>
  <c r="AJ26" i="2"/>
  <c r="AK26" i="2"/>
  <c r="AK12" i="2"/>
  <c r="AH26" i="2"/>
  <c r="AG19" i="2"/>
  <c r="AE19" i="2"/>
  <c r="AH12" i="2"/>
  <c r="AA19" i="2"/>
  <c r="AE26" i="2"/>
  <c r="AI26" i="2"/>
  <c r="AF10" i="2"/>
  <c r="AH23" i="2"/>
  <c r="AK23" i="2"/>
  <c r="AI16" i="2"/>
  <c r="AD16" i="2"/>
  <c r="AK8" i="2"/>
  <c r="AI10" i="2"/>
  <c r="AA36" i="2"/>
  <c r="AE38" i="2"/>
  <c r="AF24" i="2"/>
  <c r="AF28" i="2"/>
  <c r="AH21" i="2"/>
  <c r="AD15" i="2"/>
  <c r="AC21" i="2"/>
  <c r="AG38" i="2"/>
  <c r="AJ38" i="2"/>
  <c r="AC15" i="2"/>
  <c r="AK21" i="2"/>
  <c r="Z21" i="2"/>
  <c r="AE24" i="2"/>
  <c r="AK36" i="2"/>
  <c r="AG24" i="2"/>
  <c r="AB24" i="2"/>
  <c r="AJ24" i="2"/>
  <c r="AE6" i="2"/>
  <c r="AH33" i="2"/>
  <c r="AD12" i="2"/>
  <c r="AD38" i="2"/>
  <c r="AK22" i="2"/>
  <c r="D13" i="29"/>
  <c r="AJ2" i="2" s="1"/>
  <c r="AJ2" i="13" s="1"/>
  <c r="D12" i="29"/>
  <c r="AI2" i="2" s="1"/>
  <c r="AI2" i="13" s="1"/>
  <c r="AC7" i="2"/>
  <c r="AF35" i="2"/>
  <c r="AI21" i="2"/>
  <c r="AJ12" i="2"/>
  <c r="AJ9" i="2"/>
  <c r="AD17" i="2"/>
  <c r="AB19" i="2"/>
  <c r="AF12" i="13"/>
  <c r="AJ23" i="2"/>
  <c r="Z27" i="2"/>
  <c r="AG26" i="2"/>
  <c r="AC39" i="2"/>
  <c r="AE29" i="13"/>
  <c r="AD29" i="13"/>
  <c r="AC29" i="2"/>
  <c r="AB29" i="2"/>
  <c r="K12" i="2"/>
  <c r="K6" i="2"/>
  <c r="AA29" i="13"/>
  <c r="AH10" i="13"/>
  <c r="AH31" i="13"/>
  <c r="AC20" i="2"/>
  <c r="AE20" i="2"/>
  <c r="AS12" i="29"/>
  <c r="AI12" i="29"/>
  <c r="AZ12" i="29"/>
  <c r="BH12" i="29"/>
  <c r="AD10" i="13"/>
  <c r="AH29" i="2"/>
  <c r="AK29" i="13"/>
  <c r="AW12" i="29"/>
  <c r="AG29" i="13"/>
  <c r="Z39" i="13"/>
  <c r="AI10" i="13"/>
  <c r="BI12" i="29"/>
  <c r="BE12" i="29"/>
  <c r="AD29" i="2"/>
  <c r="AK29" i="2"/>
  <c r="AD31" i="2"/>
  <c r="AA5" i="2"/>
  <c r="AG17" i="2"/>
  <c r="Z26" i="2"/>
  <c r="Z12" i="2"/>
  <c r="AI8" i="2"/>
  <c r="AA11" i="2"/>
  <c r="AA21" i="2"/>
  <c r="AG28" i="2"/>
  <c r="AH15" i="13"/>
  <c r="AJ36" i="13"/>
  <c r="AD37" i="13"/>
  <c r="AA32" i="13"/>
  <c r="AG38" i="13"/>
  <c r="AD15" i="13"/>
  <c r="AB7" i="13"/>
  <c r="AH4" i="13"/>
  <c r="AK32" i="13"/>
  <c r="AK36" i="13"/>
  <c r="AK37" i="13"/>
  <c r="AH6" i="13"/>
  <c r="E9" i="30"/>
  <c r="AF1" i="13" s="1"/>
  <c r="AF1" i="2" s="1"/>
  <c r="AC4" i="13"/>
  <c r="E8" i="30"/>
  <c r="AE1" i="13" s="1"/>
  <c r="AE1" i="2" s="1"/>
  <c r="AD38" i="13"/>
  <c r="E6" i="30"/>
  <c r="AC1" i="13" s="1"/>
  <c r="AC1" i="2" s="1"/>
  <c r="E5" i="30"/>
  <c r="AB1" i="13" s="1"/>
  <c r="AB1" i="2" s="1"/>
  <c r="E4" i="30"/>
  <c r="AA1" i="13" s="1"/>
  <c r="AA1" i="2" s="1"/>
  <c r="AE21" i="13"/>
  <c r="AH32" i="13"/>
  <c r="AK14" i="13"/>
  <c r="Z17" i="13"/>
  <c r="Z8" i="13"/>
  <c r="AG17" i="13"/>
  <c r="AC30" i="13"/>
  <c r="AI26" i="13"/>
  <c r="AA5" i="13"/>
  <c r="AB32" i="13"/>
  <c r="AG15" i="13"/>
  <c r="AI21" i="13"/>
  <c r="AA25" i="13"/>
  <c r="AH38" i="13"/>
  <c r="AF16" i="13"/>
  <c r="AH17" i="13"/>
  <c r="AI17" i="13"/>
  <c r="AJ38" i="13"/>
  <c r="AK18" i="13"/>
  <c r="AA18" i="13"/>
  <c r="AF5" i="13"/>
  <c r="AF17" i="13"/>
  <c r="AA14" i="13"/>
  <c r="AJ8" i="13"/>
  <c r="AE25" i="13"/>
  <c r="Z7" i="13"/>
  <c r="AF32" i="13"/>
  <c r="AG32" i="13"/>
  <c r="AF36" i="13"/>
  <c r="AF37" i="13"/>
  <c r="AA16" i="13"/>
  <c r="AB17" i="13"/>
  <c r="AG27" i="13"/>
  <c r="AI39" i="13"/>
  <c r="AC7" i="13"/>
  <c r="AB37" i="13"/>
  <c r="AB39" i="13"/>
  <c r="AK39" i="13"/>
  <c r="AD39" i="13"/>
  <c r="AJ39" i="13"/>
  <c r="AE30" i="13"/>
  <c r="AF30" i="13"/>
  <c r="AG30" i="13"/>
  <c r="Z30" i="13"/>
  <c r="AA30" i="13"/>
  <c r="AB30" i="13"/>
  <c r="AF39" i="13"/>
  <c r="AC39" i="13"/>
  <c r="AD30" i="13"/>
  <c r="AH30" i="13"/>
  <c r="AE39" i="13"/>
  <c r="AG39" i="13"/>
  <c r="AK30" i="13"/>
  <c r="Z38" i="13"/>
  <c r="Z37" i="13"/>
  <c r="AH39" i="13"/>
  <c r="Z27" i="13"/>
  <c r="AI27" i="13"/>
  <c r="AJ27" i="13"/>
  <c r="AK27" i="13"/>
  <c r="AD27" i="13"/>
  <c r="AE27" i="13"/>
  <c r="AF27" i="13"/>
  <c r="AA37" i="13"/>
  <c r="AA39" i="13"/>
  <c r="AH27" i="13"/>
  <c r="AB21" i="13"/>
  <c r="AG25" i="13"/>
  <c r="AE5" i="13"/>
  <c r="AI7" i="13"/>
  <c r="AG21" i="13"/>
  <c r="AH18" i="13"/>
  <c r="AE4" i="13"/>
  <c r="AD13" i="13"/>
  <c r="AJ6" i="13"/>
  <c r="AE32" i="13"/>
  <c r="AG7" i="13"/>
  <c r="AG16" i="13"/>
  <c r="AD8" i="13"/>
  <c r="AH25" i="13"/>
  <c r="AB5" i="13"/>
  <c r="AH19" i="13"/>
  <c r="AE14" i="13"/>
  <c r="AF38" i="13"/>
  <c r="AB13" i="13"/>
  <c r="AI38" i="13"/>
  <c r="AG19" i="13"/>
  <c r="Z32" i="13"/>
  <c r="AD28" i="13"/>
  <c r="AH28" i="13"/>
  <c r="AI28" i="13"/>
  <c r="AJ28" i="13"/>
  <c r="AK26" i="13"/>
  <c r="Z34" i="13"/>
  <c r="AF24" i="13"/>
  <c r="AE24" i="13"/>
  <c r="AG35" i="13"/>
  <c r="AJ32" i="13"/>
  <c r="AF21" i="13"/>
  <c r="AB25" i="13"/>
  <c r="AB8" i="13"/>
  <c r="AH34" i="13"/>
  <c r="AI33" i="13"/>
  <c r="AG34" i="13"/>
  <c r="AH12" i="13"/>
  <c r="AJ23" i="13"/>
  <c r="AH9" i="13"/>
  <c r="AK22" i="13"/>
  <c r="Z33" i="13"/>
  <c r="AH35" i="13"/>
  <c r="AH13" i="13"/>
  <c r="AI8" i="13"/>
  <c r="AK25" i="13"/>
  <c r="AC6" i="13"/>
  <c r="AJ4" i="13"/>
  <c r="AE18" i="13"/>
  <c r="AK15" i="13"/>
  <c r="Z5" i="13"/>
  <c r="AK44" i="13"/>
  <c r="AL44" i="13" s="1"/>
  <c r="AC28" i="13"/>
  <c r="AA4" i="13"/>
  <c r="AE19" i="13"/>
  <c r="AB14" i="13"/>
  <c r="E3" i="30"/>
  <c r="Z1" i="13" s="1"/>
  <c r="AB15" i="13"/>
  <c r="AD17" i="13"/>
  <c r="AF14" i="13"/>
  <c r="AD19" i="13"/>
  <c r="AK44" i="2"/>
  <c r="AL44" i="2" s="1"/>
  <c r="AE26" i="13"/>
  <c r="AF26" i="13"/>
  <c r="AG26" i="13"/>
  <c r="Z26" i="13"/>
  <c r="AA26" i="13"/>
  <c r="AB26" i="13"/>
  <c r="AB9" i="13"/>
  <c r="AC32" i="13"/>
  <c r="Z15" i="13"/>
  <c r="AI15" i="13"/>
  <c r="AC19" i="13"/>
  <c r="E7" i="30"/>
  <c r="AD1" i="13" s="1"/>
  <c r="AF6" i="13"/>
  <c r="AK6" i="13"/>
  <c r="AF9" i="13"/>
  <c r="AK28" i="13"/>
  <c r="AE28" i="13"/>
  <c r="AF28" i="13"/>
  <c r="AG28" i="13"/>
  <c r="Z28" i="13"/>
  <c r="AA28" i="13"/>
  <c r="AB28" i="13"/>
  <c r="AC26" i="13"/>
  <c r="AK8" i="13"/>
  <c r="AI4" i="13"/>
  <c r="AJ24" i="13"/>
  <c r="AC34" i="13"/>
  <c r="AC5" i="13"/>
  <c r="AI13" i="13"/>
  <c r="AF15" i="13"/>
  <c r="AC16" i="13"/>
  <c r="AD32" i="13"/>
  <c r="AB24" i="13"/>
  <c r="AA17" i="13"/>
  <c r="AF25" i="13"/>
  <c r="Z16" i="13"/>
  <c r="AD5" i="13"/>
  <c r="AE17" i="13"/>
  <c r="AF18" i="13"/>
  <c r="AK16" i="13"/>
  <c r="AC38" i="13"/>
  <c r="AA15" i="13"/>
  <c r="AI14" i="13"/>
  <c r="AH14" i="13"/>
  <c r="AD16" i="13"/>
  <c r="AF7" i="13"/>
  <c r="AD14" i="13"/>
  <c r="AC8" i="13"/>
  <c r="AK21" i="13"/>
  <c r="AJ17" i="13"/>
  <c r="AA38" i="13"/>
  <c r="AG13" i="13"/>
  <c r="AG4" i="13"/>
  <c r="AG6" i="13"/>
  <c r="AI19" i="13"/>
  <c r="AC36" i="13"/>
  <c r="AG18" i="13"/>
  <c r="AA8" i="13"/>
  <c r="AJ18" i="13"/>
  <c r="AJ30" i="13"/>
  <c r="AJ15" i="13"/>
  <c r="AC21" i="13"/>
  <c r="AE36" i="13"/>
  <c r="AB16" i="13"/>
  <c r="AE13" i="13"/>
  <c r="AA19" i="13"/>
  <c r="AJ5" i="13"/>
  <c r="AB6" i="13"/>
  <c r="AJ7" i="13"/>
  <c r="AA21" i="13"/>
  <c r="AD6" i="13"/>
  <c r="AE38" i="13"/>
  <c r="AJ19" i="13"/>
  <c r="AJ21" i="13"/>
  <c r="AH5" i="13"/>
  <c r="AI16" i="13"/>
  <c r="Z14" i="13"/>
  <c r="AH21" i="13"/>
  <c r="AG36" i="13"/>
  <c r="AI30" i="13"/>
  <c r="AA36" i="13"/>
  <c r="AB38" i="13"/>
  <c r="AH8" i="13"/>
  <c r="AK19" i="13"/>
  <c r="AI37" i="13"/>
  <c r="AJ26" i="13"/>
  <c r="AH26" i="13"/>
  <c r="AC27" i="13"/>
  <c r="AB27" i="13"/>
  <c r="AA27" i="13"/>
  <c r="AD26" i="13"/>
  <c r="AG23" i="2"/>
  <c r="AH27" i="2"/>
  <c r="AC28" i="2"/>
  <c r="AB28" i="2"/>
  <c r="AA28" i="2"/>
  <c r="Z28" i="2"/>
  <c r="AK27" i="2"/>
  <c r="AB27" i="2"/>
  <c r="AI27" i="2"/>
  <c r="AB39" i="2"/>
  <c r="AD39" i="2"/>
  <c r="AD21" i="2"/>
  <c r="AB21" i="2"/>
  <c r="AF21" i="2"/>
  <c r="AF11" i="2"/>
  <c r="BF12" i="29"/>
  <c r="AC26" i="2"/>
  <c r="AB26" i="2"/>
  <c r="AA26" i="2"/>
  <c r="AU12" i="29"/>
  <c r="AF30" i="2"/>
  <c r="AE28" i="2"/>
  <c r="AH39" i="2"/>
  <c r="AF38" i="2"/>
  <c r="AB12" i="2"/>
  <c r="AC38" i="2"/>
  <c r="AI25" i="2"/>
  <c r="AH25" i="2"/>
  <c r="D4" i="29"/>
  <c r="AA2" i="2" s="1"/>
  <c r="AD18" i="2"/>
  <c r="AE7" i="2"/>
  <c r="AG14" i="2"/>
  <c r="AF7" i="2"/>
  <c r="AL12" i="29"/>
  <c r="AJ21" i="2"/>
  <c r="AG34" i="2"/>
  <c r="AE9" i="2"/>
  <c r="AG22" i="2"/>
  <c r="AG15" i="2"/>
  <c r="Z23" i="2"/>
  <c r="AG12" i="29"/>
  <c r="AH13" i="2"/>
  <c r="AE15" i="2"/>
  <c r="BD12" i="29"/>
  <c r="AD28" i="2"/>
  <c r="AK28" i="2"/>
  <c r="AJ28" i="2"/>
  <c r="AC29" i="13"/>
  <c r="AI28" i="2"/>
  <c r="AB29" i="13"/>
  <c r="AH28" i="2"/>
  <c r="AJ27" i="2"/>
  <c r="AJ39" i="2"/>
  <c r="AE39" i="2"/>
  <c r="AL20" i="13" l="1"/>
  <c r="AN20" i="13" s="1"/>
  <c r="AL34" i="2"/>
  <c r="AN34" i="2" s="1"/>
  <c r="AL18" i="2"/>
  <c r="AN18" i="2" s="1"/>
  <c r="AO43" i="13"/>
  <c r="AL13" i="2"/>
  <c r="AN13" i="2" s="1"/>
  <c r="AL23" i="13"/>
  <c r="AN23" i="13" s="1"/>
  <c r="AL16" i="2"/>
  <c r="AN16" i="2" s="1"/>
  <c r="AL35" i="2"/>
  <c r="AN35" i="2" s="1"/>
  <c r="AL40" i="13"/>
  <c r="AN40" i="13" s="1"/>
  <c r="AL33" i="13"/>
  <c r="AN33" i="13" s="1"/>
  <c r="AM41" i="2"/>
  <c r="AL22" i="13"/>
  <c r="AN22" i="13" s="1"/>
  <c r="AL17" i="2"/>
  <c r="AN17" i="2" s="1"/>
  <c r="AL32" i="2"/>
  <c r="AM43" i="2"/>
  <c r="AL41" i="2"/>
  <c r="AN41" i="2" s="1"/>
  <c r="AL31" i="2"/>
  <c r="AN31" i="2" s="1"/>
  <c r="AL20" i="2"/>
  <c r="AN20" i="2" s="1"/>
  <c r="AL12" i="2"/>
  <c r="AN12" i="2" s="1"/>
  <c r="AM42" i="2"/>
  <c r="AL31" i="13"/>
  <c r="AN31" i="13" s="1"/>
  <c r="AL37" i="2"/>
  <c r="AN37" i="2" s="1"/>
  <c r="AL12" i="13"/>
  <c r="AN12" i="13" s="1"/>
  <c r="AM43" i="13"/>
  <c r="AL5" i="2"/>
  <c r="AN5" i="2" s="1"/>
  <c r="AL33" i="2"/>
  <c r="AN33" i="2" s="1"/>
  <c r="AL11" i="13"/>
  <c r="AN11" i="13" s="1"/>
  <c r="AL6" i="2"/>
  <c r="AN6" i="2" s="1"/>
  <c r="AL4" i="2"/>
  <c r="AN4" i="2" s="1"/>
  <c r="AL42" i="2"/>
  <c r="AN42" i="2" s="1"/>
  <c r="AL10" i="13"/>
  <c r="AN10" i="13" s="1"/>
  <c r="AL29" i="2"/>
  <c r="AN29" i="2" s="1"/>
  <c r="AL24" i="2"/>
  <c r="AN24" i="2" s="1"/>
  <c r="AL41" i="13"/>
  <c r="AL40" i="2"/>
  <c r="AN40" i="2" s="1"/>
  <c r="AL42" i="13"/>
  <c r="AL19" i="13"/>
  <c r="AN19" i="13" s="1"/>
  <c r="AL30" i="2"/>
  <c r="AN30" i="2" s="1"/>
  <c r="AL11" i="2"/>
  <c r="AN11" i="2" s="1"/>
  <c r="AL26" i="13"/>
  <c r="AN26" i="13" s="1"/>
  <c r="AL4" i="13"/>
  <c r="AN4" i="13" s="1"/>
  <c r="AL35" i="13"/>
  <c r="AN35" i="13" s="1"/>
  <c r="AL13" i="13"/>
  <c r="AN13" i="13" s="1"/>
  <c r="AL39" i="13"/>
  <c r="AN39" i="13" s="1"/>
  <c r="AL25" i="13"/>
  <c r="AN25" i="13" s="1"/>
  <c r="AL19" i="2"/>
  <c r="AN19" i="2" s="1"/>
  <c r="AL10" i="2"/>
  <c r="AN10" i="2" s="1"/>
  <c r="AL18" i="13"/>
  <c r="AN18" i="13" s="1"/>
  <c r="AL22" i="2"/>
  <c r="AN22" i="2" s="1"/>
  <c r="AL14" i="2"/>
  <c r="AN14" i="2" s="1"/>
  <c r="AL24" i="13"/>
  <c r="AN24" i="13" s="1"/>
  <c r="AL6" i="13"/>
  <c r="AN6" i="13" s="1"/>
  <c r="AL28" i="13"/>
  <c r="AN28" i="13" s="1"/>
  <c r="AL36" i="2"/>
  <c r="AN36" i="2" s="1"/>
  <c r="AL9" i="2"/>
  <c r="AN9" i="2" s="1"/>
  <c r="AL8" i="2"/>
  <c r="AN8" i="2" s="1"/>
  <c r="AM40" i="2"/>
  <c r="AA2" i="13"/>
  <c r="AL2" i="13" s="1"/>
  <c r="AO17" i="2"/>
  <c r="AL23" i="2"/>
  <c r="AL8" i="13"/>
  <c r="AL7" i="2"/>
  <c r="AM17" i="13"/>
  <c r="AL17" i="13"/>
  <c r="AN17" i="13" s="1"/>
  <c r="AL2" i="2"/>
  <c r="AM17" i="2"/>
  <c r="BN12" i="29"/>
  <c r="BO12" i="29"/>
  <c r="AL28" i="2"/>
  <c r="AL36" i="13"/>
  <c r="AL15" i="13"/>
  <c r="AL7" i="13"/>
  <c r="AL30" i="13"/>
  <c r="AL21" i="2"/>
  <c r="AN44" i="2"/>
  <c r="AL27" i="13"/>
  <c r="AL16" i="13"/>
  <c r="AD1" i="2"/>
  <c r="Z1" i="2"/>
  <c r="AL1" i="13"/>
  <c r="AL25" i="2"/>
  <c r="AL9" i="13"/>
  <c r="AL32" i="13"/>
  <c r="BP12" i="29"/>
  <c r="AL27" i="2"/>
  <c r="AL26" i="2"/>
  <c r="AL21" i="13"/>
  <c r="AN44" i="13"/>
  <c r="AL37" i="13"/>
  <c r="AL15" i="2"/>
  <c r="AL29" i="13"/>
  <c r="AL38" i="2"/>
  <c r="AL39" i="2"/>
  <c r="AL14" i="13"/>
  <c r="AL5" i="13"/>
  <c r="AL34" i="13"/>
  <c r="AL38" i="13"/>
  <c r="BM12" i="29"/>
  <c r="AO40" i="13" l="1"/>
  <c r="AM40" i="13"/>
  <c r="AM12" i="2"/>
  <c r="AM4" i="13"/>
  <c r="AM30" i="2"/>
  <c r="AM13" i="2"/>
  <c r="AM4" i="2"/>
  <c r="AM14" i="2"/>
  <c r="AO37" i="2"/>
  <c r="AM32" i="2"/>
  <c r="AN32" i="2"/>
  <c r="AL1" i="2"/>
  <c r="AM44" i="2" s="1"/>
  <c r="AN41" i="13"/>
  <c r="AO41" i="13"/>
  <c r="AM41" i="13"/>
  <c r="AM37" i="2"/>
  <c r="AN42" i="13"/>
  <c r="AM42" i="13"/>
  <c r="AO42" i="13"/>
  <c r="AM26" i="13"/>
  <c r="AM12" i="13"/>
  <c r="AM28" i="13"/>
  <c r="AM33" i="13"/>
  <c r="AM23" i="13"/>
  <c r="AM9" i="2"/>
  <c r="AM18" i="2"/>
  <c r="AM34" i="2"/>
  <c r="AM11" i="2"/>
  <c r="BR11" i="29"/>
  <c r="BR5" i="29"/>
  <c r="BR6" i="29"/>
  <c r="BR12" i="29"/>
  <c r="AN29" i="13"/>
  <c r="AM29" i="13"/>
  <c r="AM28" i="2"/>
  <c r="AN28" i="2"/>
  <c r="AM25" i="13"/>
  <c r="AM22" i="2"/>
  <c r="AN21" i="13"/>
  <c r="AM21" i="13"/>
  <c r="BR9" i="29"/>
  <c r="BR3" i="29"/>
  <c r="AM19" i="13"/>
  <c r="AN32" i="13"/>
  <c r="AM32" i="13"/>
  <c r="AM11" i="13"/>
  <c r="AM7" i="13"/>
  <c r="AN7" i="13"/>
  <c r="AM7" i="2"/>
  <c r="AN7" i="2"/>
  <c r="AM39" i="13"/>
  <c r="AM15" i="2"/>
  <c r="AN15" i="2"/>
  <c r="AM34" i="13"/>
  <c r="AN34" i="13"/>
  <c r="AN27" i="2"/>
  <c r="AM27" i="2"/>
  <c r="AM5" i="13"/>
  <c r="AN5" i="13"/>
  <c r="AN9" i="13"/>
  <c r="AM9" i="13"/>
  <c r="AM27" i="13"/>
  <c r="AN27" i="13"/>
  <c r="AM15" i="13"/>
  <c r="AN15" i="13"/>
  <c r="AM13" i="13"/>
  <c r="AM22" i="13"/>
  <c r="AO38" i="13"/>
  <c r="AN38" i="13"/>
  <c r="AM38" i="13"/>
  <c r="AN25" i="2"/>
  <c r="AM25" i="2"/>
  <c r="AN16" i="13"/>
  <c r="AM16" i="13"/>
  <c r="AM26" i="2"/>
  <c r="AN26" i="2"/>
  <c r="AN14" i="13"/>
  <c r="AM14" i="13"/>
  <c r="AM39" i="2"/>
  <c r="AN39" i="2"/>
  <c r="AN2" i="13"/>
  <c r="AO19" i="13" s="1"/>
  <c r="AM31" i="13"/>
  <c r="AM10" i="13"/>
  <c r="AM20" i="13"/>
  <c r="AM30" i="13"/>
  <c r="AN30" i="13"/>
  <c r="AM24" i="13"/>
  <c r="AM29" i="2"/>
  <c r="AN2" i="2"/>
  <c r="AO12" i="2" s="1"/>
  <c r="AM19" i="2"/>
  <c r="AM5" i="2"/>
  <c r="AO43" i="2"/>
  <c r="AM36" i="2"/>
  <c r="AM8" i="2"/>
  <c r="AM10" i="2"/>
  <c r="AO24" i="2"/>
  <c r="AM24" i="2"/>
  <c r="AM31" i="2"/>
  <c r="AO41" i="2"/>
  <c r="AO36" i="2"/>
  <c r="AM16" i="2"/>
  <c r="AO40" i="2"/>
  <c r="AM20" i="2"/>
  <c r="AO42" i="2"/>
  <c r="AM35" i="2"/>
  <c r="AM6" i="2"/>
  <c r="AM33" i="2"/>
  <c r="AM8" i="13"/>
  <c r="AN8" i="13"/>
  <c r="AM6" i="13"/>
  <c r="AM35" i="13"/>
  <c r="BR10" i="29"/>
  <c r="BR4" i="29"/>
  <c r="AN37" i="13"/>
  <c r="AO37" i="13"/>
  <c r="AM37" i="13"/>
  <c r="AM38" i="2"/>
  <c r="AN38" i="2"/>
  <c r="AO38" i="2" s="1"/>
  <c r="AM44" i="13"/>
  <c r="AM21" i="2"/>
  <c r="AN21" i="2"/>
  <c r="AM36" i="13"/>
  <c r="AO36" i="13"/>
  <c r="AN36" i="13"/>
  <c r="AO17" i="13"/>
  <c r="AM23" i="2"/>
  <c r="AN23" i="2"/>
  <c r="AM18" i="13"/>
  <c r="AO15" i="13" l="1"/>
  <c r="AO5" i="13"/>
  <c r="AO18" i="13"/>
  <c r="AO23" i="2"/>
  <c r="AO21" i="2"/>
  <c r="AO12" i="13"/>
  <c r="AO22" i="2"/>
  <c r="AO32" i="2"/>
  <c r="AO13" i="2"/>
  <c r="AO30" i="2"/>
  <c r="AO11" i="2"/>
  <c r="AO14" i="2"/>
  <c r="AO18" i="2"/>
  <c r="AO44" i="2"/>
  <c r="AO39" i="2"/>
  <c r="AO25" i="2"/>
  <c r="AO27" i="2"/>
  <c r="AO15" i="2"/>
  <c r="AO7" i="2"/>
  <c r="AO28" i="2"/>
  <c r="AO30" i="13"/>
  <c r="AO13" i="13"/>
  <c r="AO27" i="13"/>
  <c r="AO32" i="13"/>
  <c r="AO8" i="13"/>
  <c r="AO24" i="13"/>
  <c r="AO35" i="13"/>
  <c r="AO33" i="13"/>
  <c r="AO34" i="13"/>
  <c r="AO39" i="13"/>
  <c r="AO6" i="13"/>
  <c r="AO4" i="2"/>
  <c r="AO14" i="13"/>
  <c r="AO4" i="13"/>
  <c r="AO9" i="13"/>
  <c r="AO7" i="13"/>
  <c r="AO21" i="13"/>
  <c r="AO44" i="13"/>
  <c r="AO11" i="13"/>
  <c r="AO16" i="13"/>
  <c r="AO28" i="13"/>
  <c r="AO10" i="2"/>
  <c r="AO5" i="2"/>
  <c r="AO8" i="2"/>
  <c r="AO19" i="2"/>
  <c r="AO31" i="2"/>
  <c r="AO29" i="2"/>
  <c r="AO33" i="2"/>
  <c r="AO20" i="2"/>
  <c r="AO35" i="2"/>
  <c r="AO6" i="2"/>
  <c r="AO16" i="2"/>
  <c r="AO26" i="2"/>
  <c r="AO34" i="2"/>
  <c r="AO26" i="13"/>
  <c r="AO9" i="2"/>
  <c r="AO25" i="13"/>
  <c r="AO29" i="13"/>
  <c r="AO20" i="13"/>
  <c r="AO10" i="13"/>
  <c r="AO31" i="13"/>
  <c r="AO22" i="13"/>
  <c r="AO2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tc={639DB558-DA5E-45C4-A616-0D4F7EB3E662}</author>
  </authors>
  <commentList>
    <comment ref="S44" authorId="0" shapeId="0" xr:uid="{639DB558-DA5E-45C4-A616-0D4F7EB3E662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19th August 24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tc={AFC2D61A-65DE-47D6-8439-095B6C10C983}</author>
  </authors>
  <commentList>
    <comment ref="AX609" authorId="0" shapeId="0" xr:uid="{AFC2D61A-65DE-47D6-8439-095B6C10C983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 sent to helpdesk 27/11 to correct non response to response task</t>
      </text>
    </comment>
  </commentList>
</comments>
</file>

<file path=xl/sharedStrings.xml><?xml version="1.0" encoding="utf-8"?>
<sst xmlns="http://schemas.openxmlformats.org/spreadsheetml/2006/main" count="31733" uniqueCount="2280">
  <si>
    <t>Call event type</t>
  </si>
  <si>
    <t>Musters</t>
  </si>
  <si>
    <t>Total Calls</t>
  </si>
  <si>
    <t>Total</t>
  </si>
  <si>
    <t>Monthly Call Count</t>
  </si>
  <si>
    <t>Month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</si>
  <si>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</si>
  <si>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</si>
  <si>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</si>
  <si>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</si>
  <si>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</si>
  <si>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</si>
  <si>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</si>
  <si>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</si>
  <si>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</t>
  </si>
  <si>
    <t>Totals</t>
  </si>
  <si>
    <t>January</t>
  </si>
  <si>
    <t>Febuary</t>
  </si>
  <si>
    <t>March</t>
  </si>
  <si>
    <t>April</t>
  </si>
  <si>
    <t>Average Call Attendance</t>
  </si>
  <si>
    <t>CFO John Robinson</t>
  </si>
  <si>
    <t>OF</t>
  </si>
  <si>
    <t>DCFO Bharat Ravji</t>
  </si>
  <si>
    <t>SSO Darcy Hart</t>
  </si>
  <si>
    <t>SSO Vaughan Wood</t>
  </si>
  <si>
    <t>SO Richard Jellyman</t>
  </si>
  <si>
    <t>SO Richard Irving</t>
  </si>
  <si>
    <t>SO Darryn Pritchard</t>
  </si>
  <si>
    <t>SO Jon White</t>
  </si>
  <si>
    <t>SFF Brent Reynolds</t>
  </si>
  <si>
    <t>DR*</t>
  </si>
  <si>
    <t>SFF Joseph O'Neill-Gregory</t>
  </si>
  <si>
    <t>DR</t>
  </si>
  <si>
    <t>SFF Grant Robertson</t>
  </si>
  <si>
    <t>SFF William O'Connell</t>
  </si>
  <si>
    <t>SFF Robert Mayo</t>
  </si>
  <si>
    <t>SFF Brody Jellyman</t>
  </si>
  <si>
    <t>QFF Symon Maxwell</t>
  </si>
  <si>
    <t>QFF Ian Chapman</t>
  </si>
  <si>
    <t>QFF Melanie Yates</t>
  </si>
  <si>
    <t>QFF Maree Primrose</t>
  </si>
  <si>
    <t>QFF Russell Clarke</t>
  </si>
  <si>
    <t>QFF Andrew Bond</t>
  </si>
  <si>
    <t>QFF Alan Binnie</t>
  </si>
  <si>
    <t>QFF Josh Pennefather</t>
  </si>
  <si>
    <t>QFF Ben Killgour</t>
  </si>
  <si>
    <t>QFF Dallas Steele</t>
  </si>
  <si>
    <t>QFF Nick Grayson</t>
  </si>
  <si>
    <t>QFF Jason Court</t>
  </si>
  <si>
    <t>QFF Crystal McConchie</t>
  </si>
  <si>
    <t>FF Jimmy Doyle</t>
  </si>
  <si>
    <t>FF Dimmy Bell-Kainiu</t>
  </si>
  <si>
    <t>FF Mitch Court</t>
  </si>
  <si>
    <t>*</t>
  </si>
  <si>
    <t>FF Jamie O'Hare</t>
  </si>
  <si>
    <t>FF Kaitlyn Evans</t>
  </si>
  <si>
    <t>-</t>
  </si>
  <si>
    <t>FF Jaime Moore</t>
  </si>
  <si>
    <t>FF Torrens Butcher</t>
  </si>
  <si>
    <t>FF Matt Humber</t>
  </si>
  <si>
    <t>RFF Leone Humber</t>
  </si>
  <si>
    <t>RFF Joel Robbins</t>
  </si>
  <si>
    <t>RFF Tracey Brownlee</t>
  </si>
  <si>
    <t>RFF Sacha Hoole</t>
  </si>
  <si>
    <t>RFF Callum Reid</t>
  </si>
  <si>
    <t>RFF Jack Piggott-Newton</t>
  </si>
  <si>
    <t>Total Musters</t>
  </si>
  <si>
    <t>Average</t>
  </si>
  <si>
    <t>Novober</t>
  </si>
  <si>
    <t>FF James O'Hare</t>
  </si>
  <si>
    <t>RFF Jack Piggott Newton</t>
  </si>
  <si>
    <t>Call Number</t>
  </si>
  <si>
    <t>Completion time</t>
  </si>
  <si>
    <t>Time</t>
  </si>
  <si>
    <t>Date2</t>
  </si>
  <si>
    <t>Date</t>
  </si>
  <si>
    <t>Next Call Number</t>
  </si>
  <si>
    <t>AI Response ID</t>
  </si>
  <si>
    <t>Event Number2</t>
  </si>
  <si>
    <t>Event Number</t>
  </si>
  <si>
    <t>MonthNo</t>
  </si>
  <si>
    <t>Row Number</t>
  </si>
  <si>
    <t>Event Type</t>
  </si>
  <si>
    <t>Incident Info2</t>
  </si>
  <si>
    <t>Incident Info</t>
  </si>
  <si>
    <t>CPN</t>
  </si>
  <si>
    <t>Number of Trucks</t>
  </si>
  <si>
    <t>Appliances</t>
  </si>
  <si>
    <t>Address2</t>
  </si>
  <si>
    <t xml:space="preserve">Address </t>
  </si>
  <si>
    <t>Cross Streets</t>
  </si>
  <si>
    <t>Result</t>
  </si>
  <si>
    <t>OIC</t>
  </si>
  <si>
    <t>Number of Responders</t>
  </si>
  <si>
    <t>Number of Drivers</t>
  </si>
  <si>
    <t>Number of Officers</t>
  </si>
  <si>
    <t>Number of FF</t>
  </si>
  <si>
    <t>Submitted By</t>
  </si>
  <si>
    <t>Notes</t>
  </si>
  <si>
    <t>Current Call Count:</t>
  </si>
  <si>
    <t>Current Month</t>
  </si>
  <si>
    <t>Next Row</t>
  </si>
  <si>
    <t>OFFICER, DRIVER, RECRUIT</t>
  </si>
  <si>
    <t>RC</t>
  </si>
  <si>
    <t>Jan</t>
  </si>
  <si>
    <t>Chainsaw Op</t>
  </si>
  <si>
    <t>C</t>
  </si>
  <si>
    <t>Less than 2 OF</t>
  </si>
  <si>
    <t>Feb</t>
  </si>
  <si>
    <t>BA Filler</t>
  </si>
  <si>
    <t>BA</t>
  </si>
  <si>
    <t>Less than 2 DR</t>
  </si>
  <si>
    <t>Mar</t>
  </si>
  <si>
    <t>FF</t>
  </si>
  <si>
    <t>Less Than 6 FF</t>
  </si>
  <si>
    <t>Apr</t>
  </si>
  <si>
    <t>Less than 8 Total</t>
  </si>
  <si>
    <t>2 P Calls</t>
  </si>
  <si>
    <t>Less than 1 OF</t>
  </si>
  <si>
    <t>Aug</t>
  </si>
  <si>
    <t>Less than 1 DR</t>
  </si>
  <si>
    <t>Sep</t>
  </si>
  <si>
    <t>Calls attended</t>
  </si>
  <si>
    <t>Less Than 3 FF</t>
  </si>
  <si>
    <t>Oct</t>
  </si>
  <si>
    <t>% To Date</t>
  </si>
  <si>
    <t>Less than 4 Total</t>
  </si>
  <si>
    <t>Nov</t>
  </si>
  <si>
    <t>1 P Calls</t>
  </si>
  <si>
    <t>Dec</t>
  </si>
  <si>
    <t>Needs Editing.</t>
  </si>
  <si>
    <t>F4120384</t>
  </si>
  <si>
    <t>MED</t>
  </si>
  <si>
    <t>Medical</t>
  </si>
  <si>
    <t>["PUKE551"]</t>
  </si>
  <si>
    <t>17a Prospect Terrace, Pukekohe</t>
  </si>
  <si>
    <t>XStr THE GLADE SOUTH</t>
  </si>
  <si>
    <t>K41-1</t>
  </si>
  <si>
    <t>SSO Wood</t>
  </si>
  <si>
    <t>.</t>
  </si>
  <si>
    <t>I</t>
  </si>
  <si>
    <t>Leone Humber</t>
  </si>
  <si>
    <t>X</t>
  </si>
  <si>
    <t>F4120622</t>
  </si>
  <si>
    <t>VEG</t>
  </si>
  <si>
    <t>Vegetation Fire</t>
  </si>
  <si>
    <t>Tree Fire - Power Lines Arcing</t>
  </si>
  <si>
    <t>Birdwood Road, Pukekohe</t>
  </si>
  <si>
    <t xml:space="preserve">Birdwood Road, Pukekohe </t>
  </si>
  <si>
    <t>XStr HELVETIA RD/FRANK HEWITT ST</t>
  </si>
  <si>
    <t>SFF Robertson</t>
  </si>
  <si>
    <t>Josh</t>
  </si>
  <si>
    <t>Powerline down in tree</t>
  </si>
  <si>
    <t>F4121024</t>
  </si>
  <si>
    <t>FIREALM</t>
  </si>
  <si>
    <t>PFA/Alarm Activation</t>
  </si>
  <si>
    <t>AGROWQUIP PUKEKOHE</t>
  </si>
  <si>
    <t>["PUKE551","PUKE557"]</t>
  </si>
  <si>
    <t>23 Paerata Road, Pukekohe</t>
  </si>
  <si>
    <t>23 Paerata Road</t>
  </si>
  <si>
    <t>XStr COMRIE PL/KAYES RD</t>
  </si>
  <si>
    <t>False Alarm</t>
  </si>
  <si>
    <t xml:space="preserve">Grayson </t>
  </si>
  <si>
    <t>F4121458</t>
  </si>
  <si>
    <t>STRU</t>
  </si>
  <si>
    <t>BEDPOST PUKEKOHE</t>
  </si>
  <si>
    <t>7 Wrightson Way, Pukekohe</t>
  </si>
  <si>
    <t>7 Wrightson way</t>
  </si>
  <si>
    <t>XStr MANUKAU RD</t>
  </si>
  <si>
    <t>CFO Robinson</t>
  </si>
  <si>
    <t>Maxwell</t>
  </si>
  <si>
    <t>Undetermined</t>
  </si>
  <si>
    <t>F4121472</t>
  </si>
  <si>
    <t>PGG WRIGHTSON FRUITFED SUPPLIES STORE PUKEKOHE</t>
  </si>
  <si>
    <t>219 Manukau Road, Pukekohe</t>
  </si>
  <si>
    <t>219 Manukau Road Pukekohe</t>
  </si>
  <si>
    <t>XStr WRIGHTSON WAY/BUCKLAND RD</t>
  </si>
  <si>
    <t>Wood</t>
  </si>
  <si>
    <t>Burglar alarm activated by brigade</t>
  </si>
  <si>
    <t>F4121785</t>
  </si>
  <si>
    <t>MIN</t>
  </si>
  <si>
    <t>Car Fire</t>
  </si>
  <si>
    <t xml:space="preserve">Car Fire </t>
  </si>
  <si>
    <t>["PUKE551","PUKE557","PUKE5529"]</t>
  </si>
  <si>
    <t>Pukekohe East Road, Pukekohe</t>
  </si>
  <si>
    <t>Pukekohe East Rd, Pukekohe</t>
  </si>
  <si>
    <t>XStr ANSELMI RIDGE RD/VALLEY ROYAL WAY</t>
  </si>
  <si>
    <t>Mobile Property Fire</t>
  </si>
  <si>
    <t xml:space="preserve">C McConchie </t>
  </si>
  <si>
    <t>F4121867</t>
  </si>
  <si>
    <t>68 Helvetia Road, Pukekohe</t>
  </si>
  <si>
    <t>68 Helvetia Road</t>
  </si>
  <si>
    <t>XStr PRINCES ST/TASMAN ST</t>
  </si>
  <si>
    <t>K49</t>
  </si>
  <si>
    <t>F4122582</t>
  </si>
  <si>
    <t>MVCRESC</t>
  </si>
  <si>
    <t>MVC</t>
  </si>
  <si>
    <t>53 Nelson Street, Pukekohe</t>
  </si>
  <si>
    <t>XStr JOHN ST/COLLIE RD</t>
  </si>
  <si>
    <t>Not Trapped</t>
  </si>
  <si>
    <t>Crystal</t>
  </si>
  <si>
    <t>Car V Tree</t>
  </si>
  <si>
    <t>F4122626</t>
  </si>
  <si>
    <t>24 Landscape Road, Pukekohe</t>
  </si>
  <si>
    <t>24 Landscape Road Pukekohe</t>
  </si>
  <si>
    <t>XStr FAIRFIELD ST/BERESFORD ST</t>
  </si>
  <si>
    <t>SO Jellyman</t>
  </si>
  <si>
    <t>Jelly</t>
  </si>
  <si>
    <t>Wrong location</t>
  </si>
  <si>
    <t>F4122686</t>
  </si>
  <si>
    <t>CARLS JR PUKEKOHE</t>
  </si>
  <si>
    <t>11 Stadium Drive, Pukekohe</t>
  </si>
  <si>
    <t>11 Stadium Drive</t>
  </si>
  <si>
    <t>XStr EAST ST/FRANKLIN RD</t>
  </si>
  <si>
    <t>White</t>
  </si>
  <si>
    <t>Defective K46-3</t>
  </si>
  <si>
    <t>F4123160</t>
  </si>
  <si>
    <t>NAT</t>
  </si>
  <si>
    <t>Tree Down</t>
  </si>
  <si>
    <t>Tree down Blocking one lane</t>
  </si>
  <si>
    <t>18 Beatty Road, Pukekohe</t>
  </si>
  <si>
    <t>18 Beaty Rd, Pukekohe</t>
  </si>
  <si>
    <t>XStr MCSHANE ST/KAYES RD</t>
  </si>
  <si>
    <t>Weather Related Call</t>
  </si>
  <si>
    <t>SSO Hart</t>
  </si>
  <si>
    <t>NAT 2 Tree down blocking lane removed</t>
  </si>
  <si>
    <t>F4123401</t>
  </si>
  <si>
    <t>RSA Pukekohe</t>
  </si>
  <si>
    <t>17 Edinburgh St, Pukekohe</t>
  </si>
  <si>
    <t>17 Edinburgh street</t>
  </si>
  <si>
    <t>XStr HARRIS ST/MASSEY AV</t>
  </si>
  <si>
    <t>Workmen</t>
  </si>
  <si>
    <t>F4123565</t>
  </si>
  <si>
    <t>Structure Fire</t>
  </si>
  <si>
    <t>Mauku School</t>
  </si>
  <si>
    <t>389 Union Rd, Mauku</t>
  </si>
  <si>
    <t>Mauku School - 389 Union Rd, Mauku</t>
  </si>
  <si>
    <t>XStr PATUMAHOE RD/TITI RD</t>
  </si>
  <si>
    <t>PATU561</t>
  </si>
  <si>
    <t>Bond</t>
  </si>
  <si>
    <t>Switchboard Fire OOA</t>
  </si>
  <si>
    <t>F4123637</t>
  </si>
  <si>
    <t>SAINT JOSEPHS SCHOOL PUKEKOHE</t>
  </si>
  <si>
    <t>94-102 Seddon St, Pukekohe</t>
  </si>
  <si>
    <t>St Joseph’s School, 94-102 Seddon St</t>
  </si>
  <si>
    <t>XStr ALBERT ST/BLAIR AV</t>
  </si>
  <si>
    <t>Undetermined K46-7</t>
  </si>
  <si>
    <t>F4124165</t>
  </si>
  <si>
    <t>CHARLESTONS RESTAURANT AND BAR PUKEKOHE</t>
  </si>
  <si>
    <t>8 Massey Av, Pukekohe</t>
  </si>
  <si>
    <t>8 Massey Av</t>
  </si>
  <si>
    <t>XStr ROULSTON ST/ROULSTON LA</t>
  </si>
  <si>
    <t>F4124500</t>
  </si>
  <si>
    <t>Rubbish Fire</t>
  </si>
  <si>
    <t>Aka Aka Rd, Puni</t>
  </si>
  <si>
    <t>357 Waiuku road</t>
  </si>
  <si>
    <t>XStr WAIUKU RD / SHIPHERD RD</t>
  </si>
  <si>
    <t>Controlled Burn</t>
  </si>
  <si>
    <t>No Occupant  - left to burn Was in the vicinity of Puni School</t>
  </si>
  <si>
    <t>F4125121</t>
  </si>
  <si>
    <t xml:space="preserve">FRANKLINS BAR AND EATERY </t>
  </si>
  <si>
    <t>1 Queen St, Pukekohe</t>
  </si>
  <si>
    <t>1 queen st</t>
  </si>
  <si>
    <t>XStr KING ST / DEVON LA</t>
  </si>
  <si>
    <t>Not Cardiac Arrest</t>
  </si>
  <si>
    <t>ETOH - outside the Monarch</t>
  </si>
  <si>
    <t>F4125293</t>
  </si>
  <si>
    <t>SPRNKLR</t>
  </si>
  <si>
    <t>WESLEY COLLEGE</t>
  </si>
  <si>
    <t>801 Paerata Rd, Paerata</t>
  </si>
  <si>
    <t>Wesley College</t>
  </si>
  <si>
    <t>XStr PUHITAHI HILL RD / CROWN RD</t>
  </si>
  <si>
    <t>Grant</t>
  </si>
  <si>
    <t>Flea Bomb - CPN was flagged in wrong location</t>
  </si>
  <si>
    <t>F4125587</t>
  </si>
  <si>
    <t>BUNNINGS WAREHOUSE TRADE CENTRE PUKEKOHE</t>
  </si>
  <si>
    <t>5 Crosbie Rd, Pukekohe</t>
  </si>
  <si>
    <t>XStr MANUKAU RD / AUSTEN PL</t>
  </si>
  <si>
    <t>SO Irving</t>
  </si>
  <si>
    <t>Short Crewed</t>
  </si>
  <si>
    <t>F4125682</t>
  </si>
  <si>
    <t>MVCHEVY</t>
  </si>
  <si>
    <t>21 Rowles Rd, Pukekohe</t>
  </si>
  <si>
    <t>21 Rowles Rd Pukekohe</t>
  </si>
  <si>
    <t>XStr SUNSET DR / CATHERINE MCLEAN RD</t>
  </si>
  <si>
    <t>Car vs House</t>
  </si>
  <si>
    <t>F4126674</t>
  </si>
  <si>
    <t>132 Paparata Rd, Bombay</t>
  </si>
  <si>
    <t>132 Paparata Road</t>
  </si>
  <si>
    <t>XStr CRANLEIGH WAY / WOOTTEN RD</t>
  </si>
  <si>
    <t>POKE507</t>
  </si>
  <si>
    <t>Fire Extinguished</t>
  </si>
  <si>
    <t>F4127031</t>
  </si>
  <si>
    <t>Child Stuck in Baby Swing</t>
  </si>
  <si>
    <t>Child stuck in swing</t>
  </si>
  <si>
    <t>HYDE PARK PLAGROUND PAERATA RISE</t>
  </si>
  <si>
    <t>8 Tabernackle St, Karaka</t>
  </si>
  <si>
    <t>8 tabernacle st</t>
  </si>
  <si>
    <t>XStr GARTH ROSS LA / ROSSLANDS AV</t>
  </si>
  <si>
    <t>Trapped</t>
  </si>
  <si>
    <t>Rhys</t>
  </si>
  <si>
    <t>Released using tools</t>
  </si>
  <si>
    <t>F4128079</t>
  </si>
  <si>
    <t>PUKEKOHE HOSPITAL</t>
  </si>
  <si>
    <t>Tuakau Rd, Pukekohe</t>
  </si>
  <si>
    <t>Pukekohe hospital Tuakau rd</t>
  </si>
  <si>
    <t>XStr KITCHENER RD / WEBB ST</t>
  </si>
  <si>
    <t>Mayo</t>
  </si>
  <si>
    <t>Stood down on arrival</t>
  </si>
  <si>
    <t>F4129785</t>
  </si>
  <si>
    <t>5\69 Queen Street, Pukekohe</t>
  </si>
  <si>
    <t>569 Queen Street</t>
  </si>
  <si>
    <t>XStr WESLEY ST / HARRIS ST</t>
  </si>
  <si>
    <t>FAILED</t>
  </si>
  <si>
    <t>F4130248</t>
  </si>
  <si>
    <t>["PUKE557"]</t>
  </si>
  <si>
    <t>Union Rd, Mauku</t>
  </si>
  <si>
    <t>Mauku, Union Rd/Titi Rd</t>
  </si>
  <si>
    <t>XStr UNION RD / TITI RD</t>
  </si>
  <si>
    <t>Car v Fence</t>
  </si>
  <si>
    <t>F4130590</t>
  </si>
  <si>
    <t>Ray Wright Rd, Pukekohe</t>
  </si>
  <si>
    <t>Ray wright road</t>
  </si>
  <si>
    <t>XStr UPPER QUEEN ST / NANDINA LA</t>
  </si>
  <si>
    <t>Bonfire. Dampened Down Hotspots left to burn</t>
  </si>
  <si>
    <t>F4131151</t>
  </si>
  <si>
    <t>241B Runciman Rd, Ramarama</t>
  </si>
  <si>
    <t>241b  Runciman rd</t>
  </si>
  <si>
    <t>XStr RUTHERFORD RD / GORDON FRANCIS DR</t>
  </si>
  <si>
    <t xml:space="preserve">Irving </t>
  </si>
  <si>
    <t>Car v Car - trapped by Seatbelt</t>
  </si>
  <si>
    <t>F4131784</t>
  </si>
  <si>
    <t>TONYS TYRE SERVICE PUKEKOHE</t>
  </si>
  <si>
    <t>50 Manukau Rd, Pukekohe</t>
  </si>
  <si>
    <t>50 Manukau Road, Pukekohe</t>
  </si>
  <si>
    <t>XStr MASSEY AV / HARRIS ST</t>
  </si>
  <si>
    <t>Brody Jellyman</t>
  </si>
  <si>
    <t>F4131821</t>
  </si>
  <si>
    <t>CHORUS EXCHANGE PATUMAHOE</t>
  </si>
  <si>
    <t>Patumahoe Road, Patumahoe</t>
  </si>
  <si>
    <t>11 Mauku Rd</t>
  </si>
  <si>
    <t>XStr WOODHOUSE RD / MARERETU AV</t>
  </si>
  <si>
    <t>F4132057</t>
  </si>
  <si>
    <t>PUKEKOHE INTERMEDIATE SCHOOL</t>
  </si>
  <si>
    <t>44-74 Queen St, Pukekohe</t>
  </si>
  <si>
    <t>Pukekohe intermediate</t>
  </si>
  <si>
    <t>Accidental K46-2</t>
  </si>
  <si>
    <t>F4132318</t>
  </si>
  <si>
    <t>12 Four Oaks Pl, Pukekohe</t>
  </si>
  <si>
    <t>12 Four Oaks Place</t>
  </si>
  <si>
    <t>XStr KAURI RD</t>
  </si>
  <si>
    <t>Assisted Ambulance Status 1</t>
  </si>
  <si>
    <t>F4133469</t>
  </si>
  <si>
    <t>16 Kennelly Cr, Pukekohe</t>
  </si>
  <si>
    <t>16 kennelly cr</t>
  </si>
  <si>
    <t>XStr KIWI PL / MONTGOMERY AV</t>
  </si>
  <si>
    <t>DCFO Ravji</t>
  </si>
  <si>
    <t>Binnie</t>
  </si>
  <si>
    <t>Stood Down Prior to Arrival</t>
  </si>
  <si>
    <t>F4133649</t>
  </si>
  <si>
    <t>BED BATH AND BEYOND PUKEKOHE</t>
  </si>
  <si>
    <t>132 Manukau Rd, Pukekohe</t>
  </si>
  <si>
    <t>132 Manukau Rd</t>
  </si>
  <si>
    <t>Truck v Car</t>
  </si>
  <si>
    <t>F4133775</t>
  </si>
  <si>
    <t>219 Manukau Rd, Pukekohe</t>
  </si>
  <si>
    <t>PGA Wrightsons Manukau Road</t>
  </si>
  <si>
    <t>XStr WRIGHTSON WAY / BUCKLAND RD</t>
  </si>
  <si>
    <t>F4133818</t>
  </si>
  <si>
    <t>Smoke in Vicinity</t>
  </si>
  <si>
    <t>Jutland Rd, Pukekohe</t>
  </si>
  <si>
    <t xml:space="preserve">Jutland Rd </t>
  </si>
  <si>
    <t>XStr JUTLAND RD / BELMONT RD</t>
  </si>
  <si>
    <t>Fire in Creekbed K12</t>
  </si>
  <si>
    <t>F4133984</t>
  </si>
  <si>
    <t>Car fire</t>
  </si>
  <si>
    <t>Gun Club Rd, Pukekohe</t>
  </si>
  <si>
    <t>Cnr gun club Helvetia road</t>
  </si>
  <si>
    <t>XStr HELVETIA RD / GUN CLUB RD</t>
  </si>
  <si>
    <t>F4134681</t>
  </si>
  <si>
    <t>LITTLE ED PUKEKOHE</t>
  </si>
  <si>
    <t>36 Edinburgh St, Pukekohe</t>
  </si>
  <si>
    <t>36 Edinburgh Street</t>
  </si>
  <si>
    <t>XStr DEVON LA / KING ST</t>
  </si>
  <si>
    <t>F4134717</t>
  </si>
  <si>
    <t>Fire in Vicinity</t>
  </si>
  <si>
    <t>105 Helvetia Rd, Pukekohe</t>
  </si>
  <si>
    <t>Kauri / Helvetia</t>
  </si>
  <si>
    <t>XStr BIRDWOOD RD / WAIRAU PL</t>
  </si>
  <si>
    <t>Wall John</t>
  </si>
  <si>
    <t>Extinguished</t>
  </si>
  <si>
    <t>F4134816</t>
  </si>
  <si>
    <t>WK501 WAIKATO EXPRESSWAY (NORTHBOUND NIKAU RD TO MILL RD)</t>
  </si>
  <si>
    <t>Great South Rd, Bombay</t>
  </si>
  <si>
    <t xml:space="preserve">WK501 Waikato Expressway </t>
  </si>
  <si>
    <t>XStr BEAVER RD WEST OFF-RAMP / BEAVER RD WEST ON-RAMP</t>
  </si>
  <si>
    <t>Car v Truck</t>
  </si>
  <si>
    <t>F4134887</t>
  </si>
  <si>
    <t>["PUKE551","PUKE5529"]</t>
  </si>
  <si>
    <t>44 Beaver Rd East, Bombay</t>
  </si>
  <si>
    <t>44 Beaver Road</t>
  </si>
  <si>
    <t>XStr RAZORBACK RD / BEAVER RD EAST OFF-RAMP</t>
  </si>
  <si>
    <t>Fire in woodland 40x50m</t>
  </si>
  <si>
    <t>F4135093</t>
  </si>
  <si>
    <t>1548 Buckville Rd, Buckland</t>
  </si>
  <si>
    <t>154 Buckville Rd, Buckland</t>
  </si>
  <si>
    <t>XStr JAMIESON RD / HARRISVILLE RD</t>
  </si>
  <si>
    <t>Burnoff spread to scrub</t>
  </si>
  <si>
    <t>F4135284</t>
  </si>
  <si>
    <t>90 Valley Rd, Pukekohe</t>
  </si>
  <si>
    <t>90 valley road</t>
  </si>
  <si>
    <t>XStr REYNOLDS RD / MAX SHORT DR</t>
  </si>
  <si>
    <t>Stood Down enroute - continued for lift assist - assisted Status 2</t>
  </si>
  <si>
    <t>F4135701</t>
  </si>
  <si>
    <t>Person Locked In Car</t>
  </si>
  <si>
    <t>Person locked in car</t>
  </si>
  <si>
    <t>116A Princes St, Pukekohe</t>
  </si>
  <si>
    <t>116A Princess Strees</t>
  </si>
  <si>
    <t>XStr MONTGOMERY AV / HELVETIA RD</t>
  </si>
  <si>
    <t>Person Released by Brigade</t>
  </si>
  <si>
    <t>F4135729</t>
  </si>
  <si>
    <t>Car v Power Pole</t>
  </si>
  <si>
    <t>120 Helvetia Rd, Pukekohe</t>
  </si>
  <si>
    <t>120 Helvetia rd</t>
  </si>
  <si>
    <t>XStr WAIRUA PL / KAURI RD</t>
  </si>
  <si>
    <t>Traffic Control</t>
  </si>
  <si>
    <t>F4136689</t>
  </si>
  <si>
    <t>44-74 Queen Street</t>
  </si>
  <si>
    <t>Contractors</t>
  </si>
  <si>
    <t>F4137022</t>
  </si>
  <si>
    <t>106 Pukekohe East Rd, Pukekohe</t>
  </si>
  <si>
    <t>Pukekohe East Road</t>
  </si>
  <si>
    <t>XStr ANSELMI RIDGE RD / VALLEY ROYAL WAY</t>
  </si>
  <si>
    <t xml:space="preserve">3 x 2 m </t>
  </si>
  <si>
    <t>F4137082</t>
  </si>
  <si>
    <t>COUNTIES ENERGY PUKEKOHE</t>
  </si>
  <si>
    <t>14 Glasgow Rd, Pukekohe</t>
  </si>
  <si>
    <t>Counties Energy 14 Glasgow Rd</t>
  </si>
  <si>
    <t>XStr MANUKAU RD / JOHN ST</t>
  </si>
  <si>
    <t>PAPA387</t>
  </si>
  <si>
    <t>Bondy</t>
  </si>
  <si>
    <t>F4137127</t>
  </si>
  <si>
    <t>Rubbish Bin Fire</t>
  </si>
  <si>
    <t>Logan Rd, Buckland</t>
  </si>
  <si>
    <t xml:space="preserve">Logan Road, Buckland, opposite hall </t>
  </si>
  <si>
    <t>XStr BUCKLAND RD / BUCKVILLE RD</t>
  </si>
  <si>
    <t xml:space="preserve">Mel </t>
  </si>
  <si>
    <t>F4137176</t>
  </si>
  <si>
    <t>Rubbish fire</t>
  </si>
  <si>
    <t>3A Birdwood Rd, Pukekohe</t>
  </si>
  <si>
    <t>3a Birdwood Road</t>
  </si>
  <si>
    <t>XStr HELVETIA RD / FRANK HEWITT ST</t>
  </si>
  <si>
    <t>J Ryan</t>
  </si>
  <si>
    <t>OOA NABB</t>
  </si>
  <si>
    <t>F4137187</t>
  </si>
  <si>
    <t>Other Fire</t>
  </si>
  <si>
    <t>COUNTIES MANUKAU HOCKEY ASSOCIATION</t>
  </si>
  <si>
    <t>Beresford St, Pukekohe</t>
  </si>
  <si>
    <t>Beresford Street</t>
  </si>
  <si>
    <t>XStr SANGAM PL / BARSANA PL</t>
  </si>
  <si>
    <t>Playground Equipment Fire</t>
  </si>
  <si>
    <t>F4137327</t>
  </si>
  <si>
    <t>Tyres on Fire</t>
  </si>
  <si>
    <t>ON ROAD TRANSPORT PUKEKOHE</t>
  </si>
  <si>
    <t>2169 Buckland Rd, Buckland</t>
  </si>
  <si>
    <t xml:space="preserve">2169 Buckland Rd </t>
  </si>
  <si>
    <t>XStr PARKER LA / FRIEDLANDER RD</t>
  </si>
  <si>
    <t>TUAK517</t>
  </si>
  <si>
    <t>F4137923</t>
  </si>
  <si>
    <t>GUTHRIE BOWRON PUKEKOHE</t>
  </si>
  <si>
    <t>16C Wrightson Way, Pukekohe</t>
  </si>
  <si>
    <t>Guthrie Bowron</t>
  </si>
  <si>
    <t>XStr MANUKAU RD / SVENDSEN RD</t>
  </si>
  <si>
    <t>F4138621</t>
  </si>
  <si>
    <t>121 West St, Pukekohe</t>
  </si>
  <si>
    <t>121 West Street</t>
  </si>
  <si>
    <t>XStr PATERSON AV / ARVIDSON WAY</t>
  </si>
  <si>
    <t>F4138632</t>
  </si>
  <si>
    <t>John St, Pukekohe</t>
  </si>
  <si>
    <t>John Street</t>
  </si>
  <si>
    <t>XStr HARRIS ST / COLLIE RD</t>
  </si>
  <si>
    <t>F4138769</t>
  </si>
  <si>
    <t>Heights Rd, Paerata</t>
  </si>
  <si>
    <t>Nights Road</t>
  </si>
  <si>
    <t>XStr HEIGHTS RD / PAERATA RD</t>
  </si>
  <si>
    <t>Car v Powerpole</t>
  </si>
  <si>
    <t>F4138802</t>
  </si>
  <si>
    <t>Bunnings Crosbie Road</t>
  </si>
  <si>
    <t>F4139119</t>
  </si>
  <si>
    <t>Ring Cutter Required</t>
  </si>
  <si>
    <t>Ring cutter</t>
  </si>
  <si>
    <t>URGENT CARE FRANKLIN</t>
  </si>
  <si>
    <t>["PUKE5529"]</t>
  </si>
  <si>
    <t>12 Glasgow Rd, Pukekohe</t>
  </si>
  <si>
    <t>Urgent care Franklin 12 Glasgow Rd</t>
  </si>
  <si>
    <t>Ring Stuck</t>
  </si>
  <si>
    <t>Ring Removed Dremel</t>
  </si>
  <si>
    <t>F4139790</t>
  </si>
  <si>
    <t>51 Victoria St, Pukekohe</t>
  </si>
  <si>
    <t>51 Victoria st</t>
  </si>
  <si>
    <t>XStr HARRINGTON AV / MONTGOMERY AV</t>
  </si>
  <si>
    <t>Bharat</t>
  </si>
  <si>
    <t>F4139909</t>
  </si>
  <si>
    <t>PUKEKOHE GOLF COURSE</t>
  </si>
  <si>
    <t>Karaka Rd, Karaka</t>
  </si>
  <si>
    <t>Pukekohe golf course</t>
  </si>
  <si>
    <t>XStr GELLERT RD / TE RATA BLVD</t>
  </si>
  <si>
    <t>F4140776</t>
  </si>
  <si>
    <t>7 Ewing Rd, Tuakau</t>
  </si>
  <si>
    <t>7 Ewing Road</t>
  </si>
  <si>
    <t>XStr WHANGARATA RD / POTTER RD</t>
  </si>
  <si>
    <t>2 Alarm</t>
  </si>
  <si>
    <t>F4141575</t>
  </si>
  <si>
    <t>FIRE STATION PUKEKOHE</t>
  </si>
  <si>
    <t>24 Wellington St, Pukekohe</t>
  </si>
  <si>
    <t>XStr HARRIS ST / FAIRFIELD ST</t>
  </si>
  <si>
    <t xml:space="preserve">R Bharat </t>
  </si>
  <si>
    <t>Ring Removed</t>
  </si>
  <si>
    <t>F4142766</t>
  </si>
  <si>
    <t>TUAKAU MEMORIAL HALL</t>
  </si>
  <si>
    <t>70 George St, Tuakau</t>
  </si>
  <si>
    <t>Tuakau Memorial Hall, Hall St Tuakau</t>
  </si>
  <si>
    <t>XStr HALL ST / HENDERSON AV</t>
  </si>
  <si>
    <t>TUAK511</t>
  </si>
  <si>
    <t>Jellyman B</t>
  </si>
  <si>
    <t>Tuakau Short of Crew</t>
  </si>
  <si>
    <t>F4143651</t>
  </si>
  <si>
    <t xml:space="preserve">WASH N SAVE PUKEKOHE </t>
  </si>
  <si>
    <t>12 Hall St, Pukekohe</t>
  </si>
  <si>
    <t>12 Hall St</t>
  </si>
  <si>
    <t>XStr LODGE ST / STADIUM DR</t>
  </si>
  <si>
    <t>John</t>
  </si>
  <si>
    <t>Fire in Dryer at laundromat</t>
  </si>
  <si>
    <t>F4144146</t>
  </si>
  <si>
    <t>Kiwi Pl, Pukekohe</t>
  </si>
  <si>
    <t>Kiwi place</t>
  </si>
  <si>
    <t>XStr KENNELLY CR</t>
  </si>
  <si>
    <t>Treen and Bank Fire 1x2m</t>
  </si>
  <si>
    <t>F4144230</t>
  </si>
  <si>
    <t>Kiwi Place</t>
  </si>
  <si>
    <t xml:space="preserve">Grayson. </t>
  </si>
  <si>
    <t>Tree Smouldering</t>
  </si>
  <si>
    <t>F4144322</t>
  </si>
  <si>
    <t>164 Seddon St, Pukekohe</t>
  </si>
  <si>
    <t>164 Seddon Street, Pukekohe</t>
  </si>
  <si>
    <t>XStr HOGAN ST / EDINBURGH ST</t>
  </si>
  <si>
    <t>Ravji</t>
  </si>
  <si>
    <t>Car v Light pole</t>
  </si>
  <si>
    <t>F4144375</t>
  </si>
  <si>
    <t>222 Waiuku Rd, Puni</t>
  </si>
  <si>
    <t xml:space="preserve">222 Waiuku Road </t>
  </si>
  <si>
    <t>XStr TRAMWAY RD / ATTEWELL RD</t>
  </si>
  <si>
    <t>K13 and CPR done</t>
  </si>
  <si>
    <t>F4144649</t>
  </si>
  <si>
    <t>151 Skyhigh Rd, Hunua</t>
  </si>
  <si>
    <t>151 Skyhigh Road</t>
  </si>
  <si>
    <t>XStr MATHIS RD / BRIDLE WAY</t>
  </si>
  <si>
    <t>K28</t>
  </si>
  <si>
    <t>HUNU4771</t>
  </si>
  <si>
    <t>5529 attached in error due to data issue</t>
  </si>
  <si>
    <t>F4144899</t>
  </si>
  <si>
    <t>166 wellington St, Pukekohe</t>
  </si>
  <si>
    <t>166 Wellington st Pukekohe</t>
  </si>
  <si>
    <t>XStr EMSWORTH CT / BONAPARTE DR</t>
  </si>
  <si>
    <t>F4144934</t>
  </si>
  <si>
    <t>XStr Kauri Rd / Helvetia Rd</t>
  </si>
  <si>
    <t>F4145190</t>
  </si>
  <si>
    <t>114 Lisle Farm Dr, Pukekohe</t>
  </si>
  <si>
    <t>114A lisle Farm</t>
  </si>
  <si>
    <t>XStr TWOMEY DR</t>
  </si>
  <si>
    <t>Hanging CPR 29YOM</t>
  </si>
  <si>
    <t>F4145379</t>
  </si>
  <si>
    <t>7 Churchill St, Pukekohe</t>
  </si>
  <si>
    <t>15 Montgomery Av</t>
  </si>
  <si>
    <t>XStr MONTGOMERY AV / EDEN PL</t>
  </si>
  <si>
    <t>Extinguished 1x1m</t>
  </si>
  <si>
    <t>F4145428</t>
  </si>
  <si>
    <t>F41454428</t>
  </si>
  <si>
    <t>PUKEKOHE TENNIS CLUB</t>
  </si>
  <si>
    <t>82-86 West St, Pukekohe</t>
  </si>
  <si>
    <t>82-86 west street pukekohe</t>
  </si>
  <si>
    <t xml:space="preserve">J Ryan </t>
  </si>
  <si>
    <t>K99 15x10m</t>
  </si>
  <si>
    <t>F4145505</t>
  </si>
  <si>
    <t>12 London St, Pukekohe</t>
  </si>
  <si>
    <t>12 London Street</t>
  </si>
  <si>
    <t>XStr THAMES PL</t>
  </si>
  <si>
    <t>CPR</t>
  </si>
  <si>
    <t xml:space="preserve">Chapman </t>
  </si>
  <si>
    <t>Cardiac Arrest ? ROSC</t>
  </si>
  <si>
    <t>F4146003</t>
  </si>
  <si>
    <t>40 Isabella Dr, Pukekohe</t>
  </si>
  <si>
    <t>Isabella Dr</t>
  </si>
  <si>
    <t>XStr TORRIE WAY</t>
  </si>
  <si>
    <t>F4146030</t>
  </si>
  <si>
    <t>COUNTIES FITNESS PUKEKOHE</t>
  </si>
  <si>
    <t>151 Manukau Rd, Pukekohe</t>
  </si>
  <si>
    <t>Counties Fitness 151 Manukau Road</t>
  </si>
  <si>
    <t>XStr SUBWAY RD / CROSBIE RD</t>
  </si>
  <si>
    <t>#100824</t>
  </si>
  <si>
    <t>F4146093</t>
  </si>
  <si>
    <t>F4146090</t>
  </si>
  <si>
    <t>43 Ostrich Farm Rd, Pukekohe</t>
  </si>
  <si>
    <t>43 Ostrich Farm Rd</t>
  </si>
  <si>
    <t>XStr OSTRICH RD / HEIGHTS RD</t>
  </si>
  <si>
    <t>F4146134</t>
  </si>
  <si>
    <t>78 Puni Rd, Pukekohe</t>
  </si>
  <si>
    <t>78 Puni Road</t>
  </si>
  <si>
    <t>XStr WARD ST / WAIUKU RD</t>
  </si>
  <si>
    <t>Grayson</t>
  </si>
  <si>
    <t>k49 Police Ref</t>
  </si>
  <si>
    <t>F4146744</t>
  </si>
  <si>
    <t>503 Buckland Rd, Buckland</t>
  </si>
  <si>
    <t>503 Buckland Rd</t>
  </si>
  <si>
    <t>XStr MANUKAU RD / MEADOWBROOK PL</t>
  </si>
  <si>
    <t>Extinguished couch 1x2m</t>
  </si>
  <si>
    <t>F4146988</t>
  </si>
  <si>
    <t>Palms Lifecare Hospital Pukekohe</t>
  </si>
  <si>
    <t>15 Fairfield St, Pukekohe</t>
  </si>
  <si>
    <t>15 Fairfield Street</t>
  </si>
  <si>
    <t>XStr GARDEN TCE / LANDSCAPE RD</t>
  </si>
  <si>
    <t>K46-7 Undetermined #119247</t>
  </si>
  <si>
    <t>F4146995</t>
  </si>
  <si>
    <t>22 Walter Lawry Rd, Paerata</t>
  </si>
  <si>
    <t>22 Walter Lawry road</t>
  </si>
  <si>
    <t>XStr LAUTI LA / SCHOOL HOUSE RD</t>
  </si>
  <si>
    <t>Darcy</t>
  </si>
  <si>
    <t>K49 on Arrival</t>
  </si>
  <si>
    <t>F4147767</t>
  </si>
  <si>
    <t>29 Helvetia Rd, Pukekohe</t>
  </si>
  <si>
    <t>29Helvetia Road</t>
  </si>
  <si>
    <t>XStr VICTORIA ST / GEORGE ARTHUR PL</t>
  </si>
  <si>
    <t>House Fire</t>
  </si>
  <si>
    <t>F4148371</t>
  </si>
  <si>
    <t>Forte Timber Flooring</t>
  </si>
  <si>
    <t>3 Keith Pl, Pukekohe</t>
  </si>
  <si>
    <t>3 Keith place</t>
  </si>
  <si>
    <t>XStr ADAMS DR</t>
  </si>
  <si>
    <t>Moore</t>
  </si>
  <si>
    <t>K46-7 Undetermined</t>
  </si>
  <si>
    <t>F4148554</t>
  </si>
  <si>
    <t>Lift assist</t>
  </si>
  <si>
    <t>5 Dunolly Pl, Pukekohe</t>
  </si>
  <si>
    <t>XStr ANZAC RD</t>
  </si>
  <si>
    <t>Lift Assist</t>
  </si>
  <si>
    <t>F4149421</t>
  </si>
  <si>
    <t>5 Glasgow Road</t>
  </si>
  <si>
    <t>5 Glasgow Rd, Pukekohe</t>
  </si>
  <si>
    <t>5 glasgow road</t>
  </si>
  <si>
    <t>Torrens</t>
  </si>
  <si>
    <t>F4149901</t>
  </si>
  <si>
    <t>3 Corbett Rd, Pukekohe</t>
  </si>
  <si>
    <t>3 Corbett Road</t>
  </si>
  <si>
    <t>XStr HART RD / JENKIN RD</t>
  </si>
  <si>
    <t>2 Alarm Shed Fire - Diesel Workshop</t>
  </si>
  <si>
    <t>F4150596</t>
  </si>
  <si>
    <t>377 Runciman Rd, Ramarama</t>
  </si>
  <si>
    <t>401 Runciman Road, Ramarama</t>
  </si>
  <si>
    <t>XStr KERN RD / KOROWAI RISE</t>
  </si>
  <si>
    <t>F4150693</t>
  </si>
  <si>
    <t>Valley Rd, Pukekohe</t>
  </si>
  <si>
    <t>Valley Road/Belgium Road, Pukekohe</t>
  </si>
  <si>
    <t>XStr VALLEY RD / BELGIUM RD</t>
  </si>
  <si>
    <t>K46-1 Road sweeper causing dust</t>
  </si>
  <si>
    <t>F4150810</t>
  </si>
  <si>
    <t>Maunsell Rd, Port Waikato</t>
  </si>
  <si>
    <t>Maunsell Road Port Waikato</t>
  </si>
  <si>
    <t>XStr ASHWELL DR / MISSION RD</t>
  </si>
  <si>
    <t>PORT531</t>
  </si>
  <si>
    <t>3rd Alarm Vegetation Fire</t>
  </si>
  <si>
    <t>F4150970</t>
  </si>
  <si>
    <t>Pukekohe Plaza</t>
  </si>
  <si>
    <t>5 Wesley St, Pukekohe</t>
  </si>
  <si>
    <t>XStr EDINBURGH ST / QUEEN ST</t>
  </si>
  <si>
    <t>F4152159</t>
  </si>
  <si>
    <t>Bombay Rd, Bombay</t>
  </si>
  <si>
    <t>Bombay Rd Bombay</t>
  </si>
  <si>
    <t>XStr PAPARATA RD / BOMBAY RD</t>
  </si>
  <si>
    <t xml:space="preserve">Mayo </t>
  </si>
  <si>
    <t>Concrete Truck V Power Pole</t>
  </si>
  <si>
    <t>F4152211</t>
  </si>
  <si>
    <t>Paparimu Rd, Hunua</t>
  </si>
  <si>
    <t>Paparimu road/hunua road</t>
  </si>
  <si>
    <t>XStr HUNUA RD / PAPARIMU RD</t>
  </si>
  <si>
    <t>J Court</t>
  </si>
  <si>
    <t>Car V Car Heavily Trapped</t>
  </si>
  <si>
    <t>F4153467</t>
  </si>
  <si>
    <t>F4153476</t>
  </si>
  <si>
    <t>25 Lisle Farm Dr, Pukekohe</t>
  </si>
  <si>
    <t>25 Lisle Ridge Road</t>
  </si>
  <si>
    <t>XStr ANSELMI RIDGE RD / VALLEY RD</t>
  </si>
  <si>
    <t>Stood down Enroute</t>
  </si>
  <si>
    <t>F4154606</t>
  </si>
  <si>
    <t>["PUKE5529","PUKE557","PUKE551"]</t>
  </si>
  <si>
    <t>218 Attewell Rd, Pukekohe</t>
  </si>
  <si>
    <t>213 Attewell Road, Pukekohe</t>
  </si>
  <si>
    <t>XStr BURROW RD / UPPER QUEEN ST</t>
  </si>
  <si>
    <t>Ute V Tractor powerlines down</t>
  </si>
  <si>
    <t>F4155127</t>
  </si>
  <si>
    <t>6 Donolly Pl</t>
  </si>
  <si>
    <t>Pritchard</t>
  </si>
  <si>
    <t>F4155659</t>
  </si>
  <si>
    <t>WK501 WAIKATO EXWY (NORTHBOUND NIKAU RD TO MILL RD)</t>
  </si>
  <si>
    <t>SH 1, Bombay</t>
  </si>
  <si>
    <t xml:space="preserve">Section 501 </t>
  </si>
  <si>
    <t>XStr NIKAU RD / MILL RD</t>
  </si>
  <si>
    <t>Car V Truck</t>
  </si>
  <si>
    <t>F4156083</t>
  </si>
  <si>
    <t>CM10592</t>
  </si>
  <si>
    <t>Cover Move</t>
  </si>
  <si>
    <t>Pokeno Fire Station</t>
  </si>
  <si>
    <t>37 Great South Road, Pokeno</t>
  </si>
  <si>
    <t>Cover move to Pokeno</t>
  </si>
  <si>
    <t>XStr SELBY ST / CAMBRIDGE ST</t>
  </si>
  <si>
    <t>8 Lyons Road, Mangatawhiri F4156083</t>
  </si>
  <si>
    <t>F4157875</t>
  </si>
  <si>
    <t>2133B Tuakau Bridge - Port Waikato Rd, Port Waikato</t>
  </si>
  <si>
    <t>2133B Tuakau Bridge- Port Waikato Rd, Port Waikato</t>
  </si>
  <si>
    <t>XStr KLONDYKE RD / COBOURNE PL</t>
  </si>
  <si>
    <t>2 Alarm - Relief Crews</t>
  </si>
  <si>
    <t>F4157991</t>
  </si>
  <si>
    <t>Hedge and Posts Smouldering</t>
  </si>
  <si>
    <t>8 Lyons Rd, Mangatawhiri</t>
  </si>
  <si>
    <t>XStr MANGATAWHIRI RD / PAPARIMU RD</t>
  </si>
  <si>
    <t>MANG487</t>
  </si>
  <si>
    <t>K28 - Very Small Smouldering Fire from previous day Hedge and posts Smouldering</t>
  </si>
  <si>
    <t>F4158234</t>
  </si>
  <si>
    <t>Power plinte</t>
  </si>
  <si>
    <t>Fargo International Pukekohe</t>
  </si>
  <si>
    <t>71 Adams Dr, Pukekohe</t>
  </si>
  <si>
    <t>71 Adam’s drive</t>
  </si>
  <si>
    <t>XStr SWEETCORN PL / PAERATA RD</t>
  </si>
  <si>
    <t>Power Plynth</t>
  </si>
  <si>
    <t>F4158244</t>
  </si>
  <si>
    <t>Union Rd Mauku</t>
  </si>
  <si>
    <t>XStr PATUMAHOE RD / TITI RD</t>
  </si>
  <si>
    <t>Car in Drain - Rolled</t>
  </si>
  <si>
    <t>F4158778</t>
  </si>
  <si>
    <t>Assist Police</t>
  </si>
  <si>
    <t>Assist police</t>
  </si>
  <si>
    <t>101\6 Wesley St, Pukekohe</t>
  </si>
  <si>
    <t>106 6 Wesley st</t>
  </si>
  <si>
    <t>NO K1</t>
  </si>
  <si>
    <t>ASSIST POLICE - LADDER REQUIRED - NO SMS INCIDENT</t>
  </si>
  <si>
    <t>F4159473</t>
  </si>
  <si>
    <t>99 Waller Rd, Mauku</t>
  </si>
  <si>
    <t>107 Waller Rd Mauku</t>
  </si>
  <si>
    <t>XStr WAIUKU RD</t>
  </si>
  <si>
    <t>Melanie</t>
  </si>
  <si>
    <t>Unpermitted Burn - advice given</t>
  </si>
  <si>
    <t>F4159595</t>
  </si>
  <si>
    <t>Karaka School</t>
  </si>
  <si>
    <t>12 Blackbridge Rd, Karaka</t>
  </si>
  <si>
    <t>Karaka school - 12 Blackbridge Road, Karaka</t>
  </si>
  <si>
    <t>XStr KARAKA RD / KARAKA SCHOOL RD</t>
  </si>
  <si>
    <t>K46-3 Defective</t>
  </si>
  <si>
    <t>F4159719</t>
  </si>
  <si>
    <t>103 Hall Rd, Waiuku</t>
  </si>
  <si>
    <t>103 Hall Road, Waiuku</t>
  </si>
  <si>
    <t>XStr WAIUKU RD / SHAKESPEARE RD</t>
  </si>
  <si>
    <t>WAIU571</t>
  </si>
  <si>
    <t>3rd Alarm Vegetation Fire 5529 attached in place of 557 for station cover</t>
  </si>
  <si>
    <t>F4160811</t>
  </si>
  <si>
    <t>RESC</t>
  </si>
  <si>
    <t>Animal Rescue</t>
  </si>
  <si>
    <t>Rescue</t>
  </si>
  <si>
    <t>751 Waiuku Rd, Mauku</t>
  </si>
  <si>
    <t>751 Waiuku road</t>
  </si>
  <si>
    <t>XStr WALLER RD / BALD HILL RD</t>
  </si>
  <si>
    <t>Large Animal Rescue</t>
  </si>
  <si>
    <t>Robinson</t>
  </si>
  <si>
    <t>Horse stuck in ditch</t>
  </si>
  <si>
    <t>F4160842</t>
  </si>
  <si>
    <t>80 Wellington St, Pukekohe</t>
  </si>
  <si>
    <t>80 Wellington street Pukekohe</t>
  </si>
  <si>
    <t>XStr RUSSELL AV / PHILLIP ST</t>
  </si>
  <si>
    <t>K46-2 Cooking</t>
  </si>
  <si>
    <t>F4160939</t>
  </si>
  <si>
    <t>Wesley College Marae</t>
  </si>
  <si>
    <t>Wesley college 801 Paerata RD</t>
  </si>
  <si>
    <t>Halliday</t>
  </si>
  <si>
    <t>K46-2</t>
  </si>
  <si>
    <t>F4160988</t>
  </si>
  <si>
    <t>Postie Plus Pukekohe</t>
  </si>
  <si>
    <t>14-28 Subway Rd, Pukekohe</t>
  </si>
  <si>
    <t>Postie Plus 14-28 Subway</t>
  </si>
  <si>
    <t>XStr STATION RD / MANUKAU RD</t>
  </si>
  <si>
    <t>No access</t>
  </si>
  <si>
    <t>F4161044</t>
  </si>
  <si>
    <t>190 Jutland Rd, Pukekohe</t>
  </si>
  <si>
    <t>190 Jutland road Pukekohe</t>
  </si>
  <si>
    <t>XStr RAORIKI RD</t>
  </si>
  <si>
    <t>Butcher</t>
  </si>
  <si>
    <t>Farm Implement Shed 8x12m K12</t>
  </si>
  <si>
    <t>F4161576</t>
  </si>
  <si>
    <t>Pukekohe High School</t>
  </si>
  <si>
    <t>14 Harris St, Pukekohe</t>
  </si>
  <si>
    <t xml:space="preserve">14 Harris street Pukekohe </t>
  </si>
  <si>
    <t>XStr GRAHAM ST / ROULSTON ST</t>
  </si>
  <si>
    <t>SO Pritchard</t>
  </si>
  <si>
    <t>K46-4 MCP</t>
  </si>
  <si>
    <t>F4161837</t>
  </si>
  <si>
    <t>Nga Hau e Wha Te Kohanga Reo</t>
  </si>
  <si>
    <t>92 Beatty Rd, Pukekohe</t>
  </si>
  <si>
    <t>92 Beatty Rd</t>
  </si>
  <si>
    <t>XStr REGIS PARK DR / KEITH RD</t>
  </si>
  <si>
    <t>30x8m Endangering Houses</t>
  </si>
  <si>
    <t>F4162103</t>
  </si>
  <si>
    <t>Palms Lifecare Resthome Pukekohe</t>
  </si>
  <si>
    <t>104 Harris St, Pukekohe</t>
  </si>
  <si>
    <t>104 Harris St</t>
  </si>
  <si>
    <t>XStr WEST ST / WELLINGTON ST</t>
  </si>
  <si>
    <t>K46-2 Burnt Toast</t>
  </si>
  <si>
    <t>F4162106</t>
  </si>
  <si>
    <t>90A Reynolds Rd, Pukekohe</t>
  </si>
  <si>
    <t>90a Reynolds Rd</t>
  </si>
  <si>
    <t>XStr BOB CRAIG PL / LES FISHER PL</t>
  </si>
  <si>
    <t>F4162232</t>
  </si>
  <si>
    <t>The Old Helvetia Packhouse</t>
  </si>
  <si>
    <t>196 Heights Rd, Pukekohe</t>
  </si>
  <si>
    <t>195 Heights Road, Pukekohe</t>
  </si>
  <si>
    <t>XStr OSTRICH FARM RD / HELVETIA RD</t>
  </si>
  <si>
    <t>Court J</t>
  </si>
  <si>
    <t>K46-2 Dust</t>
  </si>
  <si>
    <t>F4162287</t>
  </si>
  <si>
    <t>Pinoy One Stop Pukekohe</t>
  </si>
  <si>
    <t>243 Manukau Road, Pukekohe</t>
  </si>
  <si>
    <t>243 Manukau Road</t>
  </si>
  <si>
    <t>K46-2 Fog Cannon</t>
  </si>
  <si>
    <t>F4162948</t>
  </si>
  <si>
    <t>Tamaoho School Pukekohe</t>
  </si>
  <si>
    <t>36 Taikaranga Street, Pukekohe</t>
  </si>
  <si>
    <t>36 Taikaranga St</t>
  </si>
  <si>
    <t>XStr MATIKAO WAY / TE MANAKI ST</t>
  </si>
  <si>
    <t>K46-3 Smoke Detector PFA 102920</t>
  </si>
  <si>
    <t>F4163367</t>
  </si>
  <si>
    <t>229 Wily Road, Puni</t>
  </si>
  <si>
    <t>229 WILY RD PUNI</t>
  </si>
  <si>
    <t>XStr WAIUKU RD / MASSEY RD</t>
  </si>
  <si>
    <t>Bell-Kainiu</t>
  </si>
  <si>
    <t>Car rolled power lines down</t>
  </si>
  <si>
    <t>F4163425</t>
  </si>
  <si>
    <t>Pukekohe Family Health Care</t>
  </si>
  <si>
    <t>10 West Street, Pukekohe</t>
  </si>
  <si>
    <t>West st pukekohe</t>
  </si>
  <si>
    <t>XStr HARRINGTON AV / TOBIN ST</t>
  </si>
  <si>
    <t>K46-2 Contractors PFA 114928</t>
  </si>
  <si>
    <t>F4163418</t>
  </si>
  <si>
    <t>Global Metal Solutions Papakura</t>
  </si>
  <si>
    <t>68 Hunua Road, Papakura</t>
  </si>
  <si>
    <t>68 Hunua Road Papakura</t>
  </si>
  <si>
    <t>XStr MARGARET WILLIAMS DR / BOUNDRY RD</t>
  </si>
  <si>
    <t>4th Alarm Scrap Metal Fire PUKE557 K25 Papakura</t>
  </si>
  <si>
    <t>CM10724</t>
  </si>
  <si>
    <t>Papakura Fire Station</t>
  </si>
  <si>
    <t>76 Great South Road, Papakura</t>
  </si>
  <si>
    <t>Cover Move to Papakura</t>
  </si>
  <si>
    <t>XStr DON ST / COLES CR</t>
  </si>
  <si>
    <t>68 Hunua Rd, Papakura Global Metal Solutions F4163418 4th Alarm STRU</t>
  </si>
  <si>
    <t>10 West St, Pukekohe</t>
  </si>
  <si>
    <t>Xstr HARRINGTON AV / TOBIN ST</t>
  </si>
  <si>
    <t>F4163449</t>
  </si>
  <si>
    <t>Chemist Warehouse Pukekohe</t>
  </si>
  <si>
    <t>78-84 Edinburgh St, Pukekohe</t>
  </si>
  <si>
    <t>Xstr STADIUM DR / TOBIN ST</t>
  </si>
  <si>
    <t>Patumahoe as backup</t>
  </si>
  <si>
    <t>F4163777</t>
  </si>
  <si>
    <t>["PUKE557","PUKE551"]</t>
  </si>
  <si>
    <t>Queen St, Pukekohe</t>
  </si>
  <si>
    <t>Queen Street Pukekohe</t>
  </si>
  <si>
    <t>XStr BLEDISLOE CT / RUSSELL AV</t>
  </si>
  <si>
    <t>Car v Car - smoke showing</t>
  </si>
  <si>
    <t>F4164322</t>
  </si>
  <si>
    <t>262 Parker Lane, Buckland</t>
  </si>
  <si>
    <t>262 Parker lane Buckland</t>
  </si>
  <si>
    <t>XStr BUCKLAND RD</t>
  </si>
  <si>
    <t>Grass Fire 50x30m Controlled burn out of control - unpermitted</t>
  </si>
  <si>
    <t>F4164500</t>
  </si>
  <si>
    <t>Harcourts Pukekohe</t>
  </si>
  <si>
    <t>24 Seddon St, Pukekohe</t>
  </si>
  <si>
    <t>24 Seddon Street Pukekohe (Harcourts)</t>
  </si>
  <si>
    <t>XStr SEDDON LA / TOBIN ST</t>
  </si>
  <si>
    <t>Mel</t>
  </si>
  <si>
    <t>K46-3</t>
  </si>
  <si>
    <t>F4164893</t>
  </si>
  <si>
    <t>239 Burtt Rd, Paerata</t>
  </si>
  <si>
    <t>239 Burtt Rd Paerata</t>
  </si>
  <si>
    <t>XStr SOLITAIRE LA / CHERITON LA</t>
  </si>
  <si>
    <t>MANU301</t>
  </si>
  <si>
    <t>Grass Pile on Fire</t>
  </si>
  <si>
    <t>F4165390</t>
  </si>
  <si>
    <t>389 Waiuku Rd, Puni</t>
  </si>
  <si>
    <t>XStr AKA AKA RD / ROGERS RD</t>
  </si>
  <si>
    <t>F4165432</t>
  </si>
  <si>
    <t>Animal rescue</t>
  </si>
  <si>
    <t>103 Quinn Road, Mauku</t>
  </si>
  <si>
    <t>103 Quinn road, Mauku</t>
  </si>
  <si>
    <t>XStr SOMMERVILLE RD / MARTYN WRIGHT RD</t>
  </si>
  <si>
    <t>Two Cows stuck in swamp - both rescued</t>
  </si>
  <si>
    <t>F4165467</t>
  </si>
  <si>
    <t>318 Runciman Rd, Ramarama</t>
  </si>
  <si>
    <t>Runciman road</t>
  </si>
  <si>
    <t>XStr GORDON FRANCIS DR / VALLEY SPRINGS WAY</t>
  </si>
  <si>
    <t>Car Rolled</t>
  </si>
  <si>
    <t>F4166033</t>
  </si>
  <si>
    <t>80 Trig Rd, Tuakau</t>
  </si>
  <si>
    <t>80 trigg road</t>
  </si>
  <si>
    <t>XStr EWING RD</t>
  </si>
  <si>
    <t>2nd Alarm Fire in paddock - 5 acres</t>
  </si>
  <si>
    <t>F4166205</t>
  </si>
  <si>
    <t>12 Eastside Dr, Pukekohe</t>
  </si>
  <si>
    <t>12 east side drive</t>
  </si>
  <si>
    <t>XStr VALLEY SIDE WAY / REYNOLDS RD</t>
  </si>
  <si>
    <t>SO Thomas</t>
  </si>
  <si>
    <t>Thomas</t>
  </si>
  <si>
    <t>Gassing Self harm Stood down Enroute</t>
  </si>
  <si>
    <t>F4166215</t>
  </si>
  <si>
    <t>Pukekohe Reformed Church</t>
  </si>
  <si>
    <t>2 Victoria St, Pukekohe</t>
  </si>
  <si>
    <t>2 Victoria Street</t>
  </si>
  <si>
    <t>XStr SEDDON ST / DUBLIN ST</t>
  </si>
  <si>
    <t>K46-7 Undetermined PFA 100036</t>
  </si>
  <si>
    <t>F4166219</t>
  </si>
  <si>
    <t>Helvetia Packhouse</t>
  </si>
  <si>
    <t>185 Heights Road, Pukekohe</t>
  </si>
  <si>
    <t>185 heights rd</t>
  </si>
  <si>
    <t>PFA 102237</t>
  </si>
  <si>
    <t>F4166735</t>
  </si>
  <si>
    <t>Landing zone</t>
  </si>
  <si>
    <t>Bledisloe Park</t>
  </si>
  <si>
    <t>John Street, Pukekohe</t>
  </si>
  <si>
    <t>Bledisloe park</t>
  </si>
  <si>
    <t>Landing Zone</t>
  </si>
  <si>
    <t>F4166876</t>
  </si>
  <si>
    <t>14-28 Subway Road, Pukekohe</t>
  </si>
  <si>
    <t>Postie Plus 14-28 Subway Rd</t>
  </si>
  <si>
    <t>K46-7 Undetermined PFA 102665</t>
  </si>
  <si>
    <t>F4168669</t>
  </si>
  <si>
    <t>Pukekohe North School</t>
  </si>
  <si>
    <t>57 Princes Street, Pukekohe</t>
  </si>
  <si>
    <t>57 Princes St</t>
  </si>
  <si>
    <t>XStr FREYBERG CR / BEATTY RD</t>
  </si>
  <si>
    <t>Stood down prior to k55</t>
  </si>
  <si>
    <t>F4168722</t>
  </si>
  <si>
    <t>9A Princes Street, Pukekohe</t>
  </si>
  <si>
    <t xml:space="preserve">9 Princess Street Pukekohe </t>
  </si>
  <si>
    <t>Xstr DUBLIN ST / PARKWAY</t>
  </si>
  <si>
    <t>F4169416</t>
  </si>
  <si>
    <t>175 Runciman Rd, Pukekohe</t>
  </si>
  <si>
    <t>175 RUNCIMAN RD PUKEKOHE</t>
  </si>
  <si>
    <t>Xstr RUTHERFORD RD / GORDON GRANCIS DR</t>
  </si>
  <si>
    <t>3 CAR MVC INCLUDING PARKED - 2 PTS STATUS 4 - ROAD IS BLOCKED</t>
  </si>
  <si>
    <t>F4169497</t>
  </si>
  <si>
    <t>153 Lewis Rd, Karaka</t>
  </si>
  <si>
    <t>153 Lewis Rd Karaka</t>
  </si>
  <si>
    <t>Xstr BREAM REVEL WAY / CHARLES RD</t>
  </si>
  <si>
    <t>Stood down</t>
  </si>
  <si>
    <t>Paged stand down, no fire report</t>
  </si>
  <si>
    <t>F4170237</t>
  </si>
  <si>
    <t>Fence Fire</t>
  </si>
  <si>
    <t>65 Birdwood Rd East, Pukekohe</t>
  </si>
  <si>
    <t>65 Birdwood Road Eastp</t>
  </si>
  <si>
    <t>Xstr BEATTY RD</t>
  </si>
  <si>
    <t>Fence Fire also</t>
  </si>
  <si>
    <t>F4170509</t>
  </si>
  <si>
    <t>101 Heights Rd, Paerata</t>
  </si>
  <si>
    <t>Heights Road</t>
  </si>
  <si>
    <t>Xstr PAERATA RD / BEATTY RD</t>
  </si>
  <si>
    <t>F4170581</t>
  </si>
  <si>
    <t xml:space="preserve">Fire in vicinity </t>
  </si>
  <si>
    <t>194 Patumahoe Rd, Patumahoe</t>
  </si>
  <si>
    <t>194 Patumahoe Rd</t>
  </si>
  <si>
    <t>Xstr SUDGEBROOK RD / GUN CLUB RD</t>
  </si>
  <si>
    <t>Chapman</t>
  </si>
  <si>
    <t>1 LARGE RUBBISH FIRE GTWW 1LPD AND FOAM , FIRE APPROX 5M X 4M BY 1.5 HIGH - make pumps two tankers one</t>
  </si>
  <si>
    <t>F4170596</t>
  </si>
  <si>
    <t>46 Edinbrgh St, Pukekohe</t>
  </si>
  <si>
    <t>46 Edinburgh St</t>
  </si>
  <si>
    <t>Xstr DEVON LA / KING ST</t>
  </si>
  <si>
    <t>Workmen - Alarm was isolated by occupier</t>
  </si>
  <si>
    <t>F4171006</t>
  </si>
  <si>
    <t>Trees on fire</t>
  </si>
  <si>
    <t>McShane Park</t>
  </si>
  <si>
    <t>31 McShane St, Pukekohe</t>
  </si>
  <si>
    <t>31 mcshane st  pukekohe</t>
  </si>
  <si>
    <t>Tree Fire</t>
  </si>
  <si>
    <t>F4171234</t>
  </si>
  <si>
    <t>Spectrum Care Trust Board Fair Oaks</t>
  </si>
  <si>
    <t>3 Fair Oaks, Pukekohe</t>
  </si>
  <si>
    <t>3 Fair Oaks Pukekohe</t>
  </si>
  <si>
    <t>Xstr WELLINGTON ST</t>
  </si>
  <si>
    <t>F4171530</t>
  </si>
  <si>
    <t>1907 Buckland Rd, Buckland</t>
  </si>
  <si>
    <t>Buckland Rd</t>
  </si>
  <si>
    <t>Xstr GEORGE CR / TUAKAU RD</t>
  </si>
  <si>
    <t>Richard i</t>
  </si>
  <si>
    <t>Bonfire turned out as a VEG</t>
  </si>
  <si>
    <t>F4171883</t>
  </si>
  <si>
    <t>Xstr WELLINGTON ST / WEST ST</t>
  </si>
  <si>
    <t>Cooking</t>
  </si>
  <si>
    <t>F4172049</t>
  </si>
  <si>
    <t>Health Land Thai Massage</t>
  </si>
  <si>
    <t>10 King Street, Pukekohe</t>
  </si>
  <si>
    <t>10 King st</t>
  </si>
  <si>
    <t>Xstr SEDDON ST / EDINBURGH ST</t>
  </si>
  <si>
    <t>F4173115</t>
  </si>
  <si>
    <t>58 Kayes Rd, Pukekohe</t>
  </si>
  <si>
    <t>58 Kayes RD Pukekohe</t>
  </si>
  <si>
    <t>Xstr MARBLEWOOD GR / RATA PL</t>
  </si>
  <si>
    <t>SFF O'Connell</t>
  </si>
  <si>
    <t>Residential alarm Cooking</t>
  </si>
  <si>
    <t>F4173347</t>
  </si>
  <si>
    <t>HAZMAT</t>
  </si>
  <si>
    <t>8 Hall St, Pukekohe</t>
  </si>
  <si>
    <t>Hall Street</t>
  </si>
  <si>
    <t>Xstr KING ST / LODGE ST</t>
  </si>
  <si>
    <t>Rendered Safe</t>
  </si>
  <si>
    <t>F4173796</t>
  </si>
  <si>
    <t>14 Harris st Pukekohe</t>
  </si>
  <si>
    <t>Xstr GRAHAM ST / ROULSTON ST</t>
  </si>
  <si>
    <t>Malicious</t>
  </si>
  <si>
    <t>F4174041</t>
  </si>
  <si>
    <t xml:space="preserve"> 5 Puni Rd</t>
  </si>
  <si>
    <t>F4174110</t>
  </si>
  <si>
    <t>Wesley college</t>
  </si>
  <si>
    <t>F4174327</t>
  </si>
  <si>
    <t>Parkside School</t>
  </si>
  <si>
    <t>F4175056</t>
  </si>
  <si>
    <t>Smoke Showing from Petrol Tanker</t>
  </si>
  <si>
    <t>Puni Rugby Football Club, Attewell Rd, Puni.</t>
  </si>
  <si>
    <t>F4175247</t>
  </si>
  <si>
    <t>1748 Buckland Rd</t>
  </si>
  <si>
    <t>Darryn</t>
  </si>
  <si>
    <t>F4175719</t>
  </si>
  <si>
    <t>93B Seddon st</t>
  </si>
  <si>
    <t>F4176067</t>
  </si>
  <si>
    <t>9 Times Place</t>
  </si>
  <si>
    <t>F4176094</t>
  </si>
  <si>
    <t>Victoria Street West</t>
  </si>
  <si>
    <t>F4176129</t>
  </si>
  <si>
    <t>Ostrich Road</t>
  </si>
  <si>
    <t>F4176462</t>
  </si>
  <si>
    <t>5 Lisle farm drive</t>
  </si>
  <si>
    <t>Evans</t>
  </si>
  <si>
    <t>F4176559</t>
  </si>
  <si>
    <t>10 Hooper Av</t>
  </si>
  <si>
    <t>F4176592</t>
  </si>
  <si>
    <t>Smoke in area</t>
  </si>
  <si>
    <t>Dublin St/Turner Pl</t>
  </si>
  <si>
    <t>F4177678</t>
  </si>
  <si>
    <t>46 Edinburgh st</t>
  </si>
  <si>
    <t xml:space="preserve">Bharat </t>
  </si>
  <si>
    <t>F4177762</t>
  </si>
  <si>
    <t>4 cape vista</t>
  </si>
  <si>
    <t>Jelly b</t>
  </si>
  <si>
    <t>F4177769</t>
  </si>
  <si>
    <t>Mangaharakeke Drive, Horotiu</t>
  </si>
  <si>
    <t>F4178281</t>
  </si>
  <si>
    <t>Bunnings 5 Crosbie rd</t>
  </si>
  <si>
    <t>F4178399</t>
  </si>
  <si>
    <t>Hazgas</t>
  </si>
  <si>
    <t>13 West st</t>
  </si>
  <si>
    <t>Jelly B</t>
  </si>
  <si>
    <t>F4179066</t>
  </si>
  <si>
    <t xml:space="preserve">Water cylinder </t>
  </si>
  <si>
    <t xml:space="preserve">7A Blair Av Pukekohe </t>
  </si>
  <si>
    <t>F4180112</t>
  </si>
  <si>
    <t>Glasgow</t>
  </si>
  <si>
    <t>CFO</t>
  </si>
  <si>
    <t>F4180289</t>
  </si>
  <si>
    <t>31 Mcshane street Pukekohe</t>
  </si>
  <si>
    <t>F4180833</t>
  </si>
  <si>
    <t>55 Ward</t>
  </si>
  <si>
    <t>Chappy</t>
  </si>
  <si>
    <t>F4180876</t>
  </si>
  <si>
    <t>44 McNally road</t>
  </si>
  <si>
    <t>F4181725</t>
  </si>
  <si>
    <t>Buckland</t>
  </si>
  <si>
    <t>F4182457</t>
  </si>
  <si>
    <t>Bunnings</t>
  </si>
  <si>
    <t>F4183071</t>
  </si>
  <si>
    <t>Logan Road, Buckland</t>
  </si>
  <si>
    <t>F4183207</t>
  </si>
  <si>
    <t>Wesley college girls dorm</t>
  </si>
  <si>
    <t>F4183224</t>
  </si>
  <si>
    <t>Wesley College Girls Dormintory</t>
  </si>
  <si>
    <t>F4184071</t>
  </si>
  <si>
    <t>501 Waiuku Road</t>
  </si>
  <si>
    <t>F4184311</t>
  </si>
  <si>
    <t>51 Beatty Road, Pukekohe</t>
  </si>
  <si>
    <t>F4185067</t>
  </si>
  <si>
    <t>Power Pole</t>
  </si>
  <si>
    <t>Puhitahi Hill Road</t>
  </si>
  <si>
    <t>F4185407</t>
  </si>
  <si>
    <t>Helvetia Road Packhouse</t>
  </si>
  <si>
    <t>F4185882</t>
  </si>
  <si>
    <t>F4186190</t>
  </si>
  <si>
    <t>246 Victoria west st</t>
  </si>
  <si>
    <t>F4186485</t>
  </si>
  <si>
    <t xml:space="preserve">LPG Bottle fire </t>
  </si>
  <si>
    <t>40 Ostrich Farm Rd, Pukekohe</t>
  </si>
  <si>
    <t>F4187276</t>
  </si>
  <si>
    <t>107 Heights Rd</t>
  </si>
  <si>
    <t>O’Connell</t>
  </si>
  <si>
    <t>F4188811</t>
  </si>
  <si>
    <t xml:space="preserve">801 Paerata road - Wesley college </t>
  </si>
  <si>
    <t>F4189626</t>
  </si>
  <si>
    <t>Runciman Road</t>
  </si>
  <si>
    <t>F4189667</t>
  </si>
  <si>
    <t xml:space="preserve">35 TUHIMATA RD PAERATA </t>
  </si>
  <si>
    <t>F4189676</t>
  </si>
  <si>
    <t>4 Greig Place</t>
  </si>
  <si>
    <t>F4189685</t>
  </si>
  <si>
    <t>7 Hooper Avenue</t>
  </si>
  <si>
    <t>F4190494</t>
  </si>
  <si>
    <t>Edinburgh St, Pukekohe</t>
  </si>
  <si>
    <t>F4190498</t>
  </si>
  <si>
    <t>Pukekohe High School, 14 Harris St, Pukekohe</t>
  </si>
  <si>
    <t>F4190501</t>
  </si>
  <si>
    <t>Upper Queen St, Pukekohe</t>
  </si>
  <si>
    <t>F4191349</t>
  </si>
  <si>
    <t>89-91 kingseat rd</t>
  </si>
  <si>
    <t>F4192055</t>
  </si>
  <si>
    <t xml:space="preserve">62 Twomey Dr Pukekohe </t>
  </si>
  <si>
    <t>F4192130</t>
  </si>
  <si>
    <t>Rubbish truck fire</t>
  </si>
  <si>
    <t>Wk500 Waikato expressway</t>
  </si>
  <si>
    <t>Big D steeley</t>
  </si>
  <si>
    <t>F4192955</t>
  </si>
  <si>
    <t>Eastern Drain Rd Aka Aka</t>
  </si>
  <si>
    <t>F41993316</t>
  </si>
  <si>
    <t>5 Ploughmans Ave Pukekohe</t>
  </si>
  <si>
    <t xml:space="preserve">Darcy </t>
  </si>
  <si>
    <t>F4193831</t>
  </si>
  <si>
    <t>Electrical explosion</t>
  </si>
  <si>
    <t xml:space="preserve">151 Kitchener Road Pukekohe </t>
  </si>
  <si>
    <t>Dallas</t>
  </si>
  <si>
    <t>F4193837</t>
  </si>
  <si>
    <t xml:space="preserve">Franklin RD cape hill </t>
  </si>
  <si>
    <t>F4193942</t>
  </si>
  <si>
    <t>457A Settlement rd</t>
  </si>
  <si>
    <t>F4193989</t>
  </si>
  <si>
    <t xml:space="preserve">Pukekohe east - XStr Harrisville road/mill road </t>
  </si>
  <si>
    <t>Unknown</t>
  </si>
  <si>
    <t>F4196089</t>
  </si>
  <si>
    <t>Possum Bourne main building</t>
  </si>
  <si>
    <t>F4196978</t>
  </si>
  <si>
    <t>Farmlands</t>
  </si>
  <si>
    <t>F4197431</t>
  </si>
  <si>
    <t>Station Road/Subway Road</t>
  </si>
  <si>
    <t>F4198213</t>
  </si>
  <si>
    <t>41a Ostrich Farm Rd</t>
  </si>
  <si>
    <t>F4200351</t>
  </si>
  <si>
    <t>1226 Paerata Road</t>
  </si>
  <si>
    <t>F4200430</t>
  </si>
  <si>
    <t>245 Victoria St</t>
  </si>
  <si>
    <t>F4200478</t>
  </si>
  <si>
    <t>169 Wellington Street</t>
  </si>
  <si>
    <t>F4200704</t>
  </si>
  <si>
    <t>29 Dazeley Road, Puni</t>
  </si>
  <si>
    <t xml:space="preserve">Johnathan </t>
  </si>
  <si>
    <t>F4200849</t>
  </si>
  <si>
    <t>Franklin Village</t>
  </si>
  <si>
    <t>F4200936</t>
  </si>
  <si>
    <t>F4201828</t>
  </si>
  <si>
    <t>Franklin Road</t>
  </si>
  <si>
    <t>F4202985</t>
  </si>
  <si>
    <t>132 Manukau road</t>
  </si>
  <si>
    <t>F4203607</t>
  </si>
  <si>
    <t>Assist occupant - road speed</t>
  </si>
  <si>
    <t>6 Carlton RD</t>
  </si>
  <si>
    <t>Irving</t>
  </si>
  <si>
    <t>F4203870</t>
  </si>
  <si>
    <t>137 King street</t>
  </si>
  <si>
    <t>F4203834</t>
  </si>
  <si>
    <t>Paerata School</t>
  </si>
  <si>
    <t>F4204382</t>
  </si>
  <si>
    <t>Ostrich Farm Road</t>
  </si>
  <si>
    <t>F4204614</t>
  </si>
  <si>
    <t>Pukekohe high school</t>
  </si>
  <si>
    <t>Primrose</t>
  </si>
  <si>
    <t>F4204611</t>
  </si>
  <si>
    <t>Pukekohe family health</t>
  </si>
  <si>
    <t>F4204846</t>
  </si>
  <si>
    <t>F4205124</t>
  </si>
  <si>
    <t>F4205385</t>
  </si>
  <si>
    <t xml:space="preserve">Pukekohe Family Health Care </t>
  </si>
  <si>
    <t>F2405444</t>
  </si>
  <si>
    <t>89A Victoria Street</t>
  </si>
  <si>
    <t>F4205455</t>
  </si>
  <si>
    <t>Wesley Collage</t>
  </si>
  <si>
    <t>F4205614</t>
  </si>
  <si>
    <t>Power plinth on fire</t>
  </si>
  <si>
    <t>36 Anzac Road, Pukekohe</t>
  </si>
  <si>
    <t>F4206217</t>
  </si>
  <si>
    <t>F4206362</t>
  </si>
  <si>
    <t>123 Kitchener rd</t>
  </si>
  <si>
    <t>F4206372</t>
  </si>
  <si>
    <t>F4206792</t>
  </si>
  <si>
    <t>319d Sim Rd</t>
  </si>
  <si>
    <t>F4206853</t>
  </si>
  <si>
    <t>F4206871</t>
  </si>
  <si>
    <t xml:space="preserve">7 Wairua Road, Pukekohe </t>
  </si>
  <si>
    <t>F4207307</t>
  </si>
  <si>
    <t xml:space="preserve">Fire in Vicinity </t>
  </si>
  <si>
    <t>Waiuku Rd, Puni, XStr, Aka Aka / Rogers Rd</t>
  </si>
  <si>
    <t>F4207364</t>
  </si>
  <si>
    <t>17 Holland St</t>
  </si>
  <si>
    <t>F4208754</t>
  </si>
  <si>
    <t>870b upper Queen st</t>
  </si>
  <si>
    <t>F4209051</t>
  </si>
  <si>
    <t>Pukekohe Town Hall 12 MASSEY AV PUKEKOHE</t>
  </si>
  <si>
    <t>F4209527</t>
  </si>
  <si>
    <t>Waiuku Road</t>
  </si>
  <si>
    <t>F4209543</t>
  </si>
  <si>
    <t>235A Cape Hill Road, Pukekohe</t>
  </si>
  <si>
    <t>F4209607</t>
  </si>
  <si>
    <t>Rubbish</t>
  </si>
  <si>
    <t>Harris St</t>
  </si>
  <si>
    <t>F4209721</t>
  </si>
  <si>
    <t>Wesley college girls dormitory 801 Paerata rd</t>
  </si>
  <si>
    <t>F4209791</t>
  </si>
  <si>
    <t xml:space="preserve">Carlielle kitchens 138 Manukau Rd </t>
  </si>
  <si>
    <t>F4209877</t>
  </si>
  <si>
    <t>Palms Rest Home</t>
  </si>
  <si>
    <t>F4210115</t>
  </si>
  <si>
    <t>17 Mcnally Rd</t>
  </si>
  <si>
    <t>F4210415</t>
  </si>
  <si>
    <t>12 Woodcroft Way, Pukekohe</t>
  </si>
  <si>
    <t>F4210549</t>
  </si>
  <si>
    <t>16 Evan’s court</t>
  </si>
  <si>
    <t>F4210601</t>
  </si>
  <si>
    <t>Waikato EXWY</t>
  </si>
  <si>
    <t>F4210991</t>
  </si>
  <si>
    <t>St Stephen’s School</t>
  </si>
  <si>
    <t>F4211018</t>
  </si>
  <si>
    <t>Edinburgh Street</t>
  </si>
  <si>
    <t>F4211578</t>
  </si>
  <si>
    <t xml:space="preserve">255 Muir Rd Karaka </t>
  </si>
  <si>
    <t>F4212862</t>
  </si>
  <si>
    <t>267 Beaver Rd</t>
  </si>
  <si>
    <t>F4212948</t>
  </si>
  <si>
    <t>Lines arcing</t>
  </si>
  <si>
    <t>103 Helvetia road</t>
  </si>
  <si>
    <t>Jon</t>
  </si>
  <si>
    <t>F4213189</t>
  </si>
  <si>
    <t>Seddon St. KO</t>
  </si>
  <si>
    <t xml:space="preserve">Grant </t>
  </si>
  <si>
    <t>F4213736</t>
  </si>
  <si>
    <t>Truck Fire</t>
  </si>
  <si>
    <t>Adam’s Drive</t>
  </si>
  <si>
    <t>F4213937</t>
  </si>
  <si>
    <t>Spotlight 27 Wrightson Way, Pukekohe</t>
  </si>
  <si>
    <t>F4214372</t>
  </si>
  <si>
    <t>25 Helvetia Rd</t>
  </si>
  <si>
    <t>F4215759</t>
  </si>
  <si>
    <t>6 Arnhem pl</t>
  </si>
  <si>
    <t>F4215842</t>
  </si>
  <si>
    <t>553 Patumahoe road pukekohe</t>
  </si>
  <si>
    <t>F4216229</t>
  </si>
  <si>
    <t>80 Kayes Road, Pukekohe</t>
  </si>
  <si>
    <t xml:space="preserve">McConchie </t>
  </si>
  <si>
    <t>F4216321</t>
  </si>
  <si>
    <t>5 Cape Hill Road</t>
  </si>
  <si>
    <t>F4216370</t>
  </si>
  <si>
    <t>Creo Fitness, 5 Cape Hill Rd, Pukekohe</t>
  </si>
  <si>
    <t>F4216654</t>
  </si>
  <si>
    <t>36 Taikaranga street</t>
  </si>
  <si>
    <t>F4217560</t>
  </si>
  <si>
    <t xml:space="preserve">Northbound Mill RD </t>
  </si>
  <si>
    <t>F4217886</t>
  </si>
  <si>
    <t>Power box</t>
  </si>
  <si>
    <t>10 Henry Curd Tce</t>
  </si>
  <si>
    <t>F4217996</t>
  </si>
  <si>
    <t>Logan Rd X Buckland rd</t>
  </si>
  <si>
    <t>F4218502</t>
  </si>
  <si>
    <t>Fence fire</t>
  </si>
  <si>
    <t xml:space="preserve">91 Kayes Rd Pukekohe </t>
  </si>
  <si>
    <t>Hart</t>
  </si>
  <si>
    <t>F4218535</t>
  </si>
  <si>
    <t>801 Paerata Rd</t>
  </si>
  <si>
    <t>F4218886</t>
  </si>
  <si>
    <t>Counties Toyota Pukekohe</t>
  </si>
  <si>
    <t>F4219082</t>
  </si>
  <si>
    <t>Tōtara Rd X Paparata rd</t>
  </si>
  <si>
    <t>F4219300</t>
  </si>
  <si>
    <t>F219300</t>
  </si>
  <si>
    <t>F4219517</t>
  </si>
  <si>
    <t xml:space="preserve">Ngakoroa school, Tuhimata Rd </t>
  </si>
  <si>
    <t>F4219909</t>
  </si>
  <si>
    <t>Kayes Road</t>
  </si>
  <si>
    <t>F4220401</t>
  </si>
  <si>
    <t>Buckland Rd Buckland</t>
  </si>
  <si>
    <t>F4220728</t>
  </si>
  <si>
    <t xml:space="preserve">Settlement road </t>
  </si>
  <si>
    <t>F4221108</t>
  </si>
  <si>
    <t>GJ Weck Patumahoe</t>
  </si>
  <si>
    <t>F4221212</t>
  </si>
  <si>
    <t>Placemakers 4 Comrie Pl, Pukekohe</t>
  </si>
  <si>
    <t>F4221473</t>
  </si>
  <si>
    <t>14 Harris Street Pukekohe</t>
  </si>
  <si>
    <t>F4222044</t>
  </si>
  <si>
    <t>85 Edinburgh st</t>
  </si>
  <si>
    <t>F4222153</t>
  </si>
  <si>
    <t>F4222266</t>
  </si>
  <si>
    <t>Possum Bourne village</t>
  </si>
  <si>
    <t>F4223141</t>
  </si>
  <si>
    <t>86 Seddon Street</t>
  </si>
  <si>
    <t>F4224016</t>
  </si>
  <si>
    <t>Ararimu School</t>
  </si>
  <si>
    <t>F4224515</t>
  </si>
  <si>
    <t>390 Waiuku Road</t>
  </si>
  <si>
    <t>F4225124</t>
  </si>
  <si>
    <t>5 Garden Terrace, Pukekohe</t>
  </si>
  <si>
    <t xml:space="preserve">Moore </t>
  </si>
  <si>
    <t>F4225265</t>
  </si>
  <si>
    <t xml:space="preserve">11 ray wright Rd Pukekohe </t>
  </si>
  <si>
    <t>F4225619</t>
  </si>
  <si>
    <t>Brownlee Place</t>
  </si>
  <si>
    <t>R</t>
  </si>
  <si>
    <t>F4226169</t>
  </si>
  <si>
    <t>21 Roulston St</t>
  </si>
  <si>
    <t>J</t>
  </si>
  <si>
    <t>F4226253</t>
  </si>
  <si>
    <t>Treetops 1246 Paerata road</t>
  </si>
  <si>
    <t>F4226642</t>
  </si>
  <si>
    <t>80 Attewell Rd</t>
  </si>
  <si>
    <t>F4227203</t>
  </si>
  <si>
    <t>Pukekohe North School, 57 Princes St, Pukekohe</t>
  </si>
  <si>
    <t>F4227713</t>
  </si>
  <si>
    <t>Heights Road, Paerata, Pukekohe</t>
  </si>
  <si>
    <t xml:space="preserve">R Irving </t>
  </si>
  <si>
    <t>F4227734</t>
  </si>
  <si>
    <t>Possum Bourne Retirement Village</t>
  </si>
  <si>
    <t>F4228152</t>
  </si>
  <si>
    <t>Possum borne village</t>
  </si>
  <si>
    <t>F4228451</t>
  </si>
  <si>
    <t>F4228486</t>
  </si>
  <si>
    <t>Wesley College Te Paea Hostel</t>
  </si>
  <si>
    <t>F4228943</t>
  </si>
  <si>
    <t>88 King st Michael hill</t>
  </si>
  <si>
    <t>F4229189</t>
  </si>
  <si>
    <t>Pukekohe Golf Course</t>
  </si>
  <si>
    <t>F4229386</t>
  </si>
  <si>
    <t>402 Waiuku Rd</t>
  </si>
  <si>
    <t>F4229483</t>
  </si>
  <si>
    <t>Schlaepfer rd</t>
  </si>
  <si>
    <t>F4230218</t>
  </si>
  <si>
    <t>7 King Street Pukekohe</t>
  </si>
  <si>
    <t>F4231139</t>
  </si>
  <si>
    <t>F4231331</t>
  </si>
  <si>
    <t>38 Cooper road</t>
  </si>
  <si>
    <t>F4231452</t>
  </si>
  <si>
    <t>Wesley college dorm 1</t>
  </si>
  <si>
    <t>F4232105</t>
  </si>
  <si>
    <t>Race track 246-250 Manukau Rd</t>
  </si>
  <si>
    <t>F4234047</t>
  </si>
  <si>
    <t xml:space="preserve">Persons Stuck in Elevator </t>
  </si>
  <si>
    <t xml:space="preserve">Kainga Ora appartments Seddon st, Pukekohe </t>
  </si>
  <si>
    <t>F4234793</t>
  </si>
  <si>
    <t>Chimney Fire</t>
  </si>
  <si>
    <t>844B Paerata Road</t>
  </si>
  <si>
    <t>F4235335</t>
  </si>
  <si>
    <t xml:space="preserve">56 Jutland road </t>
  </si>
  <si>
    <t xml:space="preserve">Crystal </t>
  </si>
  <si>
    <t>F4235652</t>
  </si>
  <si>
    <t>101 Victoria street</t>
  </si>
  <si>
    <t>F4236307</t>
  </si>
  <si>
    <t>Crown Rd</t>
  </si>
  <si>
    <t>F4236355</t>
  </si>
  <si>
    <t>Douglas road/Patumahoe road</t>
  </si>
  <si>
    <t>F4237484</t>
  </si>
  <si>
    <t>XStr Maxwell road/Domain road</t>
  </si>
  <si>
    <t>F4240334</t>
  </si>
  <si>
    <t>Tamaoho school</t>
  </si>
  <si>
    <t>F4240390</t>
  </si>
  <si>
    <t xml:space="preserve">Car v Person </t>
  </si>
  <si>
    <t>99 Queen st</t>
  </si>
  <si>
    <t>F4240841</t>
  </si>
  <si>
    <t>1723 Ponga Rd, Hunua</t>
  </si>
  <si>
    <t>F4241163</t>
  </si>
  <si>
    <t>Karaka Road, Karaka</t>
  </si>
  <si>
    <t>F4242376</t>
  </si>
  <si>
    <t>122 Victoria street</t>
  </si>
  <si>
    <t>F4243204</t>
  </si>
  <si>
    <t>The Good Home 65 Edinburgh Street</t>
  </si>
  <si>
    <t>F4243215</t>
  </si>
  <si>
    <t>18b Helvetia Rd, Pukekohe</t>
  </si>
  <si>
    <t>F4243265</t>
  </si>
  <si>
    <t>AK 47 Southern MW (North bound)</t>
  </si>
  <si>
    <t>F4243875</t>
  </si>
  <si>
    <t>105 Helvetia Road</t>
  </si>
  <si>
    <t>F4244086</t>
  </si>
  <si>
    <t>9 Glenbogle Dr Buckland</t>
  </si>
  <si>
    <t>F4244263</t>
  </si>
  <si>
    <t>Life Care Resthome</t>
  </si>
  <si>
    <t xml:space="preserve">Jelly </t>
  </si>
  <si>
    <t>F4245390</t>
  </si>
  <si>
    <t>Oil spill</t>
  </si>
  <si>
    <t>Karaka Road Karaka</t>
  </si>
  <si>
    <t>F4245783</t>
  </si>
  <si>
    <t xml:space="preserve">Beaver Road West Off-ramp </t>
  </si>
  <si>
    <t>F4245879</t>
  </si>
  <si>
    <t>Fairoaks</t>
  </si>
  <si>
    <t>F4246070</t>
  </si>
  <si>
    <t xml:space="preserve">46 Edinburgh St Pukekohe </t>
  </si>
  <si>
    <t>F4246509</t>
  </si>
  <si>
    <t>Sh 1 Bombay</t>
  </si>
  <si>
    <t>F4246521</t>
  </si>
  <si>
    <t>Bombay Road</t>
  </si>
  <si>
    <t>F4246912</t>
  </si>
  <si>
    <t>Assist public</t>
  </si>
  <si>
    <t xml:space="preserve">117 Victoria st west </t>
  </si>
  <si>
    <t>CM12026</t>
  </si>
  <si>
    <t>Papakura Station</t>
  </si>
  <si>
    <t>F4247274</t>
  </si>
  <si>
    <t>Argenta 2 Sterling Ave, Manurewa East</t>
  </si>
  <si>
    <t>F4247317</t>
  </si>
  <si>
    <t>Oven fire</t>
  </si>
  <si>
    <t>65 Hyperion Dr</t>
  </si>
  <si>
    <t>F4247322</t>
  </si>
  <si>
    <t>Mahia Rd</t>
  </si>
  <si>
    <t>F4247572</t>
  </si>
  <si>
    <t>Patumahoe Hotel</t>
  </si>
  <si>
    <t>F4247579</t>
  </si>
  <si>
    <t xml:space="preserve">Possum Bourne Retirement village </t>
  </si>
  <si>
    <t>F4248300</t>
  </si>
  <si>
    <t>Pukekohe High School, 14 Harris Street, Pukekohe</t>
  </si>
  <si>
    <t>F4246607</t>
  </si>
  <si>
    <t>Heights Rd</t>
  </si>
  <si>
    <t>F4249054</t>
  </si>
  <si>
    <t xml:space="preserve"> Edinburgh st/ king st</t>
  </si>
  <si>
    <t>F4249071</t>
  </si>
  <si>
    <t>F4249258</t>
  </si>
  <si>
    <t>Warehouse stationary Pukekohe</t>
  </si>
  <si>
    <t>F4249659</t>
  </si>
  <si>
    <t>21 Ranch Pl</t>
  </si>
  <si>
    <t>F4250450</t>
  </si>
  <si>
    <t>46 Te Manaki Street</t>
  </si>
  <si>
    <t>F4250592</t>
  </si>
  <si>
    <t>Charles Road</t>
  </si>
  <si>
    <t>F4250705</t>
  </si>
  <si>
    <t xml:space="preserve">111 - Resc caller stuck in car by flooding </t>
  </si>
  <si>
    <t xml:space="preserve">Pollock road/Patumahoe road </t>
  </si>
  <si>
    <t>F4250743</t>
  </si>
  <si>
    <t>Franklin’s Queen st Pukekohe</t>
  </si>
  <si>
    <t>F4251163</t>
  </si>
  <si>
    <t>138 Manukau RD</t>
  </si>
  <si>
    <t>F4251280</t>
  </si>
  <si>
    <t>Gas bottle leak</t>
  </si>
  <si>
    <t xml:space="preserve">3/27 hall ST </t>
  </si>
  <si>
    <t>F4251362</t>
  </si>
  <si>
    <t xml:space="preserve">6 tomairangi cres Pukekohe </t>
  </si>
  <si>
    <t xml:space="preserve">Richard I </t>
  </si>
  <si>
    <t>F4251535</t>
  </si>
  <si>
    <t>4D Jutland Rd, Pukekohe</t>
  </si>
  <si>
    <t>F4251718</t>
  </si>
  <si>
    <t>32a Mason Av</t>
  </si>
  <si>
    <t>F4252138</t>
  </si>
  <si>
    <t xml:space="preserve">Franklin the centre </t>
  </si>
  <si>
    <t>F4252420</t>
  </si>
  <si>
    <t>F4252884</t>
  </si>
  <si>
    <t>34 Masters Rd Waiuku</t>
  </si>
  <si>
    <t>F4253605</t>
  </si>
  <si>
    <t>78 Helvetia road</t>
  </si>
  <si>
    <t>F4253825</t>
  </si>
  <si>
    <t>16/1 Birdwood rd</t>
  </si>
  <si>
    <t>F4253918</t>
  </si>
  <si>
    <t xml:space="preserve">Tree down on Rd </t>
  </si>
  <si>
    <t>Gun Club Rd Schlaepher rd</t>
  </si>
  <si>
    <t>F4254032</t>
  </si>
  <si>
    <t>Parkside School, 184 Wellington St, Pukekohe</t>
  </si>
  <si>
    <t>F4254139</t>
  </si>
  <si>
    <t>41 prado drive</t>
  </si>
  <si>
    <t>F4254989</t>
  </si>
  <si>
    <t>Church of the Later Day Saints</t>
  </si>
  <si>
    <t>F4255177</t>
  </si>
  <si>
    <t xml:space="preserve">Wesley college MA6801 girls dorm </t>
  </si>
  <si>
    <t>F4255696</t>
  </si>
  <si>
    <t xml:space="preserve">St Joseph’s school 94-102 Seddon St Pukekohe </t>
  </si>
  <si>
    <t>F4255756</t>
  </si>
  <si>
    <t>Birdwood Road</t>
  </si>
  <si>
    <t>F4255909</t>
  </si>
  <si>
    <t>Merced food court</t>
  </si>
  <si>
    <t>F4256371</t>
  </si>
  <si>
    <t>SH 1 Bombay</t>
  </si>
  <si>
    <t>F4256474</t>
  </si>
  <si>
    <t>Pukekohe East Rd</t>
  </si>
  <si>
    <t>F4256551</t>
  </si>
  <si>
    <t>Waikato expressway (Nikau road to sh1 - sh2)</t>
  </si>
  <si>
    <t>F4256563</t>
  </si>
  <si>
    <t>St Stephen’s school - Whitiora Building, 1832 Great South road</t>
  </si>
  <si>
    <t>F4256573</t>
  </si>
  <si>
    <t>Cardinal Logistics DSI warehouse 1, 78 Maketu Rd, Drury</t>
  </si>
  <si>
    <t>F4258576</t>
  </si>
  <si>
    <t xml:space="preserve">Smoke in vicinity </t>
  </si>
  <si>
    <t xml:space="preserve">Aka aka Rd Aka XStr Massey Rd/ Elbow Rd </t>
  </si>
  <si>
    <t>F4259135</t>
  </si>
  <si>
    <t xml:space="preserve">57A Paerata Road, Pukekohe </t>
  </si>
  <si>
    <t>F4259102</t>
  </si>
  <si>
    <t>Saint Joseph’s school, 94-102 Seddon St, Pukekohe</t>
  </si>
  <si>
    <t>F4260018</t>
  </si>
  <si>
    <t>F4260668</t>
  </si>
  <si>
    <t>91 Adam’s Drive</t>
  </si>
  <si>
    <t>F4261239</t>
  </si>
  <si>
    <t>Tree down blocking road</t>
  </si>
  <si>
    <t>Ostrich Farm Rd</t>
  </si>
  <si>
    <t>F4261942</t>
  </si>
  <si>
    <t>432 Runciman Road</t>
  </si>
  <si>
    <t>F4263402</t>
  </si>
  <si>
    <t>232 Glenbrook Rd</t>
  </si>
  <si>
    <t>F4263389</t>
  </si>
  <si>
    <t>148 Seddon Street</t>
  </si>
  <si>
    <t>F4263449</t>
  </si>
  <si>
    <t>36c Montgomery ave</t>
  </si>
  <si>
    <t>F4263714</t>
  </si>
  <si>
    <t>Motorcycle Crash</t>
  </si>
  <si>
    <t>18 Mcshane ST Pukekohe</t>
  </si>
  <si>
    <t>F4263777</t>
  </si>
  <si>
    <t>18 McShane St</t>
  </si>
  <si>
    <t>F4264020</t>
  </si>
  <si>
    <t>Best Start Puni Rd, 44 Puni Rd, Pukekohe</t>
  </si>
  <si>
    <t>F4264476</t>
  </si>
  <si>
    <t>413 Aka Aka Rd, Aka Aka</t>
  </si>
  <si>
    <t>F4262763</t>
  </si>
  <si>
    <t xml:space="preserve">Animal rescue </t>
  </si>
  <si>
    <t xml:space="preserve">Barnaby road cnr Harrisville Rd </t>
  </si>
  <si>
    <t>F4264899</t>
  </si>
  <si>
    <t>Flooding</t>
  </si>
  <si>
    <t>15 Birdwood Road, Pukekohe</t>
  </si>
  <si>
    <t>F4265528</t>
  </si>
  <si>
    <t>1134A Paerata Road XStr Crown Road/Heights Road</t>
  </si>
  <si>
    <t>F4266029</t>
  </si>
  <si>
    <t>Ostrich Farm rd</t>
  </si>
  <si>
    <t>F4266130</t>
  </si>
  <si>
    <t xml:space="preserve">6a Arnhem Pl </t>
  </si>
  <si>
    <t>F4267732</t>
  </si>
  <si>
    <t>District court 25 Stadium Dr Pukekohe</t>
  </si>
  <si>
    <t>F4268453</t>
  </si>
  <si>
    <t>44-47 Queen Street</t>
  </si>
  <si>
    <t>F4268641</t>
  </si>
  <si>
    <t>Pukekohe Intermediate School, 44 Queen Street</t>
  </si>
  <si>
    <t>F4268671</t>
  </si>
  <si>
    <t>14 Tuakau Road, Pukekohe</t>
  </si>
  <si>
    <t>Clarke</t>
  </si>
  <si>
    <t>F4268719</t>
  </si>
  <si>
    <t>Cosmopolitan club 78 Nelson st</t>
  </si>
  <si>
    <t>F4268776</t>
  </si>
  <si>
    <t>267 Hillview</t>
  </si>
  <si>
    <t>F4268845</t>
  </si>
  <si>
    <t>293b Upper Queen Street</t>
  </si>
  <si>
    <t>F4269351</t>
  </si>
  <si>
    <t xml:space="preserve">Assist People </t>
  </si>
  <si>
    <t>46 Aka Aka Road</t>
  </si>
  <si>
    <t>F4269537</t>
  </si>
  <si>
    <t xml:space="preserve">7 Braxonne Cl Pukekohe </t>
  </si>
  <si>
    <t>F4271361</t>
  </si>
  <si>
    <t>144 King Street</t>
  </si>
  <si>
    <t>KILLA</t>
  </si>
  <si>
    <t>F4271399</t>
  </si>
  <si>
    <t xml:space="preserve">Station Rd Pukekohe </t>
  </si>
  <si>
    <t>Oconnell</t>
  </si>
  <si>
    <t>F4271789</t>
  </si>
  <si>
    <t>AMB Assist</t>
  </si>
  <si>
    <t>293B Uppwr Queen Street, Pukekohe</t>
  </si>
  <si>
    <t>F4272498</t>
  </si>
  <si>
    <t>Glenbrook Rd, Karaka</t>
  </si>
  <si>
    <t>F4272786</t>
  </si>
  <si>
    <t>17 McNally Rd</t>
  </si>
  <si>
    <t>F4273420</t>
  </si>
  <si>
    <t xml:space="preserve">Smoke Showing From Store </t>
  </si>
  <si>
    <t>Crisp Av Pukekohe</t>
  </si>
  <si>
    <t>F4273650</t>
  </si>
  <si>
    <t>20 Jonah Lomu Drive</t>
  </si>
  <si>
    <t>F4273880</t>
  </si>
  <si>
    <t>Power box on fire</t>
  </si>
  <si>
    <t xml:space="preserve">8 Montgomery Avenue </t>
  </si>
  <si>
    <t>Mitch</t>
  </si>
  <si>
    <t>F4273954</t>
  </si>
  <si>
    <t>Powerbox Fire</t>
  </si>
  <si>
    <t>31 Franklin Road, Pukekohe</t>
  </si>
  <si>
    <t>F4274378</t>
  </si>
  <si>
    <t xml:space="preserve">87 Harris st </t>
  </si>
  <si>
    <t>F4275056</t>
  </si>
  <si>
    <t>Assist with silencing alarm</t>
  </si>
  <si>
    <t>57 Princess st Pukekohe North School</t>
  </si>
  <si>
    <t>F4275258</t>
  </si>
  <si>
    <t xml:space="preserve">Wesley college </t>
  </si>
  <si>
    <t>F4275291</t>
  </si>
  <si>
    <t>Power lines sparking</t>
  </si>
  <si>
    <t>Blake rd</t>
  </si>
  <si>
    <t>F4275503</t>
  </si>
  <si>
    <t>36 Beatty Road, Pukekohe</t>
  </si>
  <si>
    <t>F4276007</t>
  </si>
  <si>
    <t>Aka Aka road</t>
  </si>
  <si>
    <t>F4277304</t>
  </si>
  <si>
    <t>95 Runciman Road, Pukekohe</t>
  </si>
  <si>
    <t>Jason Court</t>
  </si>
  <si>
    <t>F4277511</t>
  </si>
  <si>
    <t>Pukekohe High School, John Street</t>
  </si>
  <si>
    <t>F4277546</t>
  </si>
  <si>
    <t>113 ostrich farm road</t>
  </si>
  <si>
    <t>F4278578</t>
  </si>
  <si>
    <t>1 Lionel Sharp</t>
  </si>
  <si>
    <t>F4278804</t>
  </si>
  <si>
    <t>Tamaoho School 36 Taikaranga St PUKEKOHE</t>
  </si>
  <si>
    <t>F4279216</t>
  </si>
  <si>
    <t>Creo Citness, 5 Cape Hill Rd Pukekohe</t>
  </si>
  <si>
    <t>F4279580</t>
  </si>
  <si>
    <t>Pukekohe High School, John St, Pukekohe</t>
  </si>
  <si>
    <t>F4280048</t>
  </si>
  <si>
    <t>12 Kauri rd</t>
  </si>
  <si>
    <t>F4280505</t>
  </si>
  <si>
    <t>16 Cape hill rd</t>
  </si>
  <si>
    <t>F4280624</t>
  </si>
  <si>
    <t>223b Manukau road tiny wonders</t>
  </si>
  <si>
    <t>F4280633</t>
  </si>
  <si>
    <t>111 hangup</t>
  </si>
  <si>
    <t>105 cHelvetia road</t>
  </si>
  <si>
    <t>F4280712</t>
  </si>
  <si>
    <t xml:space="preserve">104 Harris street Pukekohe </t>
  </si>
  <si>
    <t>F4281016</t>
  </si>
  <si>
    <t>16 cape hill Rd, Pukekohe</t>
  </si>
  <si>
    <t>F428113</t>
  </si>
  <si>
    <t>5 Wesley Street</t>
  </si>
  <si>
    <t>F4281250</t>
  </si>
  <si>
    <t>385 Runciman road Ramarama</t>
  </si>
  <si>
    <t>F4281831</t>
  </si>
  <si>
    <t>51 Adams Drv</t>
  </si>
  <si>
    <t>F42819wq</t>
  </si>
  <si>
    <t>Assist Occupant</t>
  </si>
  <si>
    <t>6 Carlton Rd</t>
  </si>
  <si>
    <t>F4282363</t>
  </si>
  <si>
    <t>6 Knight Lane, Pukekohe</t>
  </si>
  <si>
    <t>F4282446</t>
  </si>
  <si>
    <t>236-242 King St Pukekohe</t>
  </si>
  <si>
    <t>F4282468</t>
  </si>
  <si>
    <t>115 Gun Club Road</t>
  </si>
  <si>
    <t>F4282814</t>
  </si>
  <si>
    <t xml:space="preserve">65 Ina Ville Drive Pukekohe </t>
  </si>
  <si>
    <t>F4285197</t>
  </si>
  <si>
    <t xml:space="preserve">Karaka Road, Karaka </t>
  </si>
  <si>
    <t xml:space="preserve">Jason court </t>
  </si>
  <si>
    <t>F2485228</t>
  </si>
  <si>
    <t>86 Princes St</t>
  </si>
  <si>
    <t xml:space="preserve">Primrose </t>
  </si>
  <si>
    <t>F4285388</t>
  </si>
  <si>
    <t xml:space="preserve">Wesley College 801Paerata Rd </t>
  </si>
  <si>
    <t>F4285768</t>
  </si>
  <si>
    <t>Kainga Ora Apts Seddon Street</t>
  </si>
  <si>
    <t>F4285795</t>
  </si>
  <si>
    <t>Beaver road, Bombay</t>
  </si>
  <si>
    <t xml:space="preserve"> Butcher</t>
  </si>
  <si>
    <t>F4285705</t>
  </si>
  <si>
    <t>27a Collie Road</t>
  </si>
  <si>
    <t>F4286059</t>
  </si>
  <si>
    <t>Elbow Road, Aka Aka</t>
  </si>
  <si>
    <t>F4286523</t>
  </si>
  <si>
    <t>Valley School, 42 East St Pukekohe</t>
  </si>
  <si>
    <t>F4286713</t>
  </si>
  <si>
    <t xml:space="preserve">Waikato Expressway </t>
  </si>
  <si>
    <t>F4287472</t>
  </si>
  <si>
    <t>40 Holland St, Pukekohe</t>
  </si>
  <si>
    <t>F4288645</t>
  </si>
  <si>
    <t xml:space="preserve">13 Mauku Rd Patumahoe </t>
  </si>
  <si>
    <t xml:space="preserve">Crystal M </t>
  </si>
  <si>
    <t>F4289197</t>
  </si>
  <si>
    <t>12 Logan rd</t>
  </si>
  <si>
    <t>F4289747</t>
  </si>
  <si>
    <t xml:space="preserve">8 16 Princess St Pukekohe </t>
  </si>
  <si>
    <t>Crystal M</t>
  </si>
  <si>
    <t>F4290060</t>
  </si>
  <si>
    <t>Michael Hill Jewelllers</t>
  </si>
  <si>
    <t>F4290869</t>
  </si>
  <si>
    <t>210 Anzac Rd</t>
  </si>
  <si>
    <t>F4291725</t>
  </si>
  <si>
    <t>Pukekohe Animal Pound. 15 Austen Pl, Pukekohe</t>
  </si>
  <si>
    <t>F4291880</t>
  </si>
  <si>
    <t>11 Seddon Lane</t>
  </si>
  <si>
    <t>F4291978</t>
  </si>
  <si>
    <t>13 Adam’s Drive</t>
  </si>
  <si>
    <t>F4292708</t>
  </si>
  <si>
    <t>Paerata RD</t>
  </si>
  <si>
    <t>Bell</t>
  </si>
  <si>
    <t>F4293419</t>
  </si>
  <si>
    <t>Jutland road pukekohe</t>
  </si>
  <si>
    <t>F4293512</t>
  </si>
  <si>
    <t xml:space="preserve">Jason Court </t>
  </si>
  <si>
    <t>F4294879</t>
  </si>
  <si>
    <t>1 Whitton Way Pukekohe</t>
  </si>
  <si>
    <t>F4295079</t>
  </si>
  <si>
    <t>324 Waiuku road</t>
  </si>
  <si>
    <t>F4295270</t>
  </si>
  <si>
    <t>2 Lawrie Avenue, Pukekohe</t>
  </si>
  <si>
    <t>Jellyman</t>
  </si>
  <si>
    <t>F4295584</t>
  </si>
  <si>
    <t xml:space="preserve">Bledisloe park sport centre </t>
  </si>
  <si>
    <t>F4295761</t>
  </si>
  <si>
    <t>Victoria Street Pukekohe</t>
  </si>
  <si>
    <t>F4295834</t>
  </si>
  <si>
    <t>91 Aka Aka Rd Puni</t>
  </si>
  <si>
    <t>F4295918</t>
  </si>
  <si>
    <t>16 Parsot Place</t>
  </si>
  <si>
    <t>F4297401</t>
  </si>
  <si>
    <t>14 Holland St</t>
  </si>
  <si>
    <t>F4297859</t>
  </si>
  <si>
    <t>88 Seddon street</t>
  </si>
  <si>
    <t>F4297865</t>
  </si>
  <si>
    <t>30 London Place</t>
  </si>
  <si>
    <t>F4298148</t>
  </si>
  <si>
    <t>381 Tuakau Rd</t>
  </si>
  <si>
    <t>F4299867</t>
  </si>
  <si>
    <t>AK48 Southern MW Southbound</t>
  </si>
  <si>
    <t>F4300219</t>
  </si>
  <si>
    <t>269 Burtt Road, Paerata</t>
  </si>
  <si>
    <t>F4300245</t>
  </si>
  <si>
    <t>Glenbrook Road</t>
  </si>
  <si>
    <t>F4300327</t>
  </si>
  <si>
    <t>F4300551</t>
  </si>
  <si>
    <t>Jutland RD</t>
  </si>
  <si>
    <t>F4301158</t>
  </si>
  <si>
    <t xml:space="preserve">Mill Rd Bombay </t>
  </si>
  <si>
    <t>F4301164</t>
  </si>
  <si>
    <t>19a Kayes Rd</t>
  </si>
  <si>
    <t>Mill road Bombay</t>
  </si>
  <si>
    <t>F4301192</t>
  </si>
  <si>
    <t>Waikato Expressway</t>
  </si>
  <si>
    <t>F4301314</t>
  </si>
  <si>
    <t xml:space="preserve">Karaka Rd XStr Blackbridge Rd </t>
  </si>
  <si>
    <t>F4301445</t>
  </si>
  <si>
    <t>Palms life care Fairfield road</t>
  </si>
  <si>
    <t>F4301918</t>
  </si>
  <si>
    <t>16-32 McNally Road</t>
  </si>
  <si>
    <t xml:space="preserve">Darryn </t>
  </si>
  <si>
    <t>F4302470</t>
  </si>
  <si>
    <t>14 Harris Street, Pukekohe</t>
  </si>
  <si>
    <t>F4303244</t>
  </si>
  <si>
    <t xml:space="preserve">117 Great South Road Pōkeno </t>
  </si>
  <si>
    <t>F4303435</t>
  </si>
  <si>
    <t>51 Prado Drive</t>
  </si>
  <si>
    <t>F4303978</t>
  </si>
  <si>
    <t>Aka aka Church Road</t>
  </si>
  <si>
    <t>R0027545</t>
  </si>
  <si>
    <t xml:space="preserve">158 peach hill Rd, Ramarama </t>
  </si>
  <si>
    <t>F4305191</t>
  </si>
  <si>
    <t>Southern M/way Ramarama</t>
  </si>
  <si>
    <t xml:space="preserve">Pritchard </t>
  </si>
  <si>
    <t>F4306162</t>
  </si>
  <si>
    <t>Waikato expressway</t>
  </si>
  <si>
    <t>F4306178</t>
  </si>
  <si>
    <t>1 Aufidius Pl</t>
  </si>
  <si>
    <t>F4306515</t>
  </si>
  <si>
    <t xml:space="preserve">Kitchener RD / Webb ST, Pukekohe Hospital </t>
  </si>
  <si>
    <t>F4306575</t>
  </si>
  <si>
    <t>Punchbowl Pack Coolstore, 646 Glenbrook RD, Kingseat</t>
  </si>
  <si>
    <t>Robbins</t>
  </si>
  <si>
    <t>F4307646</t>
  </si>
  <si>
    <t>Tasman Street</t>
  </si>
  <si>
    <t>F4308381</t>
  </si>
  <si>
    <t>Belmont Rd</t>
  </si>
  <si>
    <t xml:space="preserve">Robinson </t>
  </si>
  <si>
    <t>F4310644</t>
  </si>
  <si>
    <t xml:space="preserve">Rubbish </t>
  </si>
  <si>
    <t>Rogers  Rd Puni</t>
  </si>
  <si>
    <t>F4311165</t>
  </si>
  <si>
    <t>12a Henry Curd Tce, Pukekohe</t>
  </si>
  <si>
    <t>F4311656</t>
  </si>
  <si>
    <t>1 Queen Street, Pukekohe</t>
  </si>
  <si>
    <t>F4311806</t>
  </si>
  <si>
    <t>370 Clevedon Kawakawa Rd</t>
  </si>
  <si>
    <t>F4312135</t>
  </si>
  <si>
    <t>311 Charles RD Karaka</t>
  </si>
  <si>
    <t>Crystal &amp; Joel</t>
  </si>
  <si>
    <t>F4313526</t>
  </si>
  <si>
    <t>104 Harris Street, Pukekohe</t>
  </si>
  <si>
    <t>F4313589</t>
  </si>
  <si>
    <t>2 Albert pl</t>
  </si>
  <si>
    <t>F4313883</t>
  </si>
  <si>
    <t xml:space="preserve">18c Victoria St Pukekohe </t>
  </si>
  <si>
    <t>F4314743</t>
  </si>
  <si>
    <t>201 King Street</t>
  </si>
  <si>
    <t>F4315926</t>
  </si>
  <si>
    <t xml:space="preserve">11 Stadium Dr Pukekohe </t>
  </si>
  <si>
    <t>F4316553</t>
  </si>
  <si>
    <t>29b Manukau Rd, Pukekohe</t>
  </si>
  <si>
    <t>F4316592</t>
  </si>
  <si>
    <t xml:space="preserve">Wesley College, Paerata </t>
  </si>
  <si>
    <t>F4316765</t>
  </si>
  <si>
    <t>43 ostrich farm road</t>
  </si>
  <si>
    <t>F4317817</t>
  </si>
  <si>
    <t>14 Glasgow Road, Pukekohe</t>
  </si>
  <si>
    <t>F4317696</t>
  </si>
  <si>
    <t xml:space="preserve">42 East St Pukekohe </t>
  </si>
  <si>
    <t>F4318536</t>
  </si>
  <si>
    <t>Gunclub Rd</t>
  </si>
  <si>
    <t>F4318939</t>
  </si>
  <si>
    <t>Nat2 Windows blown in</t>
  </si>
  <si>
    <t>6 Carlton Rd Pukekohe</t>
  </si>
  <si>
    <t>F4317305</t>
  </si>
  <si>
    <t>20 Helland Drv</t>
  </si>
  <si>
    <t>F4319312</t>
  </si>
  <si>
    <t>3C Arnhem Pl, Pukekohe</t>
  </si>
  <si>
    <t>F4321264</t>
  </si>
  <si>
    <t>Child stuck on slide</t>
  </si>
  <si>
    <t>East St/StAtion rd</t>
  </si>
  <si>
    <t>F4322567</t>
  </si>
  <si>
    <t>Wesley college 801 Paerata road</t>
  </si>
  <si>
    <t>F4323115</t>
  </si>
  <si>
    <t>158 Totara Rd, Ararimu</t>
  </si>
  <si>
    <t>F4323352</t>
  </si>
  <si>
    <t>15 Moloney tce, Pukekohe</t>
  </si>
  <si>
    <t>F4323434</t>
  </si>
  <si>
    <t xml:space="preserve">15 Moloney Tce, Pukekohe </t>
  </si>
  <si>
    <t>F4323690</t>
  </si>
  <si>
    <t>14 Richardson AV Pukekohe</t>
  </si>
  <si>
    <t>F4324233</t>
  </si>
  <si>
    <t>F4325434</t>
  </si>
  <si>
    <t>Ernest George Dr Karaka</t>
  </si>
  <si>
    <t>F4325998</t>
  </si>
  <si>
    <t>Helvetia Rd</t>
  </si>
  <si>
    <t>F4326059</t>
  </si>
  <si>
    <t>14 Nelson Street</t>
  </si>
  <si>
    <t>F4326756</t>
  </si>
  <si>
    <t>139 Seddon Street</t>
  </si>
  <si>
    <t>F4327234</t>
  </si>
  <si>
    <t>Waikato ExwY</t>
  </si>
  <si>
    <t>F4327594</t>
  </si>
  <si>
    <t>56 Beatty RD Pukekohe</t>
  </si>
  <si>
    <t>F4327630</t>
  </si>
  <si>
    <t>10 Trillick Pl</t>
  </si>
  <si>
    <t>F4327980</t>
  </si>
  <si>
    <t>88 Beatty Road</t>
  </si>
  <si>
    <t>F4328298</t>
  </si>
  <si>
    <t>PNS 57 Princes st Pukekohe</t>
  </si>
  <si>
    <t>F4328938</t>
  </si>
  <si>
    <t>Webb St</t>
  </si>
  <si>
    <t>F4329170</t>
  </si>
  <si>
    <t>Little Guys Child Care</t>
  </si>
  <si>
    <t>F4329204</t>
  </si>
  <si>
    <t>1330 Tuakau Bridge Port Waikato Rd</t>
  </si>
  <si>
    <t>F4329238</t>
  </si>
  <si>
    <t>F4330231</t>
  </si>
  <si>
    <t>89 Harris Street</t>
  </si>
  <si>
    <t>F4330440</t>
  </si>
  <si>
    <t>Ring cut</t>
  </si>
  <si>
    <t>fire station Pukekohe</t>
  </si>
  <si>
    <t>F4330815</t>
  </si>
  <si>
    <t>Lionel sharp pl</t>
  </si>
  <si>
    <t>F4330959</t>
  </si>
  <si>
    <t>McKenzie Rd</t>
  </si>
  <si>
    <t>F4330979</t>
  </si>
  <si>
    <t>Investigate 111 hang up</t>
  </si>
  <si>
    <t>F4331059</t>
  </si>
  <si>
    <t xml:space="preserve">20 Churchill St </t>
  </si>
  <si>
    <t>Tracey Brownlee</t>
  </si>
  <si>
    <t>F4331072</t>
  </si>
  <si>
    <t>1105 Glenbrook Rd</t>
  </si>
  <si>
    <t>F4332070</t>
  </si>
  <si>
    <t>Farmlands 86 Harris street</t>
  </si>
  <si>
    <t>F4332511</t>
  </si>
  <si>
    <t>Farmlands Pukekohe, 86A Harris St, Pukekohe</t>
  </si>
  <si>
    <t>F4332816</t>
  </si>
  <si>
    <t>F4333004</t>
  </si>
  <si>
    <t>Pukekohe hill school</t>
  </si>
  <si>
    <t>F4333097</t>
  </si>
  <si>
    <t>Hill school</t>
  </si>
  <si>
    <t>F4333763</t>
  </si>
  <si>
    <t>Plaza 5 Wesley st</t>
  </si>
  <si>
    <t>F4333821</t>
  </si>
  <si>
    <t>Smoke in vicinity</t>
  </si>
  <si>
    <t>Nelson Street</t>
  </si>
  <si>
    <t>F4333966</t>
  </si>
  <si>
    <t>Sim Road, Paerata</t>
  </si>
  <si>
    <t>F4334843</t>
  </si>
  <si>
    <t xml:space="preserve">1/16 Birdwood Road, Pukekohe </t>
  </si>
  <si>
    <t>J court</t>
  </si>
  <si>
    <t>F4335241</t>
  </si>
  <si>
    <t>137 Runciman rd</t>
  </si>
  <si>
    <t>F4335591</t>
  </si>
  <si>
    <t>6 Wesley St, Pukekohe</t>
  </si>
  <si>
    <t>F4335681</t>
  </si>
  <si>
    <t xml:space="preserve">1/16 Birdwood Rd Pukekohe </t>
  </si>
  <si>
    <t>F4335785</t>
  </si>
  <si>
    <t>F4335967</t>
  </si>
  <si>
    <t>78 Edinburgh St</t>
  </si>
  <si>
    <t>F4336867</t>
  </si>
  <si>
    <t>Brazier Fire</t>
  </si>
  <si>
    <t>11 Spudman Rise, Pukekohe</t>
  </si>
  <si>
    <t>F4337586</t>
  </si>
  <si>
    <t>15 Moloney Tce, Pukekohe</t>
  </si>
  <si>
    <t>Brody</t>
  </si>
  <si>
    <t>F4337852</t>
  </si>
  <si>
    <t>Waikato Exwy Northbound Mercer to Pioneer RD</t>
  </si>
  <si>
    <t>F4337862</t>
  </si>
  <si>
    <t xml:space="preserve">Kids count early childhood centre Pukekohe </t>
  </si>
  <si>
    <t>F4338064</t>
  </si>
  <si>
    <t>25 King Street</t>
  </si>
  <si>
    <t>F4338239</t>
  </si>
  <si>
    <t>Kitchener RD / Dunolly PL</t>
  </si>
  <si>
    <t>F4338357</t>
  </si>
  <si>
    <t xml:space="preserve">Eggleton Rd / Ostrich Rd Patumahoe </t>
  </si>
  <si>
    <t>F4339824</t>
  </si>
  <si>
    <t>110 Princess Street</t>
  </si>
  <si>
    <t>F4340179</t>
  </si>
  <si>
    <t>65 Helvetia Rd</t>
  </si>
  <si>
    <t>F4340219</t>
  </si>
  <si>
    <t>F4340372</t>
  </si>
  <si>
    <t>BP Karaka 679-681 Karaka Road Karaka</t>
  </si>
  <si>
    <t>F4341416</t>
  </si>
  <si>
    <t>46 Koropupu Street</t>
  </si>
  <si>
    <t>F4342000</t>
  </si>
  <si>
    <t xml:space="preserve">Assist Police </t>
  </si>
  <si>
    <t xml:space="preserve">18 Matatāe Rd Pukekohe </t>
  </si>
  <si>
    <t>F4343283</t>
  </si>
  <si>
    <t xml:space="preserve">Rubbish Fire </t>
  </si>
  <si>
    <t>23 Kitchener Road</t>
  </si>
  <si>
    <t xml:space="preserve">Nick Grayson </t>
  </si>
  <si>
    <t>F4343879</t>
  </si>
  <si>
    <t>225A Patumahoe</t>
  </si>
  <si>
    <t>F4344597</t>
  </si>
  <si>
    <t>Kayes Rd</t>
  </si>
  <si>
    <t>F4345033</t>
  </si>
  <si>
    <t>89-91 Kingseat road, Patumahoe</t>
  </si>
  <si>
    <t>F4345799</t>
  </si>
  <si>
    <t>F4346146</t>
  </si>
  <si>
    <t>13 Norrie Road Drury</t>
  </si>
  <si>
    <t>J Doyle</t>
  </si>
  <si>
    <t>F4346156</t>
  </si>
  <si>
    <t>Beststart Wolverton Street 25 Wolverton ST AVONDALE</t>
  </si>
  <si>
    <t>F4346199</t>
  </si>
  <si>
    <t xml:space="preserve">11 Harrington Ave Pukekohe </t>
  </si>
  <si>
    <t>F4347068</t>
  </si>
  <si>
    <t>14B Barnaby Rd Tuakau</t>
  </si>
  <si>
    <t>F4347121</t>
  </si>
  <si>
    <t>11 Birdwood rd</t>
  </si>
  <si>
    <t>F4347539</t>
  </si>
  <si>
    <t>SH 1 Ramarama</t>
  </si>
  <si>
    <t>F4347805</t>
  </si>
  <si>
    <t>15 Glass Rd Mercer</t>
  </si>
  <si>
    <t>F4347861</t>
  </si>
  <si>
    <t>135 King st Pukekohe</t>
  </si>
  <si>
    <t>F4348738</t>
  </si>
  <si>
    <t>Wily rd</t>
  </si>
  <si>
    <t>F4349093</t>
  </si>
  <si>
    <t>Buckland Road</t>
  </si>
  <si>
    <t>F4349129</t>
  </si>
  <si>
    <t>Work and Income Tobin St</t>
  </si>
  <si>
    <t>F4349177</t>
  </si>
  <si>
    <t xml:space="preserve">14 Belgium Rd, Pukekohe </t>
  </si>
  <si>
    <t>Jason court</t>
  </si>
  <si>
    <t>F4350089</t>
  </si>
  <si>
    <t xml:space="preserve">14 Massey Av </t>
  </si>
  <si>
    <t>F4352076</t>
  </si>
  <si>
    <t xml:space="preserve">Paerata Rd </t>
  </si>
  <si>
    <t>F4352748</t>
  </si>
  <si>
    <t>Smoke trailer</t>
  </si>
  <si>
    <t xml:space="preserve">Beaver Road East off-ramp </t>
  </si>
  <si>
    <t>F4352907</t>
  </si>
  <si>
    <t xml:space="preserve">Waikato expressway, nikau Rd to mill Rd </t>
  </si>
  <si>
    <t>F4355872</t>
  </si>
  <si>
    <t>Pukekohe Rugby and Sports Club 47 Reynolds RD</t>
  </si>
  <si>
    <t>F4356668</t>
  </si>
  <si>
    <t>Karaka rd</t>
  </si>
  <si>
    <t>F4356690</t>
  </si>
  <si>
    <t>58 Station Rd</t>
  </si>
  <si>
    <t>F4357404</t>
  </si>
  <si>
    <t>151 Manukau road, Pukekohe</t>
  </si>
  <si>
    <t xml:space="preserve">Richard Irving </t>
  </si>
  <si>
    <t>F4357641</t>
  </si>
  <si>
    <t>27 Magarita Drv</t>
  </si>
  <si>
    <t>F4357725</t>
  </si>
  <si>
    <t>Pukekohe Hospital - Tuakau rd</t>
  </si>
  <si>
    <t>F4357755</t>
  </si>
  <si>
    <t>F4357864</t>
  </si>
  <si>
    <t>4 Gregie pl</t>
  </si>
  <si>
    <t>F4358048</t>
  </si>
  <si>
    <t>Pukekohe Ambulance Station, 21 Roulston St, Pukekohe</t>
  </si>
  <si>
    <t>F4358165</t>
  </si>
  <si>
    <t xml:space="preserve">Logan Road Buckland </t>
  </si>
  <si>
    <t>F4358175</t>
  </si>
  <si>
    <t>10 Taepu Road, Pukekohe</t>
  </si>
  <si>
    <t>Steele &amp; Crystal</t>
  </si>
  <si>
    <t>F4358411</t>
  </si>
  <si>
    <t>BP Connect Counties, 76 Edinburgh ST</t>
  </si>
  <si>
    <t xml:space="preserve">Robbins </t>
  </si>
  <si>
    <t>F4359094</t>
  </si>
  <si>
    <t>Helicopter Landing Zone</t>
  </si>
  <si>
    <t>Beatty Road</t>
  </si>
  <si>
    <t>F4359383</t>
  </si>
  <si>
    <t>Ngakoroa School, 35 Tuhimata Road Paerata</t>
  </si>
  <si>
    <t>F4360040</t>
  </si>
  <si>
    <t xml:space="preserve">21 Roulston Street Pukekohe </t>
  </si>
  <si>
    <t>F4360210</t>
  </si>
  <si>
    <t xml:space="preserve">148 Seddon street, Pukekohe </t>
  </si>
  <si>
    <t>F4361263</t>
  </si>
  <si>
    <t>50 Valley Road</t>
  </si>
  <si>
    <t>F4361460</t>
  </si>
  <si>
    <t>Wk501 Waikato EXWY</t>
  </si>
  <si>
    <t>F4361727</t>
  </si>
  <si>
    <t>94 Kayes Rd Pukekohe</t>
  </si>
  <si>
    <t>F4361776</t>
  </si>
  <si>
    <t>F4361935</t>
  </si>
  <si>
    <t>Manukau Road</t>
  </si>
  <si>
    <t>F4362001</t>
  </si>
  <si>
    <t>351 Buckland Road, Buckland</t>
  </si>
  <si>
    <t>F4362012</t>
  </si>
  <si>
    <t>311 Irwin rd Kingseat</t>
  </si>
  <si>
    <t>F4362401</t>
  </si>
  <si>
    <t>Franklin Sport Swim and Fitness</t>
  </si>
  <si>
    <t>F4363104</t>
  </si>
  <si>
    <t xml:space="preserve">Gun club road Pukekohe </t>
  </si>
  <si>
    <t>F4363301</t>
  </si>
  <si>
    <t>169 Wellington Street, Pukekohe</t>
  </si>
  <si>
    <t>F4363651</t>
  </si>
  <si>
    <t xml:space="preserve">67 East Street </t>
  </si>
  <si>
    <t>F4363847</t>
  </si>
  <si>
    <t>Farmlands Pukekohe 86A Harris Street, Pukekohe</t>
  </si>
  <si>
    <t>F4363937</t>
  </si>
  <si>
    <t>9 Cape Hill Rd, Pukekohe</t>
  </si>
  <si>
    <t>F4363969</t>
  </si>
  <si>
    <t>Person Locked in Room</t>
  </si>
  <si>
    <t>Franklin Hospital 12 Glasgow Road</t>
  </si>
  <si>
    <t>F4364028</t>
  </si>
  <si>
    <t>11 Old Farm Lane, Karaka</t>
  </si>
  <si>
    <t>F4364710</t>
  </si>
  <si>
    <t>F4365030</t>
  </si>
  <si>
    <t>53c West st Pukekoh</t>
  </si>
  <si>
    <t>F4365623</t>
  </si>
  <si>
    <t xml:space="preserve">33 Anzac Rd Pukekohe </t>
  </si>
  <si>
    <t>F4365727</t>
  </si>
  <si>
    <t>60 Valley Rd</t>
  </si>
  <si>
    <t>F4366528</t>
  </si>
  <si>
    <t>F4367555</t>
  </si>
  <si>
    <t>Tree across Rd</t>
  </si>
  <si>
    <t>56 Jericho Rd</t>
  </si>
  <si>
    <t>F4367575</t>
  </si>
  <si>
    <t>Insecure trampoline</t>
  </si>
  <si>
    <t>18 Garden Tce</t>
  </si>
  <si>
    <t>Yates</t>
  </si>
  <si>
    <t>F4367582</t>
  </si>
  <si>
    <t>Tree Down Blocking Road</t>
  </si>
  <si>
    <t>Paerata Rd</t>
  </si>
  <si>
    <t>F4367632</t>
  </si>
  <si>
    <t>Loose materials Blowing In Wind</t>
  </si>
  <si>
    <t>133 Seddon ST Pukekohe</t>
  </si>
  <si>
    <t>F4367640</t>
  </si>
  <si>
    <t>Tree down on road</t>
  </si>
  <si>
    <t>17A Cape Hill Rd Pukekohe</t>
  </si>
  <si>
    <t>F4367667</t>
  </si>
  <si>
    <t xml:space="preserve">Trampoline flying around </t>
  </si>
  <si>
    <t>182a queen st</t>
  </si>
  <si>
    <t>F4367676</t>
  </si>
  <si>
    <t>Tree Down on powerlines into house</t>
  </si>
  <si>
    <t>506 Glenbrook Rd Kingseat</t>
  </si>
  <si>
    <t>F4367718</t>
  </si>
  <si>
    <t xml:space="preserve">Nat1 Debris from deck flying around </t>
  </si>
  <si>
    <t xml:space="preserve">Grace James Rd / Cape Hill Rd </t>
  </si>
  <si>
    <t>F4367687</t>
  </si>
  <si>
    <t xml:space="preserve">Nat2 2 Trees fully blocking Rd </t>
  </si>
  <si>
    <t xml:space="preserve">Glenbrook Rd / Homestead Hill Lane/ Batty Rd </t>
  </si>
  <si>
    <t>F4367741</t>
  </si>
  <si>
    <t>Nat2 Wind lifting trampoline close to windows</t>
  </si>
  <si>
    <t>89c Edinburgh St/ Tobin St</t>
  </si>
  <si>
    <t>F4367746</t>
  </si>
  <si>
    <t>Nat1 Roof lifted off house</t>
  </si>
  <si>
    <t xml:space="preserve">18 Hooper Ave, Pukekohe </t>
  </si>
  <si>
    <t>F4367771</t>
  </si>
  <si>
    <t>Helvetia / Princess St West</t>
  </si>
  <si>
    <t>F4367735</t>
  </si>
  <si>
    <t>Wellington St</t>
  </si>
  <si>
    <t>F4367782</t>
  </si>
  <si>
    <t>Tree Down on fire</t>
  </si>
  <si>
    <t>Phillip St, Pukekohe</t>
  </si>
  <si>
    <t>F4367788</t>
  </si>
  <si>
    <t>Aka Aka Road, Pukekohe</t>
  </si>
  <si>
    <t>F4367790</t>
  </si>
  <si>
    <t>Roof Lifting</t>
  </si>
  <si>
    <t>1 Adam’s Drive</t>
  </si>
  <si>
    <t>F4367818</t>
  </si>
  <si>
    <t>Circus Tent Loose</t>
  </si>
  <si>
    <t>58 Station Road, Pukekohe</t>
  </si>
  <si>
    <t>F4367832</t>
  </si>
  <si>
    <t>14-28 Subway Rd Pike</t>
  </si>
  <si>
    <t>F4367873</t>
  </si>
  <si>
    <t>Lines down</t>
  </si>
  <si>
    <t>John st</t>
  </si>
  <si>
    <t>F4368096</t>
  </si>
  <si>
    <t>357 Waiuku Road</t>
  </si>
  <si>
    <t>F4368123</t>
  </si>
  <si>
    <t>219 Manukau Rd</t>
  </si>
  <si>
    <t>F4367600</t>
  </si>
  <si>
    <t>Tree and Lines Down</t>
  </si>
  <si>
    <t>76 Logan Rd, Buckland</t>
  </si>
  <si>
    <t>Josh - Call missed from Yesterday</t>
  </si>
  <si>
    <t>F4367619</t>
  </si>
  <si>
    <t>94 Edinburgh St, Pukekohe</t>
  </si>
  <si>
    <t>Josh - Call missed from yesterday</t>
  </si>
  <si>
    <t>F4368645</t>
  </si>
  <si>
    <t>12 Butcher RD Pukekohe</t>
  </si>
  <si>
    <t>F4368739</t>
  </si>
  <si>
    <t>25 Crown RD Paerata</t>
  </si>
  <si>
    <t>F4369323</t>
  </si>
  <si>
    <t>PGG Wrightson, 219 Manukau road</t>
  </si>
  <si>
    <t>F4369456</t>
  </si>
  <si>
    <t>NAT1</t>
  </si>
  <si>
    <t>F4369459</t>
  </si>
  <si>
    <t>154 Buckville Road Buckland</t>
  </si>
  <si>
    <t>F4369485</t>
  </si>
  <si>
    <t>99 Queen St - Pak n Save</t>
  </si>
  <si>
    <t>OCONNELL</t>
  </si>
  <si>
    <t>F4369488</t>
  </si>
  <si>
    <t>43 Valley Rd, Pukekohe</t>
  </si>
  <si>
    <t>F4369500</t>
  </si>
  <si>
    <t>1King St, pukekohe</t>
  </si>
  <si>
    <t>F4369684</t>
  </si>
  <si>
    <t>Birdwood Rd east</t>
  </si>
  <si>
    <t xml:space="preserve">Russell </t>
  </si>
  <si>
    <t>F4369820</t>
  </si>
  <si>
    <t>130 King st Pukrkohe</t>
  </si>
  <si>
    <t>Muster Number</t>
  </si>
  <si>
    <t>Number</t>
  </si>
  <si>
    <t>Row</t>
  </si>
  <si>
    <t>Type</t>
  </si>
  <si>
    <t>In Attendance</t>
  </si>
  <si>
    <t>Leave</t>
  </si>
  <si>
    <t>Current Muster Number</t>
  </si>
  <si>
    <t>Next Muster Number</t>
  </si>
  <si>
    <t>Next Row Number</t>
  </si>
  <si>
    <t>Muster</t>
  </si>
  <si>
    <t>Fire Station</t>
  </si>
  <si>
    <t>L</t>
  </si>
  <si>
    <t>A</t>
  </si>
  <si>
    <t>Ohare</t>
  </si>
  <si>
    <t>Meeting</t>
  </si>
  <si>
    <t>.L</t>
  </si>
  <si>
    <t>AGM</t>
  </si>
  <si>
    <t>Joel Robbins</t>
  </si>
  <si>
    <t>Response ID</t>
  </si>
  <si>
    <t>ROW</t>
  </si>
  <si>
    <t>Address</t>
  </si>
  <si>
    <t>SMS Task Done (Initial)</t>
  </si>
  <si>
    <t>Y</t>
  </si>
  <si>
    <t>5\69 Queen Street</t>
  </si>
  <si>
    <t>Failed</t>
  </si>
  <si>
    <t>DP</t>
  </si>
  <si>
    <t>GR</t>
  </si>
  <si>
    <t>JP</t>
  </si>
  <si>
    <t>105c Helvetia road</t>
  </si>
  <si>
    <t>F289197</t>
  </si>
  <si>
    <t>N</t>
  </si>
  <si>
    <t>East St/Station rd</t>
  </si>
  <si>
    <t>F327980</t>
  </si>
  <si>
    <t>F350089</t>
  </si>
  <si>
    <t>Tuakau rd</t>
  </si>
  <si>
    <t>219 Manukau Rd PGG Wrightson</t>
  </si>
  <si>
    <t>Event Count</t>
  </si>
  <si>
    <t>Start time</t>
  </si>
  <si>
    <t>Email</t>
  </si>
  <si>
    <t>Name</t>
  </si>
  <si>
    <t>SO Rhys Thomas</t>
  </si>
  <si>
    <t>SFF Samuel Vivian</t>
  </si>
  <si>
    <t>SFF Amy Devereaux</t>
  </si>
  <si>
    <t>SFF Jon White</t>
  </si>
  <si>
    <t>QFF Rueben Dodd</t>
  </si>
  <si>
    <t>QFF Jonno Ryan</t>
  </si>
  <si>
    <t>QFF Rafael Nazareth</t>
  </si>
  <si>
    <t>QFF Melissa Jones</t>
  </si>
  <si>
    <t>FF Ben Killgour</t>
  </si>
  <si>
    <t>FF Dallas Steele</t>
  </si>
  <si>
    <t>FF Braith Halliday</t>
  </si>
  <si>
    <t>FF Nick Grayson</t>
  </si>
  <si>
    <t>FF Jason Court</t>
  </si>
  <si>
    <t>FF Lee-Roy Staunton</t>
  </si>
  <si>
    <t>FF Crystal-Lee McConchie</t>
  </si>
  <si>
    <t>RFF Mitch Court</t>
  </si>
  <si>
    <t>RFF James O'Hare</t>
  </si>
  <si>
    <t>RFF Kaitlyn Evans</t>
  </si>
  <si>
    <t>RFF Jamie Moore2</t>
  </si>
  <si>
    <t>RFF Torrens Butcher</t>
  </si>
  <si>
    <t>RFF Matt Humber</t>
  </si>
  <si>
    <t>Enter name of person submitting this form:2</t>
  </si>
  <si>
    <t>RFF Jamie Moore</t>
  </si>
  <si>
    <t>Enter name of person submitting this form:</t>
  </si>
  <si>
    <t>FF Crystal-Lee McConchie*</t>
  </si>
  <si>
    <t>RFF James O'Hare*</t>
  </si>
  <si>
    <t>RFF Leone Humber*</t>
  </si>
  <si>
    <t>Display Name</t>
  </si>
  <si>
    <t>Rank</t>
  </si>
  <si>
    <t>First Name</t>
  </si>
  <si>
    <t>Last Name</t>
  </si>
  <si>
    <t>John.Robinson@fireandemergency.nz</t>
  </si>
  <si>
    <t>DCFO</t>
  </si>
  <si>
    <t>Bharat.Ravji@fireandemergency.nz</t>
  </si>
  <si>
    <t>SSO</t>
  </si>
  <si>
    <t>Darcy.Hart@fireandemergency.nz</t>
  </si>
  <si>
    <t>Vaughan</t>
  </si>
  <si>
    <t>Vaughan.Wood@fireandemergency.nz</t>
  </si>
  <si>
    <t>SO</t>
  </si>
  <si>
    <t>Richard</t>
  </si>
  <si>
    <t>Richard.Jellyman@fireandemergency.nz</t>
  </si>
  <si>
    <t>Richard.Irving@fireandemergency.nz</t>
  </si>
  <si>
    <t>Darryn.Pritchard@fireandemergency.nz</t>
  </si>
  <si>
    <t>Jon.White@fireandemergency.nz</t>
  </si>
  <si>
    <t>SFF</t>
  </si>
  <si>
    <t>Brody.Jellyman@fireandemergency.nz</t>
  </si>
  <si>
    <t>Brent</t>
  </si>
  <si>
    <t>Reynolds</t>
  </si>
  <si>
    <t>Brent.Reynolds@fireandemergency.nz</t>
  </si>
  <si>
    <t>Joseph</t>
  </si>
  <si>
    <t>O'Neill-Gregory</t>
  </si>
  <si>
    <t>Joseph.O'Neill-Gregory@fireandemergency.nz</t>
  </si>
  <si>
    <t>Robertson</t>
  </si>
  <si>
    <t>Grant.Robertson@fireandemergency.nz</t>
  </si>
  <si>
    <t>William</t>
  </si>
  <si>
    <t>O'Connell</t>
  </si>
  <si>
    <t>William.O'Connell@fireandemergency.nz</t>
  </si>
  <si>
    <t>Robert</t>
  </si>
  <si>
    <t>Robert.Mayo@fireandemergency.nz</t>
  </si>
  <si>
    <t>QFF</t>
  </si>
  <si>
    <t>Symon</t>
  </si>
  <si>
    <t>Symon.Maxwell@fireandemergency.nz</t>
  </si>
  <si>
    <t>Ian</t>
  </si>
  <si>
    <t>Ian.Chapman@fireandemergency.nz</t>
  </si>
  <si>
    <t>Melanie.Yates@fireandemergency.nz</t>
  </si>
  <si>
    <t>Maree</t>
  </si>
  <si>
    <t>Maree.Primrose@fireandemergency.nz</t>
  </si>
  <si>
    <t>Russell</t>
  </si>
  <si>
    <t>Russell.Clarke@fireandemergency.nz</t>
  </si>
  <si>
    <t>Andrew</t>
  </si>
  <si>
    <t>Andrew.Bond@fireandemergency.nz</t>
  </si>
  <si>
    <t>Alan</t>
  </si>
  <si>
    <t>Alan.Binnie2@fireandemergency.nz</t>
  </si>
  <si>
    <t>Pennefather</t>
  </si>
  <si>
    <t>Josh.Pennefather@fireandemergency.nz</t>
  </si>
  <si>
    <t>Ben</t>
  </si>
  <si>
    <t>Killgour</t>
  </si>
  <si>
    <t>Ben.Killgour@fireandemergency.nz</t>
  </si>
  <si>
    <t>Steele</t>
  </si>
  <si>
    <t>Dallas.Steele@fireandemergency.nz</t>
  </si>
  <si>
    <t>Nick</t>
  </si>
  <si>
    <t>Nick.Grayson@fireandemergency.nz</t>
  </si>
  <si>
    <t>Jason</t>
  </si>
  <si>
    <t>Court</t>
  </si>
  <si>
    <t>Jason.Court@fireandemergency.nz</t>
  </si>
  <si>
    <t>Crystal-Lee</t>
  </si>
  <si>
    <t>McConchie</t>
  </si>
  <si>
    <t>Crystal-Lee.McConchie@fireandemergency.nz</t>
  </si>
  <si>
    <t>Jimmy</t>
  </si>
  <si>
    <t>Doyle</t>
  </si>
  <si>
    <t>Jimmy.Doyle@fireandemergency.nz</t>
  </si>
  <si>
    <t>Dimmy</t>
  </si>
  <si>
    <t>Dimmy.Bell-Kainiu@fireandemergency.nz</t>
  </si>
  <si>
    <t>Mitch.Court@fireandemergency.nz</t>
  </si>
  <si>
    <t>Jamie</t>
  </si>
  <si>
    <t>O'Hare</t>
  </si>
  <si>
    <t>Jamie.O'Hare@fireandemergency.nz</t>
  </si>
  <si>
    <t>Kaitlyn</t>
  </si>
  <si>
    <t>Kaitlyn.Evans@fireandemergency.nz</t>
  </si>
  <si>
    <t>Jaime.Moore@fireandemergency.nz</t>
  </si>
  <si>
    <t>Torrens.Butcher@fireandemergency.nz</t>
  </si>
  <si>
    <t>Matt</t>
  </si>
  <si>
    <t>Humber</t>
  </si>
  <si>
    <t>Matt.Humber@fireandemergency.nz</t>
  </si>
  <si>
    <t>RFF</t>
  </si>
  <si>
    <t>Leone</t>
  </si>
  <si>
    <t>Leone.Humber@fireandemergency.nz</t>
  </si>
  <si>
    <t>Joel</t>
  </si>
  <si>
    <t>Joel.Robbins@fireandemergency.nz</t>
  </si>
  <si>
    <t>Tracey</t>
  </si>
  <si>
    <t>Brownlee</t>
  </si>
  <si>
    <t>Tracey.Brownlee@fireandemergency.nz</t>
  </si>
  <si>
    <t>Sacha</t>
  </si>
  <si>
    <t>Hoole</t>
  </si>
  <si>
    <t>Sacha.Hoole@fireandemergency.nz</t>
  </si>
  <si>
    <t>Callum</t>
  </si>
  <si>
    <t>Reid</t>
  </si>
  <si>
    <t>Callum.Reid2@fireandemergency.nz</t>
  </si>
  <si>
    <t>Jack</t>
  </si>
  <si>
    <t>Piggott-Newton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</si>
</sst>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;&quot;0&quot;"/>
    <numFmt numFmtId="165" formatCode="m/d/yy\ h:mm:ss\ AM/PM"/>
    <numFmt numFmtId="166" formatCode="mmmm"/>
    <numFmt numFmtId="167" formatCode="d/m/yy\ h:mm:ss\ AM/PM"/>
  </numFmts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FFEB9C"/>
        <bgColor rgb="FF000000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/>
      <top/>
      <bottom style="thin">
        <color rgb="FF9BC2E6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 style="thin">
        <color rgb="FF9BC2E6"/>
      </left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textRotation="90"/>
    </xf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textRotation="90"/>
    </xf>
    <xf numFmtId="14" fontId="2" fillId="0" borderId="0" xfId="0" applyNumberFormat="1" applyFont="1" applyAlignment="1">
      <alignment horizontal="center" vertical="center" textRotation="90"/>
    </xf>
    <xf numFmtId="14" fontId="0" fillId="0" borderId="0" xfId="0" applyNumberFormat="1"/>
    <xf numFmtId="0" fontId="1" fillId="2" borderId="0" xfId="0" applyFont="1" applyFill="1" applyAlignment="1">
      <alignment horizontal="right" vertical="center"/>
    </xf>
    <xf numFmtId="14" fontId="1" fillId="2" borderId="0" xfId="0" applyNumberFormat="1" applyFont="1" applyFill="1" applyAlignment="1">
      <alignment horizontal="right" vertical="center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0" fillId="7" borderId="0" xfId="0" applyFill="1"/>
    <xf numFmtId="0" fontId="1" fillId="2" borderId="3" xfId="0" applyFont="1" applyFill="1" applyBorder="1"/>
    <xf numFmtId="0" fontId="3" fillId="0" borderId="4" xfId="0" applyFont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right" vertical="center"/>
    </xf>
    <xf numFmtId="14" fontId="4" fillId="3" borderId="2" xfId="0" applyNumberFormat="1" applyFont="1" applyFill="1" applyBorder="1" applyAlignment="1">
      <alignment horizontal="center" vertical="center" textRotation="90"/>
    </xf>
    <xf numFmtId="164" fontId="3" fillId="3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textRotation="90"/>
    </xf>
    <xf numFmtId="1" fontId="2" fillId="7" borderId="0" xfId="0" applyNumberFormat="1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0" fontId="0" fillId="5" borderId="0" xfId="0" applyFill="1"/>
    <xf numFmtId="164" fontId="3" fillId="6" borderId="2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0" fontId="1" fillId="2" borderId="7" xfId="0" applyFont="1" applyFill="1" applyBorder="1"/>
    <xf numFmtId="164" fontId="3" fillId="3" borderId="6" xfId="0" applyNumberFormat="1" applyFont="1" applyFill="1" applyBorder="1" applyAlignment="1">
      <alignment horizontal="center" vertical="center"/>
    </xf>
    <xf numFmtId="9" fontId="3" fillId="7" borderId="5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7" borderId="0" xfId="0" applyFill="1" applyAlignment="1">
      <alignment horizontal="center" vertical="center"/>
    </xf>
    <xf numFmtId="14" fontId="0" fillId="9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textRotation="90" wrapText="1"/>
    </xf>
    <xf numFmtId="165" fontId="0" fillId="0" borderId="0" xfId="0" applyNumberFormat="1"/>
    <xf numFmtId="164" fontId="3" fillId="0" borderId="6" xfId="0" applyNumberFormat="1" applyFont="1" applyBorder="1" applyAlignment="1">
      <alignment horizontal="center" vertical="center"/>
    </xf>
    <xf numFmtId="0" fontId="1" fillId="2" borderId="9" xfId="0" applyFont="1" applyFill="1" applyBorder="1"/>
    <xf numFmtId="0" fontId="1" fillId="2" borderId="10" xfId="0" applyFont="1" applyFill="1" applyBorder="1"/>
    <xf numFmtId="0" fontId="6" fillId="0" borderId="4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7" xfId="0" applyFont="1" applyBorder="1"/>
    <xf numFmtId="0" fontId="7" fillId="0" borderId="10" xfId="1" applyFill="1" applyBorder="1"/>
    <xf numFmtId="0" fontId="7" fillId="0" borderId="10" xfId="1" applyBorder="1"/>
    <xf numFmtId="1" fontId="2" fillId="5" borderId="0" xfId="0" applyNumberFormat="1" applyFont="1" applyFill="1"/>
    <xf numFmtId="1" fontId="0" fillId="5" borderId="0" xfId="0" applyNumberFormat="1" applyFill="1" applyAlignment="1">
      <alignment horizontal="center" vertical="center"/>
    </xf>
    <xf numFmtId="164" fontId="3" fillId="10" borderId="6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/>
    </xf>
    <xf numFmtId="0" fontId="7" fillId="0" borderId="7" xfId="1" applyBorder="1"/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textRotation="90"/>
    </xf>
    <xf numFmtId="164" fontId="0" fillId="0" borderId="2" xfId="0" applyNumberFormat="1" applyBorder="1" applyAlignment="1">
      <alignment horizontal="center" vertical="center"/>
    </xf>
    <xf numFmtId="164" fontId="3" fillId="7" borderId="6" xfId="0" applyNumberFormat="1" applyFont="1" applyFill="1" applyBorder="1" applyAlignment="1">
      <alignment horizontal="center" vertical="center"/>
    </xf>
    <xf numFmtId="164" fontId="3" fillId="7" borderId="8" xfId="0" applyNumberFormat="1" applyFont="1" applyFill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center" vertical="center" textRotation="90"/>
    </xf>
    <xf numFmtId="0" fontId="3" fillId="4" borderId="4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9" borderId="0" xfId="0" applyFont="1" applyFill="1"/>
    <xf numFmtId="164" fontId="0" fillId="8" borderId="2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0" fontId="2" fillId="0" borderId="0" xfId="0" applyFont="1"/>
    <xf numFmtId="166" fontId="0" fillId="0" borderId="0" xfId="0" applyNumberFormat="1" applyAlignment="1">
      <alignment horizontal="left" vertical="center" wrapText="1"/>
    </xf>
    <xf numFmtId="166" fontId="2" fillId="0" borderId="0" xfId="0" applyNumberFormat="1" applyFont="1" applyAlignment="1">
      <alignment horizontal="left" vertical="center" wrapText="1"/>
    </xf>
    <xf numFmtId="166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7" fontId="0" fillId="0" borderId="0" xfId="0" applyNumberFormat="1"/>
    <xf numFmtId="14" fontId="2" fillId="0" borderId="0" xfId="0" applyNumberFormat="1" applyFont="1"/>
    <xf numFmtId="0" fontId="2" fillId="0" borderId="0" xfId="0" applyFont="1" applyAlignment="1">
      <alignment wrapText="1"/>
    </xf>
    <xf numFmtId="20" fontId="0" fillId="0" borderId="0" xfId="0" applyNumberFormat="1"/>
    <xf numFmtId="0" fontId="1" fillId="12" borderId="1" xfId="0" applyFont="1" applyFill="1" applyBorder="1" applyAlignment="1">
      <alignment textRotation="90"/>
    </xf>
    <xf numFmtId="164" fontId="0" fillId="6" borderId="6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0" fontId="11" fillId="0" borderId="0" xfId="0" applyFont="1"/>
    <xf numFmtId="14" fontId="10" fillId="0" borderId="0" xfId="0" applyNumberFormat="1" applyFont="1"/>
    <xf numFmtId="0" fontId="9" fillId="0" borderId="0" xfId="0" applyFont="1" applyAlignment="1">
      <alignment wrapText="1"/>
    </xf>
    <xf numFmtId="14" fontId="8" fillId="0" borderId="0" xfId="0" applyNumberFormat="1" applyFont="1"/>
    <xf numFmtId="20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67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9" fontId="0" fillId="0" borderId="0" xfId="2" applyFont="1" applyAlignment="1">
      <alignment horizontal="left" vertical="center"/>
    </xf>
    <xf numFmtId="1" fontId="3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wrapText="1"/>
    </xf>
    <xf numFmtId="166" fontId="0" fillId="0" borderId="0" xfId="0" applyNumberFormat="1"/>
    <xf numFmtId="1" fontId="0" fillId="0" borderId="0" xfId="0" applyNumberFormat="1"/>
    <xf numFmtId="0" fontId="6" fillId="0" borderId="0" xfId="0" applyFont="1"/>
    <xf numFmtId="1" fontId="13" fillId="0" borderId="0" xfId="0" applyNumberFormat="1" applyFont="1"/>
    <xf numFmtId="0" fontId="2" fillId="7" borderId="2" xfId="0" applyFont="1" applyFill="1" applyBorder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 textRotation="90" wrapText="1"/>
    </xf>
    <xf numFmtId="0" fontId="3" fillId="0" borderId="4" xfId="0" applyFont="1" applyBorder="1"/>
    <xf numFmtId="0" fontId="3" fillId="4" borderId="4" xfId="0" applyFont="1" applyFill="1" applyBorder="1"/>
    <xf numFmtId="164" fontId="3" fillId="3" borderId="2" xfId="0" applyNumberFormat="1" applyFont="1" applyFill="1" applyBorder="1"/>
    <xf numFmtId="1" fontId="4" fillId="7" borderId="4" xfId="0" applyNumberFormat="1" applyFont="1" applyFill="1" applyBorder="1"/>
    <xf numFmtId="164" fontId="3" fillId="0" borderId="2" xfId="0" applyNumberFormat="1" applyFont="1" applyBorder="1"/>
    <xf numFmtId="1" fontId="3" fillId="0" borderId="4" xfId="0" applyNumberFormat="1" applyFont="1" applyBorder="1"/>
    <xf numFmtId="0" fontId="3" fillId="3" borderId="1" xfId="0" applyFont="1" applyFill="1" applyBorder="1"/>
    <xf numFmtId="0" fontId="3" fillId="0" borderId="1" xfId="0" applyFont="1" applyBorder="1"/>
    <xf numFmtId="1" fontId="2" fillId="5" borderId="0" xfId="0" applyNumberFormat="1" applyFont="1" applyFill="1" applyAlignment="1">
      <alignment wrapText="1"/>
    </xf>
    <xf numFmtId="0" fontId="7" fillId="0" borderId="3" xfId="1" applyBorder="1"/>
    <xf numFmtId="164" fontId="3" fillId="11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textRotation="90"/>
    </xf>
    <xf numFmtId="0" fontId="2" fillId="0" borderId="0" xfId="0" applyFont="1" applyAlignment="1">
      <alignment horizontal="center"/>
    </xf>
    <xf numFmtId="9" fontId="2" fillId="0" borderId="0" xfId="2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 textRotation="90"/>
    </xf>
    <xf numFmtId="0" fontId="2" fillId="0" borderId="0" xfId="0" applyFont="1" applyAlignment="1">
      <alignment horizontal="center" vertical="top" textRotation="90"/>
    </xf>
    <xf numFmtId="0" fontId="0" fillId="9" borderId="0" xfId="0" applyFill="1"/>
    <xf numFmtId="0" fontId="0" fillId="9" borderId="0" xfId="0" applyFill="1" applyAlignment="1">
      <alignment wrapText="1"/>
    </xf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textRotation="90" wrapText="1"/>
    </xf>
    <xf numFmtId="0" fontId="2" fillId="0" borderId="0" xfId="2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9" fontId="12" fillId="0" borderId="0" xfId="2" applyFont="1" applyAlignment="1">
      <alignment horizontal="left" vertical="center"/>
    </xf>
    <xf numFmtId="0" fontId="2" fillId="0" borderId="0" xfId="0" applyFont="1" applyAlignment="1">
      <alignment horizontal="center" vertical="center" textRotation="90"/>
    </xf>
    <xf numFmtId="0" fontId="0" fillId="0" borderId="0" xfId="0" applyAlignment="1">
      <alignment horizontal="right" vertical="center" textRotation="90"/>
    </xf>
    <xf numFmtId="0" fontId="2" fillId="0" borderId="0" xfId="0" applyFont="1" applyAlignment="1">
      <alignment horizontal="right" vertical="center" textRotation="90"/>
    </xf>
    <xf numFmtId="0" fontId="0" fillId="0" borderId="0" xfId="0" applyAlignment="1">
      <alignment horizontal="left" vertical="center" textRotation="90"/>
    </xf>
    <xf numFmtId="0" fontId="2" fillId="0" borderId="0" xfId="2" applyNumberFormat="1" applyFont="1" applyAlignment="1">
      <alignment horizontal="center" vertical="center"/>
    </xf>
    <xf numFmtId="0" fontId="0" fillId="0" borderId="0" xfId="2" applyNumberFormat="1" applyFont="1" applyFill="1" applyAlignment="1">
      <alignment horizontal="center" vertical="center"/>
    </xf>
    <xf numFmtId="0" fontId="2" fillId="0" borderId="0" xfId="2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" fontId="0" fillId="0" borderId="0" xfId="2" applyNumberFormat="1" applyFont="1" applyAlignment="1">
      <alignment horizontal="left" vertical="center"/>
    </xf>
    <xf numFmtId="0" fontId="7" fillId="0" borderId="3" xfId="1" applyFill="1" applyBorder="1"/>
    <xf numFmtId="0" fontId="3" fillId="8" borderId="4" xfId="0" applyFont="1" applyFill="1" applyBorder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164" fontId="3" fillId="6" borderId="6" xfId="0" applyNumberFormat="1" applyFont="1" applyFill="1" applyBorder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0" fillId="0" borderId="0" xfId="0" applyNumberFormat="1" applyAlignment="1">
      <alignment horizontal="right" vertical="center" textRotation="90"/>
    </xf>
    <xf numFmtId="1" fontId="2" fillId="0" borderId="0" xfId="0" applyNumberFormat="1" applyFont="1" applyAlignment="1">
      <alignment horizontal="right" vertical="center" textRotation="90"/>
    </xf>
    <xf numFmtId="1" fontId="2" fillId="0" borderId="0" xfId="2" applyNumberFormat="1" applyFont="1" applyAlignment="1">
      <alignment horizontal="left" vertical="center"/>
    </xf>
    <xf numFmtId="1" fontId="2" fillId="0" borderId="0" xfId="2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14" borderId="0" xfId="0" applyFill="1"/>
    <xf numFmtId="14" fontId="0" fillId="14" borderId="0" xfId="0" applyNumberFormat="1" applyFill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4" borderId="0" xfId="0" applyFont="1" applyFill="1" applyAlignment="1">
      <alignment horizontal="center" vertical="center"/>
    </xf>
    <xf numFmtId="14" fontId="0" fillId="15" borderId="0" xfId="0" applyNumberFormat="1" applyFill="1"/>
    <xf numFmtId="0" fontId="0" fillId="15" borderId="0" xfId="0" applyFill="1" applyAlignment="1">
      <alignment wrapText="1"/>
    </xf>
    <xf numFmtId="0" fontId="0" fillId="15" borderId="0" xfId="0" applyFill="1" applyAlignment="1">
      <alignment horizontal="center"/>
    </xf>
    <xf numFmtId="0" fontId="2" fillId="15" borderId="0" xfId="0" applyFont="1" applyFill="1" applyAlignment="1">
      <alignment horizontal="center"/>
    </xf>
    <xf numFmtId="1" fontId="0" fillId="7" borderId="0" xfId="0" applyNumberFormat="1" applyFill="1" applyAlignment="1">
      <alignment horizontal="center" vertical="center"/>
    </xf>
    <xf numFmtId="164" fontId="0" fillId="10" borderId="6" xfId="0" applyNumberForma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4" fontId="3" fillId="8" borderId="6" xfId="0" applyNumberFormat="1" applyFont="1" applyFill="1" applyBorder="1" applyAlignment="1">
      <alignment horizontal="center" vertical="center"/>
    </xf>
    <xf numFmtId="164" fontId="3" fillId="11" borderId="6" xfId="0" applyNumberFormat="1" applyFont="1" applyFill="1" applyBorder="1" applyAlignment="1">
      <alignment horizontal="center" vertical="center"/>
    </xf>
    <xf numFmtId="0" fontId="1" fillId="2" borderId="11" xfId="0" applyFont="1" applyFill="1" applyBorder="1"/>
    <xf numFmtId="0" fontId="3" fillId="17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9" fontId="14" fillId="18" borderId="5" xfId="0" applyNumberFormat="1" applyFont="1" applyFill="1" applyBorder="1" applyAlignment="1">
      <alignment horizontal="center" vertical="center"/>
    </xf>
    <xf numFmtId="0" fontId="6" fillId="0" borderId="7" xfId="1" applyFont="1" applyFill="1" applyBorder="1"/>
    <xf numFmtId="167" fontId="0" fillId="9" borderId="0" xfId="0" applyNumberFormat="1" applyFill="1"/>
    <xf numFmtId="20" fontId="0" fillId="9" borderId="0" xfId="0" applyNumberFormat="1" applyFill="1"/>
    <xf numFmtId="166" fontId="0" fillId="9" borderId="0" xfId="0" applyNumberFormat="1" applyFill="1" applyAlignment="1">
      <alignment horizontal="left" vertical="center" wrapText="1"/>
    </xf>
    <xf numFmtId="1" fontId="0" fillId="9" borderId="0" xfId="0" applyNumberFormat="1" applyFill="1" applyAlignment="1">
      <alignment horizontal="left" vertical="center" wrapText="1"/>
    </xf>
    <xf numFmtId="1" fontId="0" fillId="9" borderId="0" xfId="0" applyNumberFormat="1" applyFill="1"/>
    <xf numFmtId="1" fontId="2" fillId="9" borderId="0" xfId="0" applyNumberFormat="1" applyFont="1" applyFill="1" applyAlignment="1">
      <alignment horizontal="center"/>
    </xf>
    <xf numFmtId="0" fontId="0" fillId="9" borderId="0" xfId="0" applyFill="1" applyAlignment="1">
      <alignment horizontal="left" vertical="center"/>
    </xf>
    <xf numFmtId="0" fontId="4" fillId="9" borderId="0" xfId="0" applyFont="1" applyFill="1" applyAlignment="1"/>
    <xf numFmtId="0" fontId="4" fillId="9" borderId="9" xfId="0" applyFont="1" applyFill="1" applyBorder="1" applyAlignment="1"/>
  </cellXfs>
  <cellStyles count="3">
    <cellStyle name="Hyperlink" xfId="1" builtinId="8"/>
    <cellStyle name="Normal" xfId="0" builtinId="0"/>
    <cellStyle name="Percent" xfId="2" builtinId="5"/>
  </cellStyles>
  <dxfs count="96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rgb="FF9BC2E6"/>
        </left>
        <right/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9BC2E6"/>
        </left>
        <right/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9BC2E6"/>
        </left>
        <right/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9BC2E6"/>
        </left>
        <right/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border outline="0">
        <top style="thin">
          <color rgb="FF9BC2E6"/>
        </top>
      </border>
    </dxf>
    <dxf>
      <border outline="0">
        <bottom style="thin">
          <color rgb="FF9BC2E6"/>
        </bottom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5" formatCode="m/d/yy\ h:mm:ss\ AM/PM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5" formatCode="m/d/yy\ h:mm:ss\ AM/PM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165" formatCode="m/d/yy\ h:mm:ss\ AM/P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165" formatCode="m/d/yy\ h:mm:ss\ AM/P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165" formatCode="m/d/yy\ h:mm:ss\ AM/P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165" formatCode="m/d/yy\ h:mm:ss\ AM/P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d/mm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font>
        <b/>
        <i val="0"/>
      </font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/mm/yyyy"/>
    </dxf>
    <dxf>
      <numFmt numFmtId="19" formatCode="d/mm/yyyy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90" wrapText="0" indent="0" justifyLastLine="0" shrinkToFit="0" readingOrder="0"/>
    </dxf>
    <dxf>
      <fill>
        <patternFill>
          <bgColor rgb="FFFFC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</dxf>
    <dxf>
      <numFmt numFmtId="19" formatCode="d/mm/yyyy"/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numFmt numFmtId="166" formatCode="mmmm"/>
    </dxf>
    <dxf>
      <numFmt numFmtId="19" formatCode="d/mm/yyyy"/>
      <fill>
        <patternFill patternType="none">
          <bgColor auto="1"/>
        </patternFill>
      </fill>
    </dxf>
    <dxf>
      <numFmt numFmtId="165" formatCode="m/d/yy\ h:mm:ss\ AM/PM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</dxf>
    <dxf>
      <alignment horizontal="general" vertical="bottom" textRotation="90" wrapText="0" indent="0" justifyLastLine="0" shrinkToFit="0" readingOrder="0"/>
    </dxf>
    <dxf>
      <font>
        <b/>
        <i val="0"/>
      </font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bgColor auto="1"/>
        </patternFill>
      </fill>
    </dxf>
    <dxf>
      <numFmt numFmtId="19" formatCode="d/mm/yyyy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" formatCode="0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bgColor auto="1"/>
        </patternFill>
      </fill>
    </dxf>
    <dxf>
      <numFmt numFmtId="19" formatCode="d/mm/yyyy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" formatCode="0"/>
      <alignment horizontal="left" vertical="center" textRotation="0" wrapText="1" indent="0" justifyLastLine="0" shrinkToFit="0" readingOrder="0"/>
    </dxf>
    <dxf>
      <numFmt numFmtId="1" formatCode="0"/>
      <alignment horizontal="left" vertical="center" textRotation="0" wrapText="1" indent="0" justifyLastLine="0" shrinkToFit="0" readingOrder="0"/>
    </dxf>
    <dxf>
      <numFmt numFmtId="166" formatCode="mmmm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19" formatCode="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5" formatCode="h:mm"/>
    </dxf>
    <dxf>
      <numFmt numFmtId="25" formatCode="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7" formatCode="d/m/yy\ h:mm:ss\ AM/PM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alignment horizontal="general" vertical="bottom" textRotation="0" wrapText="0" indent="0" justifyLastLine="0" shrinkToFit="0" readingOrder="0"/>
    </dxf>
    <dxf>
      <font>
        <color rgb="FF00B0F0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gradientFill>
          <stop position="0">
            <color rgb="FFF00000"/>
          </stop>
          <stop position="1">
            <color rgb="FF00B050"/>
          </stop>
        </gradient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#,##0;&quot;0&quot;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#,##0;&quot;0&quot;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#,##0;&quot;0&quot;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2" pivot="0" count="7" xr9:uid="{18CC8777-1ECE-4B97-8ECB-A06C2399E548}">
      <tableStyleElement type="wholeTable" dxfId="968"/>
      <tableStyleElement type="headerRow" dxfId="967"/>
      <tableStyleElement type="totalRow" dxfId="966"/>
      <tableStyleElement type="firstColumn" dxfId="965"/>
      <tableStyleElement type="lastColumn" dxfId="964"/>
      <tableStyleElement type="firstRowStripe" dxfId="963"/>
      <tableStyleElement type="firstColumnStripe" dxfId="962"/>
    </tableStyle>
  </tableStyles>
  <colors>
    <mruColors>
      <color rgb="FF66FF33"/>
      <color rgb="FFF0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nnefather, Josh" id="{A7200EB9-2D13-4A07-9871-D7EE2E6B6357}" userId="S::Josh.Pennefather@fireandemergency.nz::9ae8d934-2051-4714-abcb-7b440d108e1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46D040-7DB7-47C0-9DD4-D7FCD6143A5E}" name="Summary23" displayName="Summary23" ref="A1:Y44" headerRowCount="0" totalsRowShown="0">
  <tableColumns count="25">
    <tableColumn id="1" xr3:uid="{039FF28D-E15F-451C-A70F-E74ED2A9FEAB}" name="Names" headerRowDxfId="949" dataDxfId="948"/>
    <tableColumn id="4" xr3:uid="{286F3729-7465-43A6-9BE0-7A2CFF74AF0D}" name="Column4"/>
    <tableColumn id="3" xr3:uid="{CF275C94-205B-40EF-9CBB-C4D52A3D96C7}" name="Column3" dataDxfId="947"/>
    <tableColumn id="2" xr3:uid="{9B654342-F339-4248-A082-7F4117EC76B2}" name="Column2" dataDxfId="946"/>
    <tableColumn id="5" xr3:uid="{61898756-44BC-43DA-822B-F398A82ACC4C}" name="Column5"/>
    <tableColumn id="6" xr3:uid="{8F4243FD-95A3-4C9C-9D76-98B379C377BE}" name="Column6"/>
    <tableColumn id="7" xr3:uid="{F90BCB3E-9D41-4280-86C6-0BD4FFD59954}" name="Column7"/>
    <tableColumn id="8" xr3:uid="{4030547B-7B16-49D3-8BB9-D26A4C4652EA}" name="Column8"/>
    <tableColumn id="9" xr3:uid="{9D89C8C8-48BC-4655-A823-323A6D0ABEBA}" name="Column9"/>
    <tableColumn id="13" xr3:uid="{C66FF1A9-230A-4015-ABCE-8C0CF28ACC8A}" name="Column92" dataDxfId="945">
      <calculatedColumnFormula>SUM(B2:I2)</calculatedColumnFormula>
    </tableColumn>
    <tableColumn id="10" xr3:uid="{0F15D9E4-42DB-4540-944F-3F90FF80EFB8}" name="Column10"/>
    <tableColumn id="11" xr3:uid="{151C1E9A-85C4-4F01-AAD9-2B3D2C99A5E8}" name="Column1"/>
    <tableColumn id="12" xr3:uid="{C31E44EC-EB80-4075-AE71-947A4D816112}" name="Column11"/>
    <tableColumn id="14" xr3:uid="{8F84BFFE-80A3-4ED0-A518-0CCEA2FB375A}" name="Column12"/>
    <tableColumn id="15" xr3:uid="{D5C1FBE9-9763-4B08-90FF-45C8D4DC1B64}" name="Column13"/>
    <tableColumn id="16" xr3:uid="{B562B820-6822-42A2-A943-E0D4AD396717}" name="Column14"/>
    <tableColumn id="17" xr3:uid="{88973808-0B5A-485F-AF70-6A80F278EC33}" name="Column15"/>
    <tableColumn id="18" xr3:uid="{80F93D4D-A4DD-424A-990A-A10CC9335877}" name="Column16" dataDxfId="944"/>
    <tableColumn id="19" xr3:uid="{DC7A0E98-5DEF-40A8-B87D-BFC6B23737E8}" name="Column17"/>
    <tableColumn id="20" xr3:uid="{4FC2B321-F0F8-4542-B0D5-5EE478EF46ED}" name="Column18"/>
    <tableColumn id="21" xr3:uid="{8DF233A2-B9E9-430B-9E09-E79558FE1047}" name="Column19" dataDxfId="943"/>
    <tableColumn id="22" xr3:uid="{E6F04AD4-1CAC-4104-B8A7-714636B77A5D}" name="Column20" dataDxfId="942"/>
    <tableColumn id="23" xr3:uid="{E2DB9AF6-F6F9-4185-A278-067A397C9C60}" name="Column21" dataDxfId="941"/>
    <tableColumn id="24" xr3:uid="{6D3E4FD1-BC35-4370-AAF9-977E009E12C1}" name="Column22" dataDxfId="940"/>
    <tableColumn id="25" xr3:uid="{9FC140E5-2850-45D3-923B-EC26DD2D4AD8}" name="Column23" dataDxfId="939"/>
  </tableColumns>
  <tableStyleInfo name="TableStyleMedium2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DB4E238-7C8E-4FCB-AB14-1C0B21B34D67}" name="Calls25" displayName="Calls25" ref="A1:BR666" totalsRowShown="0" headerRowDxfId="909" dataDxfId="908">
  <autoFilter ref="A1:BR666" xr:uid="{3DB4E238-7C8E-4FCB-AB14-1C0B21B34D67}">
    <filterColumn colId="14">
      <filters>
        <filter val="HAZMAT"/>
      </filters>
    </filterColumn>
  </autoFilter>
  <tableColumns count="70">
    <tableColumn id="1" xr3:uid="{DFDFB77A-7317-4F04-BC31-C7125B842F42}" name="Call Number" dataDxfId="907"/>
    <tableColumn id="3" xr3:uid="{231BE7EF-48F9-4185-86A7-99396D66C0BD}" name="Completion time" dataDxfId="906"/>
    <tableColumn id="10" xr3:uid="{C4A8312E-3089-4840-BFD9-882614E80004}" name="Time" dataDxfId="905"/>
    <tableColumn id="16" xr3:uid="{99AA2F85-E74F-4B43-B6C7-CAC113F63990}" name="Date2" dataDxfId="904"/>
    <tableColumn id="2" xr3:uid="{8E211C21-8F56-4E46-8422-E78A89CD0F01}" name="Date" dataDxfId="903"/>
    <tableColumn id="5" xr3:uid="{484AE044-7769-4753-82D0-7D8E338DE100}" name="Next Call Number" dataDxfId="902">
      <calculatedColumnFormula>(A2+1)</calculatedColumnFormula>
    </tableColumn>
    <tableColumn id="66" xr3:uid="{7ABF0EE2-75CE-49CC-AFDB-B7FE0CAE8AC8}" name="AI Response ID"/>
    <tableColumn id="54" xr3:uid="{FA23C7E9-41FC-42FB-95D5-6B0453B0CB8C}" name="Event Number2"/>
    <tableColumn id="6" xr3:uid="{C255C0FB-AD40-438F-86CA-297100FFF359}" name="Event Number" dataDxfId="901"/>
    <tableColumn id="64" xr3:uid="{0334E156-4AFF-4968-93BB-02FD7323F2C1}" name="Month" dataDxfId="900"/>
    <tableColumn id="69" xr3:uid="{025B58A6-02B2-427E-B937-6FC5C6D5044B}" name="MonthNo" dataDxfId="899"/>
    <tableColumn id="70" xr3:uid="{5BFFA998-40D6-4554-8782-F952AD47BE7B}" name="Row Number" dataDxfId="898"/>
    <tableColumn id="13" xr3:uid="{54502133-D1A5-4080-8227-1243F5449105}" name="Event Type" dataDxfId="897"/>
    <tableColumn id="63" xr3:uid="{E1DF2C93-8F36-4399-9637-729E15E808E1}" name="Incident Info2" dataDxfId="896"/>
    <tableColumn id="46" xr3:uid="{FBA22D8E-0343-409F-AB92-7030EA3F9FC8}" name="Incident Info" dataDxfId="895"/>
    <tableColumn id="12" xr3:uid="{42D38467-0645-469B-A023-27C1C9116412}" name="CPN" dataDxfId="894"/>
    <tableColumn id="36" xr3:uid="{481A8A09-5CFC-430F-BBBC-13EC52C9D5EE}" name="Number of Trucks" dataDxfId="893"/>
    <tableColumn id="65" xr3:uid="{3439BAB7-B288-47FF-A7FC-6AE2EEA09368}" name="Appliances" dataDxfId="892"/>
    <tableColumn id="11" xr3:uid="{0F849BFA-4A9F-4DE5-B7C2-D72953A68898}" name="Address2" dataDxfId="891"/>
    <tableColumn id="8" xr3:uid="{A5983AEB-6638-4DF9-9C15-FB81930FD730}" name="Address " dataDxfId="890"/>
    <tableColumn id="9" xr3:uid="{36C11040-AFBA-4FFE-9DAA-E26EB7E1A2E5}" name="Cross Streets" dataDxfId="889"/>
    <tableColumn id="14" xr3:uid="{DEF92DBB-808C-4EE2-87EC-F5EAB96B177E}" name="Result" dataDxfId="888"/>
    <tableColumn id="15" xr3:uid="{0E32144C-7DAC-4962-87D8-682DF4005ED2}" name="OIC" dataDxfId="887"/>
    <tableColumn id="17" xr3:uid="{A88B24BC-6DC0-4111-A0BC-446786B123E0}" name="CFO John Robinson" dataDxfId="886"/>
    <tableColumn id="18" xr3:uid="{3A26C2EA-4159-4572-857D-C9738F16021A}" name="DCFO Bharat Ravji" dataDxfId="885"/>
    <tableColumn id="19" xr3:uid="{F1F87F90-0D2B-42DB-B075-264F2FB848F8}" name="SSO Darcy Hart" dataDxfId="884"/>
    <tableColumn id="20" xr3:uid="{1489BB51-322A-47E3-909B-ECD80EBE6A3D}" name="SSO Vaughan Wood" dataDxfId="883"/>
    <tableColumn id="21" xr3:uid="{A49A6BD8-9BFC-4ED4-9D5B-5A65EBFC4BE4}" name="SO Richard Jellyman" dataDxfId="882"/>
    <tableColumn id="22" xr3:uid="{A31F95BA-84B5-4FB4-8D30-B136C320A1D7}" name="SO Richard Irving" dataDxfId="881"/>
    <tableColumn id="23" xr3:uid="{9253CD3F-9995-4A7B-8C88-A13FEA0ADA4A}" name="SO Darryn Pritchard" dataDxfId="880"/>
    <tableColumn id="42" xr3:uid="{8BF72168-EBE0-4B8D-A197-DB92936712B7}" name="SO Jon White" dataDxfId="879"/>
    <tableColumn id="25" xr3:uid="{5033AE2B-FA75-4512-B00F-AE5D173CA484}" name="SFF Brent Reynolds" dataDxfId="878"/>
    <tableColumn id="26" xr3:uid="{A79B88F3-B72D-4D37-B8E3-1AD1AF8171FD}" name="SFF Joseph O'Neill-Gregory" dataDxfId="877"/>
    <tableColumn id="27" xr3:uid="{153CD59C-A3DC-442E-B2F5-BE4102A6F3B4}" name="SFF Grant Robertson" dataDxfId="876"/>
    <tableColumn id="28" xr3:uid="{44730888-C96C-463D-9A7C-31D2463528AF}" name="SFF William O'Connell" dataDxfId="875"/>
    <tableColumn id="32" xr3:uid="{447E53ED-516C-4467-968F-F606BE44F326}" name="SFF Robert Mayo" dataDxfId="874"/>
    <tableColumn id="24" xr3:uid="{48AAB98E-C85F-46B9-BCF3-CCF78A2C859D}" name="SFF Brody Jellyman" dataDxfId="873"/>
    <tableColumn id="33" xr3:uid="{70A8E6A6-E151-40F3-9CF1-EE9043FD355C}" name="QFF Symon Maxwell" dataDxfId="872"/>
    <tableColumn id="35" xr3:uid="{4591C132-024C-47C8-81E2-04200F3476BA}" name="QFF Ian Chapman" dataDxfId="871"/>
    <tableColumn id="37" xr3:uid="{6D35B13A-7A3A-4985-ADF4-6BC7E2137A75}" name="QFF Melanie Yates" dataDxfId="870"/>
    <tableColumn id="38" xr3:uid="{D0F1E602-0546-45E3-B74E-B3A271E99E00}" name="QFF Maree Primrose" dataDxfId="869"/>
    <tableColumn id="39" xr3:uid="{9563B81A-5788-40B1-8A6C-0BB7A4BEDBDD}" name="QFF Russell Clarke" dataDxfId="868"/>
    <tableColumn id="40" xr3:uid="{26CD8B05-2071-4357-9DA5-F627223A0B02}" name="QFF Andrew Bond" dataDxfId="867"/>
    <tableColumn id="41" xr3:uid="{663425C9-FA1B-4981-9639-67BDF83F6415}" name="QFF Alan Binnie" dataDxfId="866"/>
    <tableColumn id="43" xr3:uid="{7267F942-A520-4AAA-9BC8-083C9BEC9A66}" name="QFF Josh Pennefather" dataDxfId="865"/>
    <tableColumn id="44" xr3:uid="{3B78AFD5-4BB7-46CD-86F7-07FDACE1EA1A}" name="QFF Ben Killgour" dataDxfId="864"/>
    <tableColumn id="73" xr3:uid="{DD850EED-E9F9-4C72-9C43-E0CF0AFBDDE3}" name="QFF Dallas Steele" dataDxfId="863"/>
    <tableColumn id="67" xr3:uid="{A11C6A5F-18D0-46C3-AAEC-5778D423AEEC}" name="QFF Nick Grayson" dataDxfId="862"/>
    <tableColumn id="53" xr3:uid="{34C9F7FA-25A5-4856-B916-7C1921786275}" name="QFF Jason Court" dataDxfId="861"/>
    <tableColumn id="50" xr3:uid="{BDBCE05E-BAC4-4017-82F1-D0F2C85E8A5C}" name="QFF Crystal McConchie" dataDxfId="860"/>
    <tableColumn id="45" xr3:uid="{A65BC64F-BD91-49F6-87CE-32CC248A7C44}" name="FF Jimmy Doyle" dataDxfId="859"/>
    <tableColumn id="47" xr3:uid="{B404FC35-CA71-48EB-8B6C-41BD5036A27D}" name="FF Dimmy Bell-Kainiu" dataDxfId="858"/>
    <tableColumn id="56" xr3:uid="{299CC34D-D78D-4506-B212-414A0E9D339D}" name="FF Mitch Court" dataDxfId="857"/>
    <tableColumn id="57" xr3:uid="{51550522-0AA7-4710-B29D-AB98F4E70360}" name="FF Jamie O'Hare" dataDxfId="856"/>
    <tableColumn id="68" xr3:uid="{9A366525-1690-4FE4-AA0A-963CC89058E6}" name="FF Kaitlyn Evans" dataDxfId="855"/>
    <tableColumn id="60" xr3:uid="{9F816277-474A-47E9-900F-3ED8FAE99F08}" name="FF Jaime Moore" dataDxfId="854"/>
    <tableColumn id="61" xr3:uid="{0B3F62AD-06AE-4232-B230-67542AAE8679}" name="FF Torrens Butcher" dataDxfId="853"/>
    <tableColumn id="62" xr3:uid="{EB9570A6-88BA-4B11-BB96-E8661E04D581}" name="FF Matt Humber" dataDxfId="852"/>
    <tableColumn id="74" xr3:uid="{B285559C-D7A8-4516-877C-AA0A64483ED5}" name="RFF Leone Humber" dataDxfId="851"/>
    <tableColumn id="34" xr3:uid="{E076E107-8F90-484A-A597-039E1CEB9195}" name="RFF Joel Robbins" dataDxfId="850"/>
    <tableColumn id="59" xr3:uid="{FF562DE3-220B-49F0-AFB9-71444FC1764C}" name="RFF Tracey Brownlee" dataDxfId="849"/>
    <tableColumn id="31" xr3:uid="{A079CDA5-938F-455D-8D1E-36295BC4DA7D}" name="RFF Sacha Hoole" dataDxfId="848"/>
    <tableColumn id="76" xr3:uid="{B84E5E8F-AA1B-4266-8A53-34A3A0353DEE}" name="RFF Callum Reid" dataDxfId="847"/>
    <tableColumn id="75" xr3:uid="{7311C019-E949-4697-8513-7E9BDDF8DB3F}" name="RFF Jack Piggott-Newton" dataDxfId="846"/>
    <tableColumn id="71" xr3:uid="{D50701B0-78A9-4D37-89DD-9EDD3DF87407}" name="Number of Responders" dataDxfId="845">
      <calculatedColumnFormula>COUNTIF($X2:$BF2, "I")</calculatedColumnFormula>
    </tableColumn>
    <tableColumn id="72" xr3:uid="{953DAF7C-CAF4-4EEE-BE98-E1D78CCF31F4}" name="Number of Drivers" dataDxfId="844">
      <calculatedColumnFormula>COUNTIFS($X2:$BF2, "I",$X$2:$BF$2, "DR" )</calculatedColumnFormula>
    </tableColumn>
    <tableColumn id="30" xr3:uid="{5A35804F-289A-440C-9366-025E8BD265B3}" name="Number of Officers" dataDxfId="843">
      <calculatedColumnFormula>COUNTIFS($X2:$BF2, "I",$X$5:$BF$5, "OF" )</calculatedColumnFormula>
    </tableColumn>
    <tableColumn id="29" xr3:uid="{C297BE09-49FF-4975-BB36-EFEA194B2AA9}" name="Number of FF" dataDxfId="842">
      <calculatedColumnFormula>COUNTIFS($X2:$BF2, "I",$X$5:$BF$5, "FF" )</calculatedColumnFormula>
    </tableColumn>
    <tableColumn id="7" xr3:uid="{27DA9263-6DAF-4528-A365-7DC031916747}" name="Submitted By" dataDxfId="841"/>
    <tableColumn id="4" xr3:uid="{467F96C5-BF41-4DF4-BC2E-D53DC895E474}" name="Notes" dataDxfId="8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ADA2605-CDC1-4AFE-A074-76B65D52EC60}" name="Musters25" displayName="Musters25" ref="A1:BA63" totalsRowShown="0" headerRowDxfId="838" dataDxfId="837">
  <autoFilter ref="A1:BA63" xr:uid="{1ADA2605-CDC1-4AFE-A074-76B65D52EC60}"/>
  <tableColumns count="53">
    <tableColumn id="4" xr3:uid="{EC4E9831-300A-4A5B-BB58-ACF4E251D7EB}" name="Muster Number" dataDxfId="836"/>
    <tableColumn id="1" xr3:uid="{B8F208BA-5EDC-4C32-8216-71EC86E1F6B5}" name="Number" dataDxfId="835"/>
    <tableColumn id="3" xr3:uid="{3B47F994-7C58-4954-8F1F-1BA14E9855EA}" name="Time" dataDxfId="834"/>
    <tableColumn id="7" xr3:uid="{E1A18530-3DF7-4502-90C5-6A480A8833F7}" name="Date" dataDxfId="833"/>
    <tableColumn id="5" xr3:uid="{84DA49CC-C985-424D-A0FC-1A5893AEC86B}" name="Month" dataDxfId="832">
      <calculatedColumnFormula>$D2</calculatedColumnFormula>
    </tableColumn>
    <tableColumn id="6" xr3:uid="{C0E378CC-12F0-4524-8406-8333D4E6BF12}" name="MonthNo" dataDxfId="831">
      <calculatedColumnFormula>MONTH($E2)</calculatedColumnFormula>
    </tableColumn>
    <tableColumn id="54" xr3:uid="{32F0DDF2-DE99-436C-B396-68DBB4467C13}" name="Row" dataDxfId="830">
      <calculatedColumnFormula>MAX(G3:G1047)+1</calculatedColumnFormula>
    </tableColumn>
    <tableColumn id="46" xr3:uid="{D0A066A8-814E-46DF-B19A-E87973D69A95}" name="Type" dataDxfId="829"/>
    <tableColumn id="8" xr3:uid="{DEBF277F-CE4E-44A5-9F85-28C5E169E86F}" name="Address " dataDxfId="828"/>
    <tableColumn id="9" xr3:uid="{2CE1FF38-2B95-4B9D-837C-1E62E90DEFAA}" name="CFO John Robinson" dataDxfId="827"/>
    <tableColumn id="10" xr3:uid="{2CDB3CBC-E684-473C-9898-D87060736B4A}" name="DCFO Bharat Ravji" dataDxfId="826"/>
    <tableColumn id="11" xr3:uid="{A0B24064-3CC8-40B7-8F0D-3AE0E4F0A82D}" name="SSO Darcy Hart" dataDxfId="825"/>
    <tableColumn id="12" xr3:uid="{5E0E9758-0508-40B8-9D11-26769EEFE43D}" name="SSO Vaughan Wood" dataDxfId="824"/>
    <tableColumn id="13" xr3:uid="{88C7FD13-6AAA-4774-B175-E28514647F64}" name="SO Richard Jellyman" dataDxfId="823"/>
    <tableColumn id="14" xr3:uid="{4E7082EA-6093-45D8-96C0-90EFB2E199F4}" name="SO Richard Irving" dataDxfId="822"/>
    <tableColumn id="15" xr3:uid="{CDED84F7-58B1-4010-A6AA-58B710ED6E07}" name="SO Darryn Pritchard" dataDxfId="821"/>
    <tableColumn id="21" xr3:uid="{D93DF3EE-41D8-4BE0-85A7-41691B725F8D}" name="SO Jon White" dataDxfId="820"/>
    <tableColumn id="17" xr3:uid="{C50AF25A-7571-40FB-BAA3-555527EA95FF}" name="SFF Brent Reynolds" dataDxfId="819"/>
    <tableColumn id="18" xr3:uid="{9070A786-47F9-42BF-831C-034612071DA7}" name="SFF Joseph O'Neill-Gregory" dataDxfId="818"/>
    <tableColumn id="19" xr3:uid="{BFCA8D74-EB4B-4EC2-9B26-968C34B78787}" name="SFF Grant Robertson" dataDxfId="817"/>
    <tableColumn id="20" xr3:uid="{1D34E212-568C-46FB-8FF9-3E9AB0157F7F}" name="SFF William O'Connell" dataDxfId="816"/>
    <tableColumn id="24" xr3:uid="{B586117C-9B79-4D76-A127-01540C972CE1}" name="SFF Robert Mayo" dataDxfId="815"/>
    <tableColumn id="16" xr3:uid="{DC3AEDE3-3A3D-4DD5-A722-DBC954FE449D}" name="SFF Brody Jellyman" dataDxfId="814"/>
    <tableColumn id="25" xr3:uid="{37AF783F-8A40-4B5D-8C15-8B9FABD6E408}" name="QFF Symon Maxwell" dataDxfId="813"/>
    <tableColumn id="27" xr3:uid="{ABE82CCF-EC51-4476-B1A6-E78A2342D6DF}" name="QFF Ian Chapman" dataDxfId="812"/>
    <tableColumn id="29" xr3:uid="{FEF0C487-84FA-4D79-9DBB-E8CDE78A70B0}" name="QFF Melanie Yates" dataDxfId="811"/>
    <tableColumn id="30" xr3:uid="{A0B40117-F696-455F-9EE0-F8FDB0B21784}" name="QFF Maree Primrose" dataDxfId="810"/>
    <tableColumn id="31" xr3:uid="{1CEE65DA-02DB-4ABC-88CD-84A2C2DE9CD2}" name="QFF Russell Clarke" dataDxfId="809"/>
    <tableColumn id="32" xr3:uid="{ABECE7A6-810F-4FFE-8342-B779C1B2EBE4}" name="QFF Andrew Bond" dataDxfId="808"/>
    <tableColumn id="33" xr3:uid="{E6908BDB-CEFB-4D15-93AB-8291C72F8C6B}" name="QFF Alan Binnie" dataDxfId="807"/>
    <tableColumn id="35" xr3:uid="{C5AB1145-D6F9-4932-BBD6-5826C324C0AD}" name="QFF Josh Pennefather" dataDxfId="806"/>
    <tableColumn id="36" xr3:uid="{A34D5934-2D35-46F6-A1DE-BB7AC0BC2BA5}" name="QFF Ben Killgour" dataDxfId="805"/>
    <tableColumn id="41" xr3:uid="{905144AA-CB10-4F1C-8A1A-FF2013B86CCD}" name="QFF Dallas Steele" dataDxfId="804"/>
    <tableColumn id="34" xr3:uid="{423E7980-A6B9-4876-9937-39016B3AA4A9}" name="QFF Nick Grayson" dataDxfId="803"/>
    <tableColumn id="28" xr3:uid="{19B762E2-23D7-41EE-8970-7D5177184037}" name="QFF Jason Court" dataDxfId="802"/>
    <tableColumn id="26" xr3:uid="{CBEEC327-A32D-4377-9E2B-6AD05BA91B89}" name="QFF Crystal McConchie" dataDxfId="801"/>
    <tableColumn id="37" xr3:uid="{F11FE198-E1C7-4A97-B825-C451A56BA4CE}" name="FF Jimmy Doyle" dataDxfId="800"/>
    <tableColumn id="38" xr3:uid="{07880D41-AD38-4079-A0C9-979B337FDB14}" name="FF Dimmy Bell-Kainiu" dataDxfId="799"/>
    <tableColumn id="47" xr3:uid="{34D032AF-B2E1-46B4-B17F-7AFFB2423D8D}" name="FF Mitch Court" dataDxfId="798"/>
    <tableColumn id="48" xr3:uid="{0DAD8443-4AA3-47AF-A2C3-600C0E708D1C}" name="FF Jamie O'Hare" dataDxfId="797"/>
    <tableColumn id="55" xr3:uid="{EBB0D236-386C-4D1D-82B2-46FCE93E216D}" name="FF Kaitlyn Evans" dataDxfId="796"/>
    <tableColumn id="51" xr3:uid="{A9CE23D4-6901-4474-A23E-43CB660C1848}" name="FF Jaime Moore" dataDxfId="795"/>
    <tableColumn id="52" xr3:uid="{16AAEB6D-9331-4FB8-B0ED-A7D55ADB27D0}" name="FF Torrens Butcher" dataDxfId="794"/>
    <tableColumn id="53" xr3:uid="{6BAE58BA-E2CF-47F6-9253-111F6387F86A}" name="FF Matt Humber" dataDxfId="793"/>
    <tableColumn id="44" xr3:uid="{33E59BDD-6274-41FB-9D53-A61EE6B3C296}" name="RFF Leone Humber" dataDxfId="792"/>
    <tableColumn id="2" xr3:uid="{E8EF1644-9736-41F0-9CA1-08880A348CA8}" name="RFF Joel Robbins" dataDxfId="791"/>
    <tableColumn id="23" xr3:uid="{F535D77C-EB85-42C8-BBB7-46F774BD626F}" name="RFF Tracey Brownlee" dataDxfId="790"/>
    <tableColumn id="22" xr3:uid="{A05001F2-9245-4DEB-997F-938D3FDAE113}" name="RFF Sacha Hoole" dataDxfId="789"/>
    <tableColumn id="45" xr3:uid="{CCA27223-C017-47E2-8310-A24BA3C51A54}" name="RFF Callum Reid" dataDxfId="788"/>
    <tableColumn id="49" xr3:uid="{1F20A466-CEB3-4A83-8EDB-64D559BB036F}" name="RFF Jack Piggott-Newton" dataDxfId="787"/>
    <tableColumn id="57" xr3:uid="{CB27C10E-77D7-4EB3-8019-140597A18B29}" name="In Attendance" dataDxfId="786">
      <calculatedColumnFormula>COUNTIF($J2:$AV2,"I")</calculatedColumnFormula>
    </tableColumn>
    <tableColumn id="58" xr3:uid="{6B5ACFAB-F1BD-4453-9F8E-BA13FE4E582C}" name="Leave" dataDxfId="785">
      <calculatedColumnFormula>COUNTIF($J2:$AR2,"L")</calculatedColumnFormula>
    </tableColumn>
    <tableColumn id="56" xr3:uid="{760BEDD4-ABE9-486D-A830-DC5DAAB5C6D3}" name="Submitted By" dataDxfId="78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9372656-D277-4E01-BE6E-817E0280ACA0}" name="sms" displayName="sms" ref="A1:AX700" totalsRowCount="1" headerRowDxfId="776" dataDxfId="775">
  <autoFilter ref="A1:AX699" xr:uid="{09372656-D277-4E01-BE6E-817E0280ACA0}"/>
  <tableColumns count="50">
    <tableColumn id="47" xr3:uid="{0815E4B7-DF82-4F30-857B-E70E2FCCC5CC}" name="Call Number" dataDxfId="774"/>
    <tableColumn id="48" xr3:uid="{AECF7E99-3F82-485E-8DBC-B5E13C868232}" name="Response ID" dataDxfId="773"/>
    <tableColumn id="53" xr3:uid="{83D566D4-802B-4843-A59F-7FAAF6F38E7F}" name="ROW"/>
    <tableColumn id="1" xr3:uid="{B8AF3080-95F6-47A7-B418-962E5A373CC7}" name="Date" dataDxfId="771" totalsRowDxfId="772"/>
    <tableColumn id="49" xr3:uid="{73BFBFD7-85C8-4C28-B8ED-238578F53CC9}" name="Address" dataDxfId="769" totalsRowDxfId="770"/>
    <tableColumn id="2" xr3:uid="{C8829977-1D4C-498D-8D05-0F223F37A8BB}" name="Event Number" dataDxfId="767" totalsRowDxfId="768"/>
    <tableColumn id="3" xr3:uid="{8F47CC41-1C50-493C-9F87-471679EE6A8E}" name="CFO John Robinson" dataDxfId="765" totalsRowDxfId="766"/>
    <tableColumn id="4" xr3:uid="{7CB32FB9-93B4-468E-897A-8497B36FBDEF}" name="DCFO Bharat Ravji" dataDxfId="763" totalsRowDxfId="764"/>
    <tableColumn id="5" xr3:uid="{CB564453-D3C5-441C-9867-BBD83579DF5E}" name="SSO Darcy Hart" dataDxfId="761" totalsRowDxfId="762"/>
    <tableColumn id="6" xr3:uid="{E9206060-D745-4BFA-A87D-007CBCAAAA15}" name="SSO Vaughan Wood" dataDxfId="759" totalsRowDxfId="760"/>
    <tableColumn id="7" xr3:uid="{F99ED959-E516-450D-9CC0-3583BF794569}" name="SO Richard Irving" dataDxfId="757" totalsRowDxfId="758"/>
    <tableColumn id="8" xr3:uid="{066B27C3-91FD-48FC-A49E-B5C10DCCA5E4}" name="SO Richard Jellyman" dataDxfId="755" totalsRowDxfId="756"/>
    <tableColumn id="9" xr3:uid="{4146D047-61A7-4526-B763-719038082D20}" name="SO Darryn Pritchard" dataDxfId="753" totalsRowDxfId="754"/>
    <tableColumn id="17" xr3:uid="{EEA893E7-8DF8-4D85-A9A7-9285806858C4}" name="SO Jon White" dataDxfId="751" totalsRowDxfId="752"/>
    <tableColumn id="10" xr3:uid="{3ACE1FC9-ECBA-400A-BC6C-8E34E50DED49}" name="SFF Brody Jellyman" dataDxfId="749" totalsRowDxfId="750"/>
    <tableColumn id="12" xr3:uid="{2BB600AF-825B-4F10-B1DC-96955B4EC4AE}" name="SFF Robert Mayo" dataDxfId="747" totalsRowDxfId="748"/>
    <tableColumn id="13" xr3:uid="{D7C40AE4-E5B6-433D-B433-EAD3B3020E6B}" name="SFF William O'Connell" dataDxfId="745" totalsRowDxfId="746"/>
    <tableColumn id="14" xr3:uid="{2E8E8781-8985-4298-9BE0-94529284A09F}" name="SFF Joseph O'Neill-Gregory" dataDxfId="743" totalsRowDxfId="744"/>
    <tableColumn id="15" xr3:uid="{5A03C6C0-730C-424E-899C-6356A7CDFA48}" name="SFF Brent Reynolds" dataDxfId="741" totalsRowDxfId="742"/>
    <tableColumn id="16" xr3:uid="{301508C6-2EDA-4EE7-9157-259FFD218AEE}" name="SFF Grant Robertson" dataDxfId="739" totalsRowDxfId="740"/>
    <tableColumn id="19" xr3:uid="{B5F1BABD-68C9-4ED0-9DAD-B47DCD2B4C8F}" name="QFF Alan Binnie" dataDxfId="737" totalsRowDxfId="738"/>
    <tableColumn id="20" xr3:uid="{394F2111-A3A6-4138-9F49-0B4D9561494D}" name="QFF Andrew Bond" dataDxfId="735" totalsRowDxfId="736"/>
    <tableColumn id="21" xr3:uid="{299497FA-384C-40F3-97EC-CBC52A6DA3CE}" name="QFF Ian Chapman" dataDxfId="733" totalsRowDxfId="734"/>
    <tableColumn id="22" xr3:uid="{865EEFD7-3957-4DEB-AC4A-D2446EA27501}" name="QFF Russell Clarke" dataDxfId="731" totalsRowDxfId="732"/>
    <tableColumn id="46" xr3:uid="{94D15FAB-AA44-4C47-93F4-EFB6A11C36E1}" name="QFF Jason Court" dataDxfId="729" totalsRowDxfId="730"/>
    <tableColumn id="23" xr3:uid="{28C0A64A-205B-4916-970D-03DB81E8A1F9}" name="QFF Nick Grayson" dataDxfId="727" totalsRowDxfId="728"/>
    <tableColumn id="18" xr3:uid="{91DE2065-4FB7-4222-8AC8-138F146947AE}" name="QFF Ben Killgour" dataDxfId="725" totalsRowDxfId="726"/>
    <tableColumn id="26" xr3:uid="{D4E1B770-EA27-475B-B064-D7FBBB4B2F68}" name="QFF Symon Maxwell" dataDxfId="723" totalsRowDxfId="724"/>
    <tableColumn id="25" xr3:uid="{71B1262F-CE7E-4678-9779-7687DEAB5904}" name="QFF Crystal McConchie" dataDxfId="721" totalsRowDxfId="722"/>
    <tableColumn id="27" xr3:uid="{D128A87D-FF57-4B95-9816-84DD42521345}" name="QFF Josh Pennefather" dataDxfId="719" totalsRowDxfId="720"/>
    <tableColumn id="28" xr3:uid="{D1E633D9-B798-46A5-87FC-96851D490AFD}" name="QFF Maree Primrose" dataDxfId="717" totalsRowDxfId="718"/>
    <tableColumn id="35" xr3:uid="{3F5BA7E4-755D-4517-BC43-D79B9008FD78}" name="QFF Dallas Steele" dataDxfId="715" totalsRowDxfId="716"/>
    <tableColumn id="30" xr3:uid="{1D78A36B-1441-4D77-8C77-DA595F15CF86}" name="QFF Melanie Yates" dataDxfId="713" totalsRowDxfId="714"/>
    <tableColumn id="31" xr3:uid="{FD138F55-E3D0-4192-8D46-12CFAA629249}" name="FF Dimmy Bell-Kainiu" dataDxfId="711" totalsRowDxfId="712"/>
    <tableColumn id="38" xr3:uid="{09FB42A0-4DE7-4659-9A82-594D6059FEC5}" name="FF Torrens Butcher" dataDxfId="709" totalsRowDxfId="710"/>
    <tableColumn id="55" xr3:uid="{8148F5ED-C03E-40A2-9E89-53AFDDE58430}" name="FF Mitch Court" dataDxfId="707" totalsRowDxfId="708"/>
    <tableColumn id="33" xr3:uid="{945CC66B-DD4D-4632-B6A0-EF559AACD8C0}" name="FF Jimmy Doyle" dataDxfId="705" totalsRowDxfId="706"/>
    <tableColumn id="56" xr3:uid="{449E4DE7-AE85-4242-A1B8-EF37A09E27AC}" name="FF Kaitlyn Evans" dataDxfId="703" totalsRowDxfId="704"/>
    <tableColumn id="42" xr3:uid="{9FEFE2FF-3CF6-4C31-BA9A-2BB8DDEE2782}" name="FF Matt Humber" dataDxfId="701" totalsRowDxfId="702"/>
    <tableColumn id="41" xr3:uid="{2794DA79-FC77-45F1-874B-80017D5B379E}" name="FF Jaime Moore" dataDxfId="699" totalsRowDxfId="700"/>
    <tableColumn id="57" xr3:uid="{80145769-4EFE-4E87-97AA-6837BE3ACC53}" name="FF Jamie O'Hare" dataDxfId="697" totalsRowDxfId="698"/>
    <tableColumn id="24" xr3:uid="{44D0121C-125F-437F-A42D-BAB5860F02D0}" name="RFF Tracey Brownlee" dataDxfId="695" totalsRowDxfId="696"/>
    <tableColumn id="29" xr3:uid="{98FF2A8A-1F67-4BD0-86EF-1C204292F6EF}" name="RFF Sacha Hoole" dataDxfId="693" totalsRowDxfId="694"/>
    <tableColumn id="43" xr3:uid="{A7D33CD7-1E6B-48C8-AED1-AEDEBA249910}" name="RFF Leone Humber" dataDxfId="691" totalsRowDxfId="692"/>
    <tableColumn id="11" xr3:uid="{F6D955CC-C577-4C75-B904-6888F7EDFD06}" name="RFF Joel Robbins" dataDxfId="689" totalsRowDxfId="690"/>
    <tableColumn id="50" xr3:uid="{FE6B0D2B-2951-4680-8EC6-6D2840F4C37A}" name="RFF Callum Reid" dataDxfId="687" totalsRowDxfId="688"/>
    <tableColumn id="58" xr3:uid="{4F538C54-3D4D-453E-A32E-19E8E992F819}" name="RFF Jack Piggott-Newton" dataDxfId="685" totalsRowDxfId="686"/>
    <tableColumn id="52" xr3:uid="{150B28EC-77E9-43E4-A64D-B9E2F49DB100}" name="Number of Responders" dataDxfId="683" totalsRowDxfId="684">
      <calculatedColumnFormula>COUNTIF($F2:$AS2, "I")</calculatedColumnFormula>
    </tableColumn>
    <tableColumn id="51" xr3:uid="{5B424B9C-03A9-458C-A2C7-0A1505669812}" name="Notes" dataDxfId="681" totalsRowDxfId="682"/>
    <tableColumn id="54" xr3:uid="{84074E22-1CA9-460F-83F8-4E41353E3A4C}" name="SMS Task Done (Initial)" dataDxfId="679" totalsRowDxfId="68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AE4BF-313F-4D0B-8861-850EB2D506A9}" name="MJan25" displayName="MJan25" ref="A1:BB2" totalsRowShown="0" headerRowDxfId="677" dataDxfId="676">
  <tableColumns count="54">
    <tableColumn id="1" xr3:uid="{9BD1EC79-F64F-4921-976F-AEA6C47645F9}" name="Event Count" dataDxfId="675"/>
    <tableColumn id="2" xr3:uid="{49B032A6-5A8E-4419-BF67-00A8286236F2}" name="Start time" dataDxfId="674"/>
    <tableColumn id="3" xr3:uid="{54C8F238-BEA9-47AB-9B24-2246831D55C5}" name="Completion time" dataDxfId="673"/>
    <tableColumn id="4" xr3:uid="{B40A3864-3DBF-4189-881D-EAD48AE2B042}" name="Email" dataDxfId="672"/>
    <tableColumn id="5" xr3:uid="{4FFC6431-F524-4037-AA88-01869E51A3FB}" name="Name" dataDxfId="671"/>
    <tableColumn id="6" xr3:uid="{C9E0753C-09F2-442E-B920-43B8447037B7}" name="Event Number" dataDxfId="670"/>
    <tableColumn id="7" xr3:uid="{8767716B-0C0E-4E56-AD5D-5FA64C4A7CA8}" name="Date" dataDxfId="669"/>
    <tableColumn id="46" xr3:uid="{C0594232-E052-4814-8ADA-1F34BAE18772}" name="Incident Info" dataDxfId="668"/>
    <tableColumn id="8" xr3:uid="{FC55B378-B020-4091-8902-87F8FC409317}" name="Address " dataDxfId="667"/>
    <tableColumn id="9" xr3:uid="{5B534F08-73F9-4A6A-9D66-7B377AB3450A}" name="CFO John Robinson" dataDxfId="666"/>
    <tableColumn id="10" xr3:uid="{6F563EEE-152C-4A9B-89C3-001A716A5502}" name="DCFO Bharat Ravji" dataDxfId="665"/>
    <tableColumn id="11" xr3:uid="{B85AF3DD-BA34-4F0E-A853-2B6387C3A024}" name="SSO Darcy Hart" dataDxfId="664"/>
    <tableColumn id="12" xr3:uid="{A5C45993-87E3-4720-B485-7C564C19E22C}" name="SSO Vaughan Wood" dataDxfId="663"/>
    <tableColumn id="13" xr3:uid="{52AF7CCA-E8A9-4B6A-9C3C-71D7682B1D5A}" name="SO Richard Jellyman" dataDxfId="662"/>
    <tableColumn id="14" xr3:uid="{CA73BFF1-759F-48DF-9F8F-E4066272F908}" name="SO Richard Irving" dataDxfId="661"/>
    <tableColumn id="15" xr3:uid="{018F8DFB-C85A-4998-AC54-85117D5A2B5C}" name="SO Darryn Pritchard" dataDxfId="660"/>
    <tableColumn id="16" xr3:uid="{9021DA87-C52C-410B-ADE0-F0701B5C56DA}" name="SO Rhys Thomas" dataDxfId="659"/>
    <tableColumn id="17" xr3:uid="{D47C6C7B-4BF6-424F-BD7B-31A5E781BB14}" name="SFF Brent Reynolds" dataDxfId="658"/>
    <tableColumn id="18" xr3:uid="{9232D4AD-67CF-4761-9966-5903BA8D9945}" name="SFF Joseph O'Neill-Gregory" dataDxfId="657"/>
    <tableColumn id="20" xr3:uid="{8BDBE7D6-B3A9-4AEA-8256-4CE479293EB8}" name="SFF Grant Robertson" dataDxfId="656"/>
    <tableColumn id="21" xr3:uid="{7FB50AF8-BD2E-46E8-B1EB-6DA41C75C05C}" name="SFF William O'Connell" dataDxfId="655"/>
    <tableColumn id="22" xr3:uid="{388FCA1D-62E7-4F00-BFF0-9DAD26E99B72}" name="SFF Samuel Vivian" dataDxfId="654"/>
    <tableColumn id="23" xr3:uid="{92439AE1-9237-47BC-8C9B-3CFB671ABD59}" name="SFF Amy Devereaux" dataDxfId="653"/>
    <tableColumn id="24" xr3:uid="{01532D6B-9A95-44E2-BD06-B5CEB65276E9}" name="SFF Jon White" dataDxfId="652"/>
    <tableColumn id="28" xr3:uid="{5BA306D0-6469-4733-A4E9-3F71133C9733}" name="SFF Robert Mayo" dataDxfId="651"/>
    <tableColumn id="25" xr3:uid="{C985CBE1-F251-412C-90C2-3C89A3143C37}" name="QFF Symon Maxwell" dataDxfId="650"/>
    <tableColumn id="26" xr3:uid="{14CC4F14-AA83-43C5-A496-365BA533B0C3}" name="QFF Rueben Dodd" dataDxfId="649"/>
    <tableColumn id="27" xr3:uid="{56F1EB28-8642-43ED-AAC7-2361CAFFFCE3}" name="QFF Ian Chapman" dataDxfId="648"/>
    <tableColumn id="29" xr3:uid="{6EC45FFE-E698-4E0A-9DED-B1A673E41AB5}" name="QFF Jonno Ryan" dataDxfId="647"/>
    <tableColumn id="30" xr3:uid="{FEA83EF0-9B62-44F0-864E-76D44FB73D71}" name="QFF Melanie Yates" dataDxfId="646"/>
    <tableColumn id="33" xr3:uid="{93E15E10-8F7D-46BF-B162-FE6638236E7D}" name="QFF Maree Primrose" dataDxfId="645"/>
    <tableColumn id="34" xr3:uid="{8A94D42E-2127-46D6-94A0-AA66850E3EFA}" name="QFF Russell Clarke" dataDxfId="644"/>
    <tableColumn id="36" xr3:uid="{E66398D2-0A0D-4D5A-A6BB-368401C6A69A}" name="QFF Andrew Bond" dataDxfId="643"/>
    <tableColumn id="47" xr3:uid="{8B98289B-A2EC-4483-9F1F-81A34587DB83}" name="QFF Alan Binnie" dataDxfId="642"/>
    <tableColumn id="55" xr3:uid="{A268CA6A-DE93-4C7D-B798-33D2FBF65D7B}" name="QFF Rafael Nazareth" dataDxfId="641"/>
    <tableColumn id="41" xr3:uid="{FD789094-59F6-4224-850F-954571578877}" name="QFF Josh Pennefather" dataDxfId="640"/>
    <tableColumn id="50" xr3:uid="{6016EAAD-AAFE-4962-8BA9-351F101B0BD7}" name="QFF Melissa Jones" dataDxfId="639"/>
    <tableColumn id="37" xr3:uid="{ED0A1AA5-46BD-4536-88D3-933BDB9DF730}" name="FF Jimmy Doyle" dataDxfId="638"/>
    <tableColumn id="40" xr3:uid="{5AAF79A3-DB20-4EAC-A6FF-B5A8C8D46BF7}" name="FF Dimmy Bell-Kainiu" dataDxfId="637"/>
    <tableColumn id="56" xr3:uid="{A743BA3A-56F0-4C9B-A57E-EFEF854FA934}" name="FF Ben Killgour" dataDxfId="636"/>
    <tableColumn id="43" xr3:uid="{70583B76-8AE3-4F13-A49B-FD33BA54DDF9}" name="FF Dallas Steele" dataDxfId="635"/>
    <tableColumn id="45" xr3:uid="{F06A65BE-7A47-4F43-B8EE-F5F1F5A85D8B}" name="FF Braith Halliday" dataDxfId="634"/>
    <tableColumn id="44" xr3:uid="{280DFF28-C0C0-4193-A830-0B5C86E07ECD}" name="FF Nick Grayson" dataDxfId="633"/>
    <tableColumn id="52" xr3:uid="{D56AF758-7547-4599-94B4-68DE813A7408}" name="FF Jason Court" dataDxfId="632"/>
    <tableColumn id="53" xr3:uid="{99C753E6-F036-42ED-8EEA-DFA3EF396377}" name="FF Lee-Roy Staunton" dataDxfId="631"/>
    <tableColumn id="31" xr3:uid="{3803C81B-AF62-49F2-A70D-62207E3288C1}" name="FF Crystal-Lee McConchie" dataDxfId="630"/>
    <tableColumn id="49" xr3:uid="{3817B6F2-F099-4FCB-90F4-A721B3013471}" name="RFF Mitch Court" dataDxfId="629"/>
    <tableColumn id="38" xr3:uid="{C30C0CF3-B2C4-41AF-A2AE-0853E94E3E42}" name="RFF James O'Hare" dataDxfId="628"/>
    <tableColumn id="39" xr3:uid="{5E1746A5-51A1-4201-84A3-519127BA08A2}" name="RFF Leone Humber" dataDxfId="627"/>
    <tableColumn id="19" xr3:uid="{E74DA6E6-0BDF-47A0-9521-152C207C4CA2}" name="RFF Kaitlyn Evans" dataDxfId="626"/>
    <tableColumn id="42" xr3:uid="{8456B455-00BF-436E-ADDC-9DC9DD5A01CA}" name="RFF Jamie Moore2" dataDxfId="625"/>
    <tableColumn id="48" xr3:uid="{493314E9-EF30-4225-9A16-DA0ADBDDDD65}" name="RFF Torrens Butcher" dataDxfId="624"/>
    <tableColumn id="54" xr3:uid="{5610D2BC-B3C0-4875-BD35-0AF28FFD2CCD}" name="RFF Matt Humber" dataDxfId="623"/>
    <tableColumn id="32" xr3:uid="{9B7B1407-D629-4B8A-8E8E-8EFC8C14C24F}" name="Enter name of person submitting this form:2" dataDxfId="6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A4F859-CE72-424E-BF6D-5624CC71941C}" name="MFeb24" displayName="MFeb24" ref="A1:BB2" totalsRowShown="0" headerRowDxfId="621">
  <sortState xmlns:xlrd2="http://schemas.microsoft.com/office/spreadsheetml/2017/richdata2" ref="A2:BB2">
    <sortCondition ref="F2"/>
  </sortState>
  <tableColumns count="54">
    <tableColumn id="1" xr3:uid="{9072745E-26CA-4F74-85A8-81A674499F0B}" name="Event Count" dataDxfId="620"/>
    <tableColumn id="2" xr3:uid="{293031A6-12F8-4646-ACF3-AA3B55E28934}" name="Start time" dataDxfId="619"/>
    <tableColumn id="3" xr3:uid="{53CE6447-4E14-4D8C-9BD1-BB1654FFC92D}" name="Completion time" dataDxfId="618"/>
    <tableColumn id="4" xr3:uid="{6B8CA81C-8320-4BC4-B5D6-54BBE0A90C19}" name="Email" dataDxfId="617"/>
    <tableColumn id="5" xr3:uid="{02D07FF4-BD16-4B05-9C7B-76424DF4A23E}" name="Name" dataDxfId="616"/>
    <tableColumn id="6" xr3:uid="{61B97D25-6CD3-4302-9A6A-3243A7D753BD}" name="Event Number" dataDxfId="615"/>
    <tableColumn id="7" xr3:uid="{FA0D2DE5-EB27-4488-B623-C4885234B869}" name="Date" dataDxfId="614"/>
    <tableColumn id="46" xr3:uid="{B03DE205-8BB5-4742-AD75-3A11B587557A}" name="Incident Info" dataDxfId="613"/>
    <tableColumn id="8" xr3:uid="{1720FCB3-C0EB-47D2-88F1-FCAAE49EF266}" name="Address " dataDxfId="612"/>
    <tableColumn id="9" xr3:uid="{B6E3F164-1C3C-4941-8779-2EFD645F1974}" name="CFO John Robinson" dataDxfId="611"/>
    <tableColumn id="10" xr3:uid="{696A7258-C6BB-4F16-9D97-C7A6FA920B9C}" name="DCFO Bharat Ravji" dataDxfId="610"/>
    <tableColumn id="11" xr3:uid="{2F885619-2C31-45F0-96D6-F0B7D79FF55D}" name="SSO Darcy Hart" dataDxfId="609"/>
    <tableColumn id="12" xr3:uid="{A9402859-4219-456F-A826-393C5143EF99}" name="SSO Vaughan Wood" dataDxfId="608"/>
    <tableColumn id="13" xr3:uid="{E0ABB160-13C9-43E3-8685-93BDEDD6F0F1}" name="SO Richard Jellyman" dataDxfId="607"/>
    <tableColumn id="14" xr3:uid="{F4627904-DAC1-46CB-BAFA-0CFB769CC8F6}" name="SO Richard Irving" dataDxfId="606"/>
    <tableColumn id="15" xr3:uid="{A6196860-0283-4AA4-99C8-D2E0204E41AA}" name="SO Darryn Pritchard" dataDxfId="605"/>
    <tableColumn id="16" xr3:uid="{62A02273-EB8D-4DCA-9424-37144AD4E8CC}" name="SO Rhys Thomas" dataDxfId="604"/>
    <tableColumn id="17" xr3:uid="{D526A327-EB8F-4876-934E-2981B7DB8EB4}" name="SFF Brent Reynolds" dataDxfId="603"/>
    <tableColumn id="18" xr3:uid="{0C91D70D-1377-450B-B46D-733ADF7F8ECA}" name="SFF Joseph O'Neill-Gregory" dataDxfId="602"/>
    <tableColumn id="20" xr3:uid="{84032116-5180-4B78-9909-4AFFF296769A}" name="SFF Grant Robertson" dataDxfId="601"/>
    <tableColumn id="21" xr3:uid="{7964BE5F-97A2-4C1A-AA5C-FC20F8812169}" name="SFF William O'Connell" dataDxfId="600"/>
    <tableColumn id="22" xr3:uid="{3B441ED3-71AB-46E3-AE54-48DB807A27A4}" name="SFF Samuel Vivian" dataDxfId="599"/>
    <tableColumn id="23" xr3:uid="{0B85E8AA-7398-463C-BCE7-5E3B56B0A9E5}" name="SFF Amy Devereaux" dataDxfId="598"/>
    <tableColumn id="24" xr3:uid="{5D3C0AAC-27FD-48A2-AF9C-3EE6F7B758BC}" name="SFF Jon White" dataDxfId="597"/>
    <tableColumn id="28" xr3:uid="{8691317B-296F-4EE8-9BC2-AC9E92C3FCE1}" name="SFF Robert Mayo" dataDxfId="596"/>
    <tableColumn id="25" xr3:uid="{B54B6BE7-118F-405F-AED5-B6908723B508}" name="QFF Symon Maxwell" dataDxfId="595"/>
    <tableColumn id="26" xr3:uid="{61C3B8B5-ED88-48CB-9610-5241ADCF98EB}" name="QFF Rueben Dodd" dataDxfId="594"/>
    <tableColumn id="27" xr3:uid="{06BE47AF-8485-4312-ACEE-D142F37396CD}" name="QFF Ian Chapman" dataDxfId="593"/>
    <tableColumn id="29" xr3:uid="{6BB13A63-E7DF-4C0C-A1F0-A9404C346A3B}" name="QFF Jonno Ryan" dataDxfId="592"/>
    <tableColumn id="30" xr3:uid="{5740E54A-95AB-45FB-93D4-BBD9583B9322}" name="QFF Melanie Yates" dataDxfId="591"/>
    <tableColumn id="33" xr3:uid="{CE829460-5241-4897-8DBD-EA1A6485CAAC}" name="QFF Maree Primrose" dataDxfId="590"/>
    <tableColumn id="34" xr3:uid="{12E88361-BCB9-4234-82AE-B7CB8328F93C}" name="QFF Russell Clarke" dataDxfId="589"/>
    <tableColumn id="36" xr3:uid="{0FE8BE4F-00F6-4BAE-95FB-F37B642A3737}" name="QFF Andrew Bond" dataDxfId="588"/>
    <tableColumn id="47" xr3:uid="{47E42E48-EDA1-451E-98A1-E3B09C30C4AF}" name="QFF Alan Binnie" dataDxfId="587"/>
    <tableColumn id="55" xr3:uid="{65D8C017-E0B1-46C4-A762-2C2D1D736207}" name="QFF Rafael Nazareth" dataDxfId="586"/>
    <tableColumn id="41" xr3:uid="{45F46368-D41D-47A5-B8B9-DA5CA212DBC4}" name="QFF Josh Pennefather" dataDxfId="585"/>
    <tableColumn id="50" xr3:uid="{B15638CC-BE70-4E65-9A55-64FE5FCD88AF}" name="QFF Melissa Jones" dataDxfId="584"/>
    <tableColumn id="37" xr3:uid="{459F9344-657A-4F75-9121-FD8CEC8C5B04}" name="FF Jimmy Doyle" dataDxfId="583"/>
    <tableColumn id="40" xr3:uid="{1A878419-99E1-4B55-80D0-3FDE28A4F717}" name="FF Dimmy Bell-Kainiu" dataDxfId="582"/>
    <tableColumn id="56" xr3:uid="{B477F063-6ECA-41EF-A7A7-8DFF6C6E72A9}" name="FF Ben Killgour" dataDxfId="581"/>
    <tableColumn id="43" xr3:uid="{F6DC05AE-321B-495A-AF14-7C5CF870FDFF}" name="FF Dallas Steele" dataDxfId="580"/>
    <tableColumn id="45" xr3:uid="{7A9E4940-5451-49F5-8F74-E9E2455BC1BB}" name="FF Braith Halliday" dataDxfId="579"/>
    <tableColumn id="44" xr3:uid="{1CEE100F-DEE5-4026-ACF9-9DFBA90FEF30}" name="FF Nick Grayson" dataDxfId="578"/>
    <tableColumn id="52" xr3:uid="{2C66D672-7865-4FCA-8D86-7580DD5FB03C}" name="FF Jason Court" dataDxfId="577"/>
    <tableColumn id="53" xr3:uid="{CFB5B341-D839-4B9D-9ACB-639614F80505}" name="FF Lee-Roy Staunton" dataDxfId="576"/>
    <tableColumn id="31" xr3:uid="{CABB243E-E015-429B-A09B-10AE6AB94479}" name="FF Crystal-Lee McConchie" dataDxfId="575"/>
    <tableColumn id="49" xr3:uid="{FA496DBB-266D-48B1-AFB1-6D30E46B4AC4}" name="RFF Mitch Court" dataDxfId="574"/>
    <tableColumn id="38" xr3:uid="{3A19C61D-6C70-418A-A5F3-FA337D2FF1D5}" name="RFF James O'Hare" dataDxfId="573"/>
    <tableColumn id="39" xr3:uid="{43252B13-681C-4022-A724-BEF254A9BCF6}" name="RFF Leone Humber" dataDxfId="572"/>
    <tableColumn id="19" xr3:uid="{7F318581-AAB2-44AE-9B32-4C9C41E349FE}" name="RFF Kaitlyn Evans" dataDxfId="571"/>
    <tableColumn id="35" xr3:uid="{267A15D7-8804-4DD7-8BA0-BFBC6D9C5729}" name="RFF Jamie Moore" dataDxfId="570"/>
    <tableColumn id="42" xr3:uid="{197F8BEA-1939-47D8-B018-F3A3676D6C23}" name="RFF Torrens Butcher" dataDxfId="569"/>
    <tableColumn id="48" xr3:uid="{B38E9C17-F0B6-49FC-84A3-B6B62231505C}" name="RFF Matt Humber" dataDxfId="568"/>
    <tableColumn id="54" xr3:uid="{26EF5A41-51FF-4DB8-ADDE-04D01B1F7B10}" name="Enter name of person submitting this form:" dataDxfId="56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6A9F0C-2CA2-4828-A0DF-ADEAD594ADB8}" name="MMar24" displayName="MMar24" ref="A1:BB2" totalsRowShown="0" headerRowDxfId="566">
  <tableColumns count="54">
    <tableColumn id="1" xr3:uid="{B5CF1D35-36C4-4C14-847E-CA8752BE2115}" name="Event Count" dataDxfId="565"/>
    <tableColumn id="2" xr3:uid="{6B27A2C0-0DCF-4461-8BED-4D5B19611EAA}" name="Start time" dataDxfId="564"/>
    <tableColumn id="3" xr3:uid="{5D5724DE-BAC4-44C4-BB5F-E93534D4B4C4}" name="Completion time" dataDxfId="563"/>
    <tableColumn id="4" xr3:uid="{B6E75D3E-DBF1-4671-8EC5-4EFB6178AA4F}" name="Email" dataDxfId="562"/>
    <tableColumn id="5" xr3:uid="{123823A2-58BA-4D45-883B-990F8676D98C}" name="Name" dataDxfId="561"/>
    <tableColumn id="6" xr3:uid="{E4BAB7B4-D2D2-4B04-9179-D6A8F0CE18D7}" name="Event Number" dataDxfId="560"/>
    <tableColumn id="7" xr3:uid="{57733FF4-F26C-42D9-A0EC-F9C2664BA9D6}" name="Date" dataDxfId="559"/>
    <tableColumn id="46" xr3:uid="{ABBD44BF-44EA-4990-B098-29ED92C5F9E7}" name="Incident Info" dataDxfId="558"/>
    <tableColumn id="8" xr3:uid="{0A2321D9-3C8D-4C48-AB87-034A8BE63304}" name="Address " dataDxfId="557"/>
    <tableColumn id="9" xr3:uid="{58D84089-B6A7-46DD-BE63-03B255BE30B0}" name="CFO John Robinson" dataDxfId="556"/>
    <tableColumn id="10" xr3:uid="{0E5731A4-6FEB-41E9-BB96-90972DC85CB8}" name="DCFO Bharat Ravji" dataDxfId="555"/>
    <tableColumn id="11" xr3:uid="{2C104C42-FF43-44E2-8C7B-486754A6485B}" name="SSO Darcy Hart" dataDxfId="554"/>
    <tableColumn id="12" xr3:uid="{C95F8FF5-5884-4E6F-BF5A-5550D72BCE82}" name="SSO Vaughan Wood" dataDxfId="553"/>
    <tableColumn id="13" xr3:uid="{581B019C-D4CD-4D8E-B6A8-B909C47AAEE9}" name="SO Richard Jellyman" dataDxfId="552"/>
    <tableColumn id="14" xr3:uid="{157A398F-75A6-4103-9F5A-273C09867E5A}" name="SO Richard Irving" dataDxfId="551"/>
    <tableColumn id="15" xr3:uid="{EEB20F90-631E-41E2-856A-7011E33D9EE9}" name="SO Darryn Pritchard" dataDxfId="550"/>
    <tableColumn id="16" xr3:uid="{02018538-DE73-4920-908F-81611C27D298}" name="SO Rhys Thomas" dataDxfId="549"/>
    <tableColumn id="17" xr3:uid="{7CC65D02-B4EB-472D-9990-AD3B27019C6E}" name="SFF Brent Reynolds" dataDxfId="548"/>
    <tableColumn id="18" xr3:uid="{34AC43B9-88E2-4D81-AB6C-DA12FC2136A1}" name="SFF Joseph O'Neill-Gregory" dataDxfId="547"/>
    <tableColumn id="20" xr3:uid="{E0A843EA-BAF7-4D56-A534-E87917BB3A04}" name="SFF Grant Robertson" dataDxfId="546"/>
    <tableColumn id="21" xr3:uid="{2713FA96-78A4-43CA-A215-3C9298CD2BC0}" name="SFF William O'Connell" dataDxfId="545"/>
    <tableColumn id="22" xr3:uid="{31358C39-ACEA-4A3B-B1A0-2F9DE57AC10C}" name="SFF Samuel Vivian" dataDxfId="544"/>
    <tableColumn id="23" xr3:uid="{32230D9E-AAE8-494E-9161-9AA421D26C3A}" name="SFF Amy Devereaux" dataDxfId="543"/>
    <tableColumn id="24" xr3:uid="{678A4D08-5FFD-4492-938F-C5619DA86457}" name="SFF Jon White" dataDxfId="542"/>
    <tableColumn id="28" xr3:uid="{DCFA1C66-8DFB-4B66-A888-2FA8C1E3E0F1}" name="SFF Robert Mayo" dataDxfId="541"/>
    <tableColumn id="25" xr3:uid="{FC9E6383-9AB2-4D35-9490-E8FC445E3A72}" name="QFF Symon Maxwell" dataDxfId="540"/>
    <tableColumn id="26" xr3:uid="{AC6DB6FE-323D-4CDA-8786-EB4CE2D64EE9}" name="QFF Rueben Dodd" dataDxfId="539"/>
    <tableColumn id="27" xr3:uid="{A6C1B86C-62A1-4513-A7FF-90EE58E55E05}" name="QFF Ian Chapman" dataDxfId="538"/>
    <tableColumn id="29" xr3:uid="{42358330-E8B3-48E9-9933-01B0498869CF}" name="QFF Jonno Ryan" dataDxfId="537"/>
    <tableColumn id="30" xr3:uid="{D9966C7D-970D-4F47-B602-393ED92C5212}" name="QFF Melanie Yates" dataDxfId="536"/>
    <tableColumn id="33" xr3:uid="{E1FA621F-F1CF-4C62-80B7-B86DF7AF321D}" name="QFF Maree Primrose" dataDxfId="535"/>
    <tableColumn id="34" xr3:uid="{074B172C-646E-494C-9588-55904B248C5B}" name="QFF Russell Clarke" dataDxfId="534"/>
    <tableColumn id="36" xr3:uid="{1AA80D9C-4CA1-4642-B75A-AA464DF07735}" name="QFF Andrew Bond" dataDxfId="533"/>
    <tableColumn id="47" xr3:uid="{4E01EC3C-AD1E-4FE4-9380-80987594846A}" name="QFF Alan Binnie" dataDxfId="532"/>
    <tableColumn id="55" xr3:uid="{F32AA701-D05D-4955-90AA-2FFB592D1B85}" name="QFF Rafael Nazareth" dataDxfId="531"/>
    <tableColumn id="41" xr3:uid="{A970CF4E-C7CE-44E0-A152-0F26AB86B112}" name="QFF Josh Pennefather" dataDxfId="530"/>
    <tableColumn id="50" xr3:uid="{4A3A6C32-1700-4094-9B67-49EF3327A783}" name="QFF Melissa Jones" dataDxfId="529"/>
    <tableColumn id="37" xr3:uid="{FFDBA694-E2F2-4166-B0EF-50762B140B76}" name="FF Jimmy Doyle" dataDxfId="528"/>
    <tableColumn id="40" xr3:uid="{A42E943E-632E-4A97-96A4-1C16946A96C6}" name="FF Dimmy Bell-Kainiu" dataDxfId="527"/>
    <tableColumn id="56" xr3:uid="{CF449B2C-C35C-4D0A-984E-96BE05CA125F}" name="FF Ben Killgour" dataDxfId="526"/>
    <tableColumn id="43" xr3:uid="{F9F98C2B-D8E1-4F24-8C3B-FC6137075366}" name="FF Dallas Steele" dataDxfId="525"/>
    <tableColumn id="45" xr3:uid="{E744CCED-9881-42D1-B9FB-32306E8DE75C}" name="FF Braith Halliday" dataDxfId="524"/>
    <tableColumn id="44" xr3:uid="{78B00229-E83D-4B1C-8DE0-373CF99BB449}" name="FF Nick Grayson" dataDxfId="523"/>
    <tableColumn id="52" xr3:uid="{8C3D9943-972D-4888-BED0-CA61FF4B322D}" name="FF Jason Court" dataDxfId="522"/>
    <tableColumn id="53" xr3:uid="{53BDB156-C230-41EC-93D7-5AC1E29EB9ED}" name="FF Lee-Roy Staunton" dataDxfId="521"/>
    <tableColumn id="31" xr3:uid="{1A2DC210-8B8C-4B9D-87CF-2F84843D3B18}" name="FF Crystal-Lee McConchie*" dataDxfId="520"/>
    <tableColumn id="49" xr3:uid="{CC98C736-C626-400E-80D9-D98BA979606F}" name="RFF Mitch Court" dataDxfId="519"/>
    <tableColumn id="38" xr3:uid="{1016D237-D5F5-4D3F-85DB-CC8D3B5F7E12}" name="RFF James O'Hare*" dataDxfId="518"/>
    <tableColumn id="39" xr3:uid="{A5D95BC0-AC57-4752-BEA2-452C7778D688}" name="RFF Leone Humber*" dataDxfId="517"/>
    <tableColumn id="51" xr3:uid="{A969DC7F-764C-4DD9-AD4A-9B99D1920BF1}" name="RFF Kaitlyn Evans" dataDxfId="516"/>
    <tableColumn id="35" xr3:uid="{B79F1634-0300-495C-BE02-061C62498F92}" name="RFF Jamie Moore" dataDxfId="515"/>
    <tableColumn id="42" xr3:uid="{BC39E4F2-82C0-4DA5-90E5-730821907B7A}" name="RFF Torrens Butcher" dataDxfId="514"/>
    <tableColumn id="48" xr3:uid="{E3990671-0D65-48D6-90D6-89B1DD5402F8}" name="RFF Matt Humber" dataDxfId="513"/>
    <tableColumn id="54" xr3:uid="{B4275360-B568-4122-81F8-099BFD745743}" name="Enter name of person submitting this form:" dataDxfId="5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645D2E-37DD-443C-9277-B1FDF7D0BF0F}" name="MApr24" displayName="MApr24" ref="A1:BB2" totalsRowShown="0" headerRowDxfId="511">
  <tableColumns count="54">
    <tableColumn id="1" xr3:uid="{89B59987-9D13-44AC-9B30-A302A13A0B55}" name="Event Count" dataDxfId="510"/>
    <tableColumn id="2" xr3:uid="{15AB4834-109A-432D-837C-FA93A6FE9972}" name="Start time" dataDxfId="509"/>
    <tableColumn id="3" xr3:uid="{51C5A6E1-EC99-48E0-B83A-4B5C8BA0966B}" name="Completion time" dataDxfId="508"/>
    <tableColumn id="4" xr3:uid="{5B88F9F6-6742-4040-8F19-A4EA0EC82D49}" name="Email" dataDxfId="507"/>
    <tableColumn id="5" xr3:uid="{7896489F-37E6-4B51-8796-1FD20EC4BC52}" name="Name" dataDxfId="506"/>
    <tableColumn id="6" xr3:uid="{DEE5D930-371C-4E76-B38A-E307C1DC28DB}" name="Event Number" dataDxfId="505"/>
    <tableColumn id="7" xr3:uid="{5C29A877-11B5-4C48-A067-8EB1ABFADDD4}" name="Date" dataDxfId="504"/>
    <tableColumn id="46" xr3:uid="{A42F1AAF-B849-48B0-A525-C8126F95D884}" name="Incident Info" dataDxfId="503"/>
    <tableColumn id="8" xr3:uid="{302B23D6-B5DC-4A31-BB12-267DA015B470}" name="Address " dataDxfId="502"/>
    <tableColumn id="9" xr3:uid="{3D6B3D21-C8D2-4C44-9E22-7D223CAD7673}" name="CFO John Robinson" dataDxfId="501"/>
    <tableColumn id="10" xr3:uid="{4BCDE5FF-33DC-4078-A8E6-9B66E3B5362D}" name="DCFO Bharat Ravji" dataDxfId="500"/>
    <tableColumn id="11" xr3:uid="{FFD1F819-0EA3-4D3F-93AF-1E4AB681B20A}" name="SSO Darcy Hart" dataDxfId="499"/>
    <tableColumn id="12" xr3:uid="{9E71DEED-C237-4904-8315-0ABE7FD11E17}" name="SSO Vaughan Wood" dataDxfId="498"/>
    <tableColumn id="13" xr3:uid="{973FBD54-A857-40C8-8322-4358800B0522}" name="SO Richard Jellyman" dataDxfId="497"/>
    <tableColumn id="14" xr3:uid="{F0E4B809-4C26-49E1-BEE8-E11B726E7737}" name="SO Richard Irving" dataDxfId="496"/>
    <tableColumn id="15" xr3:uid="{CA8F914E-8722-400A-A75B-6EBE7973DB9D}" name="SO Darryn Pritchard" dataDxfId="495"/>
    <tableColumn id="16" xr3:uid="{19045400-059E-4AA1-917E-768AB4E35B9A}" name="SO Rhys Thomas" dataDxfId="494"/>
    <tableColumn id="17" xr3:uid="{5048B1A4-C5C6-49FD-9BE0-67227F363487}" name="SFF Brent Reynolds" dataDxfId="493"/>
    <tableColumn id="18" xr3:uid="{C126C58C-8B12-4CA9-B0CD-0FFA5B3BA232}" name="SFF Joseph O'Neill-Gregory" dataDxfId="492"/>
    <tableColumn id="20" xr3:uid="{9ED5870D-6B80-426F-A753-F492FC3E53D2}" name="SFF Grant Robertson" dataDxfId="491"/>
    <tableColumn id="21" xr3:uid="{839AF9C7-BD28-4149-B23A-FE146854C143}" name="SFF William O'Connell" dataDxfId="490"/>
    <tableColumn id="22" xr3:uid="{92ABF367-516E-4CA8-A443-D20D03FC74D5}" name="SFF Samuel Vivian" dataDxfId="489"/>
    <tableColumn id="23" xr3:uid="{942B4204-7090-4A4D-887A-B9BA3CB9CC6F}" name="SFF Amy Devereaux" dataDxfId="488"/>
    <tableColumn id="24" xr3:uid="{42CCB314-7409-4DD0-9778-7F4496BC88E6}" name="SFF Jon White" dataDxfId="487"/>
    <tableColumn id="28" xr3:uid="{BF364D19-277A-4543-B12F-58094756FB15}" name="SFF Robert Mayo" dataDxfId="486"/>
    <tableColumn id="25" xr3:uid="{9E0E2B2E-4E22-484F-89F8-8836699E5EA3}" name="QFF Symon Maxwell" dataDxfId="485"/>
    <tableColumn id="26" xr3:uid="{02A228A4-B36E-4CC5-B658-EA082A367AD1}" name="QFF Rueben Dodd" dataDxfId="484"/>
    <tableColumn id="27" xr3:uid="{F82740DA-90C8-463C-AE6E-0E4081A41B55}" name="QFF Ian Chapman" dataDxfId="483"/>
    <tableColumn id="29" xr3:uid="{41CCF46E-EA3F-44FA-A986-050CF9F1E0A5}" name="QFF Jonno Ryan" dataDxfId="482"/>
    <tableColumn id="30" xr3:uid="{36C1D947-E21D-4D60-ADF0-BF60E1FA59E4}" name="QFF Melanie Yates" dataDxfId="481"/>
    <tableColumn id="33" xr3:uid="{9AE0874E-7CBD-4FD7-9021-7D0A1F551AD1}" name="QFF Maree Primrose" dataDxfId="480"/>
    <tableColumn id="34" xr3:uid="{A4A849D0-79E3-4594-AB00-D68A8F3DF0BE}" name="QFF Russell Clarke" dataDxfId="479"/>
    <tableColumn id="36" xr3:uid="{AAFEBE01-8FC3-487A-A75A-F0660491D386}" name="QFF Andrew Bond" dataDxfId="478"/>
    <tableColumn id="47" xr3:uid="{1ADE2243-943E-4217-ABC1-8A1781B76CBD}" name="QFF Alan Binnie" dataDxfId="477"/>
    <tableColumn id="55" xr3:uid="{9416FB42-CAE3-4397-A9F2-5E4BEAFA3170}" name="QFF Rafael Nazareth" dataDxfId="476"/>
    <tableColumn id="41" xr3:uid="{40667879-D85F-465D-A7B4-B72BE5B8965C}" name="QFF Josh Pennefather" dataDxfId="475"/>
    <tableColumn id="50" xr3:uid="{B76D9F2C-131C-4B1C-A6BA-901E3C419BB6}" name="QFF Melissa Jones" dataDxfId="474"/>
    <tableColumn id="37" xr3:uid="{F31D8F66-F3DF-4980-ACCA-89E77EA1C75E}" name="FF Jimmy Doyle" dataDxfId="473"/>
    <tableColumn id="40" xr3:uid="{1AB15960-BE13-4B0E-A087-3B6A7DCE64CB}" name="FF Dimmy Bell-Kainiu" dataDxfId="472"/>
    <tableColumn id="56" xr3:uid="{114CC2F6-6F90-4587-AD50-4395DCF67DAB}" name="FF Ben Killgour" dataDxfId="471"/>
    <tableColumn id="43" xr3:uid="{52A56163-268E-4D5D-8771-12530B2103AD}" name="FF Dallas Steele" dataDxfId="470"/>
    <tableColumn id="45" xr3:uid="{9280AFEA-CD81-4DDD-9924-5DEC355B3BD2}" name="FF Braith Halliday" dataDxfId="469"/>
    <tableColumn id="44" xr3:uid="{6AA5F62E-E64B-4651-9629-3602E87408FF}" name="FF Nick Grayson" dataDxfId="468"/>
    <tableColumn id="52" xr3:uid="{3968517C-B2E6-4F36-AC9F-E8429BA55832}" name="FF Jason Court" dataDxfId="467"/>
    <tableColumn id="53" xr3:uid="{C9D17CB4-0C1A-4EFF-8F8B-77C292792640}" name="FF Lee-Roy Staunton" dataDxfId="466"/>
    <tableColumn id="31" xr3:uid="{57F5CDD5-B119-43EA-BAAB-E5E2C6B48D2B}" name="FF Crystal-Lee McConchie" dataDxfId="465"/>
    <tableColumn id="49" xr3:uid="{6CF057B3-B6D1-4D3C-A28D-73661E18E5C3}" name="RFF Mitch Court" dataDxfId="464"/>
    <tableColumn id="38" xr3:uid="{CD6A2A4A-C823-43DF-B328-D418481A95C0}" name="RFF James O'Hare" dataDxfId="463"/>
    <tableColumn id="39" xr3:uid="{16E5E32D-E910-44B9-8595-09D96D2F3F17}" name="RFF Leone Humber" dataDxfId="462"/>
    <tableColumn id="51" xr3:uid="{2389B715-2528-46CE-A610-763BBAA20D84}" name="RFF Kaitlyn Evans" dataDxfId="461"/>
    <tableColumn id="35" xr3:uid="{8C662608-60E6-4668-92A0-118A9EA8890E}" name="RFF Jamie Moore" dataDxfId="460"/>
    <tableColumn id="42" xr3:uid="{C54348B2-E68C-4714-9312-FFBBFCA4E9CD}" name="RFF Torrens Butcher" dataDxfId="459"/>
    <tableColumn id="48" xr3:uid="{8474003A-91EB-47D6-A201-3118E2BF78F6}" name="RFF Matt Humber" dataDxfId="458"/>
    <tableColumn id="54" xr3:uid="{FCFC3B0B-5D73-42A2-90B0-68F8876F4170}" name="Enter name of person submitting this form:" dataDxfId="45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7426BD-8462-415A-9DA9-ED37675FE96C}" name="MMay24" displayName="MMay24" ref="A1:BB2" totalsRowShown="0" headerRowDxfId="456">
  <tableColumns count="54">
    <tableColumn id="1" xr3:uid="{D80C3341-2ADE-4574-860A-E54915F75583}" name="Event Count" dataDxfId="455"/>
    <tableColumn id="2" xr3:uid="{B4E76D61-ECE6-431B-A9DB-BD5A17A7A8AF}" name="Start time" dataDxfId="454"/>
    <tableColumn id="3" xr3:uid="{216DEB03-14F5-43F9-B6A9-997EEECB3AB9}" name="Completion time" dataDxfId="453"/>
    <tableColumn id="4" xr3:uid="{E975C213-04CD-41E3-9B1D-3B9D9E6E321B}" name="Email" dataDxfId="452"/>
    <tableColumn id="5" xr3:uid="{DE3D0079-A868-4291-88E1-A3B840606738}" name="Name" dataDxfId="451"/>
    <tableColumn id="6" xr3:uid="{571FEE8C-866E-4252-AA72-CAA83B3CE1A3}" name="Event Number" dataDxfId="450"/>
    <tableColumn id="7" xr3:uid="{83721218-BC11-4D1E-A5A4-EDA3DE2809B8}" name="Date" dataDxfId="449"/>
    <tableColumn id="46" xr3:uid="{348CC7D5-B799-4FB9-AC90-A811A74F4CC1}" name="Incident Info" dataDxfId="448"/>
    <tableColumn id="8" xr3:uid="{CB087207-9185-42DC-93CA-AB85C0514D53}" name="Address " dataDxfId="447"/>
    <tableColumn id="9" xr3:uid="{A25484EB-A378-4363-BBF8-2D56A0863AEB}" name="CFO John Robinson" dataDxfId="446"/>
    <tableColumn id="10" xr3:uid="{9CDC3987-0211-4ADA-B431-5E7384C29C24}" name="DCFO Bharat Ravji" dataDxfId="445"/>
    <tableColumn id="11" xr3:uid="{EAB11FAD-53E9-4741-9401-C34D778978BD}" name="SSO Darcy Hart" dataDxfId="444"/>
    <tableColumn id="12" xr3:uid="{86B9D685-8EB8-4D8B-BEC1-DE283B911073}" name="SSO Vaughan Wood" dataDxfId="443"/>
    <tableColumn id="13" xr3:uid="{9D817896-4EEB-4D02-A96A-5F8D58E120C2}" name="SO Richard Jellyman" dataDxfId="442"/>
    <tableColumn id="14" xr3:uid="{D773D463-5251-4E79-99BC-7004330536A7}" name="SO Richard Irving" dataDxfId="441"/>
    <tableColumn id="15" xr3:uid="{DB188F19-6570-48FE-97FB-BABD30159630}" name="SO Darryn Pritchard" dataDxfId="440"/>
    <tableColumn id="16" xr3:uid="{F36B2FF0-73BA-486A-9EBD-BC937D30BC0D}" name="SO Rhys Thomas" dataDxfId="439"/>
    <tableColumn id="17" xr3:uid="{37A6451E-6718-4C79-95B6-B328CD5D82FB}" name="SFF Brent Reynolds" dataDxfId="438"/>
    <tableColumn id="18" xr3:uid="{4EDC9FB7-E47E-476E-9DD7-BE5B35CB3563}" name="SFF Joseph O'Neill-Gregory" dataDxfId="437"/>
    <tableColumn id="20" xr3:uid="{58B28C99-1887-435B-8D65-3F469E6370FB}" name="SFF Grant Robertson" dataDxfId="436"/>
    <tableColumn id="21" xr3:uid="{7A243D27-A810-4A86-BDC7-412A0D68315C}" name="SFF William O'Connell" dataDxfId="435"/>
    <tableColumn id="22" xr3:uid="{273C9385-F41C-4EE1-97D1-1C772866BB86}" name="SFF Samuel Vivian" dataDxfId="434"/>
    <tableColumn id="23" xr3:uid="{CC4795D2-616D-45A1-98F0-E93A6D22C63D}" name="SFF Amy Devereaux" dataDxfId="433"/>
    <tableColumn id="24" xr3:uid="{9730BA9B-A8A9-4AA9-BD3C-E968E2AB4C65}" name="SFF Jon White" dataDxfId="432"/>
    <tableColumn id="28" xr3:uid="{1BE22A2F-5ED7-41CE-B4B8-628A4105B6AA}" name="SFF Robert Mayo" dataDxfId="431"/>
    <tableColumn id="25" xr3:uid="{BD7E68C1-1D6F-4ECE-A0D6-64DA8E653003}" name="QFF Symon Maxwell" dataDxfId="430"/>
    <tableColumn id="26" xr3:uid="{358E1645-649D-4F78-969A-7954DED9D2C9}" name="QFF Rueben Dodd" dataDxfId="429"/>
    <tableColumn id="27" xr3:uid="{0FF22BC5-C70A-4DB5-9F4B-55A301B9D30A}" name="QFF Ian Chapman" dataDxfId="428"/>
    <tableColumn id="29" xr3:uid="{9001F3ED-1018-4A24-BC7E-5CA2CCE34981}" name="QFF Jonno Ryan" dataDxfId="427"/>
    <tableColumn id="30" xr3:uid="{E0A57816-AB2F-4785-804B-C3E7FE2E82E5}" name="QFF Melanie Yates" dataDxfId="426"/>
    <tableColumn id="33" xr3:uid="{1B2D4D50-4CD1-4757-BFAE-188BCF172DFC}" name="QFF Maree Primrose" dataDxfId="425"/>
    <tableColumn id="34" xr3:uid="{C1D41BB9-33E3-4481-8C49-CC815DB19D66}" name="QFF Russell Clarke" dataDxfId="424"/>
    <tableColumn id="36" xr3:uid="{7D07CFDD-2980-46E3-9203-7F6443E972F4}" name="QFF Andrew Bond" dataDxfId="423"/>
    <tableColumn id="47" xr3:uid="{71037E78-2A26-49C4-8239-D23BF62574F1}" name="QFF Alan Binnie" dataDxfId="422"/>
    <tableColumn id="55" xr3:uid="{B63446F3-F57A-4FA9-9D63-341C685E595A}" name="QFF Rafael Nazareth" dataDxfId="421"/>
    <tableColumn id="41" xr3:uid="{736E0802-BBDF-4A84-8960-46B25F445C36}" name="QFF Josh Pennefather" dataDxfId="420"/>
    <tableColumn id="50" xr3:uid="{75C0A562-35C9-4298-8416-3FF68A8AA604}" name="QFF Melissa Jones" dataDxfId="419"/>
    <tableColumn id="37" xr3:uid="{48544546-BFCD-4794-8940-CF48EBCDFCFA}" name="FF Jimmy Doyle" dataDxfId="418"/>
    <tableColumn id="40" xr3:uid="{62BF117E-70FA-4E07-A05F-6A4A0DDE154F}" name="FF Dimmy Bell-Kainiu" dataDxfId="417"/>
    <tableColumn id="56" xr3:uid="{E8A80F53-254C-48CC-8DAD-90DBC12B9093}" name="FF Ben Killgour" dataDxfId="416"/>
    <tableColumn id="43" xr3:uid="{2208FED0-7EB1-4903-80D7-09C46320ED0C}" name="FF Dallas Steele" dataDxfId="415"/>
    <tableColumn id="45" xr3:uid="{0774ECA2-7584-487F-BBC0-C7B881096150}" name="FF Braith Halliday" dataDxfId="414"/>
    <tableColumn id="44" xr3:uid="{7AFBF172-BEF6-4694-8708-131F1CFD0702}" name="FF Nick Grayson" dataDxfId="413"/>
    <tableColumn id="52" xr3:uid="{20275B20-6921-4C7F-B663-BB56E4C7EB7F}" name="FF Jason Court" dataDxfId="412"/>
    <tableColumn id="53" xr3:uid="{03A933AF-E116-4BBB-A06A-3826896F4C6F}" name="FF Lee-Roy Staunton" dataDxfId="411"/>
    <tableColumn id="31" xr3:uid="{55B4C03D-7705-48B7-8C62-55DD66C89D05}" name="FF Crystal-Lee McConchie" dataDxfId="410"/>
    <tableColumn id="49" xr3:uid="{9A40D462-CB00-4EE9-A1C7-5337D099DD13}" name="RFF Mitch Court" dataDxfId="409"/>
    <tableColumn id="38" xr3:uid="{4BE77C5F-923A-48D8-8525-6D5E37A33127}" name="RFF James O'Hare" dataDxfId="408"/>
    <tableColumn id="39" xr3:uid="{ED53B775-B19A-4F26-8262-D069DF6841C2}" name="RFF Leone Humber" dataDxfId="407"/>
    <tableColumn id="51" xr3:uid="{6CFF21A9-F3B1-4861-87CC-FD0A659C5714}" name="RFF Kaitlyn Evans" dataDxfId="406"/>
    <tableColumn id="19" xr3:uid="{CD27D5A7-FB54-4F38-B58C-D90BD35FBA05}" name="RFF Jamie Moore" dataDxfId="405"/>
    <tableColumn id="35" xr3:uid="{2843C319-B047-47A3-9855-56B9E2D435A8}" name="RFF Torrens Butcher" dataDxfId="404"/>
    <tableColumn id="42" xr3:uid="{B7696AA2-7BEF-4F8E-BA81-57FC17727AD6}" name="RFF Matt Humber" dataDxfId="403"/>
    <tableColumn id="54" xr3:uid="{F5106CA8-A146-4D1B-BCE7-997E21877F33}" name="Enter name of person submitting this form:" dataDxfId="40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DAB2BD-11C7-4C9F-AED3-216DAB06D2AC}" name="MJun24" displayName="MJun24" ref="A1:BB2" totalsRowShown="0" headerRowDxfId="401" dataDxfId="400">
  <tableColumns count="54">
    <tableColumn id="1" xr3:uid="{F3EBF67C-D540-4F97-864F-94BE133FBCE3}" name="Event Count" dataDxfId="399"/>
    <tableColumn id="2" xr3:uid="{B29E93EE-565E-4EA9-8FCC-FB9E080FF23F}" name="Start time" dataDxfId="398"/>
    <tableColumn id="3" xr3:uid="{6966D090-304B-422D-A53A-B33C5BE552B6}" name="Completion time" dataDxfId="397"/>
    <tableColumn id="4" xr3:uid="{02A8DD16-A05E-4F65-8BDB-5A9AD7C99B3B}" name="Email" dataDxfId="396"/>
    <tableColumn id="5" xr3:uid="{177078BB-658C-4C27-9FC3-7405C5668D6E}" name="Name" dataDxfId="395"/>
    <tableColumn id="6" xr3:uid="{2CD55A35-1FC0-4524-A228-ADD8EC12080A}" name="Event Number" dataDxfId="394"/>
    <tableColumn id="7" xr3:uid="{FB13D7A7-D0BD-4B67-AB70-61851692FD87}" name="Date" dataDxfId="393"/>
    <tableColumn id="46" xr3:uid="{328A5BE3-5936-4EB7-9A66-7C4B27421ADC}" name="Incident Info" dataDxfId="392"/>
    <tableColumn id="8" xr3:uid="{329C0AB6-ADD1-45C8-BBC8-D751CFC7B6DB}" name="Address " dataDxfId="391"/>
    <tableColumn id="9" xr3:uid="{CD641585-8BBD-4634-824F-4C2B07CD668F}" name="CFO John Robinson" dataDxfId="390"/>
    <tableColumn id="10" xr3:uid="{713EEC03-9C51-485B-940F-2CF57FAE9D9D}" name="DCFO Bharat Ravji" dataDxfId="389"/>
    <tableColumn id="11" xr3:uid="{B2F2BACC-9EE6-417F-AA5E-D7B2A1586560}" name="SSO Darcy Hart" dataDxfId="388"/>
    <tableColumn id="12" xr3:uid="{C872A48D-B8A7-4768-9112-7A80B2D1B093}" name="SSO Vaughan Wood" dataDxfId="387"/>
    <tableColumn id="13" xr3:uid="{5BCA275E-AEEA-4D26-8219-EC34694EA562}" name="SO Richard Jellyman" dataDxfId="386"/>
    <tableColumn id="14" xr3:uid="{31C7AC68-FFFD-483A-A438-E19F0A194581}" name="SO Richard Irving" dataDxfId="385"/>
    <tableColumn id="15" xr3:uid="{2178358A-B5EE-47A9-BA7F-1BB5892FF48E}" name="SO Darryn Pritchard" dataDxfId="384"/>
    <tableColumn id="16" xr3:uid="{B639BADD-5B69-44F9-8338-2D5BF903F4FD}" name="SO Rhys Thomas" dataDxfId="383"/>
    <tableColumn id="17" xr3:uid="{3EFC71A3-AEB4-4E9C-B322-C45C8B6A7592}" name="SFF Brent Reynolds" dataDxfId="382"/>
    <tableColumn id="18" xr3:uid="{EB4BFB78-40F6-40A6-8E46-5B23D025BF17}" name="SFF Joseph O'Neill-Gregory" dataDxfId="381"/>
    <tableColumn id="20" xr3:uid="{1726D65F-EF44-4732-A634-F21AF3993B55}" name="SFF Grant Robertson" dataDxfId="380"/>
    <tableColumn id="21" xr3:uid="{25ED2A15-F1E1-40EE-B80F-BBA46402E1BA}" name="SFF William O'Connell" dataDxfId="379"/>
    <tableColumn id="22" xr3:uid="{012A9E0F-77B1-459A-B91E-E7F22D57A00C}" name="SFF Samuel Vivian" dataDxfId="378"/>
    <tableColumn id="23" xr3:uid="{8EEEA96C-12EC-4E4A-951B-97B0131CDE2C}" name="SFF Amy Devereaux" dataDxfId="377"/>
    <tableColumn id="24" xr3:uid="{D172B7FC-E52B-4476-8388-6CEA3EA08B4B}" name="SFF Jon White" dataDxfId="376"/>
    <tableColumn id="28" xr3:uid="{E0F52876-3234-42A8-9AE1-4922FB9B138C}" name="SFF Robert Mayo" dataDxfId="375"/>
    <tableColumn id="25" xr3:uid="{BB4DC8FA-5804-4956-8167-6C5BF6929082}" name="QFF Symon Maxwell" dataDxfId="374"/>
    <tableColumn id="26" xr3:uid="{8ACECFFB-E68B-4B3E-8D1D-D567F37C2FA9}" name="QFF Rueben Dodd" dataDxfId="373"/>
    <tableColumn id="27" xr3:uid="{609C06B9-E4A6-4003-95D4-7769F982F981}" name="QFF Ian Chapman" dataDxfId="372"/>
    <tableColumn id="29" xr3:uid="{F7ABC0E7-626E-4118-9A4E-B2C1869DA082}" name="QFF Jonno Ryan" dataDxfId="371"/>
    <tableColumn id="30" xr3:uid="{4B44F3B3-812A-4112-A1BA-6014642D1C4C}" name="QFF Melanie Yates" dataDxfId="370"/>
    <tableColumn id="33" xr3:uid="{4DFD41BE-897A-4A88-B0BB-3B5442084922}" name="QFF Maree Primrose" dataDxfId="369"/>
    <tableColumn id="34" xr3:uid="{612FF695-F5D3-44E3-94AD-C4555EB2877B}" name="QFF Russell Clarke" dataDxfId="368"/>
    <tableColumn id="36" xr3:uid="{AE2D1F93-A28C-4E1A-AA22-8BDD013C694A}" name="QFF Andrew Bond" dataDxfId="367"/>
    <tableColumn id="47" xr3:uid="{2A477519-8CFC-46A7-841E-AD05DBB95B1E}" name="QFF Alan Binnie" dataDxfId="366"/>
    <tableColumn id="55" xr3:uid="{3F41D944-9B97-40CC-ADFB-38A8887F7671}" name="QFF Rafael Nazareth" dataDxfId="365"/>
    <tableColumn id="41" xr3:uid="{1C4CC127-45B8-4691-B755-BA0B6EAED08E}" name="QFF Josh Pennefather" dataDxfId="364"/>
    <tableColumn id="50" xr3:uid="{1F3E18AB-17B5-48BC-9797-390939827519}" name="QFF Melissa Jones" dataDxfId="363"/>
    <tableColumn id="37" xr3:uid="{E55602CF-A31C-4717-9316-E51F27498208}" name="FF Jimmy Doyle" dataDxfId="362"/>
    <tableColumn id="40" xr3:uid="{C96B1D00-A4DE-4690-B1E1-2EC4A01EA3CA}" name="FF Dimmy Bell-Kainiu" dataDxfId="361"/>
    <tableColumn id="56" xr3:uid="{BE6DB834-6411-492C-940F-9F84524FF4C5}" name="FF Ben Killgour" dataDxfId="360"/>
    <tableColumn id="43" xr3:uid="{4BDD678B-37FE-4CCA-B276-569D5F2F6884}" name="FF Dallas Steele" dataDxfId="359"/>
    <tableColumn id="45" xr3:uid="{C33936A8-1BCA-463C-AA4A-EA272FE44474}" name="FF Braith Halliday" dataDxfId="358"/>
    <tableColumn id="44" xr3:uid="{6566AE41-B8EA-4505-B75F-13F8DF6468BF}" name="FF Nick Grayson" dataDxfId="357"/>
    <tableColumn id="52" xr3:uid="{9B1A5C16-B770-4330-A0F6-8596373074E9}" name="FF Jason Court" dataDxfId="356"/>
    <tableColumn id="53" xr3:uid="{B10AB91A-8E6E-4DFE-993C-ED741E84539C}" name="FF Lee-Roy Staunton" dataDxfId="355"/>
    <tableColumn id="31" xr3:uid="{C6B1141C-EE70-4845-B453-45895D38712B}" name="FF Crystal-Lee McConchie" dataDxfId="354"/>
    <tableColumn id="49" xr3:uid="{65E3578C-1B50-440E-BEFD-13DD88334692}" name="RFF Mitch Court" dataDxfId="353"/>
    <tableColumn id="38" xr3:uid="{2BC7DEDF-EF97-452F-A5AA-16FDCB26C236}" name="RFF James O'Hare" dataDxfId="352"/>
    <tableColumn id="39" xr3:uid="{2D518FF0-04F8-4DB8-A592-AB376FC4EDC2}" name="RFF Leone Humber" dataDxfId="351"/>
    <tableColumn id="51" xr3:uid="{34C6F52C-AC12-4066-84C9-17353250230F}" name="RFF Kaitlyn Evans" dataDxfId="350"/>
    <tableColumn id="19" xr3:uid="{7AC7DE61-F035-4D00-B866-C662FADF5F1E}" name="RFF Jamie Moore" dataDxfId="349"/>
    <tableColumn id="35" xr3:uid="{4691AF0F-028B-491F-8B4C-69CA4C50DA5E}" name="RFF Torrens Butcher" dataDxfId="348"/>
    <tableColumn id="42" xr3:uid="{DE45ABD9-532C-406D-B24E-A13D28FACAF8}" name="RFF Matt Humber" dataDxfId="347"/>
    <tableColumn id="54" xr3:uid="{2A4EB084-12FB-4500-8615-2ECE2D999A44}" name="Enter name of person submitting this form:" dataDxfId="34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D8D2A5-E381-4492-B898-85373730C696}" name="MJuL24" displayName="MJuL24" ref="A1:BB2" totalsRowShown="0" headerRowDxfId="345" dataDxfId="344">
  <tableColumns count="54">
    <tableColumn id="1" xr3:uid="{885B0B11-466C-4632-AF5E-62A8A4B95BF7}" name="Event Count" dataDxfId="343"/>
    <tableColumn id="2" xr3:uid="{B60583EA-DC8C-489E-B82E-2D00008AD15E}" name="Start time" dataDxfId="342"/>
    <tableColumn id="3" xr3:uid="{26884EE0-5275-41F5-B784-634720BB9C3A}" name="Completion time" dataDxfId="341"/>
    <tableColumn id="4" xr3:uid="{C3531AC4-7F9E-4827-ABA3-F1FE455A946E}" name="Email" dataDxfId="340"/>
    <tableColumn id="5" xr3:uid="{4EB1AF52-B300-4FD9-852C-3CB0DD39A4AB}" name="Name" dataDxfId="339"/>
    <tableColumn id="6" xr3:uid="{BADFD990-8EA9-47F1-8096-3755B43AE85D}" name="Event Number" dataDxfId="338"/>
    <tableColumn id="7" xr3:uid="{3BD06D4C-093C-485B-8AF6-0EAF34F46398}" name="Date" dataDxfId="337"/>
    <tableColumn id="46" xr3:uid="{1A535283-FFE7-4831-9979-BA72CACBCB04}" name="Incident Info" dataDxfId="336"/>
    <tableColumn id="8" xr3:uid="{B8B71051-EEFB-469F-AEF9-C3869A375B9A}" name="Address " dataDxfId="335"/>
    <tableColumn id="9" xr3:uid="{A660D258-4370-4257-A659-9B221D898DC0}" name="CFO John Robinson" dataDxfId="334"/>
    <tableColumn id="10" xr3:uid="{4E58A05B-3C1D-4EF7-B0A9-4E98A85C83A8}" name="DCFO Bharat Ravji" dataDxfId="333"/>
    <tableColumn id="11" xr3:uid="{8FE6F83D-1531-4A0D-B6E7-3E288C731E68}" name="SSO Darcy Hart" dataDxfId="332"/>
    <tableColumn id="12" xr3:uid="{7F731846-A230-4C7C-8DBC-7270BE3A61EE}" name="SSO Vaughan Wood" dataDxfId="331"/>
    <tableColumn id="13" xr3:uid="{E499078E-0A6D-479E-A0C8-8D2832D7A900}" name="SO Richard Jellyman" dataDxfId="330"/>
    <tableColumn id="14" xr3:uid="{0FBE2D62-55A7-45FE-B6B1-9B3D96A32A76}" name="SO Richard Irving" dataDxfId="329"/>
    <tableColumn id="15" xr3:uid="{D2B210DB-91BF-4F5E-BEEC-5E5C7AB1EE69}" name="SO Darryn Pritchard" dataDxfId="328"/>
    <tableColumn id="16" xr3:uid="{24DE47FA-ACF3-4F92-BEEC-79A30ED1BBDB}" name="SO Rhys Thomas" dataDxfId="327"/>
    <tableColumn id="17" xr3:uid="{D9891E3C-8159-4A25-B6F7-53D9B6329321}" name="SFF Brent Reynolds" dataDxfId="326"/>
    <tableColumn id="18" xr3:uid="{D8611669-C334-4EFA-85C3-F357A4D64898}" name="SFF Joseph O'Neill-Gregory" dataDxfId="325"/>
    <tableColumn id="20" xr3:uid="{CF75A5A7-6F8D-429D-AC7E-E8EEA5B8489C}" name="SFF Grant Robertson" dataDxfId="324"/>
    <tableColumn id="21" xr3:uid="{C0854BFD-4FF6-4D2F-9A1F-C86621DD3CA7}" name="SFF William O'Connell" dataDxfId="323"/>
    <tableColumn id="22" xr3:uid="{D5FB0349-8871-417D-B38E-2D691D8ECC31}" name="SFF Samuel Vivian" dataDxfId="322"/>
    <tableColumn id="23" xr3:uid="{1A093FB7-59D4-4A3A-8839-AE5DC71D4BA6}" name="SFF Amy Devereaux" dataDxfId="321"/>
    <tableColumn id="24" xr3:uid="{171C5A3C-09F2-459F-88DC-83E1C61C3E5C}" name="SFF Jon White" dataDxfId="320"/>
    <tableColumn id="28" xr3:uid="{37D525C6-1EF4-4C70-81C9-928648D84A76}" name="SFF Robert Mayo" dataDxfId="319"/>
    <tableColumn id="25" xr3:uid="{AC00D46E-D3F5-4242-B6B9-CDF909FF90BB}" name="QFF Symon Maxwell" dataDxfId="318"/>
    <tableColumn id="26" xr3:uid="{F40D7773-C211-448A-AA75-D5048A365683}" name="QFF Rueben Dodd" dataDxfId="317"/>
    <tableColumn id="27" xr3:uid="{17D26683-F9DE-4F4D-94F4-24928A165D94}" name="QFF Ian Chapman" dataDxfId="316"/>
    <tableColumn id="29" xr3:uid="{7791479D-923C-424B-827B-870F5F1751E2}" name="QFF Jonno Ryan" dataDxfId="315"/>
    <tableColumn id="30" xr3:uid="{5AEE2A23-D8AD-4B70-B8A1-88A0ADF13499}" name="QFF Melanie Yates" dataDxfId="314"/>
    <tableColumn id="33" xr3:uid="{D427AD34-F4AA-4DF9-9766-F4E23B3EB412}" name="QFF Maree Primrose" dataDxfId="313"/>
    <tableColumn id="34" xr3:uid="{7C4113B6-1AD7-429F-B3E4-013E8F82B01C}" name="QFF Russell Clarke" dataDxfId="312"/>
    <tableColumn id="36" xr3:uid="{F50314B9-8C3C-40BD-B6E2-F6088A1B547D}" name="QFF Andrew Bond" dataDxfId="311"/>
    <tableColumn id="47" xr3:uid="{869473B3-17DC-4335-865F-6620DD3FFE73}" name="QFF Alan Binnie" dataDxfId="310"/>
    <tableColumn id="55" xr3:uid="{7C62EAD6-4E62-4115-A6D4-A29874034286}" name="QFF Rafael Nazareth" dataDxfId="309"/>
    <tableColumn id="41" xr3:uid="{EFD02EBF-B3F7-4129-804F-D71F59476B01}" name="QFF Josh Pennefather" dataDxfId="308"/>
    <tableColumn id="50" xr3:uid="{9979B2A8-1526-47BA-A004-BB432FC8C79C}" name="QFF Melissa Jones" dataDxfId="307"/>
    <tableColumn id="37" xr3:uid="{C8339CBE-8FE3-419F-8F0E-9D7185DFFCCE}" name="FF Jimmy Doyle" dataDxfId="306"/>
    <tableColumn id="40" xr3:uid="{26A7912C-28E8-4933-B753-E3C659B30C41}" name="FF Dimmy Bell-Kainiu" dataDxfId="305"/>
    <tableColumn id="56" xr3:uid="{88D9A860-8624-4E29-A6C1-7BB565416808}" name="FF Ben Killgour" dataDxfId="304"/>
    <tableColumn id="43" xr3:uid="{86C73E54-F047-46D7-96B1-5BD1A93635AF}" name="FF Dallas Steele" dataDxfId="303"/>
    <tableColumn id="45" xr3:uid="{6BA7AF5E-4C44-43D7-B53E-1546C9296038}" name="FF Braith Halliday" dataDxfId="302"/>
    <tableColumn id="44" xr3:uid="{6EBF2152-CEE6-48FA-81E3-A742BA8EC111}" name="FF Nick Grayson" dataDxfId="301"/>
    <tableColumn id="52" xr3:uid="{695222AE-4A89-466E-B0A5-DD88E12A2A5E}" name="FF Jason Court" dataDxfId="300"/>
    <tableColumn id="53" xr3:uid="{8EDC5F93-1232-4D4F-816C-6460218E5D78}" name="FF Lee-Roy Staunton" dataDxfId="299"/>
    <tableColumn id="31" xr3:uid="{7322A63D-FFDC-4314-B9B4-8C508AD261F2}" name="FF Crystal-Lee McConchie" dataDxfId="298"/>
    <tableColumn id="49" xr3:uid="{F7B46B52-0F75-40C9-A930-D007B27640D1}" name="RFF Mitch Court" dataDxfId="297"/>
    <tableColumn id="38" xr3:uid="{40218009-B6E7-4956-9E9A-EDDAD284EBD2}" name="RFF James O'Hare" dataDxfId="296"/>
    <tableColumn id="39" xr3:uid="{B35BF95B-1B7A-4AD0-BA7A-F2F0D1FBEF2E}" name="RFF Leone Humber" dataDxfId="295"/>
    <tableColumn id="51" xr3:uid="{E06F5984-EE42-408B-9024-AE64B76A0F46}" name="RFF Kaitlyn Evans" dataDxfId="294"/>
    <tableColumn id="19" xr3:uid="{2974032C-0582-40C7-9D97-713F316972C4}" name="RFF Jamie Moore" dataDxfId="293"/>
    <tableColumn id="35" xr3:uid="{12362C22-2F30-4EDA-B00B-83E4BB41945B}" name="RFF Torrens Butcher" dataDxfId="292"/>
    <tableColumn id="42" xr3:uid="{700BDAF2-6653-4D52-B679-A2BFE5C095D5}" name="RFF Matt Humber" dataDxfId="291"/>
    <tableColumn id="54" xr3:uid="{A62E09F0-91A8-4B75-AFE6-8BF561A5EC1D}" name="Enter name of person submitting this form:" dataDxfId="29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67C10B-EE2E-422D-9EF2-73724487DED7}" name="MAug24" displayName="MAug24" ref="A1:BB2" totalsRowShown="0" headerRowDxfId="289" dataDxfId="288">
  <tableColumns count="54">
    <tableColumn id="1" xr3:uid="{AAC4B245-130C-4D38-BC61-A7BE33B02B56}" name="Event Count" dataDxfId="287"/>
    <tableColumn id="2" xr3:uid="{A4E664C7-CDF7-4797-A30F-D2B32C7F740C}" name="Start time" dataDxfId="286"/>
    <tableColumn id="3" xr3:uid="{99035519-1639-4DFE-8803-3A75B52EA08C}" name="Completion time" dataDxfId="285"/>
    <tableColumn id="4" xr3:uid="{F69B5767-6E72-43B5-A7DA-4341836599AD}" name="Email" dataDxfId="284"/>
    <tableColumn id="5" xr3:uid="{F31A7952-BF6A-49DC-9CA4-86788EF051E7}" name="Name" dataDxfId="283"/>
    <tableColumn id="6" xr3:uid="{C61311F5-D8CA-471F-A3B7-3812AA58A262}" name="Event Number" dataDxfId="282"/>
    <tableColumn id="7" xr3:uid="{9124AA98-89DC-42B7-AD49-96C984794C18}" name="Date" dataDxfId="281"/>
    <tableColumn id="46" xr3:uid="{70D6FE4E-2727-4068-9FB4-27EAD916AFD2}" name="Incident Info" dataDxfId="280"/>
    <tableColumn id="8" xr3:uid="{2AC5D067-3ACE-4A3D-A717-818A3094B7AE}" name="Address " dataDxfId="279"/>
    <tableColumn id="9" xr3:uid="{9BAD077E-5512-496A-BBFF-A33CD79BD9C4}" name="CFO John Robinson" dataDxfId="278"/>
    <tableColumn id="10" xr3:uid="{9B6BACE4-7989-419A-A0AC-D31B6EA742ED}" name="DCFO Bharat Ravji" dataDxfId="277"/>
    <tableColumn id="11" xr3:uid="{9C5BE1DD-68E4-4882-914F-3C5052D3E752}" name="SSO Darcy Hart" dataDxfId="276"/>
    <tableColumn id="12" xr3:uid="{B3B79452-E6C1-4520-B652-92996562DCB1}" name="SSO Vaughan Wood" dataDxfId="275"/>
    <tableColumn id="13" xr3:uid="{F08491A8-A643-49F9-B761-A9FB4AECD3C6}" name="SO Richard Jellyman" dataDxfId="274"/>
    <tableColumn id="14" xr3:uid="{952D8160-7588-4BC1-B645-6632AA6F68C4}" name="SO Richard Irving" dataDxfId="273"/>
    <tableColumn id="15" xr3:uid="{1D55F682-D976-495C-BA1C-D55BA8F1D390}" name="SO Darryn Pritchard" dataDxfId="272"/>
    <tableColumn id="16" xr3:uid="{39A75B1A-2066-4F17-9742-0DE36B2BF7E5}" name="SO Rhys Thomas" dataDxfId="271"/>
    <tableColumn id="17" xr3:uid="{BD66F6B3-1ABF-4C0F-BD2D-CF359D127D54}" name="SFF Brent Reynolds" dataDxfId="270"/>
    <tableColumn id="18" xr3:uid="{C898A5AF-4EF6-4F5E-A6AB-B14617E42464}" name="SFF Joseph O'Neill-Gregory" dataDxfId="269"/>
    <tableColumn id="20" xr3:uid="{E55B5FBD-EF48-40D6-85F1-D621BFCE0B55}" name="SFF Grant Robertson" dataDxfId="268"/>
    <tableColumn id="21" xr3:uid="{70FDC3AC-0DE9-4E63-8C49-BCCE0CDBE203}" name="SFF William O'Connell" dataDxfId="267"/>
    <tableColumn id="22" xr3:uid="{8ECC7530-1B00-47E2-983D-D55BBEF5AE54}" name="SFF Samuel Vivian" dataDxfId="266"/>
    <tableColumn id="23" xr3:uid="{6EE1C127-3DB3-44B7-865C-19F0E2AD5B1A}" name="SFF Amy Devereaux" dataDxfId="265"/>
    <tableColumn id="24" xr3:uid="{9A4FADFB-3AD3-4890-8736-AC6D879AEA30}" name="SFF Jon White" dataDxfId="264"/>
    <tableColumn id="28" xr3:uid="{139D61CD-1BA4-4AB1-AA23-E2AEB1CB747C}" name="SFF Robert Mayo" dataDxfId="263"/>
    <tableColumn id="25" xr3:uid="{2F30861F-6E82-4684-90AD-FC52931D9BF0}" name="QFF Symon Maxwell" dataDxfId="262"/>
    <tableColumn id="26" xr3:uid="{2DD8A459-8141-44FC-B65D-3047F6A211D9}" name="QFF Rueben Dodd" dataDxfId="261"/>
    <tableColumn id="27" xr3:uid="{1E111DC2-D20F-4839-AF0D-79BFA94597DD}" name="QFF Ian Chapman" dataDxfId="260"/>
    <tableColumn id="29" xr3:uid="{40069662-770D-4D20-8887-E789497F49C0}" name="QFF Jonno Ryan" dataDxfId="259"/>
    <tableColumn id="30" xr3:uid="{87D80B9A-F3AD-4684-96F7-63C60B8FF436}" name="QFF Melanie Yates" dataDxfId="258"/>
    <tableColumn id="33" xr3:uid="{C482432C-3E47-4E8B-868E-A6E9D31300BB}" name="QFF Maree Primrose" dataDxfId="257"/>
    <tableColumn id="34" xr3:uid="{20CB05BF-EB09-4D05-80A5-67D4858A8819}" name="QFF Russell Clarke" dataDxfId="256"/>
    <tableColumn id="36" xr3:uid="{315A2C03-E54A-4D80-AEF6-C79447739E2F}" name="QFF Andrew Bond" dataDxfId="255"/>
    <tableColumn id="47" xr3:uid="{009D6C11-0B8A-49FD-AE55-57AB4B3611EC}" name="QFF Alan Binnie" dataDxfId="254"/>
    <tableColumn id="55" xr3:uid="{A5261BBF-5C67-437B-9D81-148D793CAC77}" name="QFF Rafael Nazareth" dataDxfId="253"/>
    <tableColumn id="41" xr3:uid="{96F48F20-78CB-4DFB-BCB7-82F7C67EBCC6}" name="QFF Josh Pennefather" dataDxfId="252"/>
    <tableColumn id="50" xr3:uid="{C7FA5BAE-5F82-49AC-B8BC-CBFD05DFB54A}" name="QFF Melissa Jones" dataDxfId="251"/>
    <tableColumn id="37" xr3:uid="{DCB497EE-A4B1-4F12-8650-6397A417B6B6}" name="FF Jimmy Doyle" dataDxfId="250"/>
    <tableColumn id="40" xr3:uid="{09CDAF91-CF99-4A35-91E8-53330A900FBB}" name="FF Dimmy Bell-Kainiu" dataDxfId="249"/>
    <tableColumn id="56" xr3:uid="{07CFCF6A-3D71-4E39-8106-0A0E331416D0}" name="FF Ben Killgour" dataDxfId="248"/>
    <tableColumn id="43" xr3:uid="{69950DF2-9018-4D9B-8737-0D3745222933}" name="FF Dallas Steele" dataDxfId="247"/>
    <tableColumn id="45" xr3:uid="{D3B5F03F-C6F5-470D-8C25-24C3B31B7A69}" name="FF Braith Halliday" dataDxfId="246"/>
    <tableColumn id="44" xr3:uid="{D99C2248-7EED-4D67-B9B9-D17E04393B07}" name="FF Nick Grayson" dataDxfId="245"/>
    <tableColumn id="52" xr3:uid="{9E7364E7-AA5C-4C88-ACBC-D9730BC7EB72}" name="FF Jason Court" dataDxfId="244"/>
    <tableColumn id="53" xr3:uid="{F1021291-C3AF-4382-B50D-A0131FE6818E}" name="FF Lee-Roy Staunton" dataDxfId="243"/>
    <tableColumn id="31" xr3:uid="{965D129B-375B-4F9C-B77D-E0B30566BDAC}" name="FF Crystal-Lee McConchie" dataDxfId="242"/>
    <tableColumn id="49" xr3:uid="{D00CDD86-691B-485E-B932-0A4FF560C214}" name="RFF Mitch Court" dataDxfId="241"/>
    <tableColumn id="38" xr3:uid="{36555D59-E16F-49BF-AE32-2D5B5E3ADDA9}" name="RFF James O'Hare" dataDxfId="240"/>
    <tableColumn id="39" xr3:uid="{49A36AD3-CE45-458D-B861-3C9743F01261}" name="RFF Leone Humber" dataDxfId="239"/>
    <tableColumn id="51" xr3:uid="{C62A781E-C02F-41ED-901F-7DE7081E00B3}" name="RFF Kaitlyn Evans" dataDxfId="238"/>
    <tableColumn id="19" xr3:uid="{CB52D759-6299-4A8A-82EB-E3130C0765C4}" name="RFF Jamie Moore" dataDxfId="237"/>
    <tableColumn id="35" xr3:uid="{325C57F8-61E5-46F3-9B38-3394D71E3426}" name="RFF Torrens Butcher" dataDxfId="236"/>
    <tableColumn id="42" xr3:uid="{459A876C-D5C0-4A35-9474-EE50E361F4EE}" name="RFF Matt Humber" dataDxfId="235"/>
    <tableColumn id="54" xr3:uid="{2E038ED8-D5BA-445D-A169-6872D64D40A2}" name="Enter name of person submitting this form:" dataDxfId="23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570A86-1A47-4E58-B628-A83F790B7E39}" name="MSep24" displayName="MSep24" ref="A1:BB2" totalsRowShown="0" headerRowDxfId="233" dataDxfId="232">
  <tableColumns count="54">
    <tableColumn id="1" xr3:uid="{EC3CFB42-690D-4E0B-B9F0-CDB682FC8992}" name="Event Count" dataDxfId="231"/>
    <tableColumn id="2" xr3:uid="{C47DA0C7-7770-46BF-8CDF-BBA0AF5E6B79}" name="Start time" dataDxfId="230"/>
    <tableColumn id="3" xr3:uid="{AA1685C8-6F9D-45F3-B5B0-C08B4894B675}" name="Completion time" dataDxfId="229"/>
    <tableColumn id="4" xr3:uid="{789020EF-5B6E-43A8-AAB7-3C4FA2B2A47F}" name="Email" dataDxfId="228"/>
    <tableColumn id="5" xr3:uid="{BEEE1283-780E-42FF-AA0D-DEE25733C7C6}" name="Name" dataDxfId="227"/>
    <tableColumn id="6" xr3:uid="{B3DE626F-40A2-44F6-BF87-F348452323D5}" name="Event Number" dataDxfId="226"/>
    <tableColumn id="7" xr3:uid="{A523375F-2B4B-4A7D-BA99-12A59D6C8B0C}" name="Date" dataDxfId="225"/>
    <tableColumn id="46" xr3:uid="{B712A4DF-B06E-4554-8A4A-E4CBE9F94697}" name="Incident Info" dataDxfId="224"/>
    <tableColumn id="8" xr3:uid="{90E12FC4-BFF4-4CFD-AA05-208BD544329E}" name="Address " dataDxfId="223"/>
    <tableColumn id="9" xr3:uid="{8AB9EDE0-9238-4952-A075-4D709E3DF499}" name="CFO John Robinson" dataDxfId="222"/>
    <tableColumn id="10" xr3:uid="{F86B5C62-0DA1-4EBD-85FB-B4BD9484C3F1}" name="DCFO Bharat Ravji" dataDxfId="221"/>
    <tableColumn id="11" xr3:uid="{BA3DDD7F-0FD1-4242-9A7B-727A65692634}" name="SSO Darcy Hart" dataDxfId="220"/>
    <tableColumn id="12" xr3:uid="{DE353B6C-3F21-4B51-AF60-A1488A8D97EC}" name="SSO Vaughan Wood" dataDxfId="219"/>
    <tableColumn id="13" xr3:uid="{F5BF6AD1-A927-4453-A6D9-337D12019664}" name="SO Richard Jellyman" dataDxfId="218"/>
    <tableColumn id="14" xr3:uid="{F40563F9-F308-4173-B023-9238A805AA7B}" name="SO Richard Irving" dataDxfId="217"/>
    <tableColumn id="15" xr3:uid="{B6176AAF-9E8D-4EE3-A803-08835917FE88}" name="SO Darryn Pritchard" dataDxfId="216"/>
    <tableColumn id="16" xr3:uid="{A9708604-68A1-41EF-A515-B41C8D7B1C80}" name="SO Rhys Thomas" dataDxfId="215"/>
    <tableColumn id="17" xr3:uid="{2A0E6607-D510-4937-A643-3C55D46BB924}" name="SFF Brent Reynolds" dataDxfId="214"/>
    <tableColumn id="18" xr3:uid="{8B633BEE-93DE-4C9D-A5AB-0F209FF0DF5D}" name="SFF Joseph O'Neill-Gregory" dataDxfId="213"/>
    <tableColumn id="20" xr3:uid="{66F85831-A3F0-43DE-8898-BD37930EC494}" name="SFF Grant Robertson" dataDxfId="212"/>
    <tableColumn id="21" xr3:uid="{F62AC36B-90FD-42AE-9B6A-384A85F56A88}" name="SFF William O'Connell" dataDxfId="211"/>
    <tableColumn id="22" xr3:uid="{BF5849E8-93F8-404C-BE22-077DA524C912}" name="SFF Samuel Vivian" dataDxfId="210"/>
    <tableColumn id="23" xr3:uid="{0254ABED-7BA4-4018-9D40-5754AD282136}" name="SFF Amy Devereaux" dataDxfId="209"/>
    <tableColumn id="24" xr3:uid="{F2EB8979-B77C-4E78-B9A8-2D199AD81DAB}" name="SFF Jon White" dataDxfId="208"/>
    <tableColumn id="28" xr3:uid="{7A71D7B9-2B6B-4E96-9A7A-FCCF1E3F51EB}" name="SFF Robert Mayo" dataDxfId="207"/>
    <tableColumn id="25" xr3:uid="{1C3E6D8F-69B4-4151-B239-3C39E6B9AEB5}" name="QFF Symon Maxwell" dataDxfId="206"/>
    <tableColumn id="26" xr3:uid="{04A7DD26-2E79-4021-B9A9-7AFE3DCE1D10}" name="QFF Rueben Dodd" dataDxfId="205"/>
    <tableColumn id="27" xr3:uid="{61B133CF-B6F3-41DA-A49F-6A1918773994}" name="QFF Ian Chapman" dataDxfId="204"/>
    <tableColumn id="29" xr3:uid="{4E90E985-361C-4BF2-9018-89DDDF96DB79}" name="QFF Jonno Ryan" dataDxfId="203"/>
    <tableColumn id="30" xr3:uid="{887888B3-9612-4012-8D0D-04DBBD24B5FF}" name="QFF Melanie Yates" dataDxfId="202"/>
    <tableColumn id="33" xr3:uid="{374DE61B-2669-4BE8-AFFF-44E1889DBD8E}" name="QFF Maree Primrose" dataDxfId="201"/>
    <tableColumn id="34" xr3:uid="{148ADD17-50FA-44D1-9BFA-99689A37DA8C}" name="QFF Russell Clarke" dataDxfId="200"/>
    <tableColumn id="36" xr3:uid="{AAC83286-2C05-40BA-BC3B-2E703E14BC17}" name="QFF Andrew Bond" dataDxfId="199"/>
    <tableColumn id="47" xr3:uid="{FD0853FB-37A3-4AA5-BFC2-A7AFD3D6EBA2}" name="QFF Alan Binnie" dataDxfId="198"/>
    <tableColumn id="55" xr3:uid="{10E509FC-7260-47C1-AB3A-6E929E48862B}" name="QFF Rafael Nazareth" dataDxfId="197"/>
    <tableColumn id="41" xr3:uid="{32737D78-1261-441C-A37D-C87235D695AC}" name="QFF Josh Pennefather" dataDxfId="196"/>
    <tableColumn id="50" xr3:uid="{62F8BA75-8554-45DA-97B1-62C015C64384}" name="QFF Melissa Jones" dataDxfId="195"/>
    <tableColumn id="37" xr3:uid="{9DF0C7D0-F72E-463B-9E78-20DB9E15819A}" name="FF Jimmy Doyle" dataDxfId="194"/>
    <tableColumn id="40" xr3:uid="{E0D97E6F-5E02-4AE6-AA85-A8110691CCEB}" name="FF Dimmy Bell-Kainiu" dataDxfId="193"/>
    <tableColumn id="56" xr3:uid="{9DBC18E5-BE8E-4287-BF14-C585902A6018}" name="FF Ben Killgour" dataDxfId="192"/>
    <tableColumn id="43" xr3:uid="{25373401-CE5E-4CED-8787-702F83C0A7C6}" name="FF Dallas Steele" dataDxfId="191"/>
    <tableColumn id="45" xr3:uid="{8D19CBC6-7F03-46CC-9DAA-B2C4842B920A}" name="FF Braith Halliday" dataDxfId="190"/>
    <tableColumn id="44" xr3:uid="{5B8DE9CC-D399-442F-B917-247CC9738D89}" name="FF Nick Grayson" dataDxfId="189"/>
    <tableColumn id="52" xr3:uid="{D28181C4-23A6-4117-A319-ED571B1A8F50}" name="FF Jason Court" dataDxfId="188"/>
    <tableColumn id="53" xr3:uid="{7CAC2E47-CAB5-4918-AB22-795D61B6214E}" name="FF Lee-Roy Staunton" dataDxfId="187"/>
    <tableColumn id="31" xr3:uid="{340D3691-20CE-4661-8599-CA01D179E73B}" name="FF Crystal-Lee McConchie" dataDxfId="186"/>
    <tableColumn id="49" xr3:uid="{535FA925-A02B-49DE-9C4A-0BDDD9C81E63}" name="RFF Mitch Court" dataDxfId="185"/>
    <tableColumn id="38" xr3:uid="{DE2E71AA-7A9E-4755-AA9F-E9D7F77E62A6}" name="RFF James O'Hare" dataDxfId="184"/>
    <tableColumn id="39" xr3:uid="{1B5A5287-6086-458D-B2E6-8F12A2902EF1}" name="RFF Leone Humber" dataDxfId="183"/>
    <tableColumn id="51" xr3:uid="{94FE9986-A235-4776-A937-7F2D7E35E473}" name="RFF Kaitlyn Evans" dataDxfId="182"/>
    <tableColumn id="19" xr3:uid="{616B4267-4F5A-4280-8EBD-0E75B5AE50E9}" name="RFF Jamie Moore" dataDxfId="181"/>
    <tableColumn id="35" xr3:uid="{D33DDE75-0AD7-48AA-A695-9A2C86214082}" name="RFF Torrens Butcher" dataDxfId="180"/>
    <tableColumn id="42" xr3:uid="{D58D8E0B-CE3C-46D3-B058-BB7F67BA4BDB}" name="RFF Matt Humber" dataDxfId="179"/>
    <tableColumn id="54" xr3:uid="{AC8A0C82-2F88-482A-890F-687B44FD5B6F}" name="Enter name of person submitting this form:" dataDxfId="17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323ADB-2546-4A18-BDF3-DCC9B7F62BF7}" name="MOct24" displayName="MOct24" ref="A1:BB2" totalsRowShown="0" headerRowDxfId="177" dataDxfId="176">
  <tableColumns count="54">
    <tableColumn id="1" xr3:uid="{F2FD0F9A-563F-4309-80DF-B80AC91177C1}" name="Event Count" dataDxfId="175"/>
    <tableColumn id="2" xr3:uid="{F39E4459-E32F-4FA8-8F9D-AE0BAA59B0B5}" name="Start time" dataDxfId="174"/>
    <tableColumn id="3" xr3:uid="{347BFFA8-525A-444B-9AD8-F4577BF4E3C0}" name="Completion time" dataDxfId="173"/>
    <tableColumn id="4" xr3:uid="{5485DFAE-1A8D-4290-B07B-EBB8BA9F7341}" name="Email" dataDxfId="172"/>
    <tableColumn id="5" xr3:uid="{96A246FA-3178-49F5-952F-BB93D343F366}" name="Name" dataDxfId="171"/>
    <tableColumn id="6" xr3:uid="{0AFA0364-2E36-4AF2-904E-740DAC09F3C1}" name="Event Number" dataDxfId="170"/>
    <tableColumn id="7" xr3:uid="{AF1659A2-808F-4109-82BB-8CAB4857E83C}" name="Date" dataDxfId="169"/>
    <tableColumn id="46" xr3:uid="{CA052ADE-2CFA-4B68-AD1A-CE76DC2BA3BA}" name="Incident Info" dataDxfId="168"/>
    <tableColumn id="8" xr3:uid="{53EB3116-E078-45E8-A29E-D0EDD56CE8FF}" name="Address " dataDxfId="167"/>
    <tableColumn id="9" xr3:uid="{020438D3-7D07-43C8-9522-F6375D6458F2}" name="CFO John Robinson" dataDxfId="166"/>
    <tableColumn id="10" xr3:uid="{AB2A26A4-B25C-4FFE-AD07-2C901ADF90A0}" name="DCFO Bharat Ravji" dataDxfId="165"/>
    <tableColumn id="11" xr3:uid="{EF8FF9B3-D9F0-4BAA-860E-B758DDFA0556}" name="SSO Darcy Hart" dataDxfId="164"/>
    <tableColumn id="12" xr3:uid="{961AFC1F-A32C-4E1A-A52A-51791407AD1F}" name="SSO Vaughan Wood" dataDxfId="163"/>
    <tableColumn id="13" xr3:uid="{387E130F-32C2-4332-B838-0378EB9CA8FA}" name="SO Richard Jellyman" dataDxfId="162"/>
    <tableColumn id="14" xr3:uid="{9056F94E-E7F7-4DD2-8716-682B15DCAD45}" name="SO Richard Irving" dataDxfId="161"/>
    <tableColumn id="15" xr3:uid="{6B7E072B-3403-4BD1-9B9A-EC51410B06F8}" name="SO Darryn Pritchard" dataDxfId="160"/>
    <tableColumn id="16" xr3:uid="{26EB8043-7C6D-4F1B-9EF4-66271DBB882A}" name="SO Rhys Thomas" dataDxfId="159"/>
    <tableColumn id="17" xr3:uid="{5F5813C2-F64A-42E6-83D7-DAA7D77C943E}" name="SFF Brent Reynolds" dataDxfId="158"/>
    <tableColumn id="18" xr3:uid="{29ED58DA-004E-4EEC-A878-2883F6571423}" name="SFF Joseph O'Neill-Gregory" dataDxfId="157"/>
    <tableColumn id="20" xr3:uid="{59802E28-219A-4494-A557-5BDEE6306694}" name="SFF Grant Robertson" dataDxfId="156"/>
    <tableColumn id="21" xr3:uid="{774CFB09-E8A4-4E38-A39D-0B3ED6E575B3}" name="SFF William O'Connell" dataDxfId="155"/>
    <tableColumn id="22" xr3:uid="{69EF8CAE-62F2-49FC-9B24-3ED314055F45}" name="SFF Samuel Vivian" dataDxfId="154"/>
    <tableColumn id="23" xr3:uid="{F194544A-8D02-4905-954C-6283CA223739}" name="SFF Amy Devereaux" dataDxfId="153"/>
    <tableColumn id="24" xr3:uid="{437E711C-FA5D-4347-9FA8-D451A789157D}" name="SFF Jon White" dataDxfId="152"/>
    <tableColumn id="28" xr3:uid="{EC01608D-8CAB-44E4-99B1-DD00B20FEA22}" name="SFF Robert Mayo" dataDxfId="151"/>
    <tableColumn id="25" xr3:uid="{BAC65DC1-C428-4897-A5F0-7A48BD62AC42}" name="QFF Symon Maxwell" dataDxfId="150"/>
    <tableColumn id="26" xr3:uid="{01EB1CA9-69D1-48C3-92DE-1E7E4A1172DC}" name="QFF Rueben Dodd" dataDxfId="149"/>
    <tableColumn id="27" xr3:uid="{9AB562B5-AA3E-422A-AA61-0F58E56E62C4}" name="QFF Ian Chapman" dataDxfId="148"/>
    <tableColumn id="29" xr3:uid="{952B4585-666F-41BC-A638-CD608AED43A7}" name="QFF Jonno Ryan" dataDxfId="147"/>
    <tableColumn id="30" xr3:uid="{719F88BF-EC7A-40C5-B7D5-5FDEE43E3618}" name="QFF Melanie Yates" dataDxfId="146"/>
    <tableColumn id="33" xr3:uid="{5F00C152-9A50-44AC-9351-A897824F3357}" name="QFF Maree Primrose" dataDxfId="145"/>
    <tableColumn id="34" xr3:uid="{C3C7F629-5841-4401-B3F4-946F552EFC1A}" name="QFF Russell Clarke" dataDxfId="144"/>
    <tableColumn id="36" xr3:uid="{67B4496E-AD9A-4006-92CE-80617795A8F5}" name="QFF Andrew Bond" dataDxfId="143"/>
    <tableColumn id="47" xr3:uid="{0FD29966-50CE-47F1-AC83-D33FC5EDC865}" name="QFF Alan Binnie" dataDxfId="142"/>
    <tableColumn id="55" xr3:uid="{FC068730-210D-491C-B58C-159D2707AB4C}" name="QFF Rafael Nazareth" dataDxfId="141"/>
    <tableColumn id="41" xr3:uid="{CE1AFD82-3090-425B-9F52-62F8CDD7CB50}" name="QFF Josh Pennefather" dataDxfId="140"/>
    <tableColumn id="50" xr3:uid="{8A160A82-F1DF-4C1C-A4C9-C45900B469B0}" name="QFF Melissa Jones" dataDxfId="139"/>
    <tableColumn id="37" xr3:uid="{D70FA5E0-3EA9-4759-8CF3-E9CB12C67C31}" name="FF Jimmy Doyle" dataDxfId="138"/>
    <tableColumn id="40" xr3:uid="{C8186F20-C87D-4BAA-B738-5C2049D7FE7C}" name="FF Dimmy Bell-Kainiu" dataDxfId="137"/>
    <tableColumn id="56" xr3:uid="{2DA1C3DF-6077-4114-B300-9BDC3356DE1C}" name="FF Ben Killgour" dataDxfId="136"/>
    <tableColumn id="43" xr3:uid="{0757A6D2-1ED0-47F6-A7A5-563D779DA407}" name="FF Dallas Steele" dataDxfId="135"/>
    <tableColumn id="45" xr3:uid="{AC4ED966-6247-4E5F-94BB-C4B57E65973F}" name="FF Braith Halliday" dataDxfId="134"/>
    <tableColumn id="44" xr3:uid="{44E8424B-5627-4539-92E8-8D7BABACA347}" name="FF Nick Grayson" dataDxfId="133"/>
    <tableColumn id="52" xr3:uid="{156A8936-A44D-4D98-9ABA-153C07AF39ED}" name="FF Jason Court" dataDxfId="132"/>
    <tableColumn id="53" xr3:uid="{5680D276-A111-43BE-ABC3-DE579A401FEE}" name="FF Lee-Roy Staunton" dataDxfId="131"/>
    <tableColumn id="31" xr3:uid="{394B6538-A471-4252-AA3A-6F07A711C84D}" name="FF Crystal-Lee McConchie" dataDxfId="130"/>
    <tableColumn id="49" xr3:uid="{09EC877C-E04F-4A27-AA8F-88A4B231BA4B}" name="RFF Mitch Court" dataDxfId="129"/>
    <tableColumn id="38" xr3:uid="{143218ED-2E09-4B8F-A692-FD8482F739B0}" name="RFF James O'Hare" dataDxfId="128"/>
    <tableColumn id="39" xr3:uid="{546E17A0-3CC8-4AD1-A014-E2468C4A043C}" name="RFF Leone Humber" dataDxfId="127"/>
    <tableColumn id="51" xr3:uid="{C2D71CFD-7698-4B4F-991F-0372B71ADE11}" name="RFF Kaitlyn Evans" dataDxfId="126"/>
    <tableColumn id="19" xr3:uid="{DB349134-ADFA-4EBF-86F2-909B8C8D91D3}" name="RFF Jamie Moore" dataDxfId="125"/>
    <tableColumn id="35" xr3:uid="{957F6544-D764-4F30-B823-6C6AD26E292D}" name="RFF Torrens Butcher" dataDxfId="124"/>
    <tableColumn id="42" xr3:uid="{0CE66E52-6CF7-4225-BF9E-920E67C5CBC4}" name="RFF Matt Humber" dataDxfId="123"/>
    <tableColumn id="54" xr3:uid="{A7395B3D-3B36-4ECD-802F-15F22ED32E47}" name="Enter name of person submitting this form:" dataDxfId="12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76D5B13-A076-4CB2-9921-CD98FB9058CE}" name="MNov24" displayName="MNov24" ref="A1:BB2" totalsRowShown="0" headerRowDxfId="121" dataDxfId="120">
  <tableColumns count="54">
    <tableColumn id="1" xr3:uid="{4E6056CE-F45E-43D8-A944-D9F6D27AB3B2}" name="Event Count" dataDxfId="119"/>
    <tableColumn id="2" xr3:uid="{98D4D3A9-299D-40A6-861B-525481E45909}" name="Start time" dataDxfId="118"/>
    <tableColumn id="3" xr3:uid="{89B92A0C-CB08-437D-AD77-FF249E4AC6AE}" name="Completion time" dataDxfId="117"/>
    <tableColumn id="4" xr3:uid="{7736F96B-4681-4EBF-A4AF-3EB777FD7D46}" name="Email" dataDxfId="116"/>
    <tableColumn id="5" xr3:uid="{322A7C13-89AA-4D80-B7B5-5AD0AF68BB21}" name="Name" dataDxfId="115"/>
    <tableColumn id="6" xr3:uid="{B1A7D1AA-F277-4951-97EE-01634AA897F4}" name="Event Number" dataDxfId="114"/>
    <tableColumn id="7" xr3:uid="{9ECE9BE8-CE1C-4D2A-A5D7-502306A94598}" name="Date" dataDxfId="113"/>
    <tableColumn id="46" xr3:uid="{C0680AA5-9F47-4099-AA8C-7DDE9C6385FE}" name="Incident Info" dataDxfId="112"/>
    <tableColumn id="8" xr3:uid="{F88CF906-8395-4F8E-A0AE-5F49013F6D95}" name="Address " dataDxfId="111"/>
    <tableColumn id="9" xr3:uid="{4C3AF364-1346-4FBE-B027-DB720566FDF5}" name="CFO John Robinson" dataDxfId="110"/>
    <tableColumn id="10" xr3:uid="{15241E79-7F01-4916-BABA-6D82E6E06F15}" name="DCFO Bharat Ravji" dataDxfId="109"/>
    <tableColumn id="11" xr3:uid="{C641066C-3E68-458F-92ED-C6B19E086536}" name="SSO Darcy Hart" dataDxfId="108"/>
    <tableColumn id="12" xr3:uid="{585BE556-BD9A-480B-8A73-2CB3CC446046}" name="SSO Vaughan Wood" dataDxfId="107"/>
    <tableColumn id="13" xr3:uid="{61E64842-B5E4-49B8-8F30-1AF056AAE3FD}" name="SO Richard Jellyman" dataDxfId="106"/>
    <tableColumn id="14" xr3:uid="{D11899C7-6928-4E95-8638-B70D92ED4CA8}" name="SO Richard Irving" dataDxfId="105"/>
    <tableColumn id="15" xr3:uid="{DCC43F32-865E-46CB-BBF5-056770F7392A}" name="SO Darryn Pritchard" dataDxfId="104"/>
    <tableColumn id="16" xr3:uid="{F3387F49-AC5D-4368-8583-C37C81AEB43D}" name="SO Rhys Thomas" dataDxfId="103"/>
    <tableColumn id="17" xr3:uid="{3D927BB2-294F-4626-920C-77850080BBBF}" name="SFF Brent Reynolds" dataDxfId="102"/>
    <tableColumn id="18" xr3:uid="{6C934904-5CF8-4B59-9692-5E5232084A50}" name="SFF Joseph O'Neill-Gregory" dataDxfId="101"/>
    <tableColumn id="20" xr3:uid="{1EAD98FB-D941-47F5-97AE-FC75EC1AB4DA}" name="SFF Grant Robertson" dataDxfId="100"/>
    <tableColumn id="21" xr3:uid="{4B44A5FB-E548-4000-B653-0F0837AAF222}" name="SFF William O'Connell" dataDxfId="99"/>
    <tableColumn id="22" xr3:uid="{1C1A059D-F755-4BE3-8B2D-399A3D60BB50}" name="SFF Samuel Vivian" dataDxfId="98"/>
    <tableColumn id="23" xr3:uid="{EA6F814E-232F-40EB-AB60-FB82C17F6C2C}" name="SFF Amy Devereaux" dataDxfId="97"/>
    <tableColumn id="24" xr3:uid="{22B9635E-47B5-4216-A16D-8601483E2FC8}" name="SFF Jon White" dataDxfId="96"/>
    <tableColumn id="28" xr3:uid="{0F7F8B77-7E5E-4F30-B1F8-4BF4955E4234}" name="SFF Robert Mayo" dataDxfId="95"/>
    <tableColumn id="25" xr3:uid="{F8A8D0F3-FF07-43D1-A33E-350926614C3A}" name="QFF Symon Maxwell" dataDxfId="94"/>
    <tableColumn id="26" xr3:uid="{0174501A-A9DD-43B9-AA19-3D2239F6E359}" name="QFF Rueben Dodd" dataDxfId="93"/>
    <tableColumn id="27" xr3:uid="{E639918E-5355-4E1C-A4C1-E50801371A98}" name="QFF Ian Chapman" dataDxfId="92"/>
    <tableColumn id="29" xr3:uid="{5897904D-3C76-481C-B2C8-9D838AF2B7C5}" name="QFF Jonno Ryan" dataDxfId="91"/>
    <tableColumn id="30" xr3:uid="{E1FF3EAE-325E-4DD5-BC50-312B3B094CC4}" name="QFF Melanie Yates" dataDxfId="90"/>
    <tableColumn id="33" xr3:uid="{8EAFEBB7-66AB-44B3-A550-B5B7FE975ECC}" name="QFF Maree Primrose" dataDxfId="89"/>
    <tableColumn id="34" xr3:uid="{DA0701F8-E1B5-4A43-84D7-FD7BEB58694A}" name="QFF Russell Clarke" dataDxfId="88"/>
    <tableColumn id="36" xr3:uid="{38C601F3-1BCA-4081-89BA-FB1656A0C7F2}" name="QFF Andrew Bond" dataDxfId="87"/>
    <tableColumn id="47" xr3:uid="{F360FD72-B9EE-410E-89F2-6257A9FB91A1}" name="QFF Alan Binnie" dataDxfId="86"/>
    <tableColumn id="55" xr3:uid="{E8C3AC00-F94B-4D84-92A5-273B34418077}" name="QFF Rafael Nazareth" dataDxfId="85"/>
    <tableColumn id="41" xr3:uid="{44D8E8F9-CCC1-4DFB-ABA3-BCFBC1637EF8}" name="QFF Josh Pennefather" dataDxfId="84"/>
    <tableColumn id="50" xr3:uid="{0A7BDFEF-2D31-4840-8B61-8F0D2AD29590}" name="QFF Melissa Jones" dataDxfId="83"/>
    <tableColumn id="37" xr3:uid="{D29F278E-53C1-4FC4-876C-108B113974CA}" name="FF Jimmy Doyle" dataDxfId="82"/>
    <tableColumn id="40" xr3:uid="{3434CB22-DBB2-4018-9A43-F033D38CCFE6}" name="FF Dimmy Bell-Kainiu" dataDxfId="81"/>
    <tableColumn id="56" xr3:uid="{DCC16E1B-EA0C-4159-AF5D-1FDD5E0BF50D}" name="FF Ben Killgour" dataDxfId="80"/>
    <tableColumn id="43" xr3:uid="{13140C85-DF58-4009-B45F-0ED6E03B1915}" name="FF Dallas Steele" dataDxfId="79"/>
    <tableColumn id="45" xr3:uid="{D6B7974C-13FF-451B-A5E0-4F1141A14C25}" name="FF Braith Halliday" dataDxfId="78"/>
    <tableColumn id="44" xr3:uid="{7BFCAB31-90FD-4981-928C-9D9C43330075}" name="FF Nick Grayson" dataDxfId="77"/>
    <tableColumn id="52" xr3:uid="{5151D949-AC2E-428D-9324-55757E342A14}" name="FF Jason Court" dataDxfId="76"/>
    <tableColumn id="53" xr3:uid="{6E58DF63-11C4-4750-B634-DC91E8DD0D8C}" name="FF Lee-Roy Staunton" dataDxfId="75"/>
    <tableColumn id="31" xr3:uid="{C6D8CA9B-F655-4292-88BB-10167EFC256E}" name="FF Crystal-Lee McConchie" dataDxfId="74"/>
    <tableColumn id="49" xr3:uid="{E726765B-3BE4-4090-8585-9D027718C0DA}" name="RFF Mitch Court" dataDxfId="73"/>
    <tableColumn id="38" xr3:uid="{B815AB90-9BE5-423A-9B3F-838A9EC60B7D}" name="RFF James O'Hare" dataDxfId="72"/>
    <tableColumn id="39" xr3:uid="{0EC907C9-BD69-479D-809F-0E69E3542B8F}" name="RFF Leone Humber" dataDxfId="71"/>
    <tableColumn id="51" xr3:uid="{8F781936-2E52-49CA-90DD-3C2D947C858D}" name="RFF Kaitlyn Evans" dataDxfId="70"/>
    <tableColumn id="19" xr3:uid="{50AF7057-EFE0-4F68-A5E4-5090BEC60C71}" name="RFF Jamie Moore" dataDxfId="69"/>
    <tableColumn id="35" xr3:uid="{26D0C58A-5144-4F2A-9B6D-B03A3EEC8A98}" name="RFF Torrens Butcher" dataDxfId="68"/>
    <tableColumn id="42" xr3:uid="{F5A06C5A-3B01-4228-B5A7-A135D1F481BC}" name="RFF Matt Humber" dataDxfId="67"/>
    <tableColumn id="54" xr3:uid="{16FE0D49-6DC1-4D5C-B26B-5E4842A70287}" name="Enter name of person submitting this form:" dataDxfId="6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780712-10D7-47F7-B83F-38ED6A667DAD}" name="MDec24" displayName="MDec24" ref="A1:BB2" totalsRowShown="0" headerRowDxfId="65" dataDxfId="64">
  <tableColumns count="54">
    <tableColumn id="1" xr3:uid="{57416B76-E7DB-4E6C-8864-DDD64DDD8C3D}" name="Event Count" dataDxfId="63"/>
    <tableColumn id="2" xr3:uid="{CE86B03E-0E84-4A76-A593-BB303EC649F2}" name="Start time" dataDxfId="62"/>
    <tableColumn id="3" xr3:uid="{789D6733-C172-4E82-9FCF-3E5993B42B1C}" name="Completion time" dataDxfId="61"/>
    <tableColumn id="4" xr3:uid="{F0D44735-FC76-4520-BF51-C6519FCA762C}" name="Email" dataDxfId="60"/>
    <tableColumn id="5" xr3:uid="{7AB87BB0-B195-4783-86A5-89C5F36A29A0}" name="Name" dataDxfId="59"/>
    <tableColumn id="6" xr3:uid="{D38E30AA-DEBC-450A-972B-9B49AC2113C2}" name="Event Number" dataDxfId="58"/>
    <tableColumn id="7" xr3:uid="{207B7E78-B8A0-45C5-B87C-C2BEE9CE9328}" name="Date" dataDxfId="57"/>
    <tableColumn id="46" xr3:uid="{2225432D-1D77-4FBC-98B4-47BB10F77541}" name="Incident Info" dataDxfId="56"/>
    <tableColumn id="8" xr3:uid="{775310C2-C87E-4358-8360-B012D296B827}" name="Address " dataDxfId="55"/>
    <tableColumn id="9" xr3:uid="{3EA0B34B-3D63-410B-893C-434B55CB3BE3}" name="CFO John Robinson" dataDxfId="54"/>
    <tableColumn id="10" xr3:uid="{CEBEC2F2-350F-42C1-B868-14A12D9AA1FC}" name="DCFO Bharat Ravji" dataDxfId="53"/>
    <tableColumn id="11" xr3:uid="{F8ED45B2-9F58-467F-BB5B-79F6B6ADE9D7}" name="SSO Darcy Hart" dataDxfId="52"/>
    <tableColumn id="12" xr3:uid="{F7EFC082-9524-47A4-8072-AEF59AA687D1}" name="SSO Vaughan Wood" dataDxfId="51"/>
    <tableColumn id="13" xr3:uid="{BBD7A032-B688-400A-83A7-816AEA7FC945}" name="SO Richard Jellyman" dataDxfId="50"/>
    <tableColumn id="14" xr3:uid="{32C3D1E0-3D02-4280-877C-F53580971EF3}" name="SO Richard Irving" dataDxfId="49"/>
    <tableColumn id="15" xr3:uid="{19FC02F0-8B4E-46B7-8948-82FF7A468435}" name="SO Darryn Pritchard" dataDxfId="48"/>
    <tableColumn id="16" xr3:uid="{895D2E98-A447-445E-B439-6489D6E31A93}" name="SO Rhys Thomas" dataDxfId="47"/>
    <tableColumn id="17" xr3:uid="{071F6B0D-3AD5-4A3F-9EF1-40964F587C4E}" name="SFF Brent Reynolds" dataDxfId="46"/>
    <tableColumn id="18" xr3:uid="{8F0412DB-5078-489B-99C0-D6003C317D14}" name="SFF Joseph O'Neill-Gregory" dataDxfId="45"/>
    <tableColumn id="20" xr3:uid="{7816A76F-55A2-42F2-A1BA-4D0C9BBB388C}" name="SFF Grant Robertson" dataDxfId="44"/>
    <tableColumn id="21" xr3:uid="{7D85F59C-805E-4434-B5DF-79A179F9233A}" name="SFF William O'Connell" dataDxfId="43"/>
    <tableColumn id="22" xr3:uid="{957FFDBC-0DF1-4E62-8655-9335EA90FA8A}" name="SFF Samuel Vivian" dataDxfId="42"/>
    <tableColumn id="23" xr3:uid="{E2E1FC1B-0D42-4D47-9A54-4AF48FF94CB0}" name="SFF Amy Devereaux" dataDxfId="41"/>
    <tableColumn id="24" xr3:uid="{898261FD-9037-480F-8B3D-64A555D546F4}" name="SFF Jon White" dataDxfId="40"/>
    <tableColumn id="28" xr3:uid="{F46B1D3C-D1F0-4C20-AADC-288AEF7A3893}" name="SFF Robert Mayo" dataDxfId="39"/>
    <tableColumn id="25" xr3:uid="{629C2E1C-F55F-4225-B3CD-74E70E2AA05C}" name="QFF Symon Maxwell" dataDxfId="38"/>
    <tableColumn id="26" xr3:uid="{1F105D9E-8C56-4C2E-BD7D-BD2E9CD2D6F7}" name="QFF Rueben Dodd" dataDxfId="37"/>
    <tableColumn id="27" xr3:uid="{26735B1A-4C9B-4933-931A-90E1A70C6870}" name="QFF Ian Chapman" dataDxfId="36"/>
    <tableColumn id="29" xr3:uid="{DEC25007-0FEB-4856-8279-19D4D75C1769}" name="QFF Jonno Ryan" dataDxfId="35"/>
    <tableColumn id="30" xr3:uid="{280B024D-A395-4214-B0C6-BEC9EED46B19}" name="QFF Melanie Yates" dataDxfId="34"/>
    <tableColumn id="33" xr3:uid="{B2724005-9442-4F47-BF5F-E3B02EB770AB}" name="QFF Maree Primrose" dataDxfId="33"/>
    <tableColumn id="34" xr3:uid="{84C77BD9-5DE4-4DED-BDDE-D15405851D48}" name="QFF Russell Clarke" dataDxfId="32"/>
    <tableColumn id="36" xr3:uid="{21B40BF5-52A4-4503-A5F8-ABF59571B9F1}" name="QFF Andrew Bond" dataDxfId="31"/>
    <tableColumn id="47" xr3:uid="{FD74171E-69A3-44DA-8E5F-20726D112361}" name="QFF Alan Binnie" dataDxfId="30"/>
    <tableColumn id="55" xr3:uid="{BBC04B53-4C52-41DB-BD93-16C96873820C}" name="QFF Rafael Nazareth" dataDxfId="29"/>
    <tableColumn id="41" xr3:uid="{C0729B8F-0BFD-4893-A6EE-AAD383A25F0F}" name="QFF Josh Pennefather" dataDxfId="28"/>
    <tableColumn id="50" xr3:uid="{A952E753-406C-46A4-AE07-D30D41D8ECF0}" name="QFF Melissa Jones" dataDxfId="27"/>
    <tableColumn id="37" xr3:uid="{BA22BAD7-FCF8-4520-B18A-677E977E78D6}" name="FF Jimmy Doyle" dataDxfId="26"/>
    <tableColumn id="40" xr3:uid="{DF114C32-C454-45F4-AC2C-42714B27CE64}" name="FF Dimmy Bell-Kainiu" dataDxfId="25"/>
    <tableColumn id="56" xr3:uid="{8625C57D-59C7-4732-B8C9-1D4697EDD542}" name="FF Ben Killgour" dataDxfId="24"/>
    <tableColumn id="43" xr3:uid="{AFA7D9A1-0F28-4B26-BAFA-2B7900D1C63C}" name="FF Dallas Steele" dataDxfId="23"/>
    <tableColumn id="45" xr3:uid="{B56BC7DE-49AA-4154-90ED-1901634D9AC7}" name="FF Braith Halliday" dataDxfId="22"/>
    <tableColumn id="44" xr3:uid="{7A806763-B281-43B7-B5B1-51A7A1DB1A9C}" name="FF Nick Grayson" dataDxfId="21"/>
    <tableColumn id="52" xr3:uid="{BF43D86F-5BAD-4AFA-8D60-99F0C8774BD7}" name="FF Jason Court" dataDxfId="20"/>
    <tableColumn id="53" xr3:uid="{3948E656-04F7-4F1A-9426-8366AA204C85}" name="FF Lee-Roy Staunton" dataDxfId="19"/>
    <tableColumn id="31" xr3:uid="{A703310A-1CEE-4E8B-89FC-88838C448A5E}" name="FF Crystal-Lee McConchie" dataDxfId="18"/>
    <tableColumn id="49" xr3:uid="{CA703AAE-46EB-4204-83CA-DE7616C9D5DE}" name="RFF Mitch Court" dataDxfId="17"/>
    <tableColumn id="38" xr3:uid="{DD09064B-181D-43E1-9005-E5710B040D60}" name="RFF James O'Hare" dataDxfId="16"/>
    <tableColumn id="39" xr3:uid="{07A292D9-2BFF-4AA0-B438-6C58F89BC0DA}" name="RFF Leone Humber" dataDxfId="15"/>
    <tableColumn id="51" xr3:uid="{9D7022EC-9A11-4918-A689-831F6AB6A970}" name="RFF Kaitlyn Evans" dataDxfId="14"/>
    <tableColumn id="19" xr3:uid="{57398E3C-853E-4396-92DA-F598A88C91F1}" name="RFF Jamie Moore" dataDxfId="13"/>
    <tableColumn id="35" xr3:uid="{E3FE4D4C-6478-4608-94E8-A519886B8EC9}" name="RFF Torrens Butcher" dataDxfId="12"/>
    <tableColumn id="42" xr3:uid="{E9C74E21-6421-4AE8-9609-435858BC90AA}" name="RFF Matt Humber" dataDxfId="11"/>
    <tableColumn id="54" xr3:uid="{12868A93-7CF5-40F1-8549-A784FAF2C81C}" name="Enter name of person submitting this form:" dataDxfId="1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012AD0-E9D6-4E29-867C-C39B153121D4}" name="Admin" displayName="Admin" ref="A1:E42" totalsRowShown="0" headerRowDxfId="9" dataDxfId="8" headerRowBorderDxfId="6" tableBorderDxfId="7" totalsRowBorderDxfId="5">
  <autoFilter ref="A1:E42" xr:uid="{5B012AD0-E9D6-4E29-867C-C39B153121D4}"/>
  <tableColumns count="5">
    <tableColumn id="1" xr3:uid="{ABE9B41B-CA62-4F76-B30C-E04EE61D1F07}" name="Display Name" dataDxfId="4"/>
    <tableColumn id="2" xr3:uid="{BBAB9098-36D3-44AB-8D09-B5449925B31C}" name="Rank" dataDxfId="3"/>
    <tableColumn id="3" xr3:uid="{6F6DAE81-7E17-4274-BF4A-D6A503115AB2}" name="First Name" dataDxfId="2"/>
    <tableColumn id="4" xr3:uid="{56F1CBA7-5A77-433E-B909-6C1A8E6D9669}" name="Last Name" dataDxfId="1"/>
    <tableColumn id="5" xr3:uid="{696E375E-E7AF-4A4D-8584-EC6496D8124D}" name="Email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44" dT="2025-11-13T07:04:16.42" personId="{A7200EB9-2D13-4A07-9871-D7EE2E6B6357}" id="{639DB558-DA5E-45C4-A616-0D4F7EB3E662}">
    <text>Left 19th August 24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X609" dT="2025-11-26T19:10:24.17" personId="{A7200EB9-2D13-4A07-9871-D7EE2E6B6357}" id="{AFC2D61A-65DE-47D6-8439-095B6C10C983}">
    <text>Email sent to helpdesk 27/11 to correct non response to response task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mailto:Robert.Mayo@fireandemergency.nz" TargetMode="External"/><Relationship Id="rId18" Type="http://schemas.openxmlformats.org/officeDocument/2006/relationships/hyperlink" Target="mailto:Grant.Robertson@fireandemergency.nz" TargetMode="External"/><Relationship Id="rId26" Type="http://schemas.openxmlformats.org/officeDocument/2006/relationships/hyperlink" Target="mailto:Josh.Pennefather@fireandemergency.nz" TargetMode="External"/><Relationship Id="rId21" Type="http://schemas.openxmlformats.org/officeDocument/2006/relationships/hyperlink" Target="mailto:Melanie.Yates@fireandemergency.nz" TargetMode="External"/><Relationship Id="rId34" Type="http://schemas.openxmlformats.org/officeDocument/2006/relationships/hyperlink" Target="mailto:Tracey.Brownlee@fireandemergency.nz" TargetMode="External"/><Relationship Id="rId7" Type="http://schemas.openxmlformats.org/officeDocument/2006/relationships/hyperlink" Target="mailto:Jimmy.Doyle@fireandemergency.nz" TargetMode="External"/><Relationship Id="rId12" Type="http://schemas.openxmlformats.org/officeDocument/2006/relationships/hyperlink" Target="mailto:Symon.Maxwell@fireandemergency.nz" TargetMode="External"/><Relationship Id="rId17" Type="http://schemas.openxmlformats.org/officeDocument/2006/relationships/hyperlink" Target="mailto:Brent.Reynolds@fireandemergency.nz" TargetMode="External"/><Relationship Id="rId25" Type="http://schemas.openxmlformats.org/officeDocument/2006/relationships/hyperlink" Target="mailto:Nick.Grayson@fireandemergency.nz" TargetMode="External"/><Relationship Id="rId33" Type="http://schemas.openxmlformats.org/officeDocument/2006/relationships/hyperlink" Target="mailto:Jon.White@fireandemergency.nz" TargetMode="External"/><Relationship Id="rId2" Type="http://schemas.openxmlformats.org/officeDocument/2006/relationships/hyperlink" Target="mailto:Alan.Binnie2@fireandemergency.nz" TargetMode="External"/><Relationship Id="rId16" Type="http://schemas.openxmlformats.org/officeDocument/2006/relationships/hyperlink" Target="mailto:Bharat.Ravji@fireandemergency.nz" TargetMode="External"/><Relationship Id="rId20" Type="http://schemas.openxmlformats.org/officeDocument/2006/relationships/hyperlink" Target="mailto:Dallas.Steele@fireandemergency.nz" TargetMode="External"/><Relationship Id="rId29" Type="http://schemas.openxmlformats.org/officeDocument/2006/relationships/hyperlink" Target="mailto:Matt.Humber@fireandemergency.nz" TargetMode="External"/><Relationship Id="rId1" Type="http://schemas.openxmlformats.org/officeDocument/2006/relationships/hyperlink" Target="mailto:Dimmy.Bell-Kainiu@fireandemergency.nz" TargetMode="External"/><Relationship Id="rId6" Type="http://schemas.openxmlformats.org/officeDocument/2006/relationships/hyperlink" Target="mailto:Jason.Court@fireandemergency.nz" TargetMode="External"/><Relationship Id="rId11" Type="http://schemas.openxmlformats.org/officeDocument/2006/relationships/hyperlink" Target="mailto:Ben.Killgour@fireandemergency.nz" TargetMode="External"/><Relationship Id="rId24" Type="http://schemas.openxmlformats.org/officeDocument/2006/relationships/hyperlink" Target="mailto:Leone.Humber@fireandemergency.nz" TargetMode="External"/><Relationship Id="rId32" Type="http://schemas.openxmlformats.org/officeDocument/2006/relationships/hyperlink" Target="mailto:Brody.Jellyman@fireandemergency.nz" TargetMode="External"/><Relationship Id="rId37" Type="http://schemas.openxmlformats.org/officeDocument/2006/relationships/table" Target="../tables/table17.xml"/><Relationship Id="rId5" Type="http://schemas.openxmlformats.org/officeDocument/2006/relationships/hyperlink" Target="mailto:Russell.Clarke@fireandemergency.nz" TargetMode="External"/><Relationship Id="rId15" Type="http://schemas.openxmlformats.org/officeDocument/2006/relationships/hyperlink" Target="mailto:Darryn.Pritchard@fireandemergency.nz" TargetMode="External"/><Relationship Id="rId23" Type="http://schemas.openxmlformats.org/officeDocument/2006/relationships/hyperlink" Target="mailto:Crystal-Lee.McConchie@fireandemergency.nz" TargetMode="External"/><Relationship Id="rId28" Type="http://schemas.openxmlformats.org/officeDocument/2006/relationships/hyperlink" Target="mailto:Torrens.Butcher@fireandemergency.nz" TargetMode="External"/><Relationship Id="rId36" Type="http://schemas.openxmlformats.org/officeDocument/2006/relationships/printerSettings" Target="../printerSettings/printerSettings8.bin"/><Relationship Id="rId10" Type="http://schemas.openxmlformats.org/officeDocument/2006/relationships/hyperlink" Target="mailto:Richard.Jellyman@fireandemergency.nz" TargetMode="External"/><Relationship Id="rId19" Type="http://schemas.openxmlformats.org/officeDocument/2006/relationships/hyperlink" Target="mailto:John.Robinson@fireandemergency.nz" TargetMode="External"/><Relationship Id="rId31" Type="http://schemas.openxmlformats.org/officeDocument/2006/relationships/hyperlink" Target="mailto:Mitch.Court@fireandemergency.nz" TargetMode="External"/><Relationship Id="rId4" Type="http://schemas.openxmlformats.org/officeDocument/2006/relationships/hyperlink" Target="mailto:Ian.Chapman@fireandemergency.nz" TargetMode="External"/><Relationship Id="rId9" Type="http://schemas.openxmlformats.org/officeDocument/2006/relationships/hyperlink" Target="mailto:Richard.Irving@fireandemergency.nz" TargetMode="External"/><Relationship Id="rId14" Type="http://schemas.openxmlformats.org/officeDocument/2006/relationships/hyperlink" Target="mailto:Maree.Primrose@fireandemergency.nz" TargetMode="External"/><Relationship Id="rId22" Type="http://schemas.openxmlformats.org/officeDocument/2006/relationships/hyperlink" Target="mailto:Vaughan.Wood@fireandemergency.nz" TargetMode="External"/><Relationship Id="rId27" Type="http://schemas.openxmlformats.org/officeDocument/2006/relationships/hyperlink" Target="mailto:Jaime.Moore@fireandemergency.nz" TargetMode="External"/><Relationship Id="rId30" Type="http://schemas.openxmlformats.org/officeDocument/2006/relationships/hyperlink" Target="mailto:Kaitlyn.Evans@fireandemergency.nz" TargetMode="External"/><Relationship Id="rId35" Type="http://schemas.openxmlformats.org/officeDocument/2006/relationships/hyperlink" Target="mailto:Sacha.Hoole@fireandemergency.nz" TargetMode="External"/><Relationship Id="rId8" Type="http://schemas.openxmlformats.org/officeDocument/2006/relationships/hyperlink" Target="mailto:Darcy.Hart@fireandemergency.nz" TargetMode="External"/><Relationship Id="rId3" Type="http://schemas.openxmlformats.org/officeDocument/2006/relationships/hyperlink" Target="mailto:Andrew.Bond@fireandemergency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8289-B8AC-41C3-A3FB-B5E2AD14DE96}">
  <dimension ref="B4"/>
  <sheetViews>
    <sheetView workbookViewId="0"/>
  </sheetViews>
  <sheetFormatPr defaultRowHeight="15"/>
  <sheetData>
    <row r="4" spans="2:2"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8DCC-64E2-4AE5-BE1F-3FE72052DCAD}">
  <sheetPr codeName="Sheet1"/>
  <dimension ref="A1:AP44"/>
  <sheetViews>
    <sheetView zoomScaleNormal="100" workbookViewId="0">
      <pane xSplit="1" ySplit="3" topLeftCell="B4" activePane="bottomRight" state="frozen"/>
      <selection pane="bottomRight" activeCell="A4" sqref="A4:A45"/>
      <selection pane="bottomLeft" activeCell="A6" sqref="A6"/>
      <selection pane="topRight" activeCell="B3" sqref="B3"/>
    </sheetView>
  </sheetViews>
  <sheetFormatPr defaultRowHeight="15"/>
  <cols>
    <col min="1" max="1" width="27.7109375" style="2" customWidth="1"/>
    <col min="2" max="10" width="3.7109375" customWidth="1"/>
    <col min="11" max="11" width="6.28515625" bestFit="1" customWidth="1"/>
    <col min="12" max="19" width="3.7109375" customWidth="1"/>
    <col min="20" max="23" width="4" customWidth="1"/>
    <col min="24" max="24" width="4.28515625" bestFit="1" customWidth="1"/>
    <col min="25" max="25" width="6.28515625" bestFit="1" customWidth="1"/>
    <col min="26" max="26" width="3.7109375" bestFit="1" customWidth="1"/>
    <col min="27" max="29" width="3.7109375" customWidth="1"/>
    <col min="30" max="30" width="3.7109375" bestFit="1" customWidth="1"/>
    <col min="31" max="33" width="3.7109375" customWidth="1"/>
    <col min="34" max="37" width="4" customWidth="1"/>
    <col min="38" max="38" width="4" bestFit="1" customWidth="1"/>
    <col min="39" max="39" width="6.28515625" bestFit="1" customWidth="1"/>
    <col min="40" max="40" width="6.85546875" customWidth="1"/>
    <col min="41" max="41" width="11.28515625" bestFit="1" customWidth="1"/>
    <col min="42" max="288" width="5" customWidth="1"/>
  </cols>
  <sheetData>
    <row r="1" spans="1:42" s="1" customFormat="1" ht="17.25" customHeight="1">
      <c r="A1" s="2" t="s">
        <v>1</v>
      </c>
      <c r="B1" s="3">
        <v>3</v>
      </c>
      <c r="C1" s="3">
        <v>4</v>
      </c>
      <c r="D1" s="3">
        <v>4</v>
      </c>
      <c r="E1" s="3">
        <v>5</v>
      </c>
      <c r="F1" s="3">
        <v>4</v>
      </c>
      <c r="G1" s="3">
        <v>4</v>
      </c>
      <c r="H1" s="3">
        <v>4</v>
      </c>
      <c r="I1" s="3">
        <v>2</v>
      </c>
      <c r="J1" s="24">
        <f>SUM(B1:I1)</f>
        <v>30</v>
      </c>
      <c r="K1" s="64">
        <v>2023</v>
      </c>
      <c r="L1" s="11">
        <v>3</v>
      </c>
      <c r="M1" s="11">
        <v>4</v>
      </c>
      <c r="N1" s="11">
        <v>4</v>
      </c>
      <c r="O1" s="11">
        <v>5</v>
      </c>
      <c r="P1" s="11">
        <v>4</v>
      </c>
      <c r="Q1" s="11">
        <v>4</v>
      </c>
      <c r="R1" s="11">
        <v>5</v>
      </c>
      <c r="S1" s="11">
        <v>5</v>
      </c>
      <c r="T1" s="4">
        <v>5</v>
      </c>
      <c r="U1" s="11">
        <v>4</v>
      </c>
      <c r="V1" s="4">
        <v>4</v>
      </c>
      <c r="W1" s="11">
        <v>3</v>
      </c>
      <c r="X1" s="24">
        <v>50</v>
      </c>
      <c r="Y1" s="64">
        <v>2024</v>
      </c>
      <c r="Z1" s="62">
        <f>(Musters!Z1)</f>
        <v>3</v>
      </c>
      <c r="AA1" s="62">
        <f>(Musters!AA1)</f>
        <v>4</v>
      </c>
      <c r="AB1" s="62">
        <f>(Musters!AB1)</f>
        <v>5</v>
      </c>
      <c r="AC1" s="62">
        <f>(Musters!AC1)</f>
        <v>4</v>
      </c>
      <c r="AD1" s="62">
        <f>(Musters!AD1)</f>
        <v>4</v>
      </c>
      <c r="AE1" s="62">
        <f>(Musters!AE1)</f>
        <v>5</v>
      </c>
      <c r="AF1" s="62">
        <f>(Musters!AF1)</f>
        <v>4</v>
      </c>
      <c r="AG1" s="62">
        <f>(Musters!AG1)</f>
        <v>4</v>
      </c>
      <c r="AH1" s="62">
        <f>(Musters!AH1)</f>
        <v>5</v>
      </c>
      <c r="AI1" s="62">
        <f>(Musters!AI1)</f>
        <v>4</v>
      </c>
      <c r="AJ1" s="62">
        <f>(Musters!AJ1)</f>
        <v>4</v>
      </c>
      <c r="AK1" s="62">
        <f>(Musters!AK1)</f>
        <v>3</v>
      </c>
      <c r="AL1" s="24">
        <f>SUM(Z1:AK1)</f>
        <v>49</v>
      </c>
      <c r="AM1" s="64">
        <v>2025</v>
      </c>
      <c r="AN1" s="48" t="s">
        <v>2</v>
      </c>
      <c r="AO1" s="64" t="s">
        <v>3</v>
      </c>
    </row>
    <row r="2" spans="1:42" s="7" customFormat="1" ht="29.25" customHeight="1">
      <c r="A2" s="8" t="s">
        <v>4</v>
      </c>
      <c r="B2" s="4">
        <v>32</v>
      </c>
      <c r="C2" s="3">
        <v>46</v>
      </c>
      <c r="D2" s="4">
        <v>47</v>
      </c>
      <c r="E2" s="3">
        <v>28</v>
      </c>
      <c r="F2" s="4">
        <v>38</v>
      </c>
      <c r="G2" s="3">
        <v>46</v>
      </c>
      <c r="H2" s="4">
        <v>43</v>
      </c>
      <c r="I2" s="54">
        <v>44</v>
      </c>
      <c r="J2" s="24">
        <f>SUM(B2:I2)</f>
        <v>324</v>
      </c>
      <c r="K2" s="35"/>
      <c r="L2" s="4">
        <v>58</v>
      </c>
      <c r="M2" s="11">
        <v>48</v>
      </c>
      <c r="N2" s="4">
        <v>47</v>
      </c>
      <c r="O2" s="11">
        <v>38</v>
      </c>
      <c r="P2" s="4">
        <v>55</v>
      </c>
      <c r="Q2" s="11">
        <v>43</v>
      </c>
      <c r="R2" s="4">
        <v>44</v>
      </c>
      <c r="S2" s="11">
        <v>49</v>
      </c>
      <c r="T2" s="4">
        <v>36</v>
      </c>
      <c r="U2" s="11">
        <v>42</v>
      </c>
      <c r="V2" s="4">
        <v>47</v>
      </c>
      <c r="W2" s="11">
        <v>52</v>
      </c>
      <c r="X2" s="24">
        <f>SUM($L$2:$W$2)</f>
        <v>559</v>
      </c>
      <c r="Y2" s="35"/>
      <c r="Z2" s="21">
        <f>AllCalls25!$D$3</f>
        <v>57</v>
      </c>
      <c r="AA2" s="95">
        <f>AllCalls25!$D$4</f>
        <v>48</v>
      </c>
      <c r="AB2" s="21">
        <f>AllCalls25!$D$5</f>
        <v>70</v>
      </c>
      <c r="AC2" s="95">
        <f>AllCalls25!$D$6</f>
        <v>42</v>
      </c>
      <c r="AD2" s="21">
        <f>AllCalls25!$D$7</f>
        <v>68</v>
      </c>
      <c r="AE2" s="95">
        <f>AllCalls25!$D$8</f>
        <v>35</v>
      </c>
      <c r="AF2" s="21">
        <f>AllCalls25!$D$9</f>
        <v>56</v>
      </c>
      <c r="AG2" s="95">
        <f>AllCalls25!$D$10</f>
        <v>53</v>
      </c>
      <c r="AH2" s="21">
        <f>AllCalls25!$D$11</f>
        <v>47</v>
      </c>
      <c r="AI2" s="22">
        <f>AllCalls25!$D$12</f>
        <v>39</v>
      </c>
      <c r="AJ2" s="21">
        <f>AllCalls25!$D$13</f>
        <v>58</v>
      </c>
      <c r="AK2" s="22">
        <f>AllCalls25!$D$14</f>
        <v>79</v>
      </c>
      <c r="AL2" s="24">
        <f>SUM(Z2:AK2)</f>
        <v>652</v>
      </c>
      <c r="AM2" s="35"/>
      <c r="AN2" s="48">
        <f>SUM($J2,$X2,AL2)</f>
        <v>1535</v>
      </c>
      <c r="AO2" s="35"/>
    </row>
    <row r="3" spans="1:42" ht="59.25" customHeight="1">
      <c r="A3" s="9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5" t="s">
        <v>10</v>
      </c>
      <c r="G3" s="6" t="s">
        <v>11</v>
      </c>
      <c r="H3" s="5" t="s">
        <v>12</v>
      </c>
      <c r="I3" s="6" t="s">
        <v>13</v>
      </c>
      <c r="J3" s="6" t="s">
        <v>14</v>
      </c>
      <c r="K3" s="25" t="s">
        <v>15</v>
      </c>
      <c r="L3" s="5" t="s">
        <v>16</v>
      </c>
      <c r="M3" s="6" t="s">
        <v>17</v>
      </c>
      <c r="N3" s="5" t="s">
        <v>18</v>
      </c>
      <c r="O3" s="6" t="s">
        <v>19</v>
      </c>
      <c r="P3" s="5" t="s">
        <v>6</v>
      </c>
      <c r="Q3" s="6" t="s">
        <v>7</v>
      </c>
      <c r="R3" s="5" t="s">
        <v>8</v>
      </c>
      <c r="S3" s="6" t="s">
        <v>9</v>
      </c>
      <c r="T3" s="5" t="s">
        <v>10</v>
      </c>
      <c r="U3" s="6" t="s">
        <v>11</v>
      </c>
      <c r="V3" s="5" t="s">
        <v>12</v>
      </c>
      <c r="W3" s="6" t="s">
        <v>13</v>
      </c>
      <c r="X3" s="5" t="s">
        <v>14</v>
      </c>
      <c r="Y3" s="25" t="s">
        <v>15</v>
      </c>
      <c r="Z3" s="20" t="s">
        <v>16</v>
      </c>
      <c r="AA3" s="59" t="s">
        <v>17</v>
      </c>
      <c r="AB3" s="20" t="s">
        <v>18</v>
      </c>
      <c r="AC3" s="59" t="s">
        <v>19</v>
      </c>
      <c r="AD3" s="20" t="s">
        <v>6</v>
      </c>
      <c r="AE3" s="59" t="s">
        <v>7</v>
      </c>
      <c r="AF3" s="20" t="s">
        <v>8</v>
      </c>
      <c r="AG3" s="59" t="s">
        <v>9</v>
      </c>
      <c r="AH3" s="20" t="s">
        <v>10</v>
      </c>
      <c r="AI3" s="59" t="s">
        <v>11</v>
      </c>
      <c r="AJ3" s="20" t="s">
        <v>12</v>
      </c>
      <c r="AK3" s="59" t="s">
        <v>13</v>
      </c>
      <c r="AL3" s="20" t="s">
        <v>14</v>
      </c>
      <c r="AM3" s="25" t="s">
        <v>15</v>
      </c>
      <c r="AN3" s="59" t="s">
        <v>2</v>
      </c>
      <c r="AO3" s="103" t="s">
        <v>20</v>
      </c>
    </row>
    <row r="4" spans="1:42">
      <c r="A4" s="2" t="s">
        <v>21</v>
      </c>
      <c r="B4" s="21">
        <v>21</v>
      </c>
      <c r="C4" s="22">
        <v>25</v>
      </c>
      <c r="D4" s="12">
        <v>16</v>
      </c>
      <c r="E4" s="13">
        <v>15</v>
      </c>
      <c r="F4" s="12">
        <v>11</v>
      </c>
      <c r="G4" s="13">
        <v>20</v>
      </c>
      <c r="H4" s="12">
        <v>18</v>
      </c>
      <c r="I4" s="13">
        <v>25</v>
      </c>
      <c r="J4" s="12">
        <f>SUM($B4:$I4)</f>
        <v>151</v>
      </c>
      <c r="K4" s="26">
        <f>(J4/$J$2)</f>
        <v>0.4660493827160494</v>
      </c>
      <c r="L4" s="12">
        <v>34</v>
      </c>
      <c r="M4" s="3">
        <v>22</v>
      </c>
      <c r="N4" s="12">
        <v>22</v>
      </c>
      <c r="O4" s="3">
        <v>19</v>
      </c>
      <c r="P4" s="12">
        <v>24</v>
      </c>
      <c r="Q4" s="3">
        <v>19</v>
      </c>
      <c r="R4" s="12">
        <v>27</v>
      </c>
      <c r="S4" s="3">
        <v>18</v>
      </c>
      <c r="T4" s="12">
        <v>18</v>
      </c>
      <c r="U4" s="56">
        <v>17</v>
      </c>
      <c r="V4" s="12">
        <v>16</v>
      </c>
      <c r="W4" s="56">
        <v>21</v>
      </c>
      <c r="X4" s="12">
        <v>257</v>
      </c>
      <c r="Y4" s="26">
        <v>0.46206115515288787</v>
      </c>
      <c r="Z4" s="21">
        <f>COUNTIFS((AllCalls25!$X$15:$X$5631),"I",(AllCalls25!$K$15:$K$5631),"1")</f>
        <v>35</v>
      </c>
      <c r="AA4" s="18">
        <f>COUNTIFS((AllCalls25!$X$15:$X$5631),"I",(AllCalls25!$K$15:$K$5631),"2")</f>
        <v>27</v>
      </c>
      <c r="AB4" s="21">
        <f>COUNTIFS((AllCalls25!$X$15:$X$5631),"I",(AllCalls25!$K$15:$K$5631),"3")</f>
        <v>36</v>
      </c>
      <c r="AC4" s="18">
        <f>COUNTIFS((AllCalls25!$X$15:$X$5631),"I",(AllCalls25!$K$15:$K$5631),"4")</f>
        <v>20</v>
      </c>
      <c r="AD4" s="21">
        <f>COUNTIFS((AllCalls25!$X$15:$X$5631),"I",(AllCalls25!$K$15:$K$5631),"5")</f>
        <v>29</v>
      </c>
      <c r="AE4" s="18">
        <f>COUNTIFS((AllCalls25!$X$15:$X$5631),"I",(AllCalls25!$K$15:$K$5631),"6")</f>
        <v>16</v>
      </c>
      <c r="AF4" s="21">
        <f>COUNTIFS((AllCalls25!$X$15:$X$5631),"I",(AllCalls25!$K$15:$K$5631),"7")</f>
        <v>21</v>
      </c>
      <c r="AG4" s="18">
        <f>COUNTIFS((AllCalls25!$X$15:$X$5631),"I",(AllCalls25!$K$15:$K$5631),"8")</f>
        <v>18</v>
      </c>
      <c r="AH4" s="21">
        <f>COUNTIFS((AllCalls25!$X$15:$X$5631),"I",(AllCalls25!$K$15:$K$5631),"9")</f>
        <v>22</v>
      </c>
      <c r="AI4" s="22">
        <f>COUNTIFS((AllCalls25!$X$15:$X$5631),"I",(AllCalls25!$K$15:$K$5631),"10")</f>
        <v>9</v>
      </c>
      <c r="AJ4" s="21">
        <f>COUNTIFS((AllCalls25!$X$15:$X$5631),"I",(AllCalls25!$K$15:$K$5631),"11")</f>
        <v>24</v>
      </c>
      <c r="AK4" s="22">
        <f>COUNTIFS((AllCalls25!$X$15:$X$5631),"I",(AllCalls25!$K$15:$K$5631),"12")</f>
        <v>50</v>
      </c>
      <c r="AL4" s="21">
        <f>SUM($Z4:$AK4)</f>
        <v>307</v>
      </c>
      <c r="AM4" s="26">
        <f>(SUM($AL4))/SUM($AL$2)</f>
        <v>0.47085889570552147</v>
      </c>
      <c r="AN4" s="12">
        <f>SUM($J4,$X4,$AL4)</f>
        <v>715</v>
      </c>
      <c r="AO4" s="26">
        <f>(SUM(AN4))/SUM($AN$2)</f>
        <v>0.46579804560260585</v>
      </c>
      <c r="AP4" t="s">
        <v>22</v>
      </c>
    </row>
    <row r="5" spans="1:42">
      <c r="A5" s="2" t="s">
        <v>23</v>
      </c>
      <c r="B5" s="21">
        <v>14</v>
      </c>
      <c r="C5" s="22">
        <v>13</v>
      </c>
      <c r="D5" s="12">
        <v>21</v>
      </c>
      <c r="E5" s="13">
        <v>15</v>
      </c>
      <c r="F5" s="12">
        <v>2</v>
      </c>
      <c r="G5" s="13">
        <v>14</v>
      </c>
      <c r="H5" s="12">
        <v>26</v>
      </c>
      <c r="I5" s="13">
        <v>20</v>
      </c>
      <c r="J5" s="12">
        <f t="shared" ref="J5:J32" si="0">SUM($B5:$I5)</f>
        <v>125</v>
      </c>
      <c r="K5" s="26">
        <f t="shared" ref="K5:K34" si="1">(J5/$J$2)</f>
        <v>0.38580246913580246</v>
      </c>
      <c r="L5" s="12">
        <v>40</v>
      </c>
      <c r="M5" s="3">
        <v>24</v>
      </c>
      <c r="N5" s="12">
        <v>17</v>
      </c>
      <c r="O5" s="3">
        <v>26</v>
      </c>
      <c r="P5" s="12">
        <v>29</v>
      </c>
      <c r="Q5" s="3">
        <v>14</v>
      </c>
      <c r="R5" s="12">
        <v>29</v>
      </c>
      <c r="S5" s="3">
        <v>24</v>
      </c>
      <c r="T5" s="12">
        <v>2</v>
      </c>
      <c r="U5" s="56">
        <v>17</v>
      </c>
      <c r="V5" s="12">
        <v>19</v>
      </c>
      <c r="W5" s="56">
        <v>2</v>
      </c>
      <c r="X5" s="12">
        <v>243</v>
      </c>
      <c r="Y5" s="26">
        <v>0.41676104190260477</v>
      </c>
      <c r="Z5" s="21">
        <f>COUNTIFS((AllCalls25!$Y$15:$Y$5631),"I",(AllCalls25!$K$15:$K$5631),"1")</f>
        <v>21</v>
      </c>
      <c r="AA5" s="60">
        <f>COUNTIFS((AllCalls25!$Y$15:$Y$5631),"I",(AllCalls25!$K$15:$K$5631),"2")</f>
        <v>32</v>
      </c>
      <c r="AB5" s="21">
        <f>COUNTIFS((AllCalls25!$Y$15:$Y$5631),"I",(AllCalls25!$K$15:$K$5631),"3")</f>
        <v>43</v>
      </c>
      <c r="AC5" s="60">
        <f>COUNTIFS((AllCalls25!$Y$15:$Y$5631),"I",(AllCalls25!$K$15:$K$5631),"4")</f>
        <v>26</v>
      </c>
      <c r="AD5" s="21">
        <f>COUNTIFS((AllCalls25!$Y$15:$Y$5631),"I",(AllCalls25!$K$15:$K$5631),"5")</f>
        <v>37</v>
      </c>
      <c r="AE5" s="60">
        <f>COUNTIFS((AllCalls25!$Y$15:$Y$5631),"I",(AllCalls25!$K$15:$K$5631),"6")</f>
        <v>18</v>
      </c>
      <c r="AF5" s="21">
        <f>COUNTIFS((AllCalls25!$Y$15:$Y$5631),"I",(AllCalls25!$K$15:$K$5631),"7")</f>
        <v>35</v>
      </c>
      <c r="AG5" s="60">
        <f>COUNTIFS((AllCalls25!$Y$15:$Y$5631),"I",(AllCalls25!$K$15:$K$5631),"8")</f>
        <v>33</v>
      </c>
      <c r="AH5" s="21">
        <f>COUNTIFS((AllCalls25!$Y$15:$Y$5631),"I",(AllCalls25!$K$15:$K$5631),"9")</f>
        <v>0</v>
      </c>
      <c r="AI5" s="61">
        <f>COUNTIFS((AllCalls25!$Y$15:$Y$5631),"I",(AllCalls25!$K$15:$K$5631),"10")</f>
        <v>19</v>
      </c>
      <c r="AJ5" s="21">
        <f>COUNTIFS((AllCalls25!$Y$15:$Y$5631),"I",(AllCalls25!$K$15:$K$5631),"11")</f>
        <v>39</v>
      </c>
      <c r="AK5" s="61">
        <f>COUNTIFS((AllCalls25!$Y$15:$Y$5631),"I",(AllCalls25!$K$15:$K$5631),"12")</f>
        <v>57</v>
      </c>
      <c r="AL5" s="21">
        <f t="shared" ref="AL5:AL39" si="2">SUM($Z5:$AK5)</f>
        <v>360</v>
      </c>
      <c r="AM5" s="26">
        <f t="shared" ref="AM5:AM39" si="3">(SUM($AL5))/SUM($AL$2)</f>
        <v>0.55214723926380371</v>
      </c>
      <c r="AN5" s="12">
        <f t="shared" ref="AN5:AN39" si="4">SUM($J5,$X5,$AL5)</f>
        <v>728</v>
      </c>
      <c r="AO5" s="26">
        <f t="shared" ref="AO5:AO34" si="5">(SUM(AN5))/SUM($AN$2)</f>
        <v>0.47426710097719871</v>
      </c>
      <c r="AP5" t="s">
        <v>22</v>
      </c>
    </row>
    <row r="6" spans="1:42">
      <c r="A6" s="2" t="s">
        <v>24</v>
      </c>
      <c r="B6" s="21">
        <v>4</v>
      </c>
      <c r="C6" s="22">
        <v>10</v>
      </c>
      <c r="D6" s="12">
        <v>10</v>
      </c>
      <c r="E6" s="13">
        <v>9</v>
      </c>
      <c r="F6" s="12">
        <v>12</v>
      </c>
      <c r="G6" s="13">
        <v>18</v>
      </c>
      <c r="H6" s="12">
        <v>12</v>
      </c>
      <c r="I6" s="13">
        <v>16</v>
      </c>
      <c r="J6" s="12">
        <f t="shared" si="0"/>
        <v>91</v>
      </c>
      <c r="K6" s="26">
        <f t="shared" si="1"/>
        <v>0.28086419753086422</v>
      </c>
      <c r="L6" s="12">
        <v>18</v>
      </c>
      <c r="M6" s="3">
        <v>13</v>
      </c>
      <c r="N6" s="12">
        <v>8</v>
      </c>
      <c r="O6" s="3">
        <v>8</v>
      </c>
      <c r="P6" s="12">
        <v>10</v>
      </c>
      <c r="Q6" s="3">
        <v>5</v>
      </c>
      <c r="R6" s="12">
        <v>17</v>
      </c>
      <c r="S6" s="3">
        <v>21</v>
      </c>
      <c r="T6" s="12">
        <v>11</v>
      </c>
      <c r="U6" s="56">
        <v>17</v>
      </c>
      <c r="V6" s="12">
        <v>7</v>
      </c>
      <c r="W6" s="56">
        <v>30</v>
      </c>
      <c r="X6" s="12">
        <v>165</v>
      </c>
      <c r="Y6" s="26">
        <v>0.28992072480181202</v>
      </c>
      <c r="Z6" s="21">
        <f>COUNTIFS((AllCalls25!$Z$15:$Z$5631),"I",(AllCalls25!$K$15:$K$5631),"1")</f>
        <v>16</v>
      </c>
      <c r="AA6" s="18">
        <f>COUNTIFS((AllCalls25!$Z$15:$Z$5631),"I",(AllCalls25!$K$15:$K$5631),"2")</f>
        <v>13</v>
      </c>
      <c r="AB6" s="21">
        <f>COUNTIFS((AllCalls25!$Z$15:$Z$5631),"I",(AllCalls25!$K$15:$K$5631),"3")</f>
        <v>11</v>
      </c>
      <c r="AC6" s="18">
        <f>COUNTIFS((AllCalls25!$Z$15:$Z$5631),"I",(AllCalls25!$K$15:$K$5631),"4")</f>
        <v>18</v>
      </c>
      <c r="AD6" s="21">
        <f>COUNTIFS((AllCalls25!$Z$15:$Z$5631),"I",(AllCalls25!$K$15:$K$5631),"5")</f>
        <v>21</v>
      </c>
      <c r="AE6" s="18">
        <f>COUNTIFS((AllCalls25!$Z$15:$Z$5631),"I",(AllCalls25!$K$15:$K$5631),"6")</f>
        <v>6</v>
      </c>
      <c r="AF6" s="21">
        <f>COUNTIFS((AllCalls25!$Z$15:$Z$5631),"I",(AllCalls25!$K$15:$K$5631),"7")</f>
        <v>19</v>
      </c>
      <c r="AG6" s="18">
        <f>COUNTIFS((AllCalls25!$Z$15:$Z$5631),"I",(AllCalls25!$K$15:$K$5631),"8")</f>
        <v>13</v>
      </c>
      <c r="AH6" s="21">
        <f>COUNTIFS((AllCalls25!$Z$15:$Z$5631),"I",(AllCalls25!$K$15:$K$5631),"9")</f>
        <v>12</v>
      </c>
      <c r="AI6" s="22">
        <f>COUNTIFS((AllCalls25!$Z$15:$Z$5631),"I",(AllCalls25!$K$15:$K$5631),"10")</f>
        <v>11</v>
      </c>
      <c r="AJ6" s="21">
        <f>COUNTIFS((AllCalls25!$Z$15:$Z$5631),"I",(AllCalls25!$K$15:$K$5631),"11")</f>
        <v>13</v>
      </c>
      <c r="AK6" s="22">
        <f>COUNTIFS((AllCalls25!$Z$15:$Z$5631),"I",(AllCalls25!$K$15:$K$5631),"12")</f>
        <v>16</v>
      </c>
      <c r="AL6" s="21">
        <f t="shared" si="2"/>
        <v>169</v>
      </c>
      <c r="AM6" s="26">
        <f t="shared" si="3"/>
        <v>0.25920245398773006</v>
      </c>
      <c r="AN6" s="12">
        <f t="shared" si="4"/>
        <v>425</v>
      </c>
      <c r="AO6" s="26">
        <f t="shared" si="5"/>
        <v>0.27687296416938112</v>
      </c>
      <c r="AP6" t="s">
        <v>22</v>
      </c>
    </row>
    <row r="7" spans="1:42">
      <c r="A7" s="2" t="s">
        <v>25</v>
      </c>
      <c r="B7" s="21">
        <v>21</v>
      </c>
      <c r="C7" s="22">
        <v>15</v>
      </c>
      <c r="D7" s="12">
        <v>34</v>
      </c>
      <c r="E7" s="13">
        <v>9</v>
      </c>
      <c r="F7" s="12">
        <v>13</v>
      </c>
      <c r="G7" s="13">
        <v>14</v>
      </c>
      <c r="H7" s="12">
        <v>26</v>
      </c>
      <c r="I7" s="13">
        <v>22</v>
      </c>
      <c r="J7" s="12">
        <f t="shared" si="0"/>
        <v>154</v>
      </c>
      <c r="K7" s="26">
        <f t="shared" si="1"/>
        <v>0.47530864197530864</v>
      </c>
      <c r="L7" s="12">
        <v>50</v>
      </c>
      <c r="M7" s="3">
        <v>27</v>
      </c>
      <c r="N7" s="12">
        <v>17</v>
      </c>
      <c r="O7" s="3">
        <v>26</v>
      </c>
      <c r="P7" s="12">
        <v>27</v>
      </c>
      <c r="Q7" s="3">
        <v>23</v>
      </c>
      <c r="R7" s="12">
        <v>36</v>
      </c>
      <c r="S7" s="3">
        <v>27</v>
      </c>
      <c r="T7" s="12">
        <v>20</v>
      </c>
      <c r="U7" s="56">
        <v>20</v>
      </c>
      <c r="V7" s="12">
        <v>30</v>
      </c>
      <c r="W7" s="56">
        <v>34</v>
      </c>
      <c r="X7" s="12">
        <v>337</v>
      </c>
      <c r="Y7" s="26">
        <v>0.55605889014722532</v>
      </c>
      <c r="Z7" s="21">
        <f>COUNTIFS((AllCalls25!$AA$15:$AA$5631),"I",(AllCalls25!$K$15:$K$5631),"1")</f>
        <v>30</v>
      </c>
      <c r="AA7" s="60">
        <f>COUNTIFS((AllCalls25!$AA$15:$AA$5631),"I",(AllCalls25!$K$15:$K$5631),"2")</f>
        <v>33</v>
      </c>
      <c r="AB7" s="21">
        <f>COUNTIFS((AllCalls25!$AA$15:$AA$5631),"I",(AllCalls25!$K$15:$K$5631),"3")</f>
        <v>39</v>
      </c>
      <c r="AC7" s="60">
        <f>COUNTIFS((AllCalls25!$AA$15:$AA$5631),"I",(AllCalls25!$K$15:$K$5631),"4")</f>
        <v>24</v>
      </c>
      <c r="AD7" s="21">
        <f>COUNTIFS((AllCalls25!$AA$15:$AA$5631),"I",(AllCalls25!$K$15:$K$5631),"5")</f>
        <v>21</v>
      </c>
      <c r="AE7" s="60">
        <f>COUNTIFS((AllCalls25!$AA$15:$AA$5631),"I",(AllCalls25!$K$15:$K$5631),"6")</f>
        <v>21</v>
      </c>
      <c r="AF7" s="21">
        <f>COUNTIFS((AllCalls25!$AA$15:$AA$5631),"I",(AllCalls25!$K$15:$K$5631),"7")</f>
        <v>43</v>
      </c>
      <c r="AG7" s="60">
        <f>COUNTIFS((AllCalls25!$AA$15:$AA$5631),"I",(AllCalls25!$K$15:$K$5631),"8")</f>
        <v>33</v>
      </c>
      <c r="AH7" s="21">
        <f>COUNTIFS((AllCalls25!$AA$15:$AA$5631),"I",(AllCalls25!$K$15:$K$5631),"9")</f>
        <v>39</v>
      </c>
      <c r="AI7" s="61">
        <f>COUNTIFS((AllCalls25!$AA$15:$AA$5631),"I",(AllCalls25!$K$15:$K$5631),"10")</f>
        <v>29</v>
      </c>
      <c r="AJ7" s="21">
        <f>COUNTIFS((AllCalls25!$AA$15:$AA$5631),"I",(AllCalls25!$K$15:$K$5631),"11")</f>
        <v>49</v>
      </c>
      <c r="AK7" s="61">
        <f>COUNTIFS((AllCalls25!$AA$15:$AA$5631),"I",(AllCalls25!$K$15:$K$5631),"12")</f>
        <v>70</v>
      </c>
      <c r="AL7" s="21">
        <f t="shared" si="2"/>
        <v>431</v>
      </c>
      <c r="AM7" s="26">
        <f t="shared" si="3"/>
        <v>0.66104294478527603</v>
      </c>
      <c r="AN7" s="12">
        <f t="shared" si="4"/>
        <v>922</v>
      </c>
      <c r="AO7" s="26">
        <f t="shared" si="5"/>
        <v>0.60065146579804563</v>
      </c>
      <c r="AP7" t="s">
        <v>22</v>
      </c>
    </row>
    <row r="8" spans="1:42">
      <c r="A8" s="2" t="s">
        <v>26</v>
      </c>
      <c r="B8" s="21">
        <v>8</v>
      </c>
      <c r="C8" s="22">
        <v>23</v>
      </c>
      <c r="D8" s="12">
        <v>22</v>
      </c>
      <c r="E8" s="13">
        <v>10</v>
      </c>
      <c r="F8" s="12">
        <v>10</v>
      </c>
      <c r="G8" s="13">
        <v>25</v>
      </c>
      <c r="H8" s="12">
        <v>13</v>
      </c>
      <c r="I8" s="13">
        <v>10</v>
      </c>
      <c r="J8" s="12">
        <f t="shared" si="0"/>
        <v>121</v>
      </c>
      <c r="K8" s="26">
        <f t="shared" si="1"/>
        <v>0.37345679012345678</v>
      </c>
      <c r="L8" s="12">
        <v>3</v>
      </c>
      <c r="M8" s="3">
        <v>11</v>
      </c>
      <c r="N8" s="12">
        <v>19</v>
      </c>
      <c r="O8" s="3">
        <v>8</v>
      </c>
      <c r="P8" s="12">
        <v>12</v>
      </c>
      <c r="Q8" s="3">
        <v>2</v>
      </c>
      <c r="R8" s="12">
        <v>14</v>
      </c>
      <c r="S8" s="3">
        <v>20</v>
      </c>
      <c r="T8" s="12">
        <v>6</v>
      </c>
      <c r="U8" s="56">
        <v>6</v>
      </c>
      <c r="V8" s="12">
        <v>21</v>
      </c>
      <c r="W8" s="56">
        <v>23</v>
      </c>
      <c r="X8" s="12">
        <v>145</v>
      </c>
      <c r="Y8" s="26">
        <v>0.30124575311438279</v>
      </c>
      <c r="Z8" s="21">
        <f>COUNTIFS((AllCalls25!$AB$15:$AB$5631),"I",(AllCalls25!$K$15:$K$5631),"1")</f>
        <v>19</v>
      </c>
      <c r="AA8" s="18">
        <f>COUNTIFS((AllCalls25!$AB$15:$AB$5631),"I",(AllCalls25!$K$15:$K$5631),"2")</f>
        <v>15</v>
      </c>
      <c r="AB8" s="21">
        <f>COUNTIFS((AllCalls25!$AB$15:$AB$5631),"I",(AllCalls25!$K$15:$K$5631),"3")</f>
        <v>26</v>
      </c>
      <c r="AC8" s="18">
        <f>COUNTIFS((AllCalls25!$AB$15:$AB$5631),"I",(AllCalls25!$K$15:$K$5631),"4")</f>
        <v>26</v>
      </c>
      <c r="AD8" s="21">
        <f>COUNTIFS((AllCalls25!$AB$15:$AB$5631),"I",(AllCalls25!$K$15:$K$5631),"5")</f>
        <v>40</v>
      </c>
      <c r="AE8" s="18">
        <f>COUNTIFS((AllCalls25!$AB$15:$AB$5631),"I",(AllCalls25!$K$15:$K$5631),"6")</f>
        <v>18</v>
      </c>
      <c r="AF8" s="21">
        <f>COUNTIFS((AllCalls25!$AB$15:$AB$5631),"I",(AllCalls25!$K$15:$K$5631),"7")</f>
        <v>29</v>
      </c>
      <c r="AG8" s="18">
        <f>COUNTIFS((AllCalls25!$AB$15:$AB$5631),"I",(AllCalls25!$K$15:$K$5631),"8")</f>
        <v>0</v>
      </c>
      <c r="AH8" s="21">
        <f>COUNTIFS((AllCalls25!$AB$15:$AB$5631),"I",(AllCalls25!$K$15:$K$5631),"9")</f>
        <v>16</v>
      </c>
      <c r="AI8" s="22">
        <f>COUNTIFS((AllCalls25!$AB$15:$AB$5631),"I",(AllCalls25!$K$15:$K$5631),"10")</f>
        <v>9</v>
      </c>
      <c r="AJ8" s="21">
        <f>COUNTIFS((AllCalls25!$AB$15:$AB$5631),"I",(AllCalls25!$K$15:$K$5631),"11")</f>
        <v>8</v>
      </c>
      <c r="AK8" s="22">
        <f>COUNTIFS((AllCalls25!$AB$15:$AB$5631),"I",(AllCalls25!$K$15:$K$5631),"12")</f>
        <v>28</v>
      </c>
      <c r="AL8" s="21">
        <f t="shared" si="2"/>
        <v>234</v>
      </c>
      <c r="AM8" s="26">
        <f t="shared" si="3"/>
        <v>0.35889570552147237</v>
      </c>
      <c r="AN8" s="12">
        <f t="shared" si="4"/>
        <v>500</v>
      </c>
      <c r="AO8" s="26">
        <f t="shared" si="5"/>
        <v>0.32573289902280128</v>
      </c>
      <c r="AP8" t="s">
        <v>22</v>
      </c>
    </row>
    <row r="9" spans="1:42">
      <c r="A9" s="2" t="s">
        <v>27</v>
      </c>
      <c r="B9" s="21">
        <v>18</v>
      </c>
      <c r="C9" s="22">
        <v>17</v>
      </c>
      <c r="D9" s="12">
        <v>21</v>
      </c>
      <c r="E9" s="13">
        <v>7</v>
      </c>
      <c r="F9" s="12">
        <v>18</v>
      </c>
      <c r="G9" s="13">
        <v>10</v>
      </c>
      <c r="H9" s="12">
        <v>7</v>
      </c>
      <c r="I9" s="13">
        <v>7</v>
      </c>
      <c r="J9" s="12">
        <f t="shared" si="0"/>
        <v>105</v>
      </c>
      <c r="K9" s="26">
        <f t="shared" si="1"/>
        <v>0.32407407407407407</v>
      </c>
      <c r="L9" s="12">
        <v>12</v>
      </c>
      <c r="M9" s="3">
        <v>13</v>
      </c>
      <c r="N9" s="12">
        <v>2</v>
      </c>
      <c r="O9" s="3">
        <v>10</v>
      </c>
      <c r="P9" s="12">
        <v>32</v>
      </c>
      <c r="Q9" s="3">
        <v>3</v>
      </c>
      <c r="R9" s="12">
        <v>4</v>
      </c>
      <c r="S9" s="3">
        <v>12</v>
      </c>
      <c r="T9" s="12">
        <v>14</v>
      </c>
      <c r="U9" s="56">
        <v>4</v>
      </c>
      <c r="V9" s="12">
        <v>5</v>
      </c>
      <c r="W9" s="56">
        <v>25</v>
      </c>
      <c r="X9" s="12">
        <v>136</v>
      </c>
      <c r="Y9" s="26">
        <v>0.27293318233295583</v>
      </c>
      <c r="Z9" s="21">
        <f>COUNTIFS((AllCalls25!$AC$15:$AC$5631),"I",(AllCalls25!$K$15:$K$5631),"1")</f>
        <v>13</v>
      </c>
      <c r="AA9" s="60">
        <f>COUNTIFS((AllCalls25!$AC$15:$AC$5631),"I",(AllCalls25!$K$15:$K$5631),"2")</f>
        <v>7</v>
      </c>
      <c r="AB9" s="21">
        <f>COUNTIFS((AllCalls25!$AC$15:$AC$5631),"I",(AllCalls25!$K$15:$K$5631),"3")</f>
        <v>11</v>
      </c>
      <c r="AC9" s="60">
        <f>COUNTIFS((AllCalls25!$AC$15:$AC$5631),"I",(AllCalls25!$K$15:$K$5631),"4")</f>
        <v>8</v>
      </c>
      <c r="AD9" s="21">
        <f>COUNTIFS((AllCalls25!$AC$15:$AC$5631),"I",(AllCalls25!$K$15:$K$5631),"5")</f>
        <v>19</v>
      </c>
      <c r="AE9" s="60">
        <f>COUNTIFS((AllCalls25!$AC$15:$AC$5631),"I",(AllCalls25!$K$15:$K$5631),"6")</f>
        <v>12</v>
      </c>
      <c r="AF9" s="21">
        <f>COUNTIFS((AllCalls25!$AC$15:$AC$5631),"I",(AllCalls25!$K$15:$K$5631),"7")</f>
        <v>18</v>
      </c>
      <c r="AG9" s="60">
        <f>COUNTIFS((AllCalls25!$AC$15:$AC$5631),"I",(AllCalls25!$K$15:$K$5631),"8")</f>
        <v>5</v>
      </c>
      <c r="AH9" s="21">
        <f>COUNTIFS((AllCalls25!$AC$15:$AC$5631),"I",(AllCalls25!$K$15:$K$5631),"9")</f>
        <v>8</v>
      </c>
      <c r="AI9" s="61">
        <f>COUNTIFS((AllCalls25!$AC$15:$AC$5631),"I",(AllCalls25!$K$15:$K$5631),"10")</f>
        <v>2</v>
      </c>
      <c r="AJ9" s="21">
        <f>COUNTIFS((AllCalls25!$AC$15:$AC$5631),"I",(AllCalls25!$K$15:$K$5631),"11")</f>
        <v>19</v>
      </c>
      <c r="AK9" s="61">
        <f>COUNTIFS((AllCalls25!$AC$15:$AC$5631),"I",(AllCalls25!$K$15:$K$5631),"12")</f>
        <v>6</v>
      </c>
      <c r="AL9" s="21">
        <f t="shared" si="2"/>
        <v>128</v>
      </c>
      <c r="AM9" s="26">
        <f t="shared" si="3"/>
        <v>0.19631901840490798</v>
      </c>
      <c r="AN9" s="12">
        <f t="shared" si="4"/>
        <v>369</v>
      </c>
      <c r="AO9" s="26">
        <f t="shared" si="5"/>
        <v>0.24039087947882737</v>
      </c>
      <c r="AP9" t="s">
        <v>22</v>
      </c>
    </row>
    <row r="10" spans="1:42">
      <c r="A10" s="2" t="s">
        <v>28</v>
      </c>
      <c r="B10" s="21">
        <v>16</v>
      </c>
      <c r="C10" s="22">
        <v>34</v>
      </c>
      <c r="D10" s="12">
        <v>31</v>
      </c>
      <c r="E10" s="13">
        <v>13</v>
      </c>
      <c r="F10" s="12">
        <v>10</v>
      </c>
      <c r="G10" s="13">
        <v>17</v>
      </c>
      <c r="H10" s="12">
        <v>23</v>
      </c>
      <c r="I10" s="13">
        <v>22</v>
      </c>
      <c r="J10" s="12">
        <f t="shared" si="0"/>
        <v>166</v>
      </c>
      <c r="K10" s="26">
        <f t="shared" si="1"/>
        <v>0.51234567901234573</v>
      </c>
      <c r="L10" s="12">
        <v>13</v>
      </c>
      <c r="M10" s="3">
        <v>30</v>
      </c>
      <c r="N10" s="12">
        <v>30</v>
      </c>
      <c r="O10" s="3">
        <v>21</v>
      </c>
      <c r="P10" s="12">
        <v>33</v>
      </c>
      <c r="Q10" s="3">
        <v>2</v>
      </c>
      <c r="R10" s="12">
        <v>22</v>
      </c>
      <c r="S10" s="3">
        <v>8</v>
      </c>
      <c r="T10" s="12">
        <v>13</v>
      </c>
      <c r="U10" s="56">
        <v>18</v>
      </c>
      <c r="V10" s="12">
        <v>20</v>
      </c>
      <c r="W10" s="56">
        <v>27</v>
      </c>
      <c r="X10" s="12">
        <v>237</v>
      </c>
      <c r="Y10" s="26">
        <v>0.45639864099660249</v>
      </c>
      <c r="Z10" s="115">
        <f>COUNTIFS((AllCalls25!$AD$15:$AD$5631),"I",(AllCalls25!$K$15:$K$5631),"1")</f>
        <v>2</v>
      </c>
      <c r="AA10" s="18">
        <f>COUNTIFS((AllCalls25!$AD$15:$AD$5631),"I",(AllCalls25!$K$15:$K$5631),"2")</f>
        <v>6</v>
      </c>
      <c r="AB10" s="21">
        <f>COUNTIFS((AllCalls25!$AD$15:$AD$5631),"I",(AllCalls25!$K$15:$K$5631),"3")</f>
        <v>26</v>
      </c>
      <c r="AC10" s="18">
        <f>COUNTIFS((AllCalls25!$AD$15:$AD$5631),"I",(AllCalls25!$K$15:$K$5631),"4")</f>
        <v>19</v>
      </c>
      <c r="AD10" s="21">
        <f>COUNTIFS((AllCalls25!$AD$15:$AD$5631),"I",(AllCalls25!$K$15:$K$5631),"5")</f>
        <v>22</v>
      </c>
      <c r="AE10" s="18">
        <f>COUNTIFS((AllCalls25!$AD$15:$AD$5631),"I",(AllCalls25!$K$15:$K$5631),"6")</f>
        <v>17</v>
      </c>
      <c r="AF10" s="21">
        <f>COUNTIFS((AllCalls25!$AD$15:$AD$5631),"I",(AllCalls25!$K$15:$K$5631),"7")</f>
        <v>23</v>
      </c>
      <c r="AG10" s="18">
        <f>COUNTIFS((AllCalls25!$AD$15:$AD$5631),"I",(AllCalls25!$K$15:$K$5631),"8")</f>
        <v>27</v>
      </c>
      <c r="AH10" s="21">
        <f>COUNTIFS((AllCalls25!$AD$15:$AD$5631),"I",(AllCalls25!$K$15:$K$5631),"9")</f>
        <v>20</v>
      </c>
      <c r="AI10" s="22">
        <f>COUNTIFS((AllCalls25!$AD$15:$AD$5631),"I",(AllCalls25!$K$15:$K$5631),"10")</f>
        <v>12</v>
      </c>
      <c r="AJ10" s="21">
        <f>COUNTIFS((AllCalls25!$AD$15:$AD$5631),"I",(AllCalls25!$K$15:$K$5631),"11")</f>
        <v>21</v>
      </c>
      <c r="AK10" s="22">
        <f>COUNTIFS((AllCalls25!$AD$15:$AD$5631),"I",(AllCalls25!$K$15:$K$5631),"12")</f>
        <v>17</v>
      </c>
      <c r="AL10" s="21">
        <f t="shared" si="2"/>
        <v>212</v>
      </c>
      <c r="AM10" s="26">
        <f>(SUM($AL10))/SUM($AL$2)</f>
        <v>0.32515337423312884</v>
      </c>
      <c r="AN10" s="12">
        <f t="shared" si="4"/>
        <v>615</v>
      </c>
      <c r="AO10" s="26">
        <f t="shared" si="5"/>
        <v>0.40065146579804561</v>
      </c>
      <c r="AP10" t="s">
        <v>22</v>
      </c>
    </row>
    <row r="11" spans="1:42">
      <c r="A11" s="2" t="s">
        <v>29</v>
      </c>
      <c r="B11" s="21">
        <v>7</v>
      </c>
      <c r="C11" s="22">
        <v>0</v>
      </c>
      <c r="D11" s="12">
        <v>13</v>
      </c>
      <c r="E11" s="13">
        <v>11</v>
      </c>
      <c r="F11" s="12">
        <v>14</v>
      </c>
      <c r="G11" s="13">
        <v>30</v>
      </c>
      <c r="H11" s="12">
        <v>14</v>
      </c>
      <c r="I11" s="13">
        <v>22</v>
      </c>
      <c r="J11" s="12">
        <f t="shared" si="0"/>
        <v>111</v>
      </c>
      <c r="K11" s="26">
        <f t="shared" ref="K11" si="6">(J11/$J$2)</f>
        <v>0.34259259259259262</v>
      </c>
      <c r="L11" s="12">
        <v>27</v>
      </c>
      <c r="M11" s="3">
        <v>21</v>
      </c>
      <c r="N11" s="12">
        <v>19</v>
      </c>
      <c r="O11" s="3">
        <v>17</v>
      </c>
      <c r="P11" s="12">
        <v>20</v>
      </c>
      <c r="Q11" s="3">
        <v>18</v>
      </c>
      <c r="R11" s="12">
        <v>18</v>
      </c>
      <c r="S11" s="3">
        <v>20</v>
      </c>
      <c r="T11" s="12">
        <v>14</v>
      </c>
      <c r="U11" s="56">
        <v>21</v>
      </c>
      <c r="V11" s="12">
        <v>17</v>
      </c>
      <c r="W11" s="56">
        <v>18</v>
      </c>
      <c r="X11" s="12">
        <v>230</v>
      </c>
      <c r="Y11" s="26">
        <v>0.38618346545866367</v>
      </c>
      <c r="Z11" s="115">
        <f>COUNTIFS((AllCalls25!$AE$15:$AE$5631),"I",(AllCalls25!$K$15:$K$5631),"1")</f>
        <v>13</v>
      </c>
      <c r="AA11" s="18">
        <f>COUNTIFS((AllCalls25!$AE$15:$AE$5631),"I",(AllCalls25!$K$15:$K$5631),"2")</f>
        <v>0</v>
      </c>
      <c r="AB11" s="21">
        <f>COUNTIFS((AllCalls25!$AE$15:$AE$5631),"I",(AllCalls25!$K$15:$K$5631),"3")</f>
        <v>3</v>
      </c>
      <c r="AC11" s="18">
        <f>COUNTIFS((AllCalls25!$AE$15:$AE$5631),"I",(AllCalls25!$K$15:$K$5631),"4")</f>
        <v>8</v>
      </c>
      <c r="AD11" s="21">
        <f>COUNTIFS((AllCalls25!$AE$15:$AE$5631),"I",(AllCalls25!$K$15:$K$5631),"5")</f>
        <v>28</v>
      </c>
      <c r="AE11" s="18">
        <f>COUNTIFS((AllCalls25!$AE$15:$AE$5631),"I",(AllCalls25!$K$15:$K$5631),"6")</f>
        <v>14</v>
      </c>
      <c r="AF11" s="21">
        <f>COUNTIFS((AllCalls25!$AE$15:$AE$5631),"I",(AllCalls25!$K$15:$K$5631),"7")</f>
        <v>14</v>
      </c>
      <c r="AG11" s="18">
        <f>COUNTIFS((AllCalls25!$AE$15:$AE$5631),"I",(AllCalls25!$K$15:$K$5631),"8")</f>
        <v>23</v>
      </c>
      <c r="AH11" s="21">
        <f>COUNTIFS((AllCalls25!$AE$15:$AE$5631),"I",(AllCalls25!$K$15:$K$5631),"9")</f>
        <v>16</v>
      </c>
      <c r="AI11" s="22">
        <f>COUNTIFS((AllCalls25!$AE$15:$AE$5631),"I",(AllCalls25!$K$15:$K$5631),"10")</f>
        <v>11</v>
      </c>
      <c r="AJ11" s="21">
        <f>COUNTIFS((AllCalls25!$AE$15:$AE$5631),"I",(AllCalls25!$K$15:$K$5631),"11")</f>
        <v>18</v>
      </c>
      <c r="AK11" s="22">
        <f>COUNTIFS((AllCalls25!$AE$15:$AE$5631),"I",(AllCalls25!$K$15:$K$5631),"12")</f>
        <v>39</v>
      </c>
      <c r="AL11" s="21">
        <f t="shared" si="2"/>
        <v>187</v>
      </c>
      <c r="AM11" s="26">
        <f t="shared" si="3"/>
        <v>0.28680981595092025</v>
      </c>
      <c r="AN11" s="12">
        <f t="shared" si="4"/>
        <v>528</v>
      </c>
      <c r="AO11" s="26">
        <f t="shared" ref="AO11" si="7">(SUM(AN11))/SUM($AN$2)</f>
        <v>0.34397394136807818</v>
      </c>
      <c r="AP11" t="s">
        <v>22</v>
      </c>
    </row>
    <row r="12" spans="1:42">
      <c r="A12" s="2" t="s">
        <v>30</v>
      </c>
      <c r="B12" s="21">
        <v>7</v>
      </c>
      <c r="C12" s="22">
        <v>11</v>
      </c>
      <c r="D12" s="12">
        <v>11</v>
      </c>
      <c r="E12" s="13">
        <v>11</v>
      </c>
      <c r="F12" s="12">
        <v>6</v>
      </c>
      <c r="G12" s="13">
        <v>9</v>
      </c>
      <c r="H12" s="12">
        <v>5</v>
      </c>
      <c r="I12" s="13">
        <v>10</v>
      </c>
      <c r="J12" s="12">
        <f t="shared" si="0"/>
        <v>70</v>
      </c>
      <c r="K12" s="26">
        <f t="shared" si="1"/>
        <v>0.21604938271604937</v>
      </c>
      <c r="L12" s="12">
        <v>12</v>
      </c>
      <c r="M12" s="3">
        <v>11</v>
      </c>
      <c r="N12" s="12">
        <v>5</v>
      </c>
      <c r="O12" s="3">
        <v>10</v>
      </c>
      <c r="P12" s="12">
        <v>9</v>
      </c>
      <c r="Q12" s="3">
        <v>4</v>
      </c>
      <c r="R12" s="12">
        <v>10</v>
      </c>
      <c r="S12" s="3">
        <v>4</v>
      </c>
      <c r="T12" s="12">
        <v>5</v>
      </c>
      <c r="U12" s="56">
        <v>21</v>
      </c>
      <c r="V12" s="12">
        <v>25</v>
      </c>
      <c r="W12" s="56">
        <v>27</v>
      </c>
      <c r="X12" s="12">
        <v>143</v>
      </c>
      <c r="Y12" s="26">
        <v>0.24122310305775765</v>
      </c>
      <c r="Z12" s="21">
        <f>COUNTIFS((AllCalls25!$AF$15:$AF$5631),"I",(AllCalls25!$K$15:$K$5631),"1")</f>
        <v>14</v>
      </c>
      <c r="AA12" s="18">
        <f>COUNTIFS((AllCalls25!$AF$15:$AF$5631),"I",(AllCalls25!$K$15:$K$5631),"2")</f>
        <v>4</v>
      </c>
      <c r="AB12" s="21">
        <f>COUNTIFS((AllCalls25!$AF$15:$AF$5631),"I",(AllCalls25!$K$15:$K$5631),"3")</f>
        <v>15</v>
      </c>
      <c r="AC12" s="18">
        <f>COUNTIFS((AllCalls25!$AF$15:$AF$5631),"I",(AllCalls25!$K$15:$K$5631),"4")</f>
        <v>17</v>
      </c>
      <c r="AD12" s="21">
        <f>COUNTIFS((AllCalls25!$AF$15:$AF$5631),"I",(AllCalls25!$K$15:$K$5631),"5")</f>
        <v>22</v>
      </c>
      <c r="AE12" s="18">
        <f>COUNTIFS((AllCalls25!$AF$15:$AF$5631),"I",(AllCalls25!$K$15:$K$5631),"6")</f>
        <v>9</v>
      </c>
      <c r="AF12" s="21">
        <f>COUNTIFS((AllCalls25!$AF$15:$AF$5631),"I",(AllCalls25!$K$15:$K$5631),"7")</f>
        <v>17</v>
      </c>
      <c r="AG12" s="18">
        <f>COUNTIFS((AllCalls25!$AF$15:$AF$5631),"I",(AllCalls25!$K$15:$K$5631),"8")</f>
        <v>7</v>
      </c>
      <c r="AH12" s="21">
        <f>COUNTIFS((AllCalls25!$AF$15:$AF$5631),"I",(AllCalls25!$K$15:$K$5631),"9")</f>
        <v>3</v>
      </c>
      <c r="AI12" s="22">
        <f>COUNTIFS((AllCalls25!$AF$15:$AF$5631),"I",(AllCalls25!$K$15:$K$5631),"10")</f>
        <v>8</v>
      </c>
      <c r="AJ12" s="21">
        <f>COUNTIFS((AllCalls25!$AF$15:$AF$5631),"I",(AllCalls25!$K$15:$K$5631),"11")</f>
        <v>14</v>
      </c>
      <c r="AK12" s="22">
        <f>COUNTIFS((AllCalls25!$AF$15:$AF$5631),"I",(AllCalls25!$K$15:$K$5631),"12")</f>
        <v>3</v>
      </c>
      <c r="AL12" s="21">
        <f t="shared" si="2"/>
        <v>133</v>
      </c>
      <c r="AM12" s="26">
        <f t="shared" si="3"/>
        <v>0.20398773006134968</v>
      </c>
      <c r="AN12" s="12">
        <f t="shared" si="4"/>
        <v>346</v>
      </c>
      <c r="AO12" s="26">
        <f t="shared" si="5"/>
        <v>0.22540716612377851</v>
      </c>
      <c r="AP12" t="s">
        <v>31</v>
      </c>
    </row>
    <row r="13" spans="1:42">
      <c r="A13" s="2" t="s">
        <v>32</v>
      </c>
      <c r="B13" s="21">
        <v>8</v>
      </c>
      <c r="C13" s="22">
        <v>17</v>
      </c>
      <c r="D13" s="12">
        <v>19</v>
      </c>
      <c r="E13" s="13">
        <v>4</v>
      </c>
      <c r="F13" s="12">
        <v>1</v>
      </c>
      <c r="G13" s="13">
        <v>22</v>
      </c>
      <c r="H13" s="12">
        <v>14</v>
      </c>
      <c r="I13" s="13">
        <v>12</v>
      </c>
      <c r="J13" s="12">
        <f t="shared" si="0"/>
        <v>97</v>
      </c>
      <c r="K13" s="26">
        <f t="shared" si="1"/>
        <v>0.29938271604938271</v>
      </c>
      <c r="L13" s="12">
        <v>21</v>
      </c>
      <c r="M13" s="3">
        <v>13</v>
      </c>
      <c r="N13" s="12">
        <v>3</v>
      </c>
      <c r="O13" s="3">
        <v>15</v>
      </c>
      <c r="P13" s="12">
        <v>16</v>
      </c>
      <c r="Q13" s="3">
        <v>12</v>
      </c>
      <c r="R13" s="12">
        <v>5</v>
      </c>
      <c r="S13" s="3">
        <v>0</v>
      </c>
      <c r="T13" s="12">
        <v>3</v>
      </c>
      <c r="U13" s="56">
        <v>13</v>
      </c>
      <c r="V13" s="12">
        <v>14</v>
      </c>
      <c r="W13" s="56">
        <v>19</v>
      </c>
      <c r="X13" s="12">
        <v>134</v>
      </c>
      <c r="Y13" s="26">
        <v>0.26160815402038506</v>
      </c>
      <c r="Z13" s="21">
        <f>COUNTIFS((AllCalls25!$AG$15:$AG$5631),"I",(AllCalls25!$K$15:$K$5631),"1")</f>
        <v>16</v>
      </c>
      <c r="AA13" s="60">
        <f>COUNTIFS((AllCalls25!$AG$15:$AG$5631),"I",(AllCalls25!$K$15:$K$5631),"2")</f>
        <v>11</v>
      </c>
      <c r="AB13" s="21">
        <f>COUNTIFS((AllCalls25!$AG$15:$AG$5631),"I",(AllCalls25!$K$15:$K$5631),"3")</f>
        <v>8</v>
      </c>
      <c r="AC13" s="60">
        <f>COUNTIFS((AllCalls25!$AG$15:$AG$5631),"I",(AllCalls25!$K$15:$K$5631),"4")</f>
        <v>5</v>
      </c>
      <c r="AD13" s="21">
        <f>COUNTIFS((AllCalls25!$AG$15:$AG$5631),"I",(AllCalls25!$K$15:$K$5631),"5")</f>
        <v>14</v>
      </c>
      <c r="AE13" s="60">
        <f>COUNTIFS((AllCalls25!$AG$15:$AG$5631),"I",(AllCalls25!$K$15:$K$5631),"6")</f>
        <v>10</v>
      </c>
      <c r="AF13" s="21">
        <f>COUNTIFS((AllCalls25!$AG$15:$AG$5631),"I",(AllCalls25!$K$15:$K$5631),"7")</f>
        <v>11</v>
      </c>
      <c r="AG13" s="60">
        <f>COUNTIFS((AllCalls25!$AG$15:$AG$5631),"I",(AllCalls25!$K$15:$K$5631),"8")</f>
        <v>13</v>
      </c>
      <c r="AH13" s="21">
        <f>COUNTIFS((AllCalls25!$AG$15:$AG$5631),"I",(AllCalls25!$K$15:$K$5631),"9")</f>
        <v>3</v>
      </c>
      <c r="AI13" s="61">
        <f>COUNTIFS((AllCalls25!$AG$15:$AG$5631),"I",(AllCalls25!$K$15:$K$5631),"10")</f>
        <v>6</v>
      </c>
      <c r="AJ13" s="21">
        <f>COUNTIFS((AllCalls25!$AG$15:$AG$5631),"I",(AllCalls25!$K$15:$K$5631),"11")</f>
        <v>8</v>
      </c>
      <c r="AK13" s="61">
        <f>COUNTIFS((AllCalls25!$AG$15:$AG$5631),"I",(AllCalls25!$K$15:$K$5631),"12")</f>
        <v>37</v>
      </c>
      <c r="AL13" s="21">
        <f t="shared" si="2"/>
        <v>142</v>
      </c>
      <c r="AM13" s="26">
        <f>(SUM($AL13))/SUM($AL$2)</f>
        <v>0.21779141104294478</v>
      </c>
      <c r="AN13" s="12">
        <f t="shared" si="4"/>
        <v>373</v>
      </c>
      <c r="AO13" s="26">
        <f t="shared" si="5"/>
        <v>0.24299674267100976</v>
      </c>
      <c r="AP13" t="s">
        <v>33</v>
      </c>
    </row>
    <row r="14" spans="1:42">
      <c r="A14" s="2" t="s">
        <v>34</v>
      </c>
      <c r="B14" s="21">
        <v>22</v>
      </c>
      <c r="C14" s="22">
        <v>33</v>
      </c>
      <c r="D14" s="12">
        <v>27</v>
      </c>
      <c r="E14" s="13">
        <v>12</v>
      </c>
      <c r="F14" s="12">
        <v>18</v>
      </c>
      <c r="G14" s="13">
        <v>21</v>
      </c>
      <c r="H14" s="12">
        <v>11</v>
      </c>
      <c r="I14" s="13">
        <v>16</v>
      </c>
      <c r="J14" s="12">
        <f t="shared" si="0"/>
        <v>160</v>
      </c>
      <c r="K14" s="26">
        <f t="shared" si="1"/>
        <v>0.49382716049382713</v>
      </c>
      <c r="L14" s="12">
        <v>24</v>
      </c>
      <c r="M14" s="3">
        <v>20</v>
      </c>
      <c r="N14" s="12">
        <v>24</v>
      </c>
      <c r="O14" s="3">
        <v>23</v>
      </c>
      <c r="P14" s="12">
        <v>33</v>
      </c>
      <c r="Q14" s="3">
        <v>21</v>
      </c>
      <c r="R14" s="12">
        <v>27</v>
      </c>
      <c r="S14" s="3">
        <v>28</v>
      </c>
      <c r="T14" s="12">
        <v>25</v>
      </c>
      <c r="U14" s="56">
        <v>29</v>
      </c>
      <c r="V14" s="12">
        <v>21</v>
      </c>
      <c r="W14" s="56">
        <v>24</v>
      </c>
      <c r="X14" s="12">
        <v>299</v>
      </c>
      <c r="Y14" s="26">
        <v>0.51981879954699883</v>
      </c>
      <c r="Z14" s="21">
        <f>COUNTIFS((AllCalls25!$AH$15:$AH$5631),"I",(AllCalls25!$K$15:$K$5631),"1")</f>
        <v>32</v>
      </c>
      <c r="AA14" s="18">
        <f>COUNTIFS((AllCalls25!$AH$15:$AH$5631),"I",(AllCalls25!$K$15:$K$5631),"2")</f>
        <v>32</v>
      </c>
      <c r="AB14" s="21">
        <f>COUNTIFS((AllCalls25!$AH$15:$AH$5631),"I",(AllCalls25!$K$15:$K$5631),"3")</f>
        <v>33</v>
      </c>
      <c r="AC14" s="18">
        <f>COUNTIFS((AllCalls25!$AH$15:$AH$5631),"I",(AllCalls25!$K$15:$K$5631),"4")</f>
        <v>30</v>
      </c>
      <c r="AD14" s="21">
        <f>COUNTIFS((AllCalls25!$AH$15:$AH$5631),"I",(AllCalls25!$K$15:$K$5631),"5")</f>
        <v>31</v>
      </c>
      <c r="AE14" s="18">
        <f>COUNTIFS((AllCalls25!$AH$15:$AH$5631),"I",(AllCalls25!$K$15:$K$5631),"6")</f>
        <v>12</v>
      </c>
      <c r="AF14" s="21">
        <f>COUNTIFS((AllCalls25!$AH$15:$AH$5631),"I",(AllCalls25!$K$15:$K$5631),"7")</f>
        <v>40</v>
      </c>
      <c r="AG14" s="18">
        <f>COUNTIFS((AllCalls25!$AH$15:$AH$5631),"I",(AllCalls25!$K$15:$K$5631),"8")</f>
        <v>38</v>
      </c>
      <c r="AH14" s="21">
        <f>COUNTIFS((AllCalls25!$AH$15:$AH$5631),"I",(AllCalls25!$K$15:$K$5631),"9")</f>
        <v>32</v>
      </c>
      <c r="AI14" s="22">
        <f>COUNTIFS((AllCalls25!$AH$15:$AH$5631),"I",(AllCalls25!$K$15:$K$5631),"10")</f>
        <v>28</v>
      </c>
      <c r="AJ14" s="21">
        <f>COUNTIFS((AllCalls25!$AH$15:$AH$5631),"I",(AllCalls25!$K$15:$K$5631),"11")</f>
        <v>38</v>
      </c>
      <c r="AK14" s="22">
        <f>COUNTIFS((AllCalls25!$AH$15:$AH$5631),"I",(AllCalls25!$K$15:$K$5631),"12")</f>
        <v>61</v>
      </c>
      <c r="AL14" s="21">
        <f t="shared" si="2"/>
        <v>407</v>
      </c>
      <c r="AM14" s="26">
        <f t="shared" si="3"/>
        <v>0.62423312883435578</v>
      </c>
      <c r="AN14" s="12">
        <f t="shared" si="4"/>
        <v>866</v>
      </c>
      <c r="AO14" s="26">
        <f t="shared" si="5"/>
        <v>0.56416938110749182</v>
      </c>
      <c r="AP14" t="s">
        <v>31</v>
      </c>
    </row>
    <row r="15" spans="1:42">
      <c r="A15" s="2" t="s">
        <v>35</v>
      </c>
      <c r="B15" s="21">
        <v>9</v>
      </c>
      <c r="C15" s="22">
        <v>11</v>
      </c>
      <c r="D15" s="12">
        <v>13</v>
      </c>
      <c r="E15" s="13">
        <v>9</v>
      </c>
      <c r="F15" s="12">
        <v>13</v>
      </c>
      <c r="G15" s="13">
        <v>12</v>
      </c>
      <c r="H15" s="12">
        <v>7</v>
      </c>
      <c r="I15" s="13">
        <v>13</v>
      </c>
      <c r="J15" s="12">
        <f t="shared" si="0"/>
        <v>87</v>
      </c>
      <c r="K15" s="26">
        <f t="shared" si="1"/>
        <v>0.26851851851851855</v>
      </c>
      <c r="L15" s="12">
        <v>15</v>
      </c>
      <c r="M15" s="3">
        <v>20</v>
      </c>
      <c r="N15" s="12">
        <v>11</v>
      </c>
      <c r="O15" s="3">
        <v>6</v>
      </c>
      <c r="P15" s="12">
        <v>15</v>
      </c>
      <c r="Q15" s="3">
        <v>12</v>
      </c>
      <c r="R15" s="12">
        <v>12</v>
      </c>
      <c r="S15" s="3">
        <v>16</v>
      </c>
      <c r="T15" s="12">
        <v>12</v>
      </c>
      <c r="U15" s="56">
        <v>15</v>
      </c>
      <c r="V15" s="12">
        <v>26</v>
      </c>
      <c r="W15" s="56">
        <v>19</v>
      </c>
      <c r="X15" s="12">
        <v>179</v>
      </c>
      <c r="Y15" s="26">
        <v>0.30124575311438279</v>
      </c>
      <c r="Z15" s="21">
        <f>COUNTIFS((AllCalls25!$AI$15:$AI$5631),"I",(AllCalls25!$K$15:$K$5631),"1")</f>
        <v>23</v>
      </c>
      <c r="AA15" s="60">
        <f>COUNTIFS((AllCalls25!$AI$15:$AI$5631),"I",(AllCalls25!$K$15:$K$5631),"2")</f>
        <v>14</v>
      </c>
      <c r="AB15" s="21">
        <f>COUNTIFS((AllCalls25!$AI$15:$AI$5631),"I",(AllCalls25!$K$15:$K$5631),"3")</f>
        <v>19</v>
      </c>
      <c r="AC15" s="60">
        <f>COUNTIFS((AllCalls25!$AI$15:$AI$5631),"I",(AllCalls25!$K$15:$K$5631),"4")</f>
        <v>12</v>
      </c>
      <c r="AD15" s="21">
        <f>COUNTIFS((AllCalls25!$AI$15:$AI$5631),"I",(AllCalls25!$K$15:$K$5631),"5")</f>
        <v>19</v>
      </c>
      <c r="AE15" s="60">
        <f>COUNTIFS((AllCalls25!$AI$15:$AI$5631),"I",(AllCalls25!$K$15:$K$5631),"6")</f>
        <v>13</v>
      </c>
      <c r="AF15" s="21">
        <f>COUNTIFS((AllCalls25!$AI$15:$AI$5631),"I",(AllCalls25!$K$15:$K$5631),"7")</f>
        <v>8</v>
      </c>
      <c r="AG15" s="60">
        <f>COUNTIFS((AllCalls25!$AI$15:$AI$5631),"I",(AllCalls25!$K$15:$K$5631),"8")</f>
        <v>25</v>
      </c>
      <c r="AH15" s="21">
        <f>COUNTIFS((AllCalls25!$AI$15:$AI$5631),"I",(AllCalls25!$K$15:$K$5631),"9")</f>
        <v>10</v>
      </c>
      <c r="AI15" s="61">
        <f>COUNTIFS((AllCalls25!$AI$15:$AI$5631),"I",(AllCalls25!$K$15:$K$5631),"10")</f>
        <v>17</v>
      </c>
      <c r="AJ15" s="21">
        <f>COUNTIFS((AllCalls25!$AI$15:$AI$5631),"I",(AllCalls25!$K$15:$K$5631),"11")</f>
        <v>11</v>
      </c>
      <c r="AK15" s="61">
        <f>COUNTIFS((AllCalls25!$AI$15:$AI$5631),"I",(AllCalls25!$K$15:$K$5631),"12")</f>
        <v>47</v>
      </c>
      <c r="AL15" s="21">
        <f t="shared" si="2"/>
        <v>218</v>
      </c>
      <c r="AM15" s="26">
        <f t="shared" si="3"/>
        <v>0.33435582822085891</v>
      </c>
      <c r="AN15" s="12">
        <f>SUM($J15,$X15,$AL15)</f>
        <v>484</v>
      </c>
      <c r="AO15" s="26">
        <f t="shared" si="5"/>
        <v>0.31530944625407165</v>
      </c>
      <c r="AP15" t="s">
        <v>31</v>
      </c>
    </row>
    <row r="16" spans="1:42">
      <c r="A16" s="2" t="s">
        <v>36</v>
      </c>
      <c r="B16" s="21">
        <v>9</v>
      </c>
      <c r="C16" s="22">
        <v>15</v>
      </c>
      <c r="D16" s="33">
        <v>13</v>
      </c>
      <c r="E16" s="13">
        <v>12</v>
      </c>
      <c r="F16" s="33">
        <v>12</v>
      </c>
      <c r="G16" s="13">
        <v>11</v>
      </c>
      <c r="H16" s="33">
        <v>17</v>
      </c>
      <c r="I16" s="13">
        <v>3</v>
      </c>
      <c r="J16" s="33">
        <f t="shared" si="0"/>
        <v>92</v>
      </c>
      <c r="K16" s="26">
        <f t="shared" si="1"/>
        <v>0.2839506172839506</v>
      </c>
      <c r="L16" s="33">
        <v>20</v>
      </c>
      <c r="M16" s="3">
        <v>15</v>
      </c>
      <c r="N16" s="33">
        <v>16</v>
      </c>
      <c r="O16" s="3">
        <v>14</v>
      </c>
      <c r="P16" s="33">
        <v>27</v>
      </c>
      <c r="Q16" s="3">
        <v>17</v>
      </c>
      <c r="R16" s="33">
        <v>10</v>
      </c>
      <c r="S16" s="3">
        <v>15</v>
      </c>
      <c r="T16" s="13">
        <v>13</v>
      </c>
      <c r="U16" s="13">
        <v>9</v>
      </c>
      <c r="V16" s="12">
        <v>16</v>
      </c>
      <c r="W16" s="13">
        <v>17</v>
      </c>
      <c r="X16" s="33">
        <v>189</v>
      </c>
      <c r="Y16" s="26">
        <v>0.31823329558323898</v>
      </c>
      <c r="Z16" s="21">
        <f>COUNTIFS((AllCalls25!$AJ$15:$AJ$5631),"I",(AllCalls25!$K$15:$K$5631),"1")</f>
        <v>30</v>
      </c>
      <c r="AA16" s="60">
        <f>COUNTIFS((AllCalls25!$AJ$15:$AJ$5631),"I",(AllCalls25!$K$15:$K$5631),"2")</f>
        <v>31</v>
      </c>
      <c r="AB16" s="21">
        <f>COUNTIFS((AllCalls25!$AJ$15:$AJ$5631),"I",(AllCalls25!$K$15:$K$5631),"3")</f>
        <v>38</v>
      </c>
      <c r="AC16" s="60">
        <f>COUNTIFS((AllCalls25!$AJ$15:$AJ$5631),"I",(AllCalls25!$K$15:$K$5631),"4")</f>
        <v>24</v>
      </c>
      <c r="AD16" s="21">
        <f>COUNTIFS((AllCalls25!$AJ$15:$AJ$5631),"I",(AllCalls25!$K$15:$K$5631),"5")</f>
        <v>41</v>
      </c>
      <c r="AE16" s="60">
        <f>COUNTIFS((AllCalls25!$AJ$15:$AJ$5631),"I",(AllCalls25!$K$15:$K$5631),"6")</f>
        <v>25</v>
      </c>
      <c r="AF16" s="21">
        <f>COUNTIFS((AllCalls25!$AJ$15:$AJ$5631),"I",(AllCalls25!$K$15:$K$5631),"7")</f>
        <v>33</v>
      </c>
      <c r="AG16" s="60">
        <f>COUNTIFS((AllCalls25!$AJ$15:$AJ$5631),"I",(AllCalls25!$K$15:$K$5631),"8")</f>
        <v>37</v>
      </c>
      <c r="AH16" s="21">
        <f>COUNTIFS((AllCalls25!$AJ$15:$AJ$5631),"I",(AllCalls25!$K$15:$K$5631),"9")</f>
        <v>32</v>
      </c>
      <c r="AI16" s="61">
        <f>COUNTIFS((AllCalls25!$AJ$15:$AJ$5631),"I",(AllCalls25!$K$15:$K$5631),"10")</f>
        <v>22</v>
      </c>
      <c r="AJ16" s="21">
        <f>COUNTIFS((AllCalls25!$AJ$15:$AJ$5631),"I",(AllCalls25!$K$15:$K$5631),"11")</f>
        <v>46</v>
      </c>
      <c r="AK16" s="61">
        <f>COUNTIFS((AllCalls25!$AJ$15:$AJ$5631),"I",(AllCalls25!$K$15:$K$5631),"12")</f>
        <v>33</v>
      </c>
      <c r="AL16" s="21">
        <f t="shared" si="2"/>
        <v>392</v>
      </c>
      <c r="AM16" s="26">
        <f t="shared" si="3"/>
        <v>0.60122699386503065</v>
      </c>
      <c r="AN16" s="12">
        <f t="shared" si="4"/>
        <v>673</v>
      </c>
      <c r="AO16" s="26">
        <f t="shared" si="5"/>
        <v>0.43843648208469055</v>
      </c>
      <c r="AP16" t="s">
        <v>33</v>
      </c>
    </row>
    <row r="17" spans="1:42">
      <c r="A17" s="2" t="s">
        <v>37</v>
      </c>
      <c r="B17" s="27"/>
      <c r="C17" s="27"/>
      <c r="D17" s="27"/>
      <c r="E17" s="27"/>
      <c r="F17" s="27"/>
      <c r="G17" s="27"/>
      <c r="H17" s="27"/>
      <c r="I17" s="27"/>
      <c r="J17" s="49"/>
      <c r="K17" s="27"/>
      <c r="L17" s="27"/>
      <c r="M17" s="27"/>
      <c r="N17" s="27"/>
      <c r="O17" s="27"/>
      <c r="P17" s="27"/>
      <c r="Q17" s="27"/>
      <c r="R17" s="63"/>
      <c r="S17" s="27"/>
      <c r="T17" s="27"/>
      <c r="U17" s="80"/>
      <c r="V17" s="81"/>
      <c r="W17" s="81"/>
      <c r="X17" s="49">
        <v>0</v>
      </c>
      <c r="Y17" s="26"/>
      <c r="Z17" s="28">
        <f>COUNTIFS((AllCalls25!$AK$15:$AK$5631),"I",(AllCalls25!$K$15:$K$5631),"1")</f>
        <v>7</v>
      </c>
      <c r="AA17" s="18">
        <f>COUNTIFS((AllCalls25!$AK$15:$AK$5631),"I",(AllCalls25!$K$15:$K$5631),"2")</f>
        <v>22</v>
      </c>
      <c r="AB17" s="21">
        <f>COUNTIFS((AllCalls25!$AK$15:$AK$5631),"I",(AllCalls25!$K$15:$K$5631),"3")</f>
        <v>28</v>
      </c>
      <c r="AC17" s="18">
        <f>COUNTIFS((AllCalls25!$AK$15:$AK$5631),"I",(AllCalls25!$K$15:$K$5631),"4")</f>
        <v>18</v>
      </c>
      <c r="AD17" s="21">
        <f>COUNTIFS((AllCalls25!$AK$15:$AK$5631),"I",(AllCalls25!$K$15:$K$5631),"5")</f>
        <v>32</v>
      </c>
      <c r="AE17" s="18">
        <f>COUNTIFS((AllCalls25!$AK$15:$AK$5631),"I",(AllCalls25!$K$15:$K$5631),"6")</f>
        <v>13</v>
      </c>
      <c r="AF17" s="21">
        <f>COUNTIFS((AllCalls25!$AK$15:$AK$5631),"I",(AllCalls25!$K$15:$K$5631),"7")</f>
        <v>22</v>
      </c>
      <c r="AG17" s="18">
        <f>COUNTIFS((AllCalls25!$AK$15:$AK$5631),"I",(AllCalls25!$K$15:$K$5631),"8")</f>
        <v>24</v>
      </c>
      <c r="AH17" s="21">
        <f>COUNTIFS((AllCalls25!$AK$15:$AK$5631),"I",(AllCalls25!$K$15:$K$5631),"9")</f>
        <v>16</v>
      </c>
      <c r="AI17" s="22">
        <f>COUNTIFS((AllCalls25!$AK$15:$AK$5631),"I",(AllCalls25!$K$15:$K$5631),"10")</f>
        <v>12</v>
      </c>
      <c r="AJ17" s="21">
        <f>COUNTIFS((AllCalls25!$AK$15:$AK$5631),"I",(AllCalls25!$K$15:$K$5631),"11")</f>
        <v>20</v>
      </c>
      <c r="AK17" s="22">
        <f>COUNTIFS((AllCalls25!$AK$15:$AK$5631),"I",(AllCalls25!$K$15:$K$5631),"12")</f>
        <v>29</v>
      </c>
      <c r="AL17" s="21">
        <f t="shared" si="2"/>
        <v>243</v>
      </c>
      <c r="AM17" s="26">
        <f>(SUM($AA17:$AK17))/SUM($AA$2:$AK$2)</f>
        <v>0.39663865546218485</v>
      </c>
      <c r="AN17" s="12">
        <f>SUM($AL17)</f>
        <v>243</v>
      </c>
      <c r="AO17" s="26">
        <f>(SUM(AA17:AK17))/SUM($AA$2:$AK$2)</f>
        <v>0.39663865546218485</v>
      </c>
      <c r="AP17" t="s">
        <v>33</v>
      </c>
    </row>
    <row r="18" spans="1:42">
      <c r="A18" s="2" t="s">
        <v>38</v>
      </c>
      <c r="B18" s="21">
        <v>4</v>
      </c>
      <c r="C18" s="22">
        <v>21</v>
      </c>
      <c r="D18" s="12">
        <v>17</v>
      </c>
      <c r="E18" s="13">
        <v>15</v>
      </c>
      <c r="F18" s="12">
        <v>16</v>
      </c>
      <c r="G18" s="13">
        <v>28</v>
      </c>
      <c r="H18" s="12">
        <v>22</v>
      </c>
      <c r="I18" s="13">
        <v>17</v>
      </c>
      <c r="J18" s="12">
        <f t="shared" si="0"/>
        <v>140</v>
      </c>
      <c r="K18" s="26">
        <f t="shared" si="1"/>
        <v>0.43209876543209874</v>
      </c>
      <c r="L18" s="12">
        <v>34</v>
      </c>
      <c r="M18" s="3">
        <v>22</v>
      </c>
      <c r="N18" s="12">
        <v>16</v>
      </c>
      <c r="O18" s="3">
        <v>21</v>
      </c>
      <c r="P18" s="12">
        <v>25</v>
      </c>
      <c r="Q18" s="3">
        <v>12</v>
      </c>
      <c r="R18" s="12">
        <v>18</v>
      </c>
      <c r="S18" s="3">
        <v>22</v>
      </c>
      <c r="T18" s="12">
        <v>15</v>
      </c>
      <c r="U18" s="56">
        <v>25</v>
      </c>
      <c r="V18" s="12">
        <v>23</v>
      </c>
      <c r="W18" s="56">
        <v>20</v>
      </c>
      <c r="X18" s="12">
        <v>253</v>
      </c>
      <c r="Y18" s="26">
        <v>0.44507361268403173</v>
      </c>
      <c r="Z18" s="21">
        <f>COUNTIFS((AllCalls25!$AL$15:$AL$5631),"I",(AllCalls25!$K$15:$K$5631),"1")</f>
        <v>28</v>
      </c>
      <c r="AA18" s="18">
        <f>COUNTIFS((AllCalls25!$AL$15:$AL$5631),"I",(AllCalls25!$K$15:$K$5631),"2")</f>
        <v>15</v>
      </c>
      <c r="AB18" s="21">
        <f>COUNTIFS((AllCalls25!$AL$15:$AL$5631),"I",(AllCalls25!$K$15:$K$5631),"3")</f>
        <v>17</v>
      </c>
      <c r="AC18" s="18">
        <f>COUNTIFS((AllCalls25!$AL$15:$AL$5631),"I",(AllCalls25!$K$15:$K$5631),"4")</f>
        <v>21</v>
      </c>
      <c r="AD18" s="21">
        <f>COUNTIFS((AllCalls25!$AL$15:$AL$5631),"I",(AllCalls25!$K$15:$K$5631),"5")</f>
        <v>24</v>
      </c>
      <c r="AE18" s="18">
        <f>COUNTIFS((AllCalls25!$AL$15:$AL$5631),"I",(AllCalls25!$K$15:$K$5631),"6")</f>
        <v>19</v>
      </c>
      <c r="AF18" s="21">
        <f>COUNTIFS((AllCalls25!$AL$15:$AL$5631),"I",(AllCalls25!$K$15:$K$5631),"7")</f>
        <v>25</v>
      </c>
      <c r="AG18" s="18">
        <f>COUNTIFS((AllCalls25!$AL$15:$AL$5631),"I",(AllCalls25!$K$15:$K$5631),"8")</f>
        <v>18</v>
      </c>
      <c r="AH18" s="21">
        <f>COUNTIFS((AllCalls25!$AL$15:$AL$5631),"I",(AllCalls25!$K$15:$K$5631),"9")</f>
        <v>8</v>
      </c>
      <c r="AI18" s="22">
        <f>COUNTIFS((AllCalls25!$AL$15:$AL$5631),"I",(AllCalls25!$K$15:$K$5631),"10")</f>
        <v>16</v>
      </c>
      <c r="AJ18" s="21">
        <f>COUNTIFS((AllCalls25!$AL$15:$AL$5631),"I",(AllCalls25!$K$15:$K$5631),"11")</f>
        <v>16</v>
      </c>
      <c r="AK18" s="22">
        <f>COUNTIFS((AllCalls25!$AL$15:$AL$5631),"I",(AllCalls25!$K$15:$K$5631),"12")</f>
        <v>12</v>
      </c>
      <c r="AL18" s="21">
        <f t="shared" si="2"/>
        <v>219</v>
      </c>
      <c r="AM18" s="26">
        <f t="shared" si="3"/>
        <v>0.33588957055214724</v>
      </c>
      <c r="AN18" s="12">
        <f t="shared" si="4"/>
        <v>612</v>
      </c>
      <c r="AO18" s="26">
        <f t="shared" si="5"/>
        <v>0.39869706840390878</v>
      </c>
    </row>
    <row r="19" spans="1:42">
      <c r="A19" s="2" t="s">
        <v>39</v>
      </c>
      <c r="B19" s="21">
        <v>9</v>
      </c>
      <c r="C19" s="22">
        <v>23</v>
      </c>
      <c r="D19" s="12">
        <v>11</v>
      </c>
      <c r="E19" s="13">
        <v>14</v>
      </c>
      <c r="F19" s="12">
        <v>10</v>
      </c>
      <c r="G19" s="13">
        <v>23</v>
      </c>
      <c r="H19" s="12">
        <v>21</v>
      </c>
      <c r="I19" s="13">
        <v>23</v>
      </c>
      <c r="J19" s="12">
        <f t="shared" si="0"/>
        <v>134</v>
      </c>
      <c r="K19" s="26">
        <f t="shared" si="1"/>
        <v>0.41358024691358025</v>
      </c>
      <c r="L19" s="12">
        <v>12</v>
      </c>
      <c r="M19" s="3">
        <v>23</v>
      </c>
      <c r="N19" s="12">
        <v>24</v>
      </c>
      <c r="O19" s="3">
        <v>16</v>
      </c>
      <c r="P19" s="12">
        <v>30</v>
      </c>
      <c r="Q19" s="3">
        <v>19</v>
      </c>
      <c r="R19" s="12">
        <v>22</v>
      </c>
      <c r="S19" s="3">
        <v>16</v>
      </c>
      <c r="T19" s="12">
        <v>20</v>
      </c>
      <c r="U19" s="56">
        <v>20</v>
      </c>
      <c r="V19" s="12">
        <v>25</v>
      </c>
      <c r="W19" s="56">
        <v>26</v>
      </c>
      <c r="X19" s="12">
        <v>253</v>
      </c>
      <c r="Y19" s="26">
        <v>0.43827859569648925</v>
      </c>
      <c r="Z19" s="21">
        <f>COUNTIFS((AllCalls25!$AM$15:$AM$5631),"I",(AllCalls25!$K$15:$K$5631),"1")</f>
        <v>22</v>
      </c>
      <c r="AA19" s="18">
        <f>COUNTIFS((AllCalls25!$AM$15:$AM$5631),"I",(AllCalls25!$K$15:$K$5631),"2")</f>
        <v>27</v>
      </c>
      <c r="AB19" s="21">
        <f>COUNTIFS((AllCalls25!$AM$15:$AM$5631),"I",(AllCalls25!$K$15:$K$5631),"3")</f>
        <v>33</v>
      </c>
      <c r="AC19" s="18">
        <f>COUNTIFS((AllCalls25!$AM$15:$AM$5631),"I",(AllCalls25!$K$15:$K$5631),"4")</f>
        <v>16</v>
      </c>
      <c r="AD19" s="21">
        <f>COUNTIFS((AllCalls25!$AM$15:$AM$5631),"I",(AllCalls25!$K$15:$K$5631),"5")</f>
        <v>32</v>
      </c>
      <c r="AE19" s="18">
        <f>COUNTIFS((AllCalls25!$AM$15:$AM$5631),"I",(AllCalls25!$K$15:$K$5631),"6")</f>
        <v>19</v>
      </c>
      <c r="AF19" s="21">
        <f>COUNTIFS((AllCalls25!$AM$15:$AM$5631),"I",(AllCalls25!$K$15:$K$5631),"7")</f>
        <v>25</v>
      </c>
      <c r="AG19" s="18">
        <f>COUNTIFS((AllCalls25!$AM$15:$AM$5631),"I",(AllCalls25!$K$15:$K$5631),"8")</f>
        <v>12</v>
      </c>
      <c r="AH19" s="21">
        <f>COUNTIFS((AllCalls25!$AM$15:$AM$5631),"I",(AllCalls25!$K$15:$K$5631),"9")</f>
        <v>16</v>
      </c>
      <c r="AI19" s="22">
        <f>COUNTIFS((AllCalls25!$AM$15:$AM$5631),"I",(AllCalls25!$K$15:$K$5631),"10")</f>
        <v>17</v>
      </c>
      <c r="AJ19" s="21">
        <f>COUNTIFS((AllCalls25!$AM$15:$AM$5631),"I",(AllCalls25!$K$15:$K$5631),"11")</f>
        <v>23</v>
      </c>
      <c r="AK19" s="22">
        <f>COUNTIFS((AllCalls25!$AM$15:$AM$5631),"I",(AllCalls25!$K$15:$K$5631),"12")</f>
        <v>48</v>
      </c>
      <c r="AL19" s="21">
        <f t="shared" si="2"/>
        <v>290</v>
      </c>
      <c r="AM19" s="26">
        <f t="shared" si="3"/>
        <v>0.44478527607361962</v>
      </c>
      <c r="AN19" s="12">
        <f t="shared" si="4"/>
        <v>677</v>
      </c>
      <c r="AO19" s="26">
        <f t="shared" si="5"/>
        <v>0.44104234527687297</v>
      </c>
      <c r="AP19" t="s">
        <v>33</v>
      </c>
    </row>
    <row r="20" spans="1:42">
      <c r="A20" s="2" t="s">
        <v>40</v>
      </c>
      <c r="B20" s="21">
        <v>1</v>
      </c>
      <c r="C20" s="22">
        <v>3</v>
      </c>
      <c r="D20" s="12">
        <v>8</v>
      </c>
      <c r="E20" s="13">
        <v>7</v>
      </c>
      <c r="F20" s="12">
        <v>11</v>
      </c>
      <c r="G20" s="13">
        <v>10</v>
      </c>
      <c r="H20" s="12">
        <v>15</v>
      </c>
      <c r="I20" s="13">
        <v>11</v>
      </c>
      <c r="J20" s="12">
        <f t="shared" si="0"/>
        <v>66</v>
      </c>
      <c r="K20" s="26">
        <f t="shared" si="1"/>
        <v>0.20370370370370369</v>
      </c>
      <c r="L20" s="12">
        <v>14</v>
      </c>
      <c r="M20" s="3">
        <v>9</v>
      </c>
      <c r="N20" s="12">
        <v>7</v>
      </c>
      <c r="O20" s="3">
        <v>8</v>
      </c>
      <c r="P20" s="12">
        <v>5</v>
      </c>
      <c r="Q20" s="3">
        <v>11</v>
      </c>
      <c r="R20" s="12">
        <v>11</v>
      </c>
      <c r="S20" s="3">
        <v>9</v>
      </c>
      <c r="T20" s="12">
        <v>7</v>
      </c>
      <c r="U20" s="56">
        <v>6</v>
      </c>
      <c r="V20" s="12">
        <v>13</v>
      </c>
      <c r="W20" s="56">
        <v>14</v>
      </c>
      <c r="X20" s="12">
        <v>114</v>
      </c>
      <c r="Y20" s="26">
        <v>0.20385050962627407</v>
      </c>
      <c r="Z20" s="21">
        <f>COUNTIFS((AllCalls25!$AN$15:$AN$5631),"I",(AllCalls25!$K$15:$K$5631),"1")</f>
        <v>5</v>
      </c>
      <c r="AA20" s="18">
        <f>COUNTIFS((AllCalls25!$AN$15:$AN$5631),"I",(AllCalls25!$K$15:$K$5631),"2")</f>
        <v>7</v>
      </c>
      <c r="AB20" s="21">
        <f>COUNTIFS((AllCalls25!$AN$15:$AN$5631),"I",(AllCalls25!$K$15:$K$5631),"3")</f>
        <v>13</v>
      </c>
      <c r="AC20" s="18">
        <f>COUNTIFS((AllCalls25!$AN$15:$AN$5631),"I",(AllCalls25!$K$15:$K$5631),"4")</f>
        <v>9</v>
      </c>
      <c r="AD20" s="21">
        <f>COUNTIFS((AllCalls25!$AN$15:$AN$5631),"I",(AllCalls25!$K$15:$K$5631),"5")</f>
        <v>14</v>
      </c>
      <c r="AE20" s="18">
        <f>COUNTIFS((AllCalls25!$AN$15:$AN$5631),"I",(AllCalls25!$K$15:$K$5631),"6")</f>
        <v>4</v>
      </c>
      <c r="AF20" s="21">
        <f>COUNTIFS((AllCalls25!$AN$15:$AN$5631),"I",(AllCalls25!$K$15:$K$5631),"7")</f>
        <v>7</v>
      </c>
      <c r="AG20" s="18">
        <f>COUNTIFS((AllCalls25!$AN$15:$AN$5631),"I",(AllCalls25!$K$15:$K$5631),"8")</f>
        <v>10</v>
      </c>
      <c r="AH20" s="21">
        <f>COUNTIFS((AllCalls25!$AN$15:$AN$5631),"I",(AllCalls25!$K$15:$K$5631),"9")</f>
        <v>8</v>
      </c>
      <c r="AI20" s="22">
        <f>COUNTIFS((AllCalls25!$AN$15:$AN$5631),"I",(AllCalls25!$K$15:$K$5631),"10")</f>
        <v>5</v>
      </c>
      <c r="AJ20" s="21">
        <f>COUNTIFS((AllCalls25!$AN$15:$AN$5631),"I",(AllCalls25!$K$15:$K$5631),"11")</f>
        <v>16</v>
      </c>
      <c r="AK20" s="22">
        <f>COUNTIFS((AllCalls25!$AN$15:$AN$5631),"I",(AllCalls25!$K$15:$K$5631),"12")</f>
        <v>27</v>
      </c>
      <c r="AL20" s="21">
        <f t="shared" si="2"/>
        <v>125</v>
      </c>
      <c r="AM20" s="26">
        <f t="shared" si="3"/>
        <v>0.19171779141104295</v>
      </c>
      <c r="AN20" s="12">
        <f t="shared" si="4"/>
        <v>305</v>
      </c>
      <c r="AO20" s="26">
        <f t="shared" si="5"/>
        <v>0.1986970684039088</v>
      </c>
      <c r="AP20" t="s">
        <v>33</v>
      </c>
    </row>
    <row r="21" spans="1:42">
      <c r="A21" s="2" t="s">
        <v>41</v>
      </c>
      <c r="B21" s="21">
        <v>14</v>
      </c>
      <c r="C21" s="22">
        <v>34</v>
      </c>
      <c r="D21" s="12">
        <v>25</v>
      </c>
      <c r="E21" s="13">
        <v>11</v>
      </c>
      <c r="F21" s="12">
        <v>23</v>
      </c>
      <c r="G21" s="13">
        <v>24</v>
      </c>
      <c r="H21" s="12">
        <v>21</v>
      </c>
      <c r="I21" s="13">
        <v>28</v>
      </c>
      <c r="J21" s="12">
        <f t="shared" si="0"/>
        <v>180</v>
      </c>
      <c r="K21" s="26">
        <f t="shared" si="1"/>
        <v>0.55555555555555558</v>
      </c>
      <c r="L21" s="12">
        <v>35</v>
      </c>
      <c r="M21" s="3">
        <v>33</v>
      </c>
      <c r="N21" s="12">
        <v>29</v>
      </c>
      <c r="O21" s="3">
        <v>22</v>
      </c>
      <c r="P21" s="12">
        <v>19</v>
      </c>
      <c r="Q21" s="3">
        <v>21</v>
      </c>
      <c r="R21" s="12">
        <v>14</v>
      </c>
      <c r="S21" s="3">
        <v>5</v>
      </c>
      <c r="T21" s="12">
        <v>11</v>
      </c>
      <c r="U21" s="56">
        <v>12</v>
      </c>
      <c r="V21" s="12">
        <v>13</v>
      </c>
      <c r="W21" s="56">
        <v>20</v>
      </c>
      <c r="X21" s="12">
        <v>234</v>
      </c>
      <c r="Y21" s="26">
        <v>0.46885617214043035</v>
      </c>
      <c r="Z21" s="21">
        <f>COUNTIFS((AllCalls25!$AO$15:$AO$5631),"I",(AllCalls25!$K$15:$K$5631),"1")</f>
        <v>27</v>
      </c>
      <c r="AA21" s="60">
        <f>COUNTIFS((AllCalls25!$AO$15:$AO$5631),"I",(AllCalls25!$K$15:$K$5631),"2")</f>
        <v>14</v>
      </c>
      <c r="AB21" s="21">
        <f>COUNTIFS((AllCalls25!$AO$15:$AO$5631),"I",(AllCalls25!$K$15:$K$5631),"3")</f>
        <v>26</v>
      </c>
      <c r="AC21" s="60">
        <f>COUNTIFS((AllCalls25!$AO$15:$AO$5631),"I",(AllCalls25!$K$15:$K$5631),"4")</f>
        <v>12</v>
      </c>
      <c r="AD21" s="21">
        <f>COUNTIFS((AllCalls25!$AO$15:$AO$5631),"I",(AllCalls25!$K$15:$K$5631),"5")</f>
        <v>26</v>
      </c>
      <c r="AE21" s="60">
        <f>COUNTIFS((AllCalls25!$AO$15:$AO$5631),"I",(AllCalls25!$K$15:$K$5631),"6")</f>
        <v>7</v>
      </c>
      <c r="AF21" s="21">
        <f>COUNTIFS((AllCalls25!$AO$15:$AO$5631),"I",(AllCalls25!$K$15:$K$5631),"7")</f>
        <v>13</v>
      </c>
      <c r="AG21" s="60">
        <f>COUNTIFS((AllCalls25!$AO$15:$AO$5631),"I",(AllCalls25!$K$15:$K$5631),"8")</f>
        <v>15</v>
      </c>
      <c r="AH21" s="21">
        <f>COUNTIFS((AllCalls25!$AO$15:$AO$5631),"I",(AllCalls25!$K$15:$K$5631),"9")</f>
        <v>14</v>
      </c>
      <c r="AI21" s="61">
        <f>COUNTIFS((AllCalls25!$AO$15:$AO$5631),"I",(AllCalls25!$K$15:$K$5631),"10")</f>
        <v>10</v>
      </c>
      <c r="AJ21" s="21">
        <f>COUNTIFS((AllCalls25!$AO$15:$AO$5631),"I",(AllCalls25!$K$15:$K$5631),"11")</f>
        <v>17</v>
      </c>
      <c r="AK21" s="61">
        <f>COUNTIFS((AllCalls25!$AO$15:$AO$5631),"I",(AllCalls25!$K$15:$K$5631),"12")</f>
        <v>42</v>
      </c>
      <c r="AL21" s="21">
        <f t="shared" si="2"/>
        <v>223</v>
      </c>
      <c r="AM21" s="26">
        <f t="shared" si="3"/>
        <v>0.34202453987730064</v>
      </c>
      <c r="AN21" s="12">
        <f t="shared" si="4"/>
        <v>637</v>
      </c>
      <c r="AO21" s="26">
        <f t="shared" si="5"/>
        <v>0.41498371335504886</v>
      </c>
    </row>
    <row r="22" spans="1:42">
      <c r="A22" s="2" t="s">
        <v>42</v>
      </c>
      <c r="B22" s="21">
        <v>2</v>
      </c>
      <c r="C22" s="22">
        <v>11</v>
      </c>
      <c r="D22" s="12">
        <v>9</v>
      </c>
      <c r="E22" s="13">
        <v>8</v>
      </c>
      <c r="F22" s="12">
        <v>12</v>
      </c>
      <c r="G22" s="13">
        <v>21</v>
      </c>
      <c r="H22" s="12">
        <v>17</v>
      </c>
      <c r="I22" s="13">
        <v>16</v>
      </c>
      <c r="J22" s="12">
        <f t="shared" si="0"/>
        <v>96</v>
      </c>
      <c r="K22" s="26">
        <f t="shared" si="1"/>
        <v>0.29629629629629628</v>
      </c>
      <c r="L22" s="12">
        <v>20</v>
      </c>
      <c r="M22" s="3">
        <v>16</v>
      </c>
      <c r="N22" s="12">
        <v>13</v>
      </c>
      <c r="O22" s="3">
        <v>13</v>
      </c>
      <c r="P22" s="12">
        <v>16</v>
      </c>
      <c r="Q22" s="3">
        <v>10</v>
      </c>
      <c r="R22" s="12">
        <v>10</v>
      </c>
      <c r="S22" s="3">
        <v>10</v>
      </c>
      <c r="T22" s="12">
        <v>3</v>
      </c>
      <c r="U22" s="56">
        <v>7</v>
      </c>
      <c r="V22" s="12">
        <v>9</v>
      </c>
      <c r="W22" s="56">
        <v>15</v>
      </c>
      <c r="X22" s="12">
        <v>142</v>
      </c>
      <c r="Y22" s="26">
        <v>0.26953567383918459</v>
      </c>
      <c r="Z22" s="21">
        <f>COUNTIFS((AllCalls25!$AP$15:$AP$5631),"I",(AllCalls25!$K$15:$K$5631),"1")</f>
        <v>11</v>
      </c>
      <c r="AA22" s="18">
        <f>COUNTIFS((AllCalls25!$AP$15:$AP$5631),"I",(AllCalls25!$K$15:$K$5631),"2")</f>
        <v>7</v>
      </c>
      <c r="AB22" s="21">
        <f>COUNTIFS((AllCalls25!$AP$15:$AP$5631),"I",(AllCalls25!$K$15:$K$5631),"3")</f>
        <v>12</v>
      </c>
      <c r="AC22" s="18">
        <f>COUNTIFS((AllCalls25!$AP$15:$AP$5631),"I",(AllCalls25!$K$15:$K$5631),"4")</f>
        <v>4</v>
      </c>
      <c r="AD22" s="21">
        <f>COUNTIFS((AllCalls25!$AP$15:$AP$5631),"I",(AllCalls25!$K$15:$K$5631),"5")</f>
        <v>13</v>
      </c>
      <c r="AE22" s="18">
        <f>COUNTIFS((AllCalls25!$AP$15:$AP$5631),"I",(AllCalls25!$K$15:$K$5631),"6")</f>
        <v>6</v>
      </c>
      <c r="AF22" s="21">
        <f>COUNTIFS((AllCalls25!$AP$15:$AP$5631),"I",(AllCalls25!$K$15:$K$5631),"7")</f>
        <v>3</v>
      </c>
      <c r="AG22" s="18">
        <f>COUNTIFS((AllCalls25!$AP$15:$AP$5631),"I",(AllCalls25!$K$15:$K$5631),"8")</f>
        <v>12</v>
      </c>
      <c r="AH22" s="21">
        <f>COUNTIFS((AllCalls25!$AP$15:$AP$5631),"I",(AllCalls25!$K$15:$K$5631),"9")</f>
        <v>12</v>
      </c>
      <c r="AI22" s="22">
        <f>COUNTIFS((AllCalls25!$AP$15:$AP$5631),"I",(AllCalls25!$K$15:$K$5631),"10")</f>
        <v>5</v>
      </c>
      <c r="AJ22" s="21">
        <f>COUNTIFS((AllCalls25!$AP$15:$AP$5631),"I",(AllCalls25!$K$15:$K$5631),"11")</f>
        <v>16</v>
      </c>
      <c r="AK22" s="22">
        <f>COUNTIFS((AllCalls25!$AP$15:$AP$5631),"I",(AllCalls25!$K$15:$K$5631),"12")</f>
        <v>25</v>
      </c>
      <c r="AL22" s="21">
        <f t="shared" si="2"/>
        <v>126</v>
      </c>
      <c r="AM22" s="26">
        <f t="shared" si="3"/>
        <v>0.19325153374233128</v>
      </c>
      <c r="AN22" s="12">
        <f t="shared" si="4"/>
        <v>364</v>
      </c>
      <c r="AO22" s="26">
        <f t="shared" si="5"/>
        <v>0.23713355048859935</v>
      </c>
    </row>
    <row r="23" spans="1:42">
      <c r="A23" s="2" t="s">
        <v>43</v>
      </c>
      <c r="B23" s="21">
        <v>1</v>
      </c>
      <c r="C23" s="22">
        <v>14</v>
      </c>
      <c r="D23" s="12">
        <v>14</v>
      </c>
      <c r="E23" s="13">
        <v>9</v>
      </c>
      <c r="F23" s="12">
        <v>4</v>
      </c>
      <c r="G23" s="13">
        <v>14</v>
      </c>
      <c r="H23" s="12">
        <v>16</v>
      </c>
      <c r="I23" s="13">
        <v>17</v>
      </c>
      <c r="J23" s="12">
        <f t="shared" si="0"/>
        <v>89</v>
      </c>
      <c r="K23" s="26">
        <f t="shared" si="1"/>
        <v>0.27469135802469136</v>
      </c>
      <c r="L23" s="12">
        <v>26</v>
      </c>
      <c r="M23" s="3">
        <v>12</v>
      </c>
      <c r="N23" s="12">
        <v>13</v>
      </c>
      <c r="O23" s="3">
        <v>6</v>
      </c>
      <c r="P23" s="12">
        <v>18</v>
      </c>
      <c r="Q23" s="3">
        <v>9</v>
      </c>
      <c r="R23" s="12">
        <v>11</v>
      </c>
      <c r="S23" s="3">
        <v>9</v>
      </c>
      <c r="T23" s="12">
        <v>13</v>
      </c>
      <c r="U23" s="56">
        <v>11</v>
      </c>
      <c r="V23" s="12">
        <v>11</v>
      </c>
      <c r="W23" s="56">
        <v>14</v>
      </c>
      <c r="X23" s="12">
        <v>153</v>
      </c>
      <c r="Y23" s="26">
        <v>0.27406568516421292</v>
      </c>
      <c r="Z23" s="21">
        <f>COUNTIFS((AllCalls25!$AQ$15:$AQ$5631),"I",(AllCalls25!$K$15:$K$5631),"1")</f>
        <v>15</v>
      </c>
      <c r="AA23" s="60">
        <f>COUNTIFS((AllCalls25!$AQ$15:$AQ$5631),"I",(AllCalls25!$K$15:$K$5631),"2")</f>
        <v>10</v>
      </c>
      <c r="AB23" s="21">
        <f>COUNTIFS((AllCalls25!$AQ$15:$AQ$5631),"I",(AllCalls25!$K$15:$K$5631),"3")</f>
        <v>20</v>
      </c>
      <c r="AC23" s="60">
        <f>COUNTIFS((AllCalls25!$AQ$15:$AQ$5631),"I",(AllCalls25!$K$15:$K$5631),"4")</f>
        <v>0</v>
      </c>
      <c r="AD23" s="21">
        <f>COUNTIFS((AllCalls25!$AQ$15:$AQ$5631),"I",(AllCalls25!$K$15:$K$5631),"5")</f>
        <v>5</v>
      </c>
      <c r="AE23" s="60">
        <f>COUNTIFS((AllCalls25!$AQ$15:$AQ$5631),"I",(AllCalls25!$K$15:$K$5631),"6")</f>
        <v>4</v>
      </c>
      <c r="AF23" s="115">
        <f>COUNTIFS((AllCalls25!$AQ$15:$AQ$5631),"I",(AllCalls25!$K$15:$K$5631),"7")</f>
        <v>0</v>
      </c>
      <c r="AG23" s="60">
        <f>COUNTIFS((AllCalls25!$AQ$15:$AQ$5631),"I",(AllCalls25!$K$15:$K$5631),"8")</f>
        <v>0</v>
      </c>
      <c r="AH23" s="21">
        <f>COUNTIFS((AllCalls25!$AQ$15:$AQ$5631),"I",(AllCalls25!$K$15:$K$5631),"9")</f>
        <v>0</v>
      </c>
      <c r="AI23" s="61">
        <f>COUNTIFS((AllCalls25!$AQ$15:$AQ$5631),"I",(AllCalls25!$K$15:$K$5631),"10")</f>
        <v>0</v>
      </c>
      <c r="AJ23" s="21">
        <f>COUNTIFS((AllCalls25!$AQ$15:$AQ$5631),"I",(AllCalls25!$K$15:$K$5631),"11")</f>
        <v>0</v>
      </c>
      <c r="AK23" s="61">
        <f>COUNTIFS((AllCalls25!$AQ$15:$AQ$5631),"I",(AllCalls25!$K$15:$K$5631),"12")</f>
        <v>0</v>
      </c>
      <c r="AL23" s="21">
        <f t="shared" si="2"/>
        <v>54</v>
      </c>
      <c r="AM23" s="26">
        <f t="shared" si="3"/>
        <v>8.2822085889570546E-2</v>
      </c>
      <c r="AN23" s="12">
        <f t="shared" si="4"/>
        <v>296</v>
      </c>
      <c r="AO23" s="26">
        <f t="shared" si="5"/>
        <v>0.19283387622149836</v>
      </c>
    </row>
    <row r="24" spans="1:42">
      <c r="A24" s="2" t="s">
        <v>44</v>
      </c>
      <c r="B24" s="21">
        <v>0</v>
      </c>
      <c r="C24" s="22">
        <v>0</v>
      </c>
      <c r="D24" s="15">
        <v>0</v>
      </c>
      <c r="E24" s="14">
        <v>0</v>
      </c>
      <c r="F24" s="12">
        <v>5</v>
      </c>
      <c r="G24" s="13">
        <v>3</v>
      </c>
      <c r="H24" s="12">
        <v>3</v>
      </c>
      <c r="I24" s="13">
        <v>7</v>
      </c>
      <c r="J24" s="12">
        <f t="shared" si="0"/>
        <v>18</v>
      </c>
      <c r="K24" s="26">
        <f t="shared" si="1"/>
        <v>5.5555555555555552E-2</v>
      </c>
      <c r="L24" s="12">
        <v>9</v>
      </c>
      <c r="M24" s="3">
        <v>2</v>
      </c>
      <c r="N24" s="12">
        <v>8</v>
      </c>
      <c r="O24" s="3">
        <v>10</v>
      </c>
      <c r="P24" s="12">
        <v>10</v>
      </c>
      <c r="Q24" s="3">
        <v>6</v>
      </c>
      <c r="R24" s="12">
        <v>3</v>
      </c>
      <c r="S24" s="3">
        <v>6</v>
      </c>
      <c r="T24" s="12">
        <v>9</v>
      </c>
      <c r="U24" s="56">
        <v>13</v>
      </c>
      <c r="V24" s="12">
        <v>8</v>
      </c>
      <c r="W24" s="56">
        <v>16</v>
      </c>
      <c r="X24" s="12">
        <v>100</v>
      </c>
      <c r="Y24" s="26">
        <v>0.16164383561643836</v>
      </c>
      <c r="Z24" s="21">
        <f>COUNTIFS((AllCalls25!$AR$15:$AR$5631),"I",(AllCalls25!$K$15:$K$5631),"1")</f>
        <v>21</v>
      </c>
      <c r="AA24" s="18">
        <f>COUNTIFS((AllCalls25!$AR$15:$AR$5631),"I",(AllCalls25!$K$15:$K$5631),"2")</f>
        <v>16</v>
      </c>
      <c r="AB24" s="21">
        <f>COUNTIFS((AllCalls25!$AR$15:$AR$5631),"I",(AllCalls25!$K$15:$K$5631),"3")</f>
        <v>28</v>
      </c>
      <c r="AC24" s="18">
        <f>COUNTIFS((AllCalls25!$AR$15:$AR$5631),"I",(AllCalls25!$K$15:$K$5631),"4")</f>
        <v>8</v>
      </c>
      <c r="AD24" s="21">
        <f>COUNTIFS((AllCalls25!$AR$15:$AR$5631),"I",(AllCalls25!$K$15:$K$5631),"5")</f>
        <v>6</v>
      </c>
      <c r="AE24" s="18">
        <f>COUNTIFS((AllCalls25!$AR$15:$AR$5631),"I",(AllCalls25!$K$15:$K$5631),"6")</f>
        <v>3</v>
      </c>
      <c r="AF24" s="21">
        <f>COUNTIFS((AllCalls25!$AR$15:$AR$5631),"I",(AllCalls25!$K$15:$K$5631),"7")</f>
        <v>3</v>
      </c>
      <c r="AG24" s="18">
        <f>COUNTIFS((AllCalls25!$AR$15:$AR$5631),"I",(AllCalls25!$K$15:$K$5631),"8")</f>
        <v>5</v>
      </c>
      <c r="AH24" s="21">
        <f>COUNTIFS((AllCalls25!$AR$15:$AR$5631),"I",(AllCalls25!$K$15:$K$5631),"9")</f>
        <v>7</v>
      </c>
      <c r="AI24" s="22">
        <f>COUNTIFS((AllCalls25!$AR$15:$AR$5631),"I",(AllCalls25!$K$15:$K$5631),"10")</f>
        <v>1</v>
      </c>
      <c r="AJ24" s="21">
        <f>COUNTIFS((AllCalls25!$AR$15:$AR$5631),"I",(AllCalls25!$K$15:$K$5631),"11")</f>
        <v>5</v>
      </c>
      <c r="AK24" s="22">
        <f>COUNTIFS((AllCalls25!$AR$15:$AR$5631),"I",(AllCalls25!$K$15:$K$5631),"12")</f>
        <v>37</v>
      </c>
      <c r="AL24" s="21">
        <f t="shared" si="2"/>
        <v>140</v>
      </c>
      <c r="AM24" s="26">
        <f t="shared" si="3"/>
        <v>0.21472392638036811</v>
      </c>
      <c r="AN24" s="12">
        <f t="shared" si="4"/>
        <v>258</v>
      </c>
      <c r="AO24" s="26">
        <f>(SUM(AN24))/SUM($AL$2,$X$2,$F$2:$I$2)</f>
        <v>0.18668596237337193</v>
      </c>
      <c r="AP24" t="s">
        <v>33</v>
      </c>
    </row>
    <row r="25" spans="1:42">
      <c r="A25" s="2" t="s">
        <v>45</v>
      </c>
      <c r="B25" s="21">
        <v>12</v>
      </c>
      <c r="C25" s="22">
        <v>20</v>
      </c>
      <c r="D25" s="12">
        <v>13</v>
      </c>
      <c r="E25" s="13">
        <v>15</v>
      </c>
      <c r="F25" s="12">
        <v>17</v>
      </c>
      <c r="G25" s="13">
        <v>27</v>
      </c>
      <c r="H25" s="12">
        <v>16</v>
      </c>
      <c r="I25" s="13">
        <v>17</v>
      </c>
      <c r="J25" s="12">
        <f t="shared" si="0"/>
        <v>137</v>
      </c>
      <c r="K25" s="26">
        <f t="shared" si="1"/>
        <v>0.4228395061728395</v>
      </c>
      <c r="L25" s="12">
        <v>26</v>
      </c>
      <c r="M25" s="3">
        <v>15</v>
      </c>
      <c r="N25" s="12">
        <v>14</v>
      </c>
      <c r="O25" s="3">
        <v>14</v>
      </c>
      <c r="P25" s="12">
        <v>21</v>
      </c>
      <c r="Q25" s="3">
        <v>8</v>
      </c>
      <c r="R25" s="12">
        <v>25</v>
      </c>
      <c r="S25" s="3">
        <v>7</v>
      </c>
      <c r="T25" s="12">
        <v>7</v>
      </c>
      <c r="U25" s="56">
        <v>13</v>
      </c>
      <c r="V25" s="12">
        <v>16</v>
      </c>
      <c r="W25" s="56">
        <v>25</v>
      </c>
      <c r="X25" s="12">
        <v>191</v>
      </c>
      <c r="Y25" s="26">
        <v>0.37146092865232161</v>
      </c>
      <c r="Z25" s="21">
        <f>COUNTIFS((AllCalls25!$AS$15:$AS$5631),"I",(AllCalls25!$K$15:$K$5631),"1")</f>
        <v>27</v>
      </c>
      <c r="AA25" s="18">
        <f>COUNTIFS((AllCalls25!$AS$15:$AS$5631),"I",(AllCalls25!$K$15:$K$5631),"2")</f>
        <v>16</v>
      </c>
      <c r="AB25" s="21">
        <f>COUNTIFS((AllCalls25!$AS$15:$AS$5631),"I",(AllCalls25!$K$15:$K$5631),"3")</f>
        <v>20</v>
      </c>
      <c r="AC25" s="18">
        <f>COUNTIFS((AllCalls25!$AS$15:$AS$5631),"I",(AllCalls25!$K$15:$K$5631),"4")</f>
        <v>21</v>
      </c>
      <c r="AD25" s="21">
        <f>COUNTIFS((AllCalls25!$AS$15:$AS$5631),"I",(AllCalls25!$K$15:$K$5631),"5")</f>
        <v>29</v>
      </c>
      <c r="AE25" s="18">
        <f>COUNTIFS((AllCalls25!$AS$15:$AS$5631),"I",(AllCalls25!$K$15:$K$5631),"6")</f>
        <v>10</v>
      </c>
      <c r="AF25" s="21">
        <f>COUNTIFS((AllCalls25!$AS$15:$AS$5631),"I",(AllCalls25!$K$15:$K$5631),"7")</f>
        <v>22</v>
      </c>
      <c r="AG25" s="18">
        <f>COUNTIFS((AllCalls25!$AS$15:$AS$5631),"I",(AllCalls25!$K$15:$K$5631),"8")</f>
        <v>15</v>
      </c>
      <c r="AH25" s="21">
        <f>COUNTIFS((AllCalls25!$AS$15:$AS$5631),"I",(AllCalls25!$K$15:$K$5631),"9")</f>
        <v>6</v>
      </c>
      <c r="AI25" s="22">
        <f>COUNTIFS((AllCalls25!$AS$15:$AS$5631),"I",(AllCalls25!$K$15:$K$5631),"10")</f>
        <v>13</v>
      </c>
      <c r="AJ25" s="21">
        <f>COUNTIFS((AllCalls25!$AS$15:$AS$5631),"I",(AllCalls25!$K$15:$K$5631),"11")</f>
        <v>36</v>
      </c>
      <c r="AK25" s="22">
        <f>COUNTIFS((AllCalls25!$AS$15:$AS$5631),"I",(AllCalls25!$K$15:$K$5631),"12")</f>
        <v>41</v>
      </c>
      <c r="AL25" s="21">
        <f t="shared" si="2"/>
        <v>256</v>
      </c>
      <c r="AM25" s="26">
        <f t="shared" si="3"/>
        <v>0.39263803680981596</v>
      </c>
      <c r="AN25" s="12">
        <f t="shared" si="4"/>
        <v>584</v>
      </c>
      <c r="AO25" s="26">
        <f t="shared" si="5"/>
        <v>0.38045602605863194</v>
      </c>
      <c r="AP25" t="s">
        <v>33</v>
      </c>
    </row>
    <row r="26" spans="1:42">
      <c r="A26" s="2" t="s">
        <v>46</v>
      </c>
      <c r="B26" s="21">
        <v>8</v>
      </c>
      <c r="C26" s="22">
        <v>21</v>
      </c>
      <c r="D26" s="12">
        <v>18</v>
      </c>
      <c r="E26" s="13">
        <v>10</v>
      </c>
      <c r="F26" s="12">
        <v>13</v>
      </c>
      <c r="G26" s="13">
        <v>20</v>
      </c>
      <c r="H26" s="12">
        <v>9</v>
      </c>
      <c r="I26" s="13">
        <v>10</v>
      </c>
      <c r="J26" s="12">
        <f t="shared" si="0"/>
        <v>109</v>
      </c>
      <c r="K26" s="26">
        <f t="shared" ref="K26:K30" si="8">(J26/$J$2)</f>
        <v>0.33641975308641975</v>
      </c>
      <c r="L26" s="12">
        <v>14</v>
      </c>
      <c r="M26" s="3">
        <v>26</v>
      </c>
      <c r="N26" s="12">
        <v>24</v>
      </c>
      <c r="O26" s="3">
        <v>19</v>
      </c>
      <c r="P26" s="12">
        <v>22</v>
      </c>
      <c r="Q26" s="3">
        <v>18</v>
      </c>
      <c r="R26" s="12">
        <v>21</v>
      </c>
      <c r="S26" s="3">
        <v>20</v>
      </c>
      <c r="T26" s="12">
        <v>19</v>
      </c>
      <c r="U26" s="56">
        <v>13</v>
      </c>
      <c r="V26" s="12">
        <v>16</v>
      </c>
      <c r="W26" s="56">
        <v>19</v>
      </c>
      <c r="X26" s="12">
        <v>231</v>
      </c>
      <c r="Y26" s="26">
        <v>0.38505096262740657</v>
      </c>
      <c r="Z26" s="21">
        <f>COUNTIFS((AllCalls25!$AT$15:$AT$5631),"I",(AllCalls25!$K$15:$K$5631),"1")</f>
        <v>16</v>
      </c>
      <c r="AA26" s="18">
        <f>COUNTIFS((AllCalls25!$AT$15:$AT$5631),"I",(AllCalls25!$K$15:$K$5631),"2")</f>
        <v>15</v>
      </c>
      <c r="AB26" s="21">
        <f>COUNTIFS((AllCalls25!$AT$15:$AT$5631),"I",(AllCalls25!$K$15:$K$5631),"3")</f>
        <v>27</v>
      </c>
      <c r="AC26" s="18">
        <f>COUNTIFS((AllCalls25!$AT$15:$AT$5631),"I",(AllCalls25!$K$15:$K$5631),"4")</f>
        <v>16</v>
      </c>
      <c r="AD26" s="21">
        <f>COUNTIFS((AllCalls25!$AT$15:$AT$5631),"I",(AllCalls25!$K$15:$K$5631),"5")</f>
        <v>24</v>
      </c>
      <c r="AE26" s="18">
        <f>COUNTIFS((AllCalls25!$AT$15:$AT$5631),"I",(AllCalls25!$K$15:$K$5631),"6")</f>
        <v>10</v>
      </c>
      <c r="AF26" s="21">
        <f>COUNTIFS((AllCalls25!$AT$15:$AT$5631),"I",(AllCalls25!$K$15:$K$5631),"7")</f>
        <v>13</v>
      </c>
      <c r="AG26" s="18">
        <f>COUNTIFS((AllCalls25!$AT$15:$AT$5631),"I",(AllCalls25!$K$15:$K$5631),"8")</f>
        <v>18</v>
      </c>
      <c r="AH26" s="21">
        <f>COUNTIFS((AllCalls25!$AT$15:$AT$5631),"I",(AllCalls25!$K$15:$K$5631),"9")</f>
        <v>20</v>
      </c>
      <c r="AI26" s="22">
        <f>COUNTIFS((AllCalls25!$AT$15:$AT$5631),"I",(AllCalls25!$K$15:$K$5631),"10")</f>
        <v>14</v>
      </c>
      <c r="AJ26" s="21">
        <f>COUNTIFS((AllCalls25!$AT$15:$AT$5631),"I",(AllCalls25!$K$15:$K$5631),"11")</f>
        <v>10</v>
      </c>
      <c r="AK26" s="22">
        <f>COUNTIFS((AllCalls25!$AT$15:$AT$5631),"I",(AllCalls25!$K$15:$K$5631),"12")</f>
        <v>11</v>
      </c>
      <c r="AL26" s="21">
        <f t="shared" si="2"/>
        <v>194</v>
      </c>
      <c r="AM26" s="26">
        <f t="shared" si="3"/>
        <v>0.29754601226993865</v>
      </c>
      <c r="AN26" s="12">
        <f t="shared" si="4"/>
        <v>534</v>
      </c>
      <c r="AO26" s="26">
        <f t="shared" ref="AO26:AO30" si="9">(SUM(AN26))/SUM($AN$2)</f>
        <v>0.34788273615635179</v>
      </c>
    </row>
    <row r="27" spans="1:42">
      <c r="A27" s="2" t="s">
        <v>47</v>
      </c>
      <c r="B27" s="21">
        <v>0</v>
      </c>
      <c r="C27" s="22">
        <v>6</v>
      </c>
      <c r="D27" s="12">
        <v>5</v>
      </c>
      <c r="E27" s="13">
        <v>6</v>
      </c>
      <c r="F27" s="12">
        <v>11</v>
      </c>
      <c r="G27" s="13">
        <v>14</v>
      </c>
      <c r="H27" s="12">
        <v>20</v>
      </c>
      <c r="I27" s="13">
        <v>16</v>
      </c>
      <c r="J27" s="12">
        <f t="shared" si="0"/>
        <v>78</v>
      </c>
      <c r="K27" s="26">
        <f t="shared" si="8"/>
        <v>0.24074074074074073</v>
      </c>
      <c r="L27" s="12">
        <v>17</v>
      </c>
      <c r="M27" s="3">
        <v>19</v>
      </c>
      <c r="N27" s="12">
        <v>13</v>
      </c>
      <c r="O27" s="3">
        <v>10</v>
      </c>
      <c r="P27" s="12">
        <v>6</v>
      </c>
      <c r="Q27" s="3">
        <v>5</v>
      </c>
      <c r="R27" s="12">
        <v>12</v>
      </c>
      <c r="S27" s="3">
        <v>16</v>
      </c>
      <c r="T27" s="12">
        <v>12</v>
      </c>
      <c r="U27" s="56">
        <v>9</v>
      </c>
      <c r="V27" s="12">
        <v>15</v>
      </c>
      <c r="W27" s="56">
        <v>6</v>
      </c>
      <c r="X27" s="12">
        <v>140</v>
      </c>
      <c r="Y27" s="26">
        <v>0.24688561721404303</v>
      </c>
      <c r="Z27" s="21">
        <f>COUNTIFS((AllCalls25!$AU$15:$AU$5631),"I",(AllCalls25!$K$15:$K$5631),"1")</f>
        <v>9</v>
      </c>
      <c r="AA27" s="60">
        <f>COUNTIFS((AllCalls25!$AU$15:$AU$5631),"I",(AllCalls25!$K$15:$K$5631),"2")</f>
        <v>11</v>
      </c>
      <c r="AB27" s="21">
        <f>COUNTIFS((AllCalls25!$AU$15:$AU$5631),"I",(AllCalls25!$K$15:$K$5631),"3")</f>
        <v>13</v>
      </c>
      <c r="AC27" s="60">
        <f>COUNTIFS((AllCalls25!$AU$15:$AU$5631),"I",(AllCalls25!$K$15:$K$5631),"4")</f>
        <v>10</v>
      </c>
      <c r="AD27" s="21">
        <f>COUNTIFS((AllCalls25!$AU$15:$AU$5631),"I",(AllCalls25!$K$15:$K$5631),"5")</f>
        <v>13</v>
      </c>
      <c r="AE27" s="60">
        <f>COUNTIFS((AllCalls25!$AU$15:$AU$5631),"I",(AllCalls25!$K$15:$K$5631),"6")</f>
        <v>8</v>
      </c>
      <c r="AF27" s="21">
        <f>COUNTIFS((AllCalls25!$AU$15:$AU$5631),"I",(AllCalls25!$K$15:$K$5631),"7")</f>
        <v>7</v>
      </c>
      <c r="AG27" s="60">
        <f>COUNTIFS((AllCalls25!$AU$15:$AU$5631),"I",(AllCalls25!$K$15:$K$5631),"8")</f>
        <v>9</v>
      </c>
      <c r="AH27" s="21">
        <f>COUNTIFS((AllCalls25!$AU$15:$AU$5631),"I",(AllCalls25!$K$15:$K$5631),"9")</f>
        <v>4</v>
      </c>
      <c r="AI27" s="61">
        <f>COUNTIFS((AllCalls25!$AU$15:$AU$5631),"I",(AllCalls25!$K$15:$K$5631),"10")</f>
        <v>5</v>
      </c>
      <c r="AJ27" s="21">
        <f>COUNTIFS((AllCalls25!$AU$15:$AU$5631),"I",(AllCalls25!$K$15:$K$5631),"11")</f>
        <v>9</v>
      </c>
      <c r="AK27" s="61">
        <f>COUNTIFS((AllCalls25!$AU$15:$AU$5631),"I",(AllCalls25!$K$15:$K$5631),"12")</f>
        <v>14</v>
      </c>
      <c r="AL27" s="21">
        <f t="shared" si="2"/>
        <v>112</v>
      </c>
      <c r="AM27" s="26">
        <f t="shared" si="3"/>
        <v>0.17177914110429449</v>
      </c>
      <c r="AN27" s="12">
        <f t="shared" si="4"/>
        <v>330</v>
      </c>
      <c r="AO27" s="26">
        <f t="shared" si="9"/>
        <v>0.21498371335504887</v>
      </c>
    </row>
    <row r="28" spans="1:42">
      <c r="A28" s="2" t="s">
        <v>48</v>
      </c>
      <c r="B28" s="21">
        <v>0</v>
      </c>
      <c r="C28" s="22">
        <v>16</v>
      </c>
      <c r="D28" s="12">
        <v>20</v>
      </c>
      <c r="E28" s="13">
        <v>16</v>
      </c>
      <c r="F28" s="12">
        <v>17</v>
      </c>
      <c r="G28" s="13">
        <v>26</v>
      </c>
      <c r="H28" s="12">
        <v>21</v>
      </c>
      <c r="I28" s="13">
        <v>18</v>
      </c>
      <c r="J28" s="12">
        <f t="shared" si="0"/>
        <v>134</v>
      </c>
      <c r="K28" s="26">
        <f t="shared" si="8"/>
        <v>0.41358024691358025</v>
      </c>
      <c r="L28" s="12">
        <v>21</v>
      </c>
      <c r="M28" s="3">
        <v>20</v>
      </c>
      <c r="N28" s="12">
        <v>22</v>
      </c>
      <c r="O28" s="3">
        <v>19</v>
      </c>
      <c r="P28" s="12">
        <v>24</v>
      </c>
      <c r="Q28" s="3">
        <v>26</v>
      </c>
      <c r="R28" s="12">
        <v>19</v>
      </c>
      <c r="S28" s="3">
        <v>29</v>
      </c>
      <c r="T28" s="12">
        <v>10</v>
      </c>
      <c r="U28" s="56">
        <v>24</v>
      </c>
      <c r="V28" s="12">
        <v>23</v>
      </c>
      <c r="W28" s="56">
        <v>25</v>
      </c>
      <c r="X28" s="12">
        <v>262</v>
      </c>
      <c r="Y28" s="26">
        <v>0.44847112117780297</v>
      </c>
      <c r="Z28" s="21">
        <f>COUNTIFS((AllCalls25!$AV$15:$AV$5631),"I",(AllCalls25!$K$15:$K$5631),"1")</f>
        <v>21</v>
      </c>
      <c r="AA28" s="60">
        <f>COUNTIFS((AllCalls25!$AV$15:$AV$5631),"I",(AllCalls25!$K$15:$K$5631),"2")</f>
        <v>19</v>
      </c>
      <c r="AB28" s="115">
        <f>COUNTIFS((AllCalls25!$AV$15:$AV$5631),"I",(AllCalls25!$K$15:$K$5631),"3")</f>
        <v>0</v>
      </c>
      <c r="AC28" s="130">
        <f>COUNTIFS((AllCalls25!$AV$15:$AV$5631),"I",(AllCalls25!$K$15:$K$5631),"4")</f>
        <v>0</v>
      </c>
      <c r="AD28" s="115">
        <f>COUNTIFS((AllCalls25!$AV$15:$AV$5631),"I",(AllCalls25!$K$15:$K$5631),"5")</f>
        <v>0</v>
      </c>
      <c r="AE28" s="130">
        <f>COUNTIFS((AllCalls25!$AV$15:$AV$5631),"I",(AllCalls25!$K$15:$K$5631),"6")</f>
        <v>0</v>
      </c>
      <c r="AF28" s="115">
        <f>COUNTIFS((AllCalls25!$AV$15:$AV$5631),"I",(AllCalls25!$K$15:$K$5631),"7")</f>
        <v>1</v>
      </c>
      <c r="AG28" s="60">
        <f>COUNTIFS((AllCalls25!$AV$15:$AV$5631),"I",(AllCalls25!$K$15:$K$5631),"8")</f>
        <v>29</v>
      </c>
      <c r="AH28" s="21">
        <f>COUNTIFS((AllCalls25!$AV$15:$AV$5631),"I",(AllCalls25!$K$15:$K$5631),"9")</f>
        <v>25</v>
      </c>
      <c r="AI28" s="61">
        <f>COUNTIFS((AllCalls25!$AV$15:$AV$5631),"I",(AllCalls25!$K$15:$K$5631),"10")</f>
        <v>17</v>
      </c>
      <c r="AJ28" s="21">
        <f>COUNTIFS((AllCalls25!$AV$15:$AV$5631),"I",(AllCalls25!$K$15:$K$5631),"11")</f>
        <v>18</v>
      </c>
      <c r="AK28" s="61">
        <f>COUNTIFS((AllCalls25!$AV$15:$AV$5631),"I",(AllCalls25!$K$15:$K$5631),"12")</f>
        <v>54</v>
      </c>
      <c r="AL28" s="21">
        <f t="shared" si="2"/>
        <v>184</v>
      </c>
      <c r="AM28" s="26">
        <f t="shared" si="3"/>
        <v>0.2822085889570552</v>
      </c>
      <c r="AN28" s="12">
        <f t="shared" si="4"/>
        <v>580</v>
      </c>
      <c r="AO28" s="26">
        <f t="shared" si="9"/>
        <v>0.37785016286644951</v>
      </c>
    </row>
    <row r="29" spans="1:42">
      <c r="A29" s="2" t="s">
        <v>49</v>
      </c>
      <c r="B29" s="21">
        <v>0</v>
      </c>
      <c r="C29" s="22">
        <v>14</v>
      </c>
      <c r="D29" s="12">
        <v>12</v>
      </c>
      <c r="E29" s="13">
        <v>6</v>
      </c>
      <c r="F29" s="12">
        <v>13</v>
      </c>
      <c r="G29" s="13">
        <v>8</v>
      </c>
      <c r="H29" s="12">
        <v>14</v>
      </c>
      <c r="I29" s="13">
        <v>10</v>
      </c>
      <c r="J29" s="12">
        <f t="shared" si="0"/>
        <v>77</v>
      </c>
      <c r="K29" s="26">
        <f t="shared" si="8"/>
        <v>0.23765432098765432</v>
      </c>
      <c r="L29" s="12">
        <v>0</v>
      </c>
      <c r="M29" s="3">
        <v>7</v>
      </c>
      <c r="N29" s="12">
        <v>6</v>
      </c>
      <c r="O29" s="3">
        <v>19</v>
      </c>
      <c r="P29" s="12">
        <v>25</v>
      </c>
      <c r="Q29" s="3">
        <v>17</v>
      </c>
      <c r="R29" s="12">
        <v>19</v>
      </c>
      <c r="S29" s="3">
        <v>7</v>
      </c>
      <c r="T29" s="12">
        <v>15</v>
      </c>
      <c r="U29" s="56">
        <v>16</v>
      </c>
      <c r="V29" s="12">
        <v>25</v>
      </c>
      <c r="W29" s="56">
        <v>9</v>
      </c>
      <c r="X29" s="12">
        <v>165</v>
      </c>
      <c r="Y29" s="26">
        <v>0.27406568516421292</v>
      </c>
      <c r="Z29" s="21">
        <f>COUNTIFS((AllCalls25!$AW$15:$AW$5631),"I",(AllCalls25!$K$15:$K$5631),"1")</f>
        <v>0</v>
      </c>
      <c r="AA29" s="18">
        <f>COUNTIFS((AllCalls25!$AW$15:$AW$5631),"I",(AllCalls25!$K$15:$K$5631),"2")</f>
        <v>15</v>
      </c>
      <c r="AB29" s="21">
        <f>COUNTIFS((AllCalls25!$AW$15:$AW$5631),"I",(AllCalls25!$K$15:$K$5631),"3")</f>
        <v>36</v>
      </c>
      <c r="AC29" s="18">
        <f>COUNTIFS((AllCalls25!$AW$15:$AW$5631),"I",(AllCalls25!$K$15:$K$5631),"4")</f>
        <v>27</v>
      </c>
      <c r="AD29" s="21">
        <f>COUNTIFS((AllCalls25!$AW$15:$AW$5631),"I",(AllCalls25!$K$15:$K$5631),"5")</f>
        <v>29</v>
      </c>
      <c r="AE29" s="18">
        <f>COUNTIFS((AllCalls25!$AW$15:$AW$5631),"I",(AllCalls25!$K$15:$K$5631),"6")</f>
        <v>19</v>
      </c>
      <c r="AF29" s="21">
        <f>COUNTIFS((AllCalls25!$AW$15:$AW$5631),"I",(AllCalls25!$K$15:$K$5631),"7")</f>
        <v>17</v>
      </c>
      <c r="AG29" s="18">
        <f>COUNTIFS((AllCalls25!$AW$15:$AW$5631),"I",(AllCalls25!$K$15:$K$5631),"8")</f>
        <v>12</v>
      </c>
      <c r="AH29" s="21">
        <f>COUNTIFS((AllCalls25!$AW$15:$AW$5631),"I",(AllCalls25!$K$15:$K$5631),"9")</f>
        <v>30</v>
      </c>
      <c r="AI29" s="22">
        <f>COUNTIFS((AllCalls25!$AW$15:$AW$5631),"I",(AllCalls25!$K$15:$K$5631),"10")</f>
        <v>16</v>
      </c>
      <c r="AJ29" s="21">
        <f>COUNTIFS((AllCalls25!$AW$15:$AW$5631),"I",(AllCalls25!$K$15:$K$5631),"11")</f>
        <v>14</v>
      </c>
      <c r="AK29" s="22">
        <f>COUNTIFS((AllCalls25!$AW$15:$AW$5631),"I",(AllCalls25!$K$15:$K$5631),"12")</f>
        <v>17</v>
      </c>
      <c r="AL29" s="21">
        <f t="shared" si="2"/>
        <v>232</v>
      </c>
      <c r="AM29" s="26">
        <f t="shared" si="3"/>
        <v>0.35582822085889571</v>
      </c>
      <c r="AN29" s="12">
        <f t="shared" si="4"/>
        <v>474</v>
      </c>
      <c r="AO29" s="26">
        <f t="shared" si="9"/>
        <v>0.30879478827361562</v>
      </c>
    </row>
    <row r="30" spans="1:42">
      <c r="A30" s="2" t="s">
        <v>50</v>
      </c>
      <c r="B30" s="52"/>
      <c r="C30" s="22">
        <v>0</v>
      </c>
      <c r="D30" s="12">
        <v>1</v>
      </c>
      <c r="E30" s="13">
        <v>1</v>
      </c>
      <c r="F30" s="12">
        <v>0</v>
      </c>
      <c r="G30" s="13">
        <v>4</v>
      </c>
      <c r="H30" s="12">
        <v>7</v>
      </c>
      <c r="I30" s="13">
        <v>6</v>
      </c>
      <c r="J30" s="12">
        <f t="shared" si="0"/>
        <v>19</v>
      </c>
      <c r="K30" s="26">
        <f t="shared" si="8"/>
        <v>5.8641975308641972E-2</v>
      </c>
      <c r="L30" s="12">
        <v>12</v>
      </c>
      <c r="M30" s="3">
        <v>10</v>
      </c>
      <c r="N30" s="12">
        <v>3</v>
      </c>
      <c r="O30" s="3">
        <v>4</v>
      </c>
      <c r="P30" s="12">
        <v>12</v>
      </c>
      <c r="Q30" s="3">
        <v>8</v>
      </c>
      <c r="R30" s="12">
        <v>14</v>
      </c>
      <c r="S30" s="3">
        <v>16</v>
      </c>
      <c r="T30" s="12">
        <v>9</v>
      </c>
      <c r="U30" s="56">
        <v>15</v>
      </c>
      <c r="V30" s="12">
        <v>11</v>
      </c>
      <c r="W30" s="56">
        <v>12</v>
      </c>
      <c r="X30" s="12">
        <v>126</v>
      </c>
      <c r="Y30" s="26">
        <v>0.16421291053227632</v>
      </c>
      <c r="Z30" s="21">
        <f>COUNTIFS((AllCalls25!$AX$15:$AX$5631),"I",(AllCalls25!$K$15:$K$5631),"1")</f>
        <v>12</v>
      </c>
      <c r="AA30" s="18">
        <f>COUNTIFS((AllCalls25!$AX$15:$AX$5631),"I",(AllCalls25!$K$15:$K$5631),"2")</f>
        <v>20</v>
      </c>
      <c r="AB30" s="21">
        <f>COUNTIFS((AllCalls25!$AX$15:$AX$5631),"I",(AllCalls25!$K$15:$K$5631),"3")</f>
        <v>19</v>
      </c>
      <c r="AC30" s="18">
        <f>COUNTIFS((AllCalls25!$AX$15:$AX$5631),"I",(AllCalls25!$K$15:$K$5631),"4")</f>
        <v>7</v>
      </c>
      <c r="AD30" s="21">
        <f>COUNTIFS((AllCalls25!$AX$15:$AX$5631),"I",(AllCalls25!$K$15:$K$5631),"5")</f>
        <v>19</v>
      </c>
      <c r="AE30" s="18">
        <f>COUNTIFS((AllCalls25!$AX$15:$AX$5631),"I",(AllCalls25!$K$15:$K$5631),"6")</f>
        <v>5</v>
      </c>
      <c r="AF30" s="21">
        <f>COUNTIFS((AllCalls25!$AX$15:$AX$5631),"I",(AllCalls25!$K$15:$K$5631),"7")</f>
        <v>11</v>
      </c>
      <c r="AG30" s="18">
        <f>COUNTIFS((AllCalls25!$AX$15:$AX$5631),"I",(AllCalls25!$K$15:$K$5631),"8")</f>
        <v>6</v>
      </c>
      <c r="AH30" s="21">
        <f>COUNTIFS((AllCalls25!$AX$15:$AX$5631),"I",(AllCalls25!$K$15:$K$5631),"9")</f>
        <v>18</v>
      </c>
      <c r="AI30" s="22">
        <f>COUNTIFS((AllCalls25!$AX$15:$AX$5631),"I",(AllCalls25!$K$15:$K$5631),"10")</f>
        <v>12</v>
      </c>
      <c r="AJ30" s="21">
        <f>COUNTIFS((AllCalls25!$AX$15:$AX$5631),"I",(AllCalls25!$K$15:$K$5631),"11")</f>
        <v>12</v>
      </c>
      <c r="AK30" s="22">
        <f>COUNTIFS((AllCalls25!$AX$15:$AX$5631),"I",(AllCalls25!$K$15:$K$5631),"12")</f>
        <v>39</v>
      </c>
      <c r="AL30" s="21">
        <f t="shared" si="2"/>
        <v>180</v>
      </c>
      <c r="AM30" s="26">
        <f t="shared" si="3"/>
        <v>0.27607361963190186</v>
      </c>
      <c r="AN30" s="12">
        <f t="shared" si="4"/>
        <v>325</v>
      </c>
      <c r="AO30" s="26">
        <f t="shared" si="9"/>
        <v>0.21172638436482086</v>
      </c>
    </row>
    <row r="31" spans="1:42">
      <c r="A31" s="2" t="s">
        <v>51</v>
      </c>
      <c r="B31" s="21">
        <v>9</v>
      </c>
      <c r="C31" s="29">
        <v>13</v>
      </c>
      <c r="D31" s="12">
        <v>12</v>
      </c>
      <c r="E31" s="13">
        <v>0</v>
      </c>
      <c r="F31" s="12">
        <v>0</v>
      </c>
      <c r="G31" s="13">
        <v>10</v>
      </c>
      <c r="H31" s="12">
        <v>11</v>
      </c>
      <c r="I31" s="13">
        <v>15</v>
      </c>
      <c r="J31" s="12">
        <f t="shared" si="0"/>
        <v>70</v>
      </c>
      <c r="K31" s="26">
        <f t="shared" si="1"/>
        <v>0.21604938271604937</v>
      </c>
      <c r="L31" s="12">
        <v>24</v>
      </c>
      <c r="M31" s="3">
        <v>16</v>
      </c>
      <c r="N31" s="12">
        <v>16</v>
      </c>
      <c r="O31" s="3">
        <v>14</v>
      </c>
      <c r="P31" s="12">
        <v>20</v>
      </c>
      <c r="Q31" s="3">
        <v>19</v>
      </c>
      <c r="R31" s="12">
        <v>17</v>
      </c>
      <c r="S31" s="66">
        <v>0</v>
      </c>
      <c r="T31" s="67">
        <v>0</v>
      </c>
      <c r="U31" s="65">
        <v>8</v>
      </c>
      <c r="V31" s="67">
        <v>9</v>
      </c>
      <c r="W31" s="65">
        <v>2</v>
      </c>
      <c r="X31" s="12">
        <v>145</v>
      </c>
      <c r="Y31" s="26">
        <v>0.2434881087202718</v>
      </c>
      <c r="Z31" s="115">
        <f>COUNTIFS((AllCalls25!$AY$15:$AY$5631),"I",(AllCalls25!$K$15:$K$5631),"1")</f>
        <v>1</v>
      </c>
      <c r="AA31" s="143">
        <f>COUNTIFS((AllCalls25!$AY$15:$AY$5631),"I",(AllCalls25!$K$15:$K$5631),"2")</f>
        <v>0</v>
      </c>
      <c r="AB31" s="115">
        <f>COUNTIFS((AllCalls25!$AY$15:$AY$5631),"I",(AllCalls25!$K$15:$K$5631),"3")</f>
        <v>9</v>
      </c>
      <c r="AC31" s="143">
        <f>COUNTIFS((AllCalls25!$AY$15:$AY$5631),"I",(AllCalls25!$K$15:$K$5631),"4")</f>
        <v>7</v>
      </c>
      <c r="AD31" s="21">
        <f>COUNTIFS((AllCalls25!$AY$15:$AY$5631),"I",(AllCalls25!$K$15:$K$5631),"5")</f>
        <v>4</v>
      </c>
      <c r="AE31" s="18">
        <f>COUNTIFS((AllCalls25!$AY$15:$AY$5631),"I",(AllCalls25!$K$15:$K$5631),"6")</f>
        <v>6</v>
      </c>
      <c r="AF31" s="21">
        <f>COUNTIFS((AllCalls25!$AY$15:$AY$5631),"I",(AllCalls25!$K$15:$K$5631),"7")</f>
        <v>13</v>
      </c>
      <c r="AG31" s="18">
        <f>COUNTIFS((AllCalls25!$AY$15:$AY$5631),"I",(AllCalls25!$K$15:$K$5631),"8")</f>
        <v>14</v>
      </c>
      <c r="AH31" s="21">
        <f>COUNTIFS((AllCalls25!$AY$15:$AY$5631),"I",(AllCalls25!$K$15:$K$5631),"9")</f>
        <v>18</v>
      </c>
      <c r="AI31" s="22">
        <f>COUNTIFS((AllCalls25!$AY$15:$AY$5631),"I",(AllCalls25!$K$15:$K$5631),"10")</f>
        <v>7</v>
      </c>
      <c r="AJ31" s="21">
        <f>COUNTIFS((AllCalls25!$AY$15:$AY$5631),"I",(AllCalls25!$K$15:$K$5631),"11")</f>
        <v>19</v>
      </c>
      <c r="AK31" s="22">
        <f>COUNTIFS((AllCalls25!$AY$15:$AY$5631),"I",(AllCalls25!$K$15:$K$5631),"12")</f>
        <v>37</v>
      </c>
      <c r="AL31" s="21">
        <f t="shared" si="2"/>
        <v>135</v>
      </c>
      <c r="AM31" s="26">
        <f>(SUM($AL31))/SUM($AL$2)</f>
        <v>0.20705521472392638</v>
      </c>
      <c r="AN31" s="12">
        <f t="shared" si="4"/>
        <v>350</v>
      </c>
      <c r="AO31" s="26">
        <f t="shared" si="5"/>
        <v>0.2280130293159609</v>
      </c>
    </row>
    <row r="32" spans="1:42">
      <c r="A32" s="2" t="s">
        <v>52</v>
      </c>
      <c r="B32" s="21">
        <v>6</v>
      </c>
      <c r="C32" s="22">
        <v>24</v>
      </c>
      <c r="D32" s="12">
        <v>31</v>
      </c>
      <c r="E32" s="13">
        <v>18</v>
      </c>
      <c r="F32" s="12">
        <v>21</v>
      </c>
      <c r="G32" s="13">
        <v>25</v>
      </c>
      <c r="H32" s="12">
        <v>27</v>
      </c>
      <c r="I32" s="13">
        <v>21</v>
      </c>
      <c r="J32" s="12">
        <f t="shared" si="0"/>
        <v>173</v>
      </c>
      <c r="K32" s="26">
        <f t="shared" si="1"/>
        <v>0.53395061728395066</v>
      </c>
      <c r="L32" s="12">
        <v>21</v>
      </c>
      <c r="M32" s="3">
        <v>14</v>
      </c>
      <c r="N32" s="12">
        <v>13</v>
      </c>
      <c r="O32" s="3">
        <v>9</v>
      </c>
      <c r="P32" s="12">
        <v>8</v>
      </c>
      <c r="Q32" s="3">
        <v>3</v>
      </c>
      <c r="R32" s="12">
        <v>6</v>
      </c>
      <c r="S32" s="3">
        <v>7</v>
      </c>
      <c r="T32" s="12">
        <v>5</v>
      </c>
      <c r="U32" s="56">
        <v>8</v>
      </c>
      <c r="V32" s="12">
        <v>5</v>
      </c>
      <c r="W32" s="56">
        <v>8</v>
      </c>
      <c r="X32" s="12">
        <v>107</v>
      </c>
      <c r="Y32" s="26">
        <v>0.31710079275198189</v>
      </c>
      <c r="Z32" s="21">
        <f>COUNTIFS((AllCalls25!$AZ$15:$AZ$5631),"I",(AllCalls25!$K$15:$K$5631),"1")</f>
        <v>2</v>
      </c>
      <c r="AA32" s="60">
        <f>COUNTIFS((AllCalls25!$AZ$15:$AZ$5631),"I",(AllCalls25!$K$15:$K$5631),"2")</f>
        <v>9</v>
      </c>
      <c r="AB32" s="21">
        <f>COUNTIFS((AllCalls25!$AZ$15:$AZ$5631),"I",(AllCalls25!$K$15:$K$5631),"3")</f>
        <v>21</v>
      </c>
      <c r="AC32" s="60">
        <f>COUNTIFS((AllCalls25!$AZ$15:$AZ$5631),"I",(AllCalls25!$K$15:$K$5631),"4")</f>
        <v>15</v>
      </c>
      <c r="AD32" s="21">
        <f>COUNTIFS((AllCalls25!$AZ$15:$AZ$5631),"I",(AllCalls25!$K$15:$K$5631),"5")</f>
        <v>34</v>
      </c>
      <c r="AE32" s="60">
        <f>COUNTIFS((AllCalls25!$AZ$15:$AZ$5631),"I",(AllCalls25!$K$15:$K$5631),"6")</f>
        <v>7</v>
      </c>
      <c r="AF32" s="21">
        <f>COUNTIFS((AllCalls25!$AZ$15:$AZ$5631),"I",(AllCalls25!$K$15:$K$5631),"7")</f>
        <v>17</v>
      </c>
      <c r="AG32" s="60">
        <f>COUNTIFS((AllCalls25!$AZ$15:$AZ$5631),"I",(AllCalls25!$K$15:$K$5631),"8")</f>
        <v>15</v>
      </c>
      <c r="AH32" s="21">
        <f>COUNTIFS((AllCalls25!$AZ$15:$AZ$5631),"I",(AllCalls25!$K$15:$K$5631),"9")</f>
        <v>16</v>
      </c>
      <c r="AI32" s="61">
        <f>COUNTIFS((AllCalls25!$AZ$15:$AZ$5631),"I",(AllCalls25!$K$15:$K$5631),"10")</f>
        <v>4</v>
      </c>
      <c r="AJ32" s="21">
        <f>COUNTIFS((AllCalls25!$AZ$15:$AZ$5631),"I",(AllCalls25!$K$15:$K$5631),"11")</f>
        <v>23</v>
      </c>
      <c r="AK32" s="61">
        <f>COUNTIFS((AllCalls25!$AZ$15:$AZ$5631),"I",(AllCalls25!$K$15:$K$5631),"12")</f>
        <v>44</v>
      </c>
      <c r="AL32" s="21">
        <f t="shared" si="2"/>
        <v>207</v>
      </c>
      <c r="AM32" s="26">
        <f t="shared" si="3"/>
        <v>0.31748466257668712</v>
      </c>
      <c r="AN32" s="12">
        <f t="shared" si="4"/>
        <v>487</v>
      </c>
      <c r="AO32" s="26">
        <f t="shared" si="5"/>
        <v>0.31726384364820848</v>
      </c>
    </row>
    <row r="33" spans="1:42">
      <c r="A33" s="2" t="s">
        <v>53</v>
      </c>
      <c r="B33" s="21">
        <v>0</v>
      </c>
      <c r="C33" s="22">
        <v>6</v>
      </c>
      <c r="D33" s="12">
        <v>5</v>
      </c>
      <c r="E33" s="13">
        <v>3</v>
      </c>
      <c r="F33" s="12">
        <v>10</v>
      </c>
      <c r="G33" s="13">
        <v>8</v>
      </c>
      <c r="H33" s="12">
        <v>5</v>
      </c>
      <c r="I33" s="13">
        <v>3</v>
      </c>
      <c r="J33" s="12">
        <f>SUM($B33:$I33)</f>
        <v>40</v>
      </c>
      <c r="K33" s="26">
        <f t="shared" si="1"/>
        <v>0.12345679012345678</v>
      </c>
      <c r="L33" s="12">
        <v>6</v>
      </c>
      <c r="M33" s="3">
        <v>10</v>
      </c>
      <c r="N33" s="12">
        <v>3</v>
      </c>
      <c r="O33" s="3">
        <v>6</v>
      </c>
      <c r="P33" s="67">
        <v>0</v>
      </c>
      <c r="Q33" s="66">
        <v>0</v>
      </c>
      <c r="R33" s="67">
        <v>0</v>
      </c>
      <c r="S33" s="66">
        <v>2</v>
      </c>
      <c r="T33" s="67">
        <v>0</v>
      </c>
      <c r="U33" s="65">
        <v>0</v>
      </c>
      <c r="V33" s="67">
        <v>0</v>
      </c>
      <c r="W33" s="65">
        <v>2</v>
      </c>
      <c r="X33" s="12">
        <v>29</v>
      </c>
      <c r="Y33" s="26">
        <v>7.8142695356738387E-2</v>
      </c>
      <c r="Z33" s="21">
        <f>COUNTIFS((AllCalls25!$BA$15:$BA$5631),"I",(AllCalls25!$K$15:$K$5631),"1")</f>
        <v>5</v>
      </c>
      <c r="AA33" s="60">
        <f>COUNTIFS((AllCalls25!$BA$15:$BA$5631),"I",(AllCalls25!$K$15:$K$5631),"2")</f>
        <v>8</v>
      </c>
      <c r="AB33" s="21">
        <f>COUNTIFS((AllCalls25!$BA$15:$BA$5631),"I",(AllCalls25!$K$15:$K$5631),"3")</f>
        <v>18</v>
      </c>
      <c r="AC33" s="60">
        <f>COUNTIFS((AllCalls25!$BA$15:$BA$5631),"I",(AllCalls25!$K$15:$K$5631),"4")</f>
        <v>8</v>
      </c>
      <c r="AD33" s="21">
        <f>COUNTIFS((AllCalls25!$BA$15:$BA$5631),"I",(AllCalls25!$K$15:$K$5631),"5")</f>
        <v>0</v>
      </c>
      <c r="AE33" s="60">
        <f>COUNTIFS((AllCalls25!$BA$15:$BA$5631),"I",(AllCalls25!$K$15:$K$5631),"6")</f>
        <v>11</v>
      </c>
      <c r="AF33" s="21">
        <f>COUNTIFS((AllCalls25!$BA$15:$BA$5631),"I",(AllCalls25!$K$15:$K$5631),"7")</f>
        <v>17</v>
      </c>
      <c r="AG33" s="60">
        <f>COUNTIFS((AllCalls25!$BA$15:$BA$5631),"I",(AllCalls25!$K$15:$K$5631),"8")</f>
        <v>12</v>
      </c>
      <c r="AH33" s="21">
        <f>COUNTIFS((AllCalls25!$BA$15:$BA$5631),"I",(AllCalls25!$K$15:$K$5631),"9")</f>
        <v>18</v>
      </c>
      <c r="AI33" s="61">
        <f>COUNTIFS((AllCalls25!$BA$15:$BA$5631),"I",(AllCalls25!$K$15:$K$5631),"10")</f>
        <v>9</v>
      </c>
      <c r="AJ33" s="21">
        <f>COUNTIFS((AllCalls25!$BA$15:$BA$5631),"I",(AllCalls25!$K$15:$K$5631),"11")</f>
        <v>15</v>
      </c>
      <c r="AK33" s="61">
        <f>COUNTIFS((AllCalls25!$BA$15:$BA$5631),"I",(AllCalls25!$K$15:$K$5631),"12")</f>
        <v>11</v>
      </c>
      <c r="AL33" s="21">
        <f t="shared" si="2"/>
        <v>132</v>
      </c>
      <c r="AM33" s="26">
        <f>(SUM($AL33))/SUM($AL$2)</f>
        <v>0.20245398773006135</v>
      </c>
      <c r="AN33" s="12">
        <f t="shared" si="4"/>
        <v>201</v>
      </c>
      <c r="AO33" s="26">
        <f>(SUM(AN33))/SUM($AN$2)</f>
        <v>0.13094462540716612</v>
      </c>
      <c r="AP33" t="s">
        <v>54</v>
      </c>
    </row>
    <row r="34" spans="1:42">
      <c r="A34" s="2" t="s">
        <v>55</v>
      </c>
      <c r="B34" s="16"/>
      <c r="C34" s="16"/>
      <c r="D34" s="16"/>
      <c r="E34" s="16"/>
      <c r="F34" s="12">
        <v>2</v>
      </c>
      <c r="G34" s="3">
        <v>2</v>
      </c>
      <c r="H34" s="12">
        <v>7</v>
      </c>
      <c r="I34" s="3">
        <v>2</v>
      </c>
      <c r="J34" s="12">
        <f>SUM($B34:$I34)</f>
        <v>13</v>
      </c>
      <c r="K34" s="26">
        <f t="shared" si="1"/>
        <v>4.0123456790123455E-2</v>
      </c>
      <c r="L34" s="12">
        <v>8</v>
      </c>
      <c r="M34" s="3">
        <v>2</v>
      </c>
      <c r="N34" s="12">
        <v>0</v>
      </c>
      <c r="O34" s="3">
        <v>2</v>
      </c>
      <c r="P34" s="12">
        <v>3</v>
      </c>
      <c r="Q34" s="3">
        <v>0</v>
      </c>
      <c r="R34" s="12">
        <v>1</v>
      </c>
      <c r="S34" s="3">
        <v>7</v>
      </c>
      <c r="T34" s="12">
        <v>11</v>
      </c>
      <c r="U34" s="56">
        <v>7</v>
      </c>
      <c r="V34" s="12">
        <v>12</v>
      </c>
      <c r="W34" s="56">
        <v>9</v>
      </c>
      <c r="X34" s="12">
        <v>62</v>
      </c>
      <c r="Y34" s="26">
        <v>0.10273972602739725</v>
      </c>
      <c r="Z34" s="21">
        <f>COUNTIFS((AllCalls25!$BB$15:$BB$5631),"I",(AllCalls25!$K$15:$K$5631),"1")</f>
        <v>14</v>
      </c>
      <c r="AA34" s="18">
        <f>COUNTIFS((AllCalls25!$BB$15:$BB$5631),"I",(AllCalls25!$K$15:$K$5631),"2")</f>
        <v>10</v>
      </c>
      <c r="AB34" s="21">
        <f>COUNTIFS((AllCalls25!$BB$15:$BB$5631),"I",(AllCalls25!$K$15:$K$5631),"3")</f>
        <v>6</v>
      </c>
      <c r="AC34" s="18">
        <f>COUNTIFS((AllCalls25!$BB$15:$BB$5631),"I",(AllCalls25!$K$15:$K$5631),"4")</f>
        <v>8</v>
      </c>
      <c r="AD34" s="21">
        <f>COUNTIFS((AllCalls25!$BB$15:$BB$5631),"I",(AllCalls25!$K$15:$K$5631),"5")</f>
        <v>5</v>
      </c>
      <c r="AE34" s="18">
        <f>COUNTIFS((AllCalls25!$BB$15:$BB$5631),"I",(AllCalls25!$K$15:$K$5631),"6")</f>
        <v>2</v>
      </c>
      <c r="AF34" s="21">
        <f>COUNTIFS((AllCalls25!$BB$15:$BB$5631),"I",(AllCalls25!$K$15:$K$5631),"7")</f>
        <v>11</v>
      </c>
      <c r="AG34" s="18">
        <f>COUNTIFS((AllCalls25!$BB$15:$BB$5631),"I",(AllCalls25!$K$15:$K$5631),"8")</f>
        <v>9</v>
      </c>
      <c r="AH34" s="21">
        <f>COUNTIFS((AllCalls25!$BB$15:$BB$5631),"I",(AllCalls25!$K$15:$K$5631),"9")</f>
        <v>4</v>
      </c>
      <c r="AI34" s="22">
        <f>COUNTIFS((AllCalls25!$BB$15:$BB$5631),"I",(AllCalls25!$K$15:$K$5631),"10")</f>
        <v>8</v>
      </c>
      <c r="AJ34" s="21">
        <f>COUNTIFS((AllCalls25!$BB$15:$BB$5631),"I",(AllCalls25!$K$15:$K$5631),"11")</f>
        <v>6</v>
      </c>
      <c r="AK34" s="22">
        <f>COUNTIFS((AllCalls25!$BB$15:$BB$5631),"I",(AllCalls25!$K$15:$K$5631),"12")</f>
        <v>24</v>
      </c>
      <c r="AL34" s="21">
        <f t="shared" si="2"/>
        <v>107</v>
      </c>
      <c r="AM34" s="26">
        <f t="shared" si="3"/>
        <v>0.16411042944785276</v>
      </c>
      <c r="AN34" s="12">
        <f t="shared" si="4"/>
        <v>182</v>
      </c>
      <c r="AO34" s="26">
        <f t="shared" si="5"/>
        <v>0.11856677524429968</v>
      </c>
      <c r="AP34" t="s">
        <v>54</v>
      </c>
    </row>
    <row r="35" spans="1:42">
      <c r="A35" s="2" t="s">
        <v>56</v>
      </c>
      <c r="B35" s="16"/>
      <c r="C35" s="16"/>
      <c r="D35" s="16"/>
      <c r="E35" s="16"/>
      <c r="F35" s="170"/>
      <c r="G35" s="34"/>
      <c r="H35" s="169"/>
      <c r="I35" s="34"/>
      <c r="J35" s="165">
        <v>0</v>
      </c>
      <c r="K35" s="26"/>
      <c r="L35" s="16"/>
      <c r="M35" s="16"/>
      <c r="N35" s="16" t="s">
        <v>57</v>
      </c>
      <c r="O35" s="3">
        <v>3</v>
      </c>
      <c r="P35" s="12">
        <v>0</v>
      </c>
      <c r="Q35" s="3">
        <v>2</v>
      </c>
      <c r="R35" s="12">
        <v>2</v>
      </c>
      <c r="S35" s="3">
        <v>1</v>
      </c>
      <c r="T35" s="12">
        <v>3</v>
      </c>
      <c r="U35" s="56">
        <v>10</v>
      </c>
      <c r="V35" s="12">
        <v>11</v>
      </c>
      <c r="W35" s="56">
        <v>12</v>
      </c>
      <c r="X35" s="12">
        <v>44</v>
      </c>
      <c r="Y35" s="26">
        <v>0.10837438423645321</v>
      </c>
      <c r="Z35" s="21">
        <f>COUNTIFS((AllCalls25!$BC$15:$BC$5631),"I",(AllCalls25!$K$15:$K$5631),"1")</f>
        <v>4</v>
      </c>
      <c r="AA35" s="18">
        <f>COUNTIFS((AllCalls25!$BC$15:$BC$5631),"I",(AllCalls25!$K$15:$K$5631),"2")</f>
        <v>3</v>
      </c>
      <c r="AB35" s="21">
        <f>COUNTIFS((AllCalls25!$BC$15:$BC$5631),"I",(AllCalls25!$K$15:$K$5631),"3")</f>
        <v>13</v>
      </c>
      <c r="AC35" s="18">
        <f>COUNTIFS((AllCalls25!$BC$15:$BC$5631),"I",(AllCalls25!$K$15:$K$5631),"4")</f>
        <v>5</v>
      </c>
      <c r="AD35" s="21">
        <f>COUNTIFS((AllCalls25!$BC$15:$BC$5631),"I",(AllCalls25!$K$15:$K$5631),"5")</f>
        <v>3</v>
      </c>
      <c r="AE35" s="18">
        <f>COUNTIFS((AllCalls25!$BC$15:$BC$5631),"I",(AllCalls25!$K$15:$K$5631),"6")</f>
        <v>2</v>
      </c>
      <c r="AF35" s="21">
        <f>COUNTIFS((AllCalls25!$BC$15:$BC$5631),"I",(AllCalls25!$K$15:$K$5631),"7")</f>
        <v>9</v>
      </c>
      <c r="AG35" s="18">
        <f>COUNTIFS((AllCalls25!$BC$15:$BC$5631),"I",(AllCalls25!$K$15:$K$5631),"8")</f>
        <v>9</v>
      </c>
      <c r="AH35" s="21">
        <f>COUNTIFS((AllCalls25!$BC$15:$BC$5631),"I",(AllCalls25!$K$15:$K$5631),"9")</f>
        <v>11</v>
      </c>
      <c r="AI35" s="22">
        <f>COUNTIFS((AllCalls25!$BC$15:$BC$5631),"I",(AllCalls25!$K$15:$K$5631),"10")</f>
        <v>6</v>
      </c>
      <c r="AJ35" s="21">
        <f>COUNTIFS((AllCalls25!$BC$15:$BC$5631),"I",(AllCalls25!$K$15:$K$5631),"11")</f>
        <v>7</v>
      </c>
      <c r="AK35" s="22">
        <f>COUNTIFS((AllCalls25!$BC$15:$BC$5631),"I",(AllCalls25!$K$15:$K$5631),"12")</f>
        <v>10</v>
      </c>
      <c r="AL35" s="21">
        <f>SUM($Z35:$AK35)</f>
        <v>82</v>
      </c>
      <c r="AM35" s="26">
        <f>(SUM($AL35))/SUM($AL$2)</f>
        <v>0.12576687116564417</v>
      </c>
      <c r="AN35" s="12">
        <f>SUM($J35,$X35,$AL35)</f>
        <v>126</v>
      </c>
      <c r="AO35" s="26">
        <f>(SUM(AN35))/SUM($AN$2)</f>
        <v>8.2084690553745926E-2</v>
      </c>
      <c r="AP35" t="s">
        <v>54</v>
      </c>
    </row>
    <row r="36" spans="1:42">
      <c r="A36" s="2" t="s">
        <v>58</v>
      </c>
      <c r="B36" s="16"/>
      <c r="C36" s="16"/>
      <c r="D36" s="16"/>
      <c r="E36" s="16"/>
      <c r="F36" s="16"/>
      <c r="G36" s="16"/>
      <c r="H36" s="16"/>
      <c r="I36" s="16"/>
      <c r="J36" s="165"/>
      <c r="K36" s="26"/>
      <c r="L36" s="16"/>
      <c r="M36" s="16"/>
      <c r="N36" s="16"/>
      <c r="O36" s="34"/>
      <c r="P36" s="169"/>
      <c r="Q36" s="34"/>
      <c r="R36" s="169"/>
      <c r="S36" s="34"/>
      <c r="T36" s="169"/>
      <c r="U36" s="56">
        <v>0</v>
      </c>
      <c r="V36" s="12">
        <v>9</v>
      </c>
      <c r="W36" s="56">
        <v>17</v>
      </c>
      <c r="X36" s="12">
        <v>26</v>
      </c>
      <c r="Y36" s="26">
        <v>0.184397163120567</v>
      </c>
      <c r="Z36" s="21">
        <f>COUNTIFS((AllCalls25!$BD$15:$BD$5631),"I",(AllCalls25!$K$15:$K$5631),"1")</f>
        <v>7</v>
      </c>
      <c r="AA36" s="60">
        <f>COUNTIFS((AllCalls25!$BD$15:$BD$5631),"I",(AllCalls25!$K$15:$K$5631),"2")</f>
        <v>12</v>
      </c>
      <c r="AB36" s="21">
        <f>COUNTIFS((AllCalls25!$BD$15:$BD$5631),"I",(AllCalls25!$K$15:$K$5631),"3")</f>
        <v>18</v>
      </c>
      <c r="AC36" s="60">
        <f>COUNTIFS((AllCalls25!$BD$15:$BD$5631),"I",(AllCalls25!$K$15:$K$5631),"4")</f>
        <v>16</v>
      </c>
      <c r="AD36" s="21">
        <f>COUNTIFS((AllCalls25!$BD$15:$BD$5631),"I",(AllCalls25!$K$15:$K$5631),"5")</f>
        <v>21</v>
      </c>
      <c r="AE36" s="60">
        <f>COUNTIFS((AllCalls25!$BD$15:$BD$5631),"I",(AllCalls25!$K$15:$K$5631),"6")</f>
        <v>7</v>
      </c>
      <c r="AF36" s="21">
        <f>COUNTIFS((AllCalls25!$BD$15:$BD$5631),"I",(AllCalls25!$K$15:$K$5631),"7")</f>
        <v>18</v>
      </c>
      <c r="AG36" s="60">
        <f>COUNTIFS((AllCalls25!$BD$15:$BD$5631),"I",(AllCalls25!$K$15:$K$5631),"8")</f>
        <v>9</v>
      </c>
      <c r="AH36" s="21">
        <f>COUNTIFS((AllCalls25!$BD$15:$BD$5631),"I",(AllCalls25!$K$15:$K$5631),"9")</f>
        <v>8</v>
      </c>
      <c r="AI36" s="61">
        <f>COUNTIFS((AllCalls25!$BD$15:$BD$5631),"I",(AllCalls25!$K$15:$K$5631),"10")</f>
        <v>13</v>
      </c>
      <c r="AJ36" s="21">
        <f>COUNTIFS((AllCalls25!$BD$15:$BD$5631),"I",(AllCalls25!$K$15:$K$5631),"11")</f>
        <v>15</v>
      </c>
      <c r="AK36" s="61">
        <f>COUNTIFS((AllCalls25!$BD$15:$BD$5631),"I",(AllCalls25!$K$15:$K$5631),"12")</f>
        <v>9</v>
      </c>
      <c r="AL36" s="21">
        <f t="shared" si="2"/>
        <v>153</v>
      </c>
      <c r="AM36" s="26">
        <f t="shared" si="3"/>
        <v>0.23466257668711657</v>
      </c>
      <c r="AN36" s="12">
        <f t="shared" si="4"/>
        <v>179</v>
      </c>
      <c r="AO36" s="26">
        <f>(SUM(AN36,X36))/SUM($AL$2,$V$2:$W$2)</f>
        <v>0.27296937416777628</v>
      </c>
    </row>
    <row r="37" spans="1:42">
      <c r="A37" s="2" t="s">
        <v>59</v>
      </c>
      <c r="B37" s="16"/>
      <c r="C37" s="16"/>
      <c r="D37" s="16"/>
      <c r="E37" s="16"/>
      <c r="F37" s="16"/>
      <c r="G37" s="16"/>
      <c r="H37" s="16"/>
      <c r="I37" s="16"/>
      <c r="J37" s="165"/>
      <c r="K37" s="26"/>
      <c r="L37" s="16"/>
      <c r="M37" s="16"/>
      <c r="N37" s="16"/>
      <c r="O37" s="34"/>
      <c r="P37" s="169"/>
      <c r="Q37" s="34"/>
      <c r="R37" s="169"/>
      <c r="S37" s="34"/>
      <c r="T37" s="169"/>
      <c r="U37" s="56">
        <v>0</v>
      </c>
      <c r="V37" s="12">
        <v>3</v>
      </c>
      <c r="W37" s="56">
        <v>9</v>
      </c>
      <c r="X37" s="12">
        <v>12</v>
      </c>
      <c r="Y37" s="26">
        <v>8.5106382978723402E-2</v>
      </c>
      <c r="Z37" s="21">
        <f>COUNTIFS((AllCalls25!$BE$15:$BE$5631),"I",(AllCalls25!$K$15:$K$5631),"1")</f>
        <v>5</v>
      </c>
      <c r="AA37" s="18">
        <f>COUNTIFS((AllCalls25!$BE$15:$BE$5631),"I",(AllCalls25!$K$15:$K$5631),"2")</f>
        <v>8</v>
      </c>
      <c r="AB37" s="21">
        <f>COUNTIFS((AllCalls25!$BE$15:$BE$5631),"I",(AllCalls25!$K$15:$K$5631),"3")</f>
        <v>15</v>
      </c>
      <c r="AC37" s="18">
        <f>COUNTIFS((AllCalls25!$BE$15:$BE$5631),"I",(AllCalls25!$K$15:$K$5631),"4")</f>
        <v>17</v>
      </c>
      <c r="AD37" s="21">
        <f>COUNTIFS((AllCalls25!$BE$15:$BE$5631),"I",(AllCalls25!$K$15:$K$5631),"5")</f>
        <v>30</v>
      </c>
      <c r="AE37" s="18">
        <f>COUNTIFS((AllCalls25!$BE$15:$BE$5631),"I",(AllCalls25!$K$15:$K$5631),"6")</f>
        <v>11</v>
      </c>
      <c r="AF37" s="21">
        <f>COUNTIFS((AllCalls25!$BE$15:$BE$5631),"I",(AllCalls25!$K$15:$K$5631),"7")</f>
        <v>22</v>
      </c>
      <c r="AG37" s="18">
        <f>COUNTIFS((AllCalls25!$BE$15:$BE$5631),"I",(AllCalls25!$K$15:$K$5631),"8")</f>
        <v>14</v>
      </c>
      <c r="AH37" s="21">
        <f>COUNTIFS((AllCalls25!$BE$15:$BE$5631),"I",(AllCalls25!$K$15:$K$5631),"9")</f>
        <v>22</v>
      </c>
      <c r="AI37" s="22">
        <f>COUNTIFS((AllCalls25!$BE$15:$BE$5631),"I",(AllCalls25!$K$15:$K$5631),"10")</f>
        <v>9</v>
      </c>
      <c r="AJ37" s="21">
        <f>COUNTIFS((AllCalls25!$BE$15:$BE$5631),"I",(AllCalls25!$K$15:$K$5631),"11")</f>
        <v>6</v>
      </c>
      <c r="AK37" s="22">
        <f>COUNTIFS((AllCalls25!$BE$15:$BE$5631),"I",(AllCalls25!$K$15:$K$5631),"12")</f>
        <v>34</v>
      </c>
      <c r="AL37" s="21">
        <f t="shared" si="2"/>
        <v>193</v>
      </c>
      <c r="AM37" s="26">
        <f t="shared" si="3"/>
        <v>0.29601226993865032</v>
      </c>
      <c r="AN37" s="12">
        <f t="shared" si="4"/>
        <v>205</v>
      </c>
      <c r="AO37" s="26">
        <f t="shared" ref="AO37" si="10">(SUM(AN37,X37))/SUM($AL$2,$V$2:$W$2)</f>
        <v>0.28894806924101196</v>
      </c>
    </row>
    <row r="38" spans="1:42">
      <c r="A38" s="2" t="s">
        <v>60</v>
      </c>
      <c r="B38" s="16"/>
      <c r="C38" s="16"/>
      <c r="D38" s="16"/>
      <c r="E38" s="16"/>
      <c r="F38" s="16"/>
      <c r="G38" s="16"/>
      <c r="H38" s="16"/>
      <c r="I38" s="16"/>
      <c r="J38" s="165"/>
      <c r="K38" s="26"/>
      <c r="L38" s="16"/>
      <c r="M38" s="16"/>
      <c r="N38" s="16"/>
      <c r="O38" s="34"/>
      <c r="P38" s="169"/>
      <c r="Q38" s="34"/>
      <c r="R38" s="169"/>
      <c r="S38" s="34"/>
      <c r="T38" s="169"/>
      <c r="U38" s="56">
        <v>0</v>
      </c>
      <c r="V38" s="12">
        <v>7</v>
      </c>
      <c r="W38" s="56">
        <v>15</v>
      </c>
      <c r="X38" s="12">
        <v>22</v>
      </c>
      <c r="Y38" s="26">
        <v>0.15602836879432624</v>
      </c>
      <c r="Z38" s="21">
        <f>COUNTIFS((AllCalls25!$BF$15:$BF$5631),"I",(AllCalls25!$K$15:$K$5631),"1")</f>
        <v>21</v>
      </c>
      <c r="AA38" s="60">
        <f>COUNTIFS((AllCalls25!$BF$15:$BF$5631),"I",(AllCalls25!$K$15:$K$5631),"2")</f>
        <v>24</v>
      </c>
      <c r="AB38" s="21">
        <f>COUNTIFS((AllCalls25!$BF$15:$BF$5631),"I",(AllCalls25!$K$15:$K$5631),"3")</f>
        <v>29</v>
      </c>
      <c r="AC38" s="60">
        <f>COUNTIFS((AllCalls25!$BF$15:$BF$5631),"I",(AllCalls25!$K$15:$K$5631),"4")</f>
        <v>18</v>
      </c>
      <c r="AD38" s="21">
        <f>COUNTIFS((AllCalls25!$BF$15:$BF$5631),"I",(AllCalls25!$K$15:$K$5631),"5")</f>
        <v>39</v>
      </c>
      <c r="AE38" s="60">
        <f>COUNTIFS((AllCalls25!$BF$15:$BF$5631),"I",(AllCalls25!$K$15:$K$5631),"6")</f>
        <v>16</v>
      </c>
      <c r="AF38" s="21">
        <f>COUNTIFS((AllCalls25!$BF$15:$BF$5631),"I",(AllCalls25!$K$15:$K$5631),"7")</f>
        <v>11</v>
      </c>
      <c r="AG38" s="60">
        <f>COUNTIFS((AllCalls25!$BF$15:$BF$5631),"I",(AllCalls25!$K$15:$K$5631),"8")</f>
        <v>27</v>
      </c>
      <c r="AH38" s="21">
        <f>COUNTIFS((AllCalls25!$BF$15:$BF$5631),"I",(AllCalls25!$K$15:$K$5631),"9")</f>
        <v>23</v>
      </c>
      <c r="AI38" s="61">
        <f>COUNTIFS((AllCalls25!$BF$15:$BF$5631),"I",(AllCalls25!$K$15:$K$5631),"10")</f>
        <v>19</v>
      </c>
      <c r="AJ38" s="21">
        <f>COUNTIFS((AllCalls25!$BF$15:$BF$5631),"I",(AllCalls25!$K$15:$K$5631),"11")</f>
        <v>18</v>
      </c>
      <c r="AK38" s="61">
        <f>COUNTIFS((AllCalls25!$BF$15:$BF$5631),"I",(AllCalls25!$K$15:$K$5631),"12")</f>
        <v>42</v>
      </c>
      <c r="AL38" s="21">
        <f t="shared" si="2"/>
        <v>287</v>
      </c>
      <c r="AM38" s="26">
        <f t="shared" si="3"/>
        <v>0.44018404907975461</v>
      </c>
      <c r="AN38" s="12">
        <f t="shared" si="4"/>
        <v>309</v>
      </c>
      <c r="AO38" s="26">
        <f>(SUM(AN38,X38))/SUM($AL$2,$V$2:$W$2)</f>
        <v>0.440745672436751</v>
      </c>
    </row>
    <row r="39" spans="1:42">
      <c r="A39" s="2" t="s">
        <v>61</v>
      </c>
      <c r="B39" s="16"/>
      <c r="C39" s="16"/>
      <c r="D39" s="16"/>
      <c r="E39" s="16"/>
      <c r="F39" s="34"/>
      <c r="G39" s="34"/>
      <c r="H39" s="12">
        <v>0</v>
      </c>
      <c r="I39" s="3">
        <v>2</v>
      </c>
      <c r="J39" s="12">
        <f>SUM($B39:$I39)</f>
        <v>2</v>
      </c>
      <c r="K39" s="26">
        <f t="shared" ref="K39" si="11">(J39/$J$2)</f>
        <v>6.1728395061728392E-3</v>
      </c>
      <c r="L39" s="12">
        <v>2</v>
      </c>
      <c r="M39" s="3">
        <v>20</v>
      </c>
      <c r="N39" s="12">
        <v>21</v>
      </c>
      <c r="O39" s="3">
        <v>8</v>
      </c>
      <c r="P39" s="12">
        <v>9</v>
      </c>
      <c r="Q39" s="3">
        <v>0</v>
      </c>
      <c r="R39" s="12">
        <v>1</v>
      </c>
      <c r="S39" s="3">
        <v>0</v>
      </c>
      <c r="T39" s="12">
        <v>0</v>
      </c>
      <c r="U39" s="56">
        <v>0</v>
      </c>
      <c r="V39" s="12">
        <v>0</v>
      </c>
      <c r="W39" s="56">
        <v>9</v>
      </c>
      <c r="X39" s="12">
        <v>70</v>
      </c>
      <c r="Y39" s="26">
        <v>0.10404624277456648</v>
      </c>
      <c r="Z39" s="21">
        <f>COUNTIFS((AllCalls25!$BG$15:$BG$5631),"I",(AllCalls25!$K$15:$K$5631),"1")</f>
        <v>15</v>
      </c>
      <c r="AA39" s="60">
        <f>COUNTIFS((AllCalls25!$BG$15:$BG$5631),"I",(AllCalls25!$K$15:$K$5631),"2")</f>
        <v>12</v>
      </c>
      <c r="AB39" s="21">
        <f>COUNTIFS((AllCalls25!$BG$15:$BG$5631),"I",(AllCalls25!$K$15:$K$5631),"3")</f>
        <v>12</v>
      </c>
      <c r="AC39" s="60">
        <f>COUNTIFS((AllCalls25!$BG$15:$BG$5631),"I",(AllCalls25!$K$15:$K$5631),"4")</f>
        <v>10</v>
      </c>
      <c r="AD39" s="21">
        <f>COUNTIFS((AllCalls25!$BG$15:$BG$5631),"I",(AllCalls25!$K$15:$K$5631),"5")</f>
        <v>15</v>
      </c>
      <c r="AE39" s="60">
        <f>COUNTIFS((AllCalls25!$BG$15:$BG$5631),"I",(AllCalls25!$K$15:$K$5631),"6")</f>
        <v>6</v>
      </c>
      <c r="AF39" s="21">
        <f>COUNTIFS((AllCalls25!$BG$15:$BG$5631),"I",(AllCalls25!$K$15:$K$5631),"7")</f>
        <v>8</v>
      </c>
      <c r="AG39" s="60">
        <f>COUNTIFS((AllCalls25!$BG$15:$BG$5631),"I",(AllCalls25!$K$15:$K$5631),"8")</f>
        <v>0</v>
      </c>
      <c r="AH39" s="21">
        <f>COUNTIFS((AllCalls25!$BG$15:$BG$5631),"I",(AllCalls25!$K$15:$K$5631),"9")</f>
        <v>0</v>
      </c>
      <c r="AI39" s="61">
        <f>COUNTIFS((AllCalls25!$BG$15:$BG$5631),"I",(AllCalls25!$K$15:$K$5631),"10")</f>
        <v>0</v>
      </c>
      <c r="AJ39" s="21">
        <f>COUNTIFS((AllCalls25!$BG$15:$BG$5631),"I",(AllCalls25!$K$15:$K$5631),"11")</f>
        <v>0</v>
      </c>
      <c r="AK39" s="61">
        <f>COUNTIFS((AllCalls25!$BG$15:$BG$5631),"I",(AllCalls25!$K$15:$K$5631),"12")</f>
        <v>0</v>
      </c>
      <c r="AL39" s="21">
        <f t="shared" si="2"/>
        <v>78</v>
      </c>
      <c r="AM39" s="26">
        <f t="shared" si="3"/>
        <v>0.1196319018404908</v>
      </c>
      <c r="AN39" s="12">
        <f t="shared" si="4"/>
        <v>150</v>
      </c>
      <c r="AO39" s="26">
        <f t="shared" ref="AO39" si="12">(SUM(AN39))/SUM($AN$2)</f>
        <v>9.7719869706840393E-2</v>
      </c>
    </row>
    <row r="40" spans="1:42">
      <c r="A40" s="2" t="s">
        <v>62</v>
      </c>
      <c r="B40" s="16"/>
      <c r="C40" s="16"/>
      <c r="D40" s="16"/>
      <c r="E40" s="16"/>
      <c r="F40" s="16"/>
      <c r="G40" s="16"/>
      <c r="H40" s="16"/>
      <c r="I40" s="16"/>
      <c r="J40" s="165"/>
      <c r="K40" s="16"/>
      <c r="L40" s="16"/>
      <c r="M40" s="16"/>
      <c r="N40" s="16"/>
      <c r="O40" s="16"/>
      <c r="P40" s="16"/>
      <c r="Q40" s="16"/>
      <c r="R40" s="34"/>
      <c r="S40" s="16"/>
      <c r="T40" s="16"/>
      <c r="U40" s="166"/>
      <c r="V40" s="167"/>
      <c r="W40" s="167"/>
      <c r="X40" s="165"/>
      <c r="Y40" s="26"/>
      <c r="Z40" s="52"/>
      <c r="AA40" s="168"/>
      <c r="AB40" s="52"/>
      <c r="AC40" s="168"/>
      <c r="AD40" s="52"/>
      <c r="AE40" s="60">
        <f>COUNTIFS((AllCalls25!$BH$15:$BH$5631),"I",(AllCalls25!$K$15:$K$5631),"6")</f>
        <v>1</v>
      </c>
      <c r="AF40" s="21">
        <f>COUNTIFS((AllCalls25!$BH$15:$BH$5631),"I",(AllCalls25!$K$15:$K$5631),"7")</f>
        <v>0</v>
      </c>
      <c r="AG40" s="60">
        <f>COUNTIFS((AllCalls25!$BH$15:$BH$5631),"I",(AllCalls25!$K$15:$K$5631),"8")</f>
        <v>2</v>
      </c>
      <c r="AH40" s="21">
        <f>COUNTIFS((AllCalls25!$BH$15:$BH$5631),"I",(AllCalls25!$K$15:$K$5631),"9")</f>
        <v>20</v>
      </c>
      <c r="AI40" s="61">
        <f>COUNTIFS((AllCalls25!$BH$15:$BH$5631),"I",(AllCalls25!$K$15:$K$5631),"10")</f>
        <v>25</v>
      </c>
      <c r="AJ40" s="21">
        <f>COUNTIFS((AllCalls25!$BH$15:$BH$5631),"I",(AllCalls25!$K$15:$K$5631),"11")</f>
        <v>35</v>
      </c>
      <c r="AK40" s="61">
        <f>COUNTIFS((AllCalls25!$BH$15:$BH$5631),"I",(AllCalls25!$K$15:$K$5631),"12")</f>
        <v>56</v>
      </c>
      <c r="AL40" s="21">
        <f>SUM($Z40:$AK40)</f>
        <v>139</v>
      </c>
      <c r="AM40" s="26">
        <f>(SUM($AE40:$AK40))/SUM($AE$2:$AK$2)</f>
        <v>0.37874659400544958</v>
      </c>
      <c r="AN40" s="12">
        <f>SUM($J40,$X40,$AL40)</f>
        <v>139</v>
      </c>
      <c r="AO40" s="26">
        <f>(SUM(AN40,X40))/SUM($AL$2,$V$2:$W$2)</f>
        <v>0.18508655126498003</v>
      </c>
    </row>
    <row r="41" spans="1:42">
      <c r="A41" s="2" t="s">
        <v>63</v>
      </c>
      <c r="B41" s="16"/>
      <c r="C41" s="16"/>
      <c r="D41" s="16"/>
      <c r="E41" s="16"/>
      <c r="F41" s="16"/>
      <c r="G41" s="16"/>
      <c r="H41" s="16"/>
      <c r="I41" s="16"/>
      <c r="J41" s="165"/>
      <c r="K41" s="16"/>
      <c r="L41" s="16"/>
      <c r="M41" s="16"/>
      <c r="N41" s="16"/>
      <c r="O41" s="16"/>
      <c r="P41" s="16"/>
      <c r="Q41" s="16"/>
      <c r="R41" s="34"/>
      <c r="S41" s="16"/>
      <c r="T41" s="16"/>
      <c r="U41" s="166"/>
      <c r="V41" s="167"/>
      <c r="W41" s="167"/>
      <c r="X41" s="165"/>
      <c r="Y41" s="26"/>
      <c r="Z41" s="52"/>
      <c r="AA41" s="168"/>
      <c r="AB41" s="52"/>
      <c r="AC41" s="168"/>
      <c r="AD41" s="52"/>
      <c r="AE41" s="168"/>
      <c r="AF41" s="52"/>
      <c r="AG41" s="168"/>
      <c r="AH41" s="21">
        <f>COUNTIFS((AllCalls25!$BI$15:$BI$5631),"I",(AllCalls25!$K$15:$K$5631),"9")</f>
        <v>15</v>
      </c>
      <c r="AI41" s="61">
        <f>COUNTIFS((AllCalls25!$BI$15:$BI$5631),"I",(AllCalls25!$K$15:$K$5631),"10")</f>
        <v>16</v>
      </c>
      <c r="AJ41" s="21">
        <f>COUNTIFS((AllCalls25!$BI$15:$BI$5631),"I",(AllCalls25!$K$15:$K$5631),"11")</f>
        <v>15</v>
      </c>
      <c r="AK41" s="61">
        <f>COUNTIFS((AllCalls25!$BI$15:$BI$5631),"I",(AllCalls25!$K$15:$K$5631),"12")</f>
        <v>17</v>
      </c>
      <c r="AL41" s="21">
        <f t="shared" ref="AL41:AL43" si="13">SUM($Z41:$AK41)</f>
        <v>63</v>
      </c>
      <c r="AM41" s="26">
        <f t="shared" ref="AM41:AM43" si="14">(SUM($AE41:$AK41))/SUM($AE$2:$AK$2)</f>
        <v>0.17166212534059946</v>
      </c>
      <c r="AN41" s="12">
        <f t="shared" ref="AN41:AN43" si="15">SUM($J41,$X41,$AL41)</f>
        <v>63</v>
      </c>
      <c r="AO41" s="26">
        <f t="shared" ref="AO41:AO42" si="16">(SUM(AN41,X41))/SUM($AL$2,$V$2:$W$2)</f>
        <v>8.3888149134487347E-2</v>
      </c>
    </row>
    <row r="42" spans="1:42">
      <c r="A42" s="2" t="s">
        <v>64</v>
      </c>
      <c r="B42" s="16"/>
      <c r="C42" s="16"/>
      <c r="D42" s="16"/>
      <c r="E42" s="16"/>
      <c r="F42" s="16"/>
      <c r="G42" s="16"/>
      <c r="H42" s="16"/>
      <c r="I42" s="16"/>
      <c r="J42" s="165"/>
      <c r="K42" s="16"/>
      <c r="L42" s="16"/>
      <c r="M42" s="16"/>
      <c r="N42" s="16"/>
      <c r="O42" s="16"/>
      <c r="P42" s="16"/>
      <c r="Q42" s="16"/>
      <c r="R42" s="34"/>
      <c r="S42" s="16"/>
      <c r="T42" s="16"/>
      <c r="U42" s="166"/>
      <c r="V42" s="167"/>
      <c r="W42" s="167"/>
      <c r="X42" s="165"/>
      <c r="Y42" s="26"/>
      <c r="Z42" s="52"/>
      <c r="AA42" s="168"/>
      <c r="AB42" s="52"/>
      <c r="AC42" s="168"/>
      <c r="AD42" s="52"/>
      <c r="AE42" s="168"/>
      <c r="AF42" s="52"/>
      <c r="AG42" s="168"/>
      <c r="AH42" s="21">
        <f>COUNTIFS((AllCalls25!$BJ$15:$BJ$5631),"I",(AllCalls25!$K$15:$K$5631),"9")</f>
        <v>8</v>
      </c>
      <c r="AI42" s="61">
        <f>COUNTIFS((AllCalls25!$BJ$15:$BJ$5631),"I",(AllCalls25!$K$15:$K$5631),"10")</f>
        <v>7</v>
      </c>
      <c r="AJ42" s="21">
        <f>COUNTIFS((AllCalls25!$BJ$15:$BJ$5631),"I",(AllCalls25!$K$15:$K$5631),"11")</f>
        <v>13</v>
      </c>
      <c r="AK42" s="61">
        <f>COUNTIFS((AllCalls25!$BJ$15:$BJ$5631),"I",(AllCalls25!$K$15:$K$5631),"12")</f>
        <v>33</v>
      </c>
      <c r="AL42" s="21">
        <f t="shared" si="13"/>
        <v>61</v>
      </c>
      <c r="AM42" s="26">
        <f t="shared" si="14"/>
        <v>0.16621253405994552</v>
      </c>
      <c r="AN42" s="12">
        <f t="shared" si="15"/>
        <v>61</v>
      </c>
      <c r="AO42" s="26">
        <f t="shared" si="16"/>
        <v>8.1225033288948076E-2</v>
      </c>
    </row>
    <row r="43" spans="1:42">
      <c r="A43" s="2" t="s">
        <v>65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5"/>
      <c r="M43" s="16"/>
      <c r="N43" s="16"/>
      <c r="O43" s="16"/>
      <c r="P43" s="16"/>
      <c r="Q43" s="16"/>
      <c r="R43" s="16"/>
      <c r="S43" s="16"/>
      <c r="T43" s="34"/>
      <c r="U43" s="16"/>
      <c r="V43" s="16"/>
      <c r="W43" s="166"/>
      <c r="X43" s="167"/>
      <c r="Y43" s="167"/>
      <c r="Z43" s="165"/>
      <c r="AA43" s="26"/>
      <c r="AB43" s="52"/>
      <c r="AC43" s="168"/>
      <c r="AD43" s="52"/>
      <c r="AE43" s="168"/>
      <c r="AF43" s="52"/>
      <c r="AG43" s="168"/>
      <c r="AH43" s="52"/>
      <c r="AI43" s="168"/>
      <c r="AJ43" s="21">
        <v>0</v>
      </c>
      <c r="AK43" s="61">
        <v>0</v>
      </c>
      <c r="AL43" s="21">
        <f t="shared" si="13"/>
        <v>0</v>
      </c>
      <c r="AM43" s="26">
        <f t="shared" si="14"/>
        <v>0</v>
      </c>
      <c r="AN43" s="12">
        <f t="shared" si="15"/>
        <v>0</v>
      </c>
      <c r="AO43" s="26">
        <f t="shared" ref="AO43" si="17">(SUM(AN43,X43))/SUM($AL$2,$V$2:$W$2)</f>
        <v>0</v>
      </c>
    </row>
    <row r="44" spans="1:42">
      <c r="A44" s="2" t="s">
        <v>66</v>
      </c>
      <c r="B44" s="21">
        <v>6</v>
      </c>
      <c r="C44" s="22">
        <v>2</v>
      </c>
      <c r="D44" s="21">
        <v>3</v>
      </c>
      <c r="E44" s="22">
        <v>3</v>
      </c>
      <c r="F44" s="21">
        <v>6</v>
      </c>
      <c r="G44" s="22">
        <v>2</v>
      </c>
      <c r="H44" s="21">
        <v>2</v>
      </c>
      <c r="I44" s="22">
        <v>1</v>
      </c>
      <c r="J44" s="21">
        <f>SUM(B44:I44)</f>
        <v>25</v>
      </c>
      <c r="K44" s="32">
        <v>7.0000000000000007E-2</v>
      </c>
      <c r="L44" s="21">
        <v>3</v>
      </c>
      <c r="M44" s="22">
        <v>2</v>
      </c>
      <c r="N44" s="21">
        <v>0</v>
      </c>
      <c r="O44" s="22">
        <v>1</v>
      </c>
      <c r="P44" s="21">
        <v>0</v>
      </c>
      <c r="Q44" s="22">
        <v>0</v>
      </c>
      <c r="R44" s="21">
        <v>0</v>
      </c>
      <c r="S44" s="22">
        <v>0</v>
      </c>
      <c r="T44" s="50"/>
      <c r="U44" s="51"/>
      <c r="V44" s="50"/>
      <c r="W44" s="51"/>
      <c r="X44" s="21">
        <v>6</v>
      </c>
      <c r="Y44" s="32">
        <v>0.04</v>
      </c>
      <c r="Z44" s="50"/>
      <c r="AA44" s="50"/>
      <c r="AB44" s="50"/>
      <c r="AC44" s="51"/>
      <c r="AD44" s="50"/>
      <c r="AE44" s="51"/>
      <c r="AF44" s="50"/>
      <c r="AG44" s="51"/>
      <c r="AH44" s="50"/>
      <c r="AI44" s="57"/>
      <c r="AJ44" s="21">
        <v>0</v>
      </c>
      <c r="AK44" s="22">
        <f>COUNTIFS(AllMusters25!$AH$15:$AH$147,"I",(AllMusters25!$F$15:$F$147),"12")</f>
        <v>3</v>
      </c>
      <c r="AL44" s="21">
        <f t="shared" ref="AL44" si="18">(SUM($Z44:$AK44))</f>
        <v>3</v>
      </c>
      <c r="AM44" s="32">
        <f t="shared" ref="AM44" si="19">(SUM(AL44))/SUM($AL$1)</f>
        <v>6.1224489795918366E-2</v>
      </c>
      <c r="AN44" s="12">
        <f>SUM(J44,X44,AL44)</f>
        <v>34</v>
      </c>
      <c r="AO44" s="26">
        <f>(SUM(AN44))/SUM($AN$2)</f>
        <v>2.2149837133550489E-2</v>
      </c>
    </row>
  </sheetData>
  <phoneticPr fontId="5" type="noConversion"/>
  <conditionalFormatting sqref="K4:K16 Y4:Y16 AM4:AM43 AO4:AO43 K18:K34 Y18:Y39 K39">
    <cfRule type="cellIs" dxfId="961" priority="13" stopIfTrue="1" operator="greaterThan">
      <formula>0.195</formula>
    </cfRule>
    <cfRule type="cellIs" dxfId="960" priority="22" operator="between">
      <formula>0.1</formula>
      <formula>0.196</formula>
    </cfRule>
    <cfRule type="cellIs" dxfId="959" priority="23" operator="between">
      <formula>0</formula>
      <formula>0.0999</formula>
    </cfRule>
  </conditionalFormatting>
  <conditionalFormatting sqref="K44">
    <cfRule type="cellIs" dxfId="958" priority="1" operator="between">
      <formula>0.6</formula>
      <formula>1</formula>
    </cfRule>
    <cfRule type="cellIs" dxfId="957" priority="2" operator="between">
      <formula>0.4</formula>
      <formula>0.6</formula>
    </cfRule>
    <cfRule type="cellIs" dxfId="956" priority="3" operator="between">
      <formula>0</formula>
      <formula>0.39</formula>
    </cfRule>
  </conditionalFormatting>
  <conditionalFormatting sqref="Y44 AM44">
    <cfRule type="cellIs" dxfId="955" priority="7" operator="between">
      <formula>0.6</formula>
      <formula>1</formula>
    </cfRule>
    <cfRule type="cellIs" dxfId="954" priority="8" operator="between">
      <formula>0.199</formula>
      <formula>0.599</formula>
    </cfRule>
    <cfRule type="cellIs" dxfId="953" priority="9" operator="between">
      <formula>0</formula>
      <formula>0.199</formula>
    </cfRule>
  </conditionalFormatting>
  <conditionalFormatting sqref="AO44">
    <cfRule type="cellIs" dxfId="952" priority="4" operator="between">
      <formula>0.199</formula>
      <formula>1</formula>
    </cfRule>
    <cfRule type="cellIs" dxfId="951" priority="5" operator="between">
      <formula>0.0999</formula>
      <formula>0.199</formula>
    </cfRule>
    <cfRule type="cellIs" dxfId="950" priority="6" operator="between">
      <formula>0</formula>
      <formula>0.0999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DF17-8AE2-431A-9B2F-B7441469C043}">
  <sheetPr codeName="Sheet2"/>
  <dimension ref="A1:AO44"/>
  <sheetViews>
    <sheetView zoomScaleNormal="100" workbookViewId="0">
      <pane xSplit="1" ySplit="3" topLeftCell="B4" activePane="bottomRight" state="frozen"/>
      <selection pane="bottomRight" activeCell="AO25" sqref="AO25"/>
      <selection pane="bottomLeft" activeCell="A4" sqref="A4"/>
      <selection pane="topRight" activeCell="B1" sqref="B1"/>
    </sheetView>
  </sheetViews>
  <sheetFormatPr defaultRowHeight="15"/>
  <cols>
    <col min="1" max="1" width="25.7109375" bestFit="1" customWidth="1"/>
    <col min="2" max="9" width="3" customWidth="1"/>
    <col min="10" max="10" width="5" customWidth="1"/>
    <col min="11" max="11" width="7.7109375" customWidth="1"/>
    <col min="12" max="12" width="3" customWidth="1"/>
    <col min="13" max="13" width="3.7109375" bestFit="1" customWidth="1"/>
    <col min="14" max="21" width="3" customWidth="1"/>
    <col min="22" max="23" width="3.28515625" customWidth="1"/>
    <col min="24" max="24" width="4.85546875" customWidth="1"/>
    <col min="25" max="25" width="9.7109375" bestFit="1" customWidth="1"/>
    <col min="26" max="26" width="3" customWidth="1"/>
    <col min="27" max="27" width="3.7109375" bestFit="1" customWidth="1"/>
    <col min="28" max="35" width="3" customWidth="1"/>
    <col min="36" max="37" width="3.28515625" customWidth="1"/>
    <col min="38" max="38" width="4.85546875" customWidth="1"/>
    <col min="39" max="39" width="8.85546875" customWidth="1"/>
    <col min="40" max="40" width="7.85546875" customWidth="1"/>
    <col min="41" max="41" width="10.28515625" customWidth="1"/>
    <col min="42" max="45" width="3.85546875" customWidth="1"/>
    <col min="46" max="46" width="2" bestFit="1" customWidth="1"/>
    <col min="47" max="91" width="2.5703125" bestFit="1" customWidth="1"/>
  </cols>
  <sheetData>
    <row r="1" spans="1:41" ht="24.75" customHeight="1">
      <c r="A1" s="17" t="s">
        <v>1</v>
      </c>
      <c r="B1" s="107">
        <v>3</v>
      </c>
      <c r="C1" s="105">
        <v>4</v>
      </c>
      <c r="D1" s="107">
        <v>4</v>
      </c>
      <c r="E1" s="105">
        <v>5</v>
      </c>
      <c r="F1" s="106">
        <v>4</v>
      </c>
      <c r="G1" s="105">
        <v>4</v>
      </c>
      <c r="H1" s="106">
        <v>4</v>
      </c>
      <c r="I1" s="105">
        <v>2</v>
      </c>
      <c r="J1" s="108">
        <f>SUM(B1:I1)</f>
        <v>30</v>
      </c>
      <c r="K1" s="185">
        <v>2023</v>
      </c>
      <c r="L1" s="106">
        <v>3</v>
      </c>
      <c r="M1" s="105">
        <v>4</v>
      </c>
      <c r="N1" s="106">
        <v>4</v>
      </c>
      <c r="O1" s="105">
        <v>5</v>
      </c>
      <c r="P1" s="106">
        <v>4</v>
      </c>
      <c r="Q1" s="105">
        <v>4</v>
      </c>
      <c r="R1" s="106">
        <v>5</v>
      </c>
      <c r="S1" s="105">
        <v>5</v>
      </c>
      <c r="T1" s="106">
        <v>5</v>
      </c>
      <c r="U1" s="109">
        <v>4</v>
      </c>
      <c r="V1" s="106">
        <v>4</v>
      </c>
      <c r="W1" s="109">
        <v>3</v>
      </c>
      <c r="X1" s="108">
        <v>50</v>
      </c>
      <c r="Y1" s="185">
        <v>2024</v>
      </c>
      <c r="Z1" s="107">
        <f>AllMusters25!$E$3</f>
        <v>3</v>
      </c>
      <c r="AA1" s="110">
        <f>AllMusters25!$E$4</f>
        <v>4</v>
      </c>
      <c r="AB1" s="107">
        <f>AllMusters25!$E$5</f>
        <v>5</v>
      </c>
      <c r="AC1" s="110">
        <f>AllMusters25!$E$6</f>
        <v>4</v>
      </c>
      <c r="AD1" s="107">
        <f>AllMusters25!$E$7</f>
        <v>4</v>
      </c>
      <c r="AE1" s="110">
        <f>AllMusters25!$E$8</f>
        <v>5</v>
      </c>
      <c r="AF1" s="107">
        <f>AllMusters25!$E$9</f>
        <v>4</v>
      </c>
      <c r="AG1" s="110">
        <f>AllMusters25!$E$10</f>
        <v>4</v>
      </c>
      <c r="AH1" s="107">
        <f>AllMusters25!$E$11</f>
        <v>5</v>
      </c>
      <c r="AI1" s="109">
        <f>AllMusters25!$E$12</f>
        <v>4</v>
      </c>
      <c r="AJ1" s="107">
        <f>AllMusters25!$E$13</f>
        <v>4</v>
      </c>
      <c r="AK1" s="109">
        <f>AllMusters25!$E$14</f>
        <v>3</v>
      </c>
      <c r="AL1" s="108">
        <f>SUM(Z1:AK1)</f>
        <v>49</v>
      </c>
      <c r="AM1" s="185">
        <v>2025</v>
      </c>
      <c r="AN1" s="113" t="s">
        <v>67</v>
      </c>
      <c r="AO1" s="64" t="s">
        <v>3</v>
      </c>
    </row>
    <row r="2" spans="1:41">
      <c r="A2" s="17" t="s">
        <v>4</v>
      </c>
      <c r="B2" s="107">
        <v>32</v>
      </c>
      <c r="C2" s="105">
        <v>46</v>
      </c>
      <c r="D2" s="107">
        <v>47</v>
      </c>
      <c r="E2" s="105">
        <v>28</v>
      </c>
      <c r="F2" s="111">
        <v>38</v>
      </c>
      <c r="G2" s="105">
        <v>46</v>
      </c>
      <c r="H2" s="111">
        <v>43</v>
      </c>
      <c r="I2" s="105">
        <v>44</v>
      </c>
      <c r="J2" s="108">
        <f>SUM(B2:I2)</f>
        <v>324</v>
      </c>
      <c r="K2" s="186"/>
      <c r="L2" s="111">
        <v>58</v>
      </c>
      <c r="M2" s="112">
        <v>48</v>
      </c>
      <c r="N2" s="111">
        <v>47</v>
      </c>
      <c r="O2" s="112">
        <v>38</v>
      </c>
      <c r="P2" s="111">
        <v>55</v>
      </c>
      <c r="Q2" s="112">
        <v>43</v>
      </c>
      <c r="R2" s="111">
        <v>44</v>
      </c>
      <c r="S2" s="112">
        <v>49</v>
      </c>
      <c r="T2" s="111">
        <v>36</v>
      </c>
      <c r="U2" s="109">
        <v>42</v>
      </c>
      <c r="V2" s="111">
        <v>47</v>
      </c>
      <c r="W2" s="109">
        <v>52</v>
      </c>
      <c r="X2" s="108">
        <v>559</v>
      </c>
      <c r="Y2" s="186"/>
      <c r="Z2" s="107">
        <f>Summary!Z2</f>
        <v>57</v>
      </c>
      <c r="AA2" s="107">
        <f>Summary!AA2</f>
        <v>48</v>
      </c>
      <c r="AB2" s="107">
        <f>Summary!AB2</f>
        <v>70</v>
      </c>
      <c r="AC2" s="107">
        <f>Summary!AC2</f>
        <v>42</v>
      </c>
      <c r="AD2" s="107">
        <f>Summary!AD2</f>
        <v>68</v>
      </c>
      <c r="AE2" s="107">
        <f>Summary!AE2</f>
        <v>35</v>
      </c>
      <c r="AF2" s="107">
        <f>Summary!AF2</f>
        <v>56</v>
      </c>
      <c r="AG2" s="107">
        <f>Summary!AG2</f>
        <v>53</v>
      </c>
      <c r="AH2" s="107">
        <f>Summary!AH2</f>
        <v>47</v>
      </c>
      <c r="AI2" s="107">
        <f>Summary!AI2</f>
        <v>39</v>
      </c>
      <c r="AJ2" s="107">
        <f>Summary!AJ2</f>
        <v>58</v>
      </c>
      <c r="AK2" s="107">
        <f>Summary!AK2</f>
        <v>79</v>
      </c>
      <c r="AL2" s="108">
        <f>SUM(Z2:AK2)</f>
        <v>652</v>
      </c>
      <c r="AM2" s="186"/>
      <c r="AN2" s="48">
        <f>SUM(AL1,X1,J1)</f>
        <v>129</v>
      </c>
      <c r="AO2" s="64" t="s">
        <v>68</v>
      </c>
    </row>
    <row r="3" spans="1:41" ht="57">
      <c r="A3" s="19" t="s">
        <v>5</v>
      </c>
      <c r="B3" s="20" t="s">
        <v>6</v>
      </c>
      <c r="C3" s="23" t="s">
        <v>7</v>
      </c>
      <c r="D3" s="20" t="s">
        <v>8</v>
      </c>
      <c r="E3" s="23" t="s">
        <v>9</v>
      </c>
      <c r="F3" s="20" t="s">
        <v>10</v>
      </c>
      <c r="G3" s="23" t="s">
        <v>11</v>
      </c>
      <c r="H3" s="20" t="s">
        <v>12</v>
      </c>
      <c r="I3" s="23" t="s">
        <v>13</v>
      </c>
      <c r="J3" s="20" t="s">
        <v>14</v>
      </c>
      <c r="K3" s="26" t="s">
        <v>15</v>
      </c>
      <c r="L3" s="20" t="s">
        <v>16</v>
      </c>
      <c r="M3" s="23" t="s">
        <v>17</v>
      </c>
      <c r="N3" s="20" t="s">
        <v>18</v>
      </c>
      <c r="O3" s="23" t="s">
        <v>19</v>
      </c>
      <c r="P3" s="20" t="s">
        <v>6</v>
      </c>
      <c r="Q3" s="23" t="s">
        <v>7</v>
      </c>
      <c r="R3" s="20" t="s">
        <v>8</v>
      </c>
      <c r="S3" s="23" t="s">
        <v>9</v>
      </c>
      <c r="T3" s="20" t="s">
        <v>10</v>
      </c>
      <c r="U3" s="23" t="s">
        <v>11</v>
      </c>
      <c r="V3" s="20" t="s">
        <v>69</v>
      </c>
      <c r="W3" s="23" t="s">
        <v>13</v>
      </c>
      <c r="X3" s="20" t="s">
        <v>14</v>
      </c>
      <c r="Y3" s="26" t="s">
        <v>15</v>
      </c>
      <c r="Z3" s="20" t="s">
        <v>16</v>
      </c>
      <c r="AA3" s="23" t="s">
        <v>17</v>
      </c>
      <c r="AB3" s="20" t="s">
        <v>18</v>
      </c>
      <c r="AC3" s="23" t="s">
        <v>19</v>
      </c>
      <c r="AD3" s="20" t="s">
        <v>6</v>
      </c>
      <c r="AE3" s="23" t="s">
        <v>7</v>
      </c>
      <c r="AF3" s="20" t="s">
        <v>8</v>
      </c>
      <c r="AG3" s="23" t="s">
        <v>9</v>
      </c>
      <c r="AH3" s="20" t="s">
        <v>10</v>
      </c>
      <c r="AI3" s="23" t="s">
        <v>11</v>
      </c>
      <c r="AJ3" s="20" t="s">
        <v>69</v>
      </c>
      <c r="AK3" s="23" t="s">
        <v>13</v>
      </c>
      <c r="AL3" s="20" t="s">
        <v>14</v>
      </c>
      <c r="AM3" s="26" t="s">
        <v>15</v>
      </c>
      <c r="AN3" s="104" t="s">
        <v>67</v>
      </c>
      <c r="AO3" s="103"/>
    </row>
    <row r="4" spans="1:41">
      <c r="A4" s="17" t="s">
        <v>21</v>
      </c>
      <c r="B4" s="21">
        <v>3</v>
      </c>
      <c r="C4" s="22">
        <v>4</v>
      </c>
      <c r="D4" s="21">
        <v>4</v>
      </c>
      <c r="E4" s="22">
        <v>5</v>
      </c>
      <c r="F4" s="21">
        <v>4</v>
      </c>
      <c r="G4" s="22">
        <v>4</v>
      </c>
      <c r="H4" s="21">
        <v>4</v>
      </c>
      <c r="I4" s="22">
        <v>2</v>
      </c>
      <c r="J4" s="21">
        <f t="shared" ref="J4:J32" si="0">SUM(B4:I4)</f>
        <v>30</v>
      </c>
      <c r="K4" s="32">
        <v>1</v>
      </c>
      <c r="L4" s="21">
        <v>3</v>
      </c>
      <c r="M4" s="22">
        <v>4</v>
      </c>
      <c r="N4" s="21">
        <v>4</v>
      </c>
      <c r="O4" s="22">
        <v>5</v>
      </c>
      <c r="P4" s="21">
        <v>4</v>
      </c>
      <c r="Q4" s="22">
        <v>4</v>
      </c>
      <c r="R4" s="21">
        <v>5</v>
      </c>
      <c r="S4" s="22">
        <v>5</v>
      </c>
      <c r="T4" s="21">
        <v>5</v>
      </c>
      <c r="U4" s="22">
        <v>4</v>
      </c>
      <c r="V4" s="21">
        <v>4</v>
      </c>
      <c r="W4" s="22">
        <v>3</v>
      </c>
      <c r="X4" s="21">
        <v>50</v>
      </c>
      <c r="Y4" s="32">
        <v>1</v>
      </c>
      <c r="Z4" s="21">
        <f>COUNTIFS(AllMusters25!$J$15:$J$147,"I",(AllMusters25!$F$15:$F$147),"1")</f>
        <v>3</v>
      </c>
      <c r="AA4" s="22">
        <f>COUNTIFS(AllMusters25!$J$15:$J$147,"I",(AllMusters25!$F$15:$F$147),"2")</f>
        <v>4</v>
      </c>
      <c r="AB4" s="21">
        <f>COUNTIFS(AllMusters25!$J$15:$J$147,"I",(AllMusters25!$F$15:$F$147),"3")</f>
        <v>5</v>
      </c>
      <c r="AC4" s="22">
        <f>COUNTIFS(AllMusters25!$J$15:$J$147,"I",(AllMusters25!$F$15:$F$147),"4")</f>
        <v>3</v>
      </c>
      <c r="AD4" s="21">
        <f>COUNTIFS(AllMusters25!$J$15:$J$147,"I",(AllMusters25!$F$15:$F$147),"5")</f>
        <v>4</v>
      </c>
      <c r="AE4" s="22">
        <f>COUNTIFS(AllMusters25!$J$15:$J$147,"I",(AllMusters25!$F$15:$F$147),"6")</f>
        <v>5</v>
      </c>
      <c r="AF4" s="21">
        <f>COUNTIFS(AllMusters25!$J$15:$J$147,"I",(AllMusters25!$F$15:$F$147),"7")</f>
        <v>4</v>
      </c>
      <c r="AG4" s="22">
        <f>COUNTIFS(AllMusters25!$J$15:$J$147,"I",(AllMusters25!$F$15:$F$147),"8")</f>
        <v>3</v>
      </c>
      <c r="AH4" s="21">
        <f>COUNTIFS(AllMusters25!$J$15:$J$147,"I",(AllMusters25!$F$15:$F$147),"9")</f>
        <v>5</v>
      </c>
      <c r="AI4" s="22">
        <f>COUNTIFS(AllMusters25!$J$15:$J$147,"I",(AllMusters25!$F$15:$F$147),"10")</f>
        <v>3</v>
      </c>
      <c r="AJ4" s="21">
        <f>COUNTIFS(AllMusters25!$J$15:$J$147,"I",(AllMusters25!$F$15:$F$147),"11")</f>
        <v>3</v>
      </c>
      <c r="AK4" s="22">
        <f>COUNTIFS(AllMusters25!$J$15:$J$147,"I",(AllMusters25!$F$15:$F$147),"12")</f>
        <v>3</v>
      </c>
      <c r="AL4" s="21">
        <f>(SUM($Z4:$AK4))</f>
        <v>45</v>
      </c>
      <c r="AM4" s="32">
        <f>(SUM(AL4))/SUM($AL$1)</f>
        <v>0.91836734693877553</v>
      </c>
      <c r="AN4" s="12">
        <f>SUM(J4,X4,AL4)</f>
        <v>125</v>
      </c>
      <c r="AO4" s="26">
        <f>(SUM(AN4))/SUM($AN$2)</f>
        <v>0.96899224806201545</v>
      </c>
    </row>
    <row r="5" spans="1:41">
      <c r="A5" s="17" t="s">
        <v>23</v>
      </c>
      <c r="B5" s="21">
        <v>3</v>
      </c>
      <c r="C5" s="22">
        <v>4</v>
      </c>
      <c r="D5" s="21">
        <v>3</v>
      </c>
      <c r="E5" s="22">
        <v>5</v>
      </c>
      <c r="F5" s="21">
        <v>2</v>
      </c>
      <c r="G5" s="22">
        <v>1</v>
      </c>
      <c r="H5" s="21">
        <v>4</v>
      </c>
      <c r="I5" s="22">
        <v>2</v>
      </c>
      <c r="J5" s="21">
        <f t="shared" si="0"/>
        <v>24</v>
      </c>
      <c r="K5" s="32">
        <v>0.8</v>
      </c>
      <c r="L5" s="21">
        <v>3</v>
      </c>
      <c r="M5" s="22">
        <v>3</v>
      </c>
      <c r="N5" s="21">
        <v>3</v>
      </c>
      <c r="O5" s="22">
        <v>5</v>
      </c>
      <c r="P5" s="21">
        <v>4</v>
      </c>
      <c r="Q5" s="22">
        <v>2</v>
      </c>
      <c r="R5" s="21">
        <v>5</v>
      </c>
      <c r="S5" s="22">
        <v>4</v>
      </c>
      <c r="T5" s="21">
        <v>1</v>
      </c>
      <c r="U5" s="22">
        <v>2</v>
      </c>
      <c r="V5" s="21">
        <v>2</v>
      </c>
      <c r="W5" s="22">
        <v>3</v>
      </c>
      <c r="X5" s="21">
        <v>37</v>
      </c>
      <c r="Y5" s="32">
        <v>0.76249999999999996</v>
      </c>
      <c r="Z5" s="21">
        <f>COUNTIFS(AllMusters25!$K$15:$K$147,"I",(AllMusters25!$F$15:$F$147),"1")</f>
        <v>3</v>
      </c>
      <c r="AA5" s="22">
        <f>COUNTIFS(AllMusters25!$K$15:$K$147,"I",(AllMusters25!$F$15:$F$147),"2")</f>
        <v>4</v>
      </c>
      <c r="AB5" s="21">
        <f>COUNTIFS(AllMusters25!$K$15:$K$147,"I",(AllMusters25!$F$15:$F$147),"3")</f>
        <v>5</v>
      </c>
      <c r="AC5" s="22">
        <f>COUNTIFS(AllMusters25!$K$15:$K$147,"I",(AllMusters25!$F$15:$F$147),"4")</f>
        <v>2</v>
      </c>
      <c r="AD5" s="21">
        <f>COUNTIFS(AllMusters25!$K$15:$K$147,"I",(AllMusters25!$F$15:$F$147),"5")</f>
        <v>4</v>
      </c>
      <c r="AE5" s="22">
        <f>COUNTIFS(AllMusters25!$K$15:$K$147,"I",(AllMusters25!$F$15:$F$147),"6")</f>
        <v>4</v>
      </c>
      <c r="AF5" s="21">
        <f>COUNTIFS(AllMusters25!$K$15:$K$147,"I",(AllMusters25!$F$15:$F$147),"7")</f>
        <v>4</v>
      </c>
      <c r="AG5" s="22">
        <f>COUNTIFS(AllMusters25!$K$15:$K$147,"I",(AllMusters25!$F$15:$F$147),"8")</f>
        <v>4</v>
      </c>
      <c r="AH5" s="21">
        <f>COUNTIFS(AllMusters25!$K$15:$K$147,"I",(AllMusters25!$F$15:$F$147),"9")</f>
        <v>0</v>
      </c>
      <c r="AI5" s="22">
        <f>COUNTIFS(AllMusters25!$K$15:$K$147,"I",(AllMusters25!$F$15:$F$147),"10")</f>
        <v>3</v>
      </c>
      <c r="AJ5" s="21">
        <f>COUNTIFS(AllMusters25!$K$15:$K$147,"I",(AllMusters25!$F$15:$F$147),"11")</f>
        <v>4</v>
      </c>
      <c r="AK5" s="22">
        <f>COUNTIFS(AllMusters25!$K$15:$K$147,"I",(AllMusters25!$F$15:$F$147),"12")</f>
        <v>3</v>
      </c>
      <c r="AL5" s="21">
        <f t="shared" ref="AL5:AL39" si="1">(SUM($Z5:$AK5))</f>
        <v>40</v>
      </c>
      <c r="AM5" s="32">
        <f t="shared" ref="AM5:AM38" si="2">(SUM(AL5))/SUM($AL$1)</f>
        <v>0.81632653061224492</v>
      </c>
      <c r="AN5" s="12">
        <f t="shared" ref="AN5:AN38" si="3">SUM(J5,X5,AL5)</f>
        <v>101</v>
      </c>
      <c r="AO5" s="26">
        <f t="shared" ref="AO5:AO34" si="4">(SUM(AN5))/SUM($AN$2)</f>
        <v>0.78294573643410847</v>
      </c>
    </row>
    <row r="6" spans="1:41">
      <c r="A6" s="17" t="s">
        <v>24</v>
      </c>
      <c r="B6" s="21">
        <v>3</v>
      </c>
      <c r="C6" s="22">
        <v>3</v>
      </c>
      <c r="D6" s="21">
        <v>3</v>
      </c>
      <c r="E6" s="22">
        <v>3</v>
      </c>
      <c r="F6" s="21">
        <v>2</v>
      </c>
      <c r="G6" s="22">
        <v>3</v>
      </c>
      <c r="H6" s="21">
        <v>4</v>
      </c>
      <c r="I6" s="22">
        <v>2</v>
      </c>
      <c r="J6" s="21">
        <f t="shared" si="0"/>
        <v>23</v>
      </c>
      <c r="K6" s="32">
        <v>0.76666666666666672</v>
      </c>
      <c r="L6" s="21">
        <v>2</v>
      </c>
      <c r="M6" s="22">
        <v>4</v>
      </c>
      <c r="N6" s="21">
        <v>4</v>
      </c>
      <c r="O6" s="22">
        <v>3</v>
      </c>
      <c r="P6" s="21">
        <v>3</v>
      </c>
      <c r="Q6" s="22">
        <v>3</v>
      </c>
      <c r="R6" s="21">
        <v>5</v>
      </c>
      <c r="S6" s="22">
        <v>5</v>
      </c>
      <c r="T6" s="21">
        <v>5</v>
      </c>
      <c r="U6" s="22">
        <v>4</v>
      </c>
      <c r="V6" s="21">
        <v>3</v>
      </c>
      <c r="W6" s="22">
        <v>3</v>
      </c>
      <c r="X6" s="21">
        <v>44</v>
      </c>
      <c r="Y6" s="32">
        <v>0.83750000000000002</v>
      </c>
      <c r="Z6" s="21">
        <f>COUNTIFS(AllMusters25!$L$15:$L$147,"I",(AllMusters25!$F$15:$F$147),"1")</f>
        <v>3</v>
      </c>
      <c r="AA6" s="22">
        <f>COUNTIFS(AllMusters25!$L$15:$L$147,"I",(AllMusters25!$F$15:$F$147),"2")</f>
        <v>3</v>
      </c>
      <c r="AB6" s="21">
        <f>COUNTIFS(AllMusters25!$L$15:$L$147,"I",(AllMusters25!$F$15:$F$147),"3")</f>
        <v>4</v>
      </c>
      <c r="AC6" s="22">
        <f>COUNTIFS(AllMusters25!$L$15:$L$147,"I",(AllMusters25!$F$15:$F$147),"4")</f>
        <v>3</v>
      </c>
      <c r="AD6" s="21">
        <f>COUNTIFS(AllMusters25!$L$15:$L$147,"I",(AllMusters25!$F$15:$F$147),"5")</f>
        <v>2</v>
      </c>
      <c r="AE6" s="22">
        <f>COUNTIFS(AllMusters25!$L$15:$L$147,"I",(AllMusters25!$F$15:$F$147),"6")</f>
        <v>3</v>
      </c>
      <c r="AF6" s="21">
        <f>COUNTIFS(AllMusters25!$L$15:$L$147,"I",(AllMusters25!$F$15:$F$147),"7")</f>
        <v>4</v>
      </c>
      <c r="AG6" s="22">
        <f>COUNTIFS(AllMusters25!$L$15:$L$147,"I",(AllMusters25!$F$15:$F$147),"8")</f>
        <v>4</v>
      </c>
      <c r="AH6" s="21">
        <f>COUNTIFS(AllMusters25!$L$15:$L$147,"I",(AllMusters25!$F$15:$F$147),"9")</f>
        <v>3</v>
      </c>
      <c r="AI6" s="22">
        <f>COUNTIFS(AllMusters25!$L$15:$L$147,"I",(AllMusters25!$F$15:$F$147),"10")</f>
        <v>3</v>
      </c>
      <c r="AJ6" s="21">
        <f>COUNTIFS(AllMusters25!$L$15:$L$147,"I",(AllMusters25!$F$15:$F$147),"11")</f>
        <v>4</v>
      </c>
      <c r="AK6" s="22">
        <f>COUNTIFS(AllMusters25!$L$15:$L$147,"I",(AllMusters25!$F$15:$F$147),"12")</f>
        <v>3</v>
      </c>
      <c r="AL6" s="21">
        <f t="shared" si="1"/>
        <v>39</v>
      </c>
      <c r="AM6" s="32">
        <f t="shared" si="2"/>
        <v>0.79591836734693877</v>
      </c>
      <c r="AN6" s="12">
        <f t="shared" si="3"/>
        <v>106</v>
      </c>
      <c r="AO6" s="26">
        <f t="shared" si="4"/>
        <v>0.82170542635658916</v>
      </c>
    </row>
    <row r="7" spans="1:41">
      <c r="A7" s="17" t="s">
        <v>25</v>
      </c>
      <c r="B7" s="21">
        <v>3</v>
      </c>
      <c r="C7" s="22">
        <v>2</v>
      </c>
      <c r="D7" s="21">
        <v>4</v>
      </c>
      <c r="E7" s="22">
        <v>4</v>
      </c>
      <c r="F7" s="21">
        <v>4</v>
      </c>
      <c r="G7" s="22">
        <v>2</v>
      </c>
      <c r="H7" s="21">
        <v>4</v>
      </c>
      <c r="I7" s="22">
        <v>0</v>
      </c>
      <c r="J7" s="21">
        <f t="shared" si="0"/>
        <v>23</v>
      </c>
      <c r="K7" s="32">
        <v>0.76666666666666672</v>
      </c>
      <c r="L7" s="21">
        <v>3</v>
      </c>
      <c r="M7" s="22">
        <v>4</v>
      </c>
      <c r="N7" s="21">
        <v>3</v>
      </c>
      <c r="O7" s="22">
        <v>4</v>
      </c>
      <c r="P7" s="21">
        <v>3</v>
      </c>
      <c r="Q7" s="22">
        <v>3</v>
      </c>
      <c r="R7" s="21">
        <v>4</v>
      </c>
      <c r="S7" s="22">
        <v>4</v>
      </c>
      <c r="T7" s="21">
        <v>3</v>
      </c>
      <c r="U7" s="22">
        <v>4</v>
      </c>
      <c r="V7" s="21">
        <v>2</v>
      </c>
      <c r="W7" s="22">
        <v>3</v>
      </c>
      <c r="X7" s="21">
        <v>40</v>
      </c>
      <c r="Y7" s="32">
        <v>0.78749999999999998</v>
      </c>
      <c r="Z7" s="21">
        <f>COUNTIFS(AllMusters25!$M$15:$M$147,"I",(AllMusters25!$F$15:$F$147),"1")</f>
        <v>2</v>
      </c>
      <c r="AA7" s="22">
        <f>COUNTIFS(AllMusters25!$M$15:$M$147,"I",(AllMusters25!$F$15:$F$147),"2")</f>
        <v>4</v>
      </c>
      <c r="AB7" s="21">
        <f>COUNTIFS(AllMusters25!$M$15:$M$147,"I",(AllMusters25!$F$15:$F$147),"3")</f>
        <v>3</v>
      </c>
      <c r="AC7" s="22">
        <f>COUNTIFS(AllMusters25!$M$15:$M$147,"I",(AllMusters25!$F$15:$F$147),"4")</f>
        <v>4</v>
      </c>
      <c r="AD7" s="21">
        <f>COUNTIFS(AllMusters25!$M$15:$M$147,"I",(AllMusters25!$F$15:$F$147),"5")</f>
        <v>4</v>
      </c>
      <c r="AE7" s="22">
        <f>COUNTIFS(AllMusters25!$M$15:$M$147,"I",(AllMusters25!$F$15:$F$147),"6")</f>
        <v>5</v>
      </c>
      <c r="AF7" s="21">
        <f>COUNTIFS(AllMusters25!$M$15:$M$147,"I",(AllMusters25!$F$15:$F$147),"7")</f>
        <v>4</v>
      </c>
      <c r="AG7" s="22">
        <f>COUNTIFS(AllMusters25!$M$15:$M$147,"I",(AllMusters25!$F$15:$F$147),"8")</f>
        <v>4</v>
      </c>
      <c r="AH7" s="21">
        <f>COUNTIFS(AllMusters25!$M$15:$M$147,"I",(AllMusters25!$F$15:$F$147),"9")</f>
        <v>4</v>
      </c>
      <c r="AI7" s="22">
        <f>COUNTIFS(AllMusters25!$M$15:$M$147,"I",(AllMusters25!$F$15:$F$147),"10")</f>
        <v>4</v>
      </c>
      <c r="AJ7" s="21">
        <f>COUNTIFS(AllMusters25!$M$15:$M$147,"I",(AllMusters25!$F$15:$F$147),"11")</f>
        <v>4</v>
      </c>
      <c r="AK7" s="22">
        <f>COUNTIFS(AllMusters25!$M$15:$M$147,"I",(AllMusters25!$F$15:$F$147),"12")</f>
        <v>3</v>
      </c>
      <c r="AL7" s="21">
        <f t="shared" si="1"/>
        <v>45</v>
      </c>
      <c r="AM7" s="32">
        <f t="shared" si="2"/>
        <v>0.91836734693877553</v>
      </c>
      <c r="AN7" s="12">
        <f t="shared" si="3"/>
        <v>108</v>
      </c>
      <c r="AO7" s="26">
        <f t="shared" si="4"/>
        <v>0.83720930232558144</v>
      </c>
    </row>
    <row r="8" spans="1:41">
      <c r="A8" s="17" t="s">
        <v>26</v>
      </c>
      <c r="B8" s="21">
        <v>2</v>
      </c>
      <c r="C8" s="22">
        <v>4</v>
      </c>
      <c r="D8" s="21">
        <v>0</v>
      </c>
      <c r="E8" s="22">
        <v>3</v>
      </c>
      <c r="F8" s="21">
        <v>2</v>
      </c>
      <c r="G8" s="22">
        <v>4</v>
      </c>
      <c r="H8" s="21">
        <v>3</v>
      </c>
      <c r="I8" s="22">
        <v>1</v>
      </c>
      <c r="J8" s="21">
        <f t="shared" si="0"/>
        <v>19</v>
      </c>
      <c r="K8" s="32">
        <v>0.6333333333333333</v>
      </c>
      <c r="L8" s="21">
        <v>1</v>
      </c>
      <c r="M8" s="22">
        <v>1</v>
      </c>
      <c r="N8" s="21">
        <v>1</v>
      </c>
      <c r="O8" s="22">
        <v>2</v>
      </c>
      <c r="P8" s="21">
        <v>1</v>
      </c>
      <c r="Q8" s="22">
        <v>2</v>
      </c>
      <c r="R8" s="21">
        <v>2</v>
      </c>
      <c r="S8" s="22">
        <v>4</v>
      </c>
      <c r="T8" s="21">
        <v>2</v>
      </c>
      <c r="U8" s="22">
        <v>1</v>
      </c>
      <c r="V8" s="21">
        <v>3</v>
      </c>
      <c r="W8" s="22">
        <v>2</v>
      </c>
      <c r="X8" s="21">
        <v>22</v>
      </c>
      <c r="Y8" s="32">
        <v>0.51249999999999996</v>
      </c>
      <c r="Z8" s="21">
        <f>COUNTIFS(AllMusters25!$N$15:$N$147,"I",(AllMusters25!$F$15:$F$147),"1")</f>
        <v>3</v>
      </c>
      <c r="AA8" s="22">
        <f>COUNTIFS(AllMusters25!$N$15:$N$147,"I",(AllMusters25!$F$15:$F$147),"2")</f>
        <v>3</v>
      </c>
      <c r="AB8" s="21">
        <f>COUNTIFS(AllMusters25!$N$15:$N$147,"I",(AllMusters25!$F$15:$F$147),"3")</f>
        <v>1</v>
      </c>
      <c r="AC8" s="22">
        <f>COUNTIFS(AllMusters25!$N$15:$N$147,"I",(AllMusters25!$F$15:$F$147),"4")</f>
        <v>4</v>
      </c>
      <c r="AD8" s="21">
        <f>COUNTIFS(AllMusters25!$N$15:$N$147,"I",(AllMusters25!$F$15:$F$147),"5")</f>
        <v>1</v>
      </c>
      <c r="AE8" s="22">
        <f>COUNTIFS(AllMusters25!$N$15:$N$147,"I",(AllMusters25!$F$15:$F$147),"6")</f>
        <v>5</v>
      </c>
      <c r="AF8" s="21">
        <f>COUNTIFS(AllMusters25!$N$15:$N$147,"I",(AllMusters25!$F$15:$F$147),"7")</f>
        <v>3</v>
      </c>
      <c r="AG8" s="22">
        <f>COUNTIFS(AllMusters25!$N$15:$N$147,"I",(AllMusters25!$F$15:$F$147),"8")</f>
        <v>0</v>
      </c>
      <c r="AH8" s="21">
        <f>COUNTIFS(AllMusters25!$N$15:$N$147,"I",(AllMusters25!$F$15:$F$147),"9")</f>
        <v>2</v>
      </c>
      <c r="AI8" s="22">
        <f>COUNTIFS(AllMusters25!$N$15:$N$147,"I",(AllMusters25!$F$15:$F$147),"10")</f>
        <v>2</v>
      </c>
      <c r="AJ8" s="21">
        <f>COUNTIFS(AllMusters25!$N$15:$N$147,"I",(AllMusters25!$F$15:$F$147),"11")</f>
        <v>2</v>
      </c>
      <c r="AK8" s="22">
        <f>COUNTIFS(AllMusters25!$N$15:$N$147,"I",(AllMusters25!$F$15:$F$147),"12")</f>
        <v>2</v>
      </c>
      <c r="AL8" s="21">
        <f t="shared" si="1"/>
        <v>28</v>
      </c>
      <c r="AM8" s="32">
        <f t="shared" si="2"/>
        <v>0.5714285714285714</v>
      </c>
      <c r="AN8" s="12">
        <f t="shared" si="3"/>
        <v>69</v>
      </c>
      <c r="AO8" s="26">
        <f t="shared" si="4"/>
        <v>0.53488372093023251</v>
      </c>
    </row>
    <row r="9" spans="1:41">
      <c r="A9" s="17" t="s">
        <v>27</v>
      </c>
      <c r="B9" s="21">
        <v>2</v>
      </c>
      <c r="C9" s="22">
        <v>4</v>
      </c>
      <c r="D9" s="21">
        <v>3</v>
      </c>
      <c r="E9" s="22">
        <v>3</v>
      </c>
      <c r="F9" s="21">
        <v>4</v>
      </c>
      <c r="G9" s="22">
        <v>3</v>
      </c>
      <c r="H9" s="21">
        <v>4</v>
      </c>
      <c r="I9" s="22">
        <v>2</v>
      </c>
      <c r="J9" s="21">
        <f t="shared" si="0"/>
        <v>25</v>
      </c>
      <c r="K9" s="32">
        <v>0.83333333333333337</v>
      </c>
      <c r="L9" s="21">
        <v>3</v>
      </c>
      <c r="M9" s="22">
        <v>2</v>
      </c>
      <c r="N9" s="21">
        <v>2</v>
      </c>
      <c r="O9" s="22">
        <v>4</v>
      </c>
      <c r="P9" s="21">
        <v>4</v>
      </c>
      <c r="Q9" s="22">
        <v>3</v>
      </c>
      <c r="R9" s="21">
        <v>2</v>
      </c>
      <c r="S9" s="22">
        <v>4</v>
      </c>
      <c r="T9" s="21">
        <v>3</v>
      </c>
      <c r="U9" s="22">
        <v>2</v>
      </c>
      <c r="V9" s="21">
        <v>2</v>
      </c>
      <c r="W9" s="22">
        <v>3</v>
      </c>
      <c r="X9" s="21">
        <v>34</v>
      </c>
      <c r="Y9" s="32">
        <v>0.73750000000000004</v>
      </c>
      <c r="Z9" s="21">
        <f>COUNTIFS(AllMusters25!$O$15:$O$147,"I",(AllMusters25!$F$15:$F$147),"1")</f>
        <v>1</v>
      </c>
      <c r="AA9" s="22">
        <f>COUNTIFS(AllMusters25!$O$15:$O$147,"I",(AllMusters25!$F$15:$F$147),"2")</f>
        <v>3</v>
      </c>
      <c r="AB9" s="21">
        <f>COUNTIFS(AllMusters25!$O$15:$O$147,"I",(AllMusters25!$F$15:$F$147),"3")</f>
        <v>3</v>
      </c>
      <c r="AC9" s="22">
        <f>COUNTIFS(AllMusters25!$O$15:$O$147,"I",(AllMusters25!$F$15:$F$147),"4")</f>
        <v>3</v>
      </c>
      <c r="AD9" s="21">
        <f>COUNTIFS(AllMusters25!$O$15:$O$147,"I",(AllMusters25!$F$15:$F$147),"5")</f>
        <v>4</v>
      </c>
      <c r="AE9" s="22">
        <f>COUNTIFS(AllMusters25!$O$15:$O$147,"I",(AllMusters25!$F$15:$F$147),"6")</f>
        <v>2</v>
      </c>
      <c r="AF9" s="21">
        <f>COUNTIFS(AllMusters25!$O$15:$O$147,"I",(AllMusters25!$F$15:$F$147),"7")</f>
        <v>3</v>
      </c>
      <c r="AG9" s="22">
        <f>COUNTIFS(AllMusters25!$O$15:$O$147,"I",(AllMusters25!$F$15:$F$147),"8")</f>
        <v>3</v>
      </c>
      <c r="AH9" s="21">
        <f>COUNTIFS(AllMusters25!$O$15:$O$147,"I",(AllMusters25!$F$15:$F$147),"9")</f>
        <v>4</v>
      </c>
      <c r="AI9" s="22">
        <f>COUNTIFS(AllMusters25!$O$15:$O$147,"I",(AllMusters25!$F$15:$F$147),"10")</f>
        <v>3</v>
      </c>
      <c r="AJ9" s="21">
        <f>COUNTIFS(AllMusters25!$O$15:$O$147,"I",(AllMusters25!$F$15:$F$147),"11")</f>
        <v>4</v>
      </c>
      <c r="AK9" s="22">
        <f>COUNTIFS(AllMusters25!$O$15:$O$147,"I",(AllMusters25!$F$15:$F$147),"12")</f>
        <v>3</v>
      </c>
      <c r="AL9" s="21">
        <f t="shared" si="1"/>
        <v>36</v>
      </c>
      <c r="AM9" s="32">
        <f t="shared" si="2"/>
        <v>0.73469387755102045</v>
      </c>
      <c r="AN9" s="12">
        <f t="shared" si="3"/>
        <v>95</v>
      </c>
      <c r="AO9" s="26">
        <f t="shared" si="4"/>
        <v>0.73643410852713176</v>
      </c>
    </row>
    <row r="10" spans="1:41">
      <c r="A10" s="17" t="s">
        <v>28</v>
      </c>
      <c r="B10" s="21">
        <v>3</v>
      </c>
      <c r="C10" s="22">
        <v>4</v>
      </c>
      <c r="D10" s="21">
        <v>4</v>
      </c>
      <c r="E10" s="22">
        <v>4</v>
      </c>
      <c r="F10" s="21">
        <v>2</v>
      </c>
      <c r="G10" s="22">
        <v>4</v>
      </c>
      <c r="H10" s="21">
        <v>4</v>
      </c>
      <c r="I10" s="22">
        <v>2</v>
      </c>
      <c r="J10" s="21">
        <f t="shared" si="0"/>
        <v>27</v>
      </c>
      <c r="K10" s="32">
        <v>0.9</v>
      </c>
      <c r="L10" s="21">
        <v>2</v>
      </c>
      <c r="M10" s="22">
        <v>4</v>
      </c>
      <c r="N10" s="21">
        <v>3</v>
      </c>
      <c r="O10" s="22">
        <v>5</v>
      </c>
      <c r="P10" s="21">
        <v>3</v>
      </c>
      <c r="Q10" s="22">
        <v>4</v>
      </c>
      <c r="R10" s="21">
        <v>3</v>
      </c>
      <c r="S10" s="22">
        <v>3</v>
      </c>
      <c r="T10" s="21">
        <v>3</v>
      </c>
      <c r="U10" s="22">
        <v>3</v>
      </c>
      <c r="V10" s="21">
        <v>3</v>
      </c>
      <c r="W10" s="22">
        <v>3</v>
      </c>
      <c r="X10" s="21">
        <v>39</v>
      </c>
      <c r="Y10" s="32">
        <v>0.82499999999999996</v>
      </c>
      <c r="Z10" s="115">
        <f>COUNTIFS(AllMusters25!$P$15:$P$147,"I",(AllMusters25!$F$15:$F$147),"1")</f>
        <v>0</v>
      </c>
      <c r="AA10" s="22">
        <f>COUNTIFS(AllMusters25!$P$15:$P$147,"I",(AllMusters25!$F$15:$F$147),"2")</f>
        <v>1</v>
      </c>
      <c r="AB10" s="21">
        <f>COUNTIFS(AllMusters25!$P$15:$P$147,"I",(AllMusters25!$F$15:$F$147),"3")</f>
        <v>4</v>
      </c>
      <c r="AC10" s="22">
        <f>COUNTIFS(AllMusters25!$P$15:$P$147,"I",(AllMusters25!$F$15:$F$147),"4")</f>
        <v>4</v>
      </c>
      <c r="AD10" s="21">
        <f>COUNTIFS(AllMusters25!$P$15:$P$147,"I",(AllMusters25!$F$15:$F$147),"5")</f>
        <v>3</v>
      </c>
      <c r="AE10" s="22">
        <f>COUNTIFS(AllMusters25!$P$15:$P$147,"I",(AllMusters25!$F$15:$F$147),"6")</f>
        <v>5</v>
      </c>
      <c r="AF10" s="21">
        <f>COUNTIFS(AllMusters25!$P$15:$P$147,"I",(AllMusters25!$F$15:$F$147),"7")</f>
        <v>3</v>
      </c>
      <c r="AG10" s="22">
        <f>COUNTIFS(AllMusters25!$P$15:$P$147,"I",(AllMusters25!$F$15:$F$147),"8")</f>
        <v>4</v>
      </c>
      <c r="AH10" s="21">
        <f>COUNTIFS(AllMusters25!$P$15:$P$147,"I",(AllMusters25!$F$15:$F$147),"9")</f>
        <v>4</v>
      </c>
      <c r="AI10" s="22">
        <f>COUNTIFS(AllMusters25!$P$15:$P$147,"I",(AllMusters25!$F$15:$F$147),"10")</f>
        <v>4</v>
      </c>
      <c r="AJ10" s="21">
        <f>COUNTIFS(AllMusters25!$P$15:$P$147,"I",(AllMusters25!$F$15:$F$147),"11")</f>
        <v>2</v>
      </c>
      <c r="AK10" s="22">
        <f>COUNTIFS(AllMusters25!$P$15:$P$147,"I",(AllMusters25!$F$15:$F$147),"12")</f>
        <v>2</v>
      </c>
      <c r="AL10" s="21">
        <f t="shared" si="1"/>
        <v>36</v>
      </c>
      <c r="AM10" s="32">
        <f t="shared" si="2"/>
        <v>0.73469387755102045</v>
      </c>
      <c r="AN10" s="12">
        <f t="shared" si="3"/>
        <v>102</v>
      </c>
      <c r="AO10" s="26">
        <f t="shared" si="4"/>
        <v>0.79069767441860461</v>
      </c>
    </row>
    <row r="11" spans="1:41">
      <c r="A11" s="17" t="s">
        <v>29</v>
      </c>
      <c r="B11" s="21">
        <v>2</v>
      </c>
      <c r="C11" s="22">
        <v>0</v>
      </c>
      <c r="D11" s="21">
        <v>3</v>
      </c>
      <c r="E11" s="22">
        <v>4</v>
      </c>
      <c r="F11" s="21">
        <v>4</v>
      </c>
      <c r="G11" s="22">
        <v>4</v>
      </c>
      <c r="H11" s="21">
        <v>4</v>
      </c>
      <c r="I11" s="22">
        <v>1</v>
      </c>
      <c r="J11" s="21">
        <f t="shared" ref="J11" si="5">SUM(B11:I11)</f>
        <v>22</v>
      </c>
      <c r="K11" s="32">
        <v>0.73333333333333328</v>
      </c>
      <c r="L11" s="21">
        <v>3</v>
      </c>
      <c r="M11" s="22">
        <v>4</v>
      </c>
      <c r="N11" s="21">
        <v>2</v>
      </c>
      <c r="O11" s="22">
        <v>5</v>
      </c>
      <c r="P11" s="21">
        <v>4</v>
      </c>
      <c r="Q11" s="22">
        <v>4</v>
      </c>
      <c r="R11" s="21">
        <v>4</v>
      </c>
      <c r="S11" s="22">
        <v>5</v>
      </c>
      <c r="T11" s="21">
        <v>5</v>
      </c>
      <c r="U11" s="22">
        <v>4</v>
      </c>
      <c r="V11" s="21">
        <v>3</v>
      </c>
      <c r="W11" s="22">
        <v>1</v>
      </c>
      <c r="X11" s="21">
        <v>44</v>
      </c>
      <c r="Y11" s="32">
        <v>0.82499999999999996</v>
      </c>
      <c r="Z11" s="115">
        <f>COUNTIFS(AllMusters25!$Q$15:$Q$147,"I",(AllMusters25!$F$15:$F$147),"1")</f>
        <v>2</v>
      </c>
      <c r="AA11" s="22">
        <f>COUNTIFS(AllMusters25!$Q$15:$Q$147,"I",(AllMusters25!$F$15:$F$147),"2")</f>
        <v>2</v>
      </c>
      <c r="AB11" s="21">
        <f>COUNTIFS(AllMusters25!$Q$15:$Q$147,"I",(AllMusters25!$F$15:$F$147),"3")</f>
        <v>3</v>
      </c>
      <c r="AC11" s="22">
        <f>COUNTIFS(AllMusters25!$Q$15:$Q$147,"I",(AllMusters25!$F$15:$F$147),"4")</f>
        <v>4</v>
      </c>
      <c r="AD11" s="21">
        <f>COUNTIFS(AllMusters25!$Q$15:$Q$147,"I",(AllMusters25!$F$15:$F$147),"5")</f>
        <v>4</v>
      </c>
      <c r="AE11" s="22">
        <f>COUNTIFS(AllMusters25!$Q$15:$Q$147,"I",(AllMusters25!$F$15:$F$147),"6")</f>
        <v>4</v>
      </c>
      <c r="AF11" s="21">
        <f>COUNTIFS(AllMusters25!$Q$15:$Q$147,"I",(AllMusters25!$F$15:$F$147),"7")</f>
        <v>3</v>
      </c>
      <c r="AG11" s="22">
        <f>COUNTIFS(AllMusters25!$Q$15:$Q$147,"I",(AllMusters25!$F$15:$F$147),"8")</f>
        <v>4</v>
      </c>
      <c r="AH11" s="21">
        <f>COUNTIFS(AllMusters25!$Q$15:$Q$147,"I",(AllMusters25!$F$15:$F$147),"9")</f>
        <v>4</v>
      </c>
      <c r="AI11" s="22">
        <f>COUNTIFS(AllMusters25!$Q$15:$Q$147,"I",(AllMusters25!$F$15:$F$147),"10")</f>
        <v>4</v>
      </c>
      <c r="AJ11" s="21">
        <f>COUNTIFS(AllMusters25!$Q$15:$Q$147,"I",(AllMusters25!$F$15:$F$147),"11")</f>
        <v>4</v>
      </c>
      <c r="AK11" s="22">
        <f>COUNTIFS(AllMusters25!$Q$15:$Q$147,"I",(AllMusters25!$F$15:$F$147),"12")</f>
        <v>0</v>
      </c>
      <c r="AL11" s="21">
        <f t="shared" si="1"/>
        <v>38</v>
      </c>
      <c r="AM11" s="32">
        <f t="shared" ref="AM11" si="6">(SUM(AL11))/SUM($AL$1)</f>
        <v>0.77551020408163263</v>
      </c>
      <c r="AN11" s="12">
        <f t="shared" ref="AN11" si="7">SUM(J11,X11,AL11)</f>
        <v>104</v>
      </c>
      <c r="AO11" s="26">
        <f t="shared" ref="AO11" si="8">(SUM(AN11))/SUM($AN$2)</f>
        <v>0.80620155038759689</v>
      </c>
    </row>
    <row r="12" spans="1:41">
      <c r="A12" s="17" t="s">
        <v>30</v>
      </c>
      <c r="B12" s="21">
        <v>2</v>
      </c>
      <c r="C12" s="22">
        <v>2</v>
      </c>
      <c r="D12" s="21">
        <v>4</v>
      </c>
      <c r="E12" s="22">
        <v>4</v>
      </c>
      <c r="F12" s="21">
        <v>3</v>
      </c>
      <c r="G12" s="22">
        <v>3</v>
      </c>
      <c r="H12" s="21">
        <v>4</v>
      </c>
      <c r="I12" s="22">
        <v>1</v>
      </c>
      <c r="J12" s="21">
        <f t="shared" si="0"/>
        <v>23</v>
      </c>
      <c r="K12" s="32">
        <v>0.76666666666666672</v>
      </c>
      <c r="L12" s="21">
        <v>2</v>
      </c>
      <c r="M12" s="22">
        <v>3</v>
      </c>
      <c r="N12" s="21">
        <v>2</v>
      </c>
      <c r="O12" s="22">
        <v>3</v>
      </c>
      <c r="P12" s="21">
        <v>3</v>
      </c>
      <c r="Q12" s="22">
        <v>2</v>
      </c>
      <c r="R12" s="21">
        <v>3</v>
      </c>
      <c r="S12" s="22">
        <v>2</v>
      </c>
      <c r="T12" s="21">
        <v>3</v>
      </c>
      <c r="U12" s="22">
        <v>2</v>
      </c>
      <c r="V12" s="21">
        <v>3</v>
      </c>
      <c r="W12" s="22">
        <v>2</v>
      </c>
      <c r="X12" s="21">
        <v>30</v>
      </c>
      <c r="Y12" s="32">
        <v>0.66249999999999998</v>
      </c>
      <c r="Z12" s="21">
        <f>COUNTIFS(AllMusters25!$R$15:$R$147,"I",(AllMusters25!$F$15:$F$147),"1")</f>
        <v>2</v>
      </c>
      <c r="AA12" s="22">
        <f>COUNTIFS(AllMusters25!$R$15:$R$147,"I",(AllMusters25!$F$15:$F$147),"2")</f>
        <v>2</v>
      </c>
      <c r="AB12" s="21">
        <f>COUNTIFS(AllMusters25!$R$15:$R$147,"I",(AllMusters25!$F$15:$F$147),"3")</f>
        <v>3</v>
      </c>
      <c r="AC12" s="22">
        <f>COUNTIFS(AllMusters25!$R$15:$R$147,"I",(AllMusters25!$F$15:$F$147),"4")</f>
        <v>3</v>
      </c>
      <c r="AD12" s="21">
        <f>COUNTIFS(AllMusters25!$R$15:$R$147,"I",(AllMusters25!$F$15:$F$147),"5")</f>
        <v>2</v>
      </c>
      <c r="AE12" s="22">
        <f>COUNTIFS(AllMusters25!$R$15:$R$147,"I",(AllMusters25!$F$15:$F$147),"6")</f>
        <v>3</v>
      </c>
      <c r="AF12" s="21">
        <f>COUNTIFS(AllMusters25!$R$15:$R$147,"I",(AllMusters25!$F$15:$F$147),"7")</f>
        <v>3</v>
      </c>
      <c r="AG12" s="22">
        <f>COUNTIFS(AllMusters25!$R$15:$R$147,"I",(AllMusters25!$F$15:$F$147),"8")</f>
        <v>3</v>
      </c>
      <c r="AH12" s="21">
        <f>COUNTIFS(AllMusters25!$R$15:$R$147,"I",(AllMusters25!$F$15:$F$147),"9")</f>
        <v>3</v>
      </c>
      <c r="AI12" s="22">
        <f>COUNTIFS(AllMusters25!$R$15:$R$147,"I",(AllMusters25!$F$15:$F$147),"10")</f>
        <v>2</v>
      </c>
      <c r="AJ12" s="21">
        <f>COUNTIFS(AllMusters25!$R$15:$R$147,"I",(AllMusters25!$F$15:$F$147),"11")</f>
        <v>2</v>
      </c>
      <c r="AK12" s="22">
        <f>COUNTIFS(AllMusters25!$R$15:$R$147,"I",(AllMusters25!$F$15:$F$147),"12")</f>
        <v>3</v>
      </c>
      <c r="AL12" s="21">
        <f t="shared" si="1"/>
        <v>31</v>
      </c>
      <c r="AM12" s="32">
        <f t="shared" si="2"/>
        <v>0.63265306122448983</v>
      </c>
      <c r="AN12" s="12">
        <f t="shared" si="3"/>
        <v>84</v>
      </c>
      <c r="AO12" s="26">
        <f t="shared" si="4"/>
        <v>0.65116279069767447</v>
      </c>
    </row>
    <row r="13" spans="1:41">
      <c r="A13" s="17" t="s">
        <v>32</v>
      </c>
      <c r="B13" s="21">
        <v>3</v>
      </c>
      <c r="C13" s="22">
        <v>2</v>
      </c>
      <c r="D13" s="21">
        <v>3</v>
      </c>
      <c r="E13" s="22">
        <v>3</v>
      </c>
      <c r="F13" s="21">
        <v>1</v>
      </c>
      <c r="G13" s="22">
        <v>4</v>
      </c>
      <c r="H13" s="21">
        <v>3</v>
      </c>
      <c r="I13" s="22">
        <v>2</v>
      </c>
      <c r="J13" s="21">
        <f t="shared" si="0"/>
        <v>21</v>
      </c>
      <c r="K13" s="32">
        <v>0.7</v>
      </c>
      <c r="L13" s="21">
        <v>2</v>
      </c>
      <c r="M13" s="22">
        <v>3</v>
      </c>
      <c r="N13" s="21">
        <v>3</v>
      </c>
      <c r="O13" s="22">
        <v>4</v>
      </c>
      <c r="P13" s="21">
        <v>3</v>
      </c>
      <c r="Q13" s="22">
        <v>3</v>
      </c>
      <c r="R13" s="21">
        <v>3</v>
      </c>
      <c r="S13" s="22">
        <v>2</v>
      </c>
      <c r="T13" s="21">
        <v>0</v>
      </c>
      <c r="U13" s="22">
        <v>4</v>
      </c>
      <c r="V13" s="21">
        <v>2</v>
      </c>
      <c r="W13" s="22">
        <v>2</v>
      </c>
      <c r="X13" s="21">
        <v>31</v>
      </c>
      <c r="Y13" s="32">
        <v>0.65</v>
      </c>
      <c r="Z13" s="21">
        <f>COUNTIFS(AllMusters25!$S$15:$S$147,"I",(AllMusters25!$F$15:$F$147),"1")</f>
        <v>2</v>
      </c>
      <c r="AA13" s="22">
        <f>COUNTIFS(AllMusters25!$S$15:$S$147,"I",(AllMusters25!$F$15:$F$147),"2")</f>
        <v>1</v>
      </c>
      <c r="AB13" s="21">
        <f>COUNTIFS(AllMusters25!$S$15:$S$147,"I",(AllMusters25!$F$15:$F$147),"3")</f>
        <v>3</v>
      </c>
      <c r="AC13" s="22">
        <f>COUNTIFS(AllMusters25!$S$15:$S$147,"I",(AllMusters25!$F$15:$F$147),"4")</f>
        <v>2</v>
      </c>
      <c r="AD13" s="21">
        <f>COUNTIFS(AllMusters25!$S$15:$S$147,"I",(AllMusters25!$F$15:$F$147),"5")</f>
        <v>4</v>
      </c>
      <c r="AE13" s="22">
        <f>COUNTIFS(AllMusters25!$S$15:$S$147,"I",(AllMusters25!$F$15:$F$147),"6")</f>
        <v>4</v>
      </c>
      <c r="AF13" s="21">
        <f>COUNTIFS(AllMusters25!$S$15:$S$147,"I",(AllMusters25!$F$15:$F$147),"7")</f>
        <v>3</v>
      </c>
      <c r="AG13" s="22">
        <f>COUNTIFS(AllMusters25!$S$15:$S$147,"I",(AllMusters25!$F$15:$F$147),"8")</f>
        <v>2</v>
      </c>
      <c r="AH13" s="21">
        <f>COUNTIFS(AllMusters25!$S$15:$S$147,"I",(AllMusters25!$F$15:$F$147),"9")</f>
        <v>0</v>
      </c>
      <c r="AI13" s="22">
        <f>COUNTIFS(AllMusters25!$S$15:$S$147,"I",(AllMusters25!$F$15:$F$147),"10")</f>
        <v>4</v>
      </c>
      <c r="AJ13" s="21">
        <f>COUNTIFS(AllMusters25!$S$15:$S$147,"I",(AllMusters25!$F$15:$F$147),"11")</f>
        <v>3</v>
      </c>
      <c r="AK13" s="22">
        <f>COUNTIFS(AllMusters25!$S$15:$S$147,"I",(AllMusters25!$F$15:$F$147),"12")</f>
        <v>3</v>
      </c>
      <c r="AL13" s="21">
        <f t="shared" si="1"/>
        <v>31</v>
      </c>
      <c r="AM13" s="32">
        <f t="shared" si="2"/>
        <v>0.63265306122448983</v>
      </c>
      <c r="AN13" s="12">
        <f t="shared" si="3"/>
        <v>83</v>
      </c>
      <c r="AO13" s="26">
        <f t="shared" si="4"/>
        <v>0.64341085271317833</v>
      </c>
    </row>
    <row r="14" spans="1:41">
      <c r="A14" s="17" t="s">
        <v>34</v>
      </c>
      <c r="B14" s="21">
        <v>3</v>
      </c>
      <c r="C14" s="22">
        <v>3</v>
      </c>
      <c r="D14" s="21">
        <v>4</v>
      </c>
      <c r="E14" s="22">
        <v>4</v>
      </c>
      <c r="F14" s="21">
        <v>4</v>
      </c>
      <c r="G14" s="22">
        <v>3</v>
      </c>
      <c r="H14" s="21">
        <v>4</v>
      </c>
      <c r="I14" s="22">
        <v>2</v>
      </c>
      <c r="J14" s="21">
        <f t="shared" si="0"/>
        <v>27</v>
      </c>
      <c r="K14" s="32">
        <v>0.9</v>
      </c>
      <c r="L14" s="21">
        <v>2</v>
      </c>
      <c r="M14" s="22">
        <v>4</v>
      </c>
      <c r="N14" s="21">
        <v>4</v>
      </c>
      <c r="O14" s="22">
        <v>4</v>
      </c>
      <c r="P14" s="21">
        <v>4</v>
      </c>
      <c r="Q14" s="22">
        <v>4</v>
      </c>
      <c r="R14" s="21">
        <v>5</v>
      </c>
      <c r="S14" s="22">
        <v>5</v>
      </c>
      <c r="T14" s="21">
        <v>5</v>
      </c>
      <c r="U14" s="22">
        <v>4</v>
      </c>
      <c r="V14" s="21">
        <v>3</v>
      </c>
      <c r="W14" s="22">
        <v>3</v>
      </c>
      <c r="X14" s="21">
        <v>47</v>
      </c>
      <c r="Y14" s="32">
        <v>0.92500000000000004</v>
      </c>
      <c r="Z14" s="21">
        <f>COUNTIFS(AllMusters25!$T$15:$T$147,"I",(AllMusters25!$F$15:$F$147),"1")</f>
        <v>2</v>
      </c>
      <c r="AA14" s="22">
        <f>COUNTIFS(AllMusters25!$T$15:$T$147,"I",(AllMusters25!$F$15:$F$147),"2")</f>
        <v>3</v>
      </c>
      <c r="AB14" s="21">
        <f>COUNTIFS(AllMusters25!$T$15:$T$147,"I",(AllMusters25!$F$15:$F$147),"3")</f>
        <v>5</v>
      </c>
      <c r="AC14" s="22">
        <f>COUNTIFS(AllMusters25!$T$15:$T$147,"I",(AllMusters25!$F$15:$F$147),"4")</f>
        <v>4</v>
      </c>
      <c r="AD14" s="21">
        <f>COUNTIFS(AllMusters25!$T$15:$T$147,"I",(AllMusters25!$F$15:$F$147),"5")</f>
        <v>3</v>
      </c>
      <c r="AE14" s="22">
        <f>COUNTIFS(AllMusters25!$T$15:$T$147,"I",(AllMusters25!$F$15:$F$147),"6")</f>
        <v>3</v>
      </c>
      <c r="AF14" s="21">
        <f>COUNTIFS(AllMusters25!$T$15:$T$147,"I",(AllMusters25!$F$15:$F$147),"7")</f>
        <v>4</v>
      </c>
      <c r="AG14" s="22">
        <f>COUNTIFS(AllMusters25!$T$15:$T$147,"I",(AllMusters25!$F$15:$F$147),"8")</f>
        <v>4</v>
      </c>
      <c r="AH14" s="21">
        <f>COUNTIFS(AllMusters25!$T$15:$T$147,"I",(AllMusters25!$F$15:$F$147),"9")</f>
        <v>5</v>
      </c>
      <c r="AI14" s="22">
        <f>COUNTIFS(AllMusters25!$T$15:$T$147,"I",(AllMusters25!$F$15:$F$147),"10")</f>
        <v>4</v>
      </c>
      <c r="AJ14" s="21">
        <f>COUNTIFS(AllMusters25!$T$15:$T$147,"I",(AllMusters25!$F$15:$F$147),"11")</f>
        <v>4</v>
      </c>
      <c r="AK14" s="22">
        <f>COUNTIFS(AllMusters25!$T$15:$T$147,"I",(AllMusters25!$F$15:$F$147),"12")</f>
        <v>3</v>
      </c>
      <c r="AL14" s="21">
        <f t="shared" si="1"/>
        <v>44</v>
      </c>
      <c r="AM14" s="32">
        <f t="shared" si="2"/>
        <v>0.89795918367346939</v>
      </c>
      <c r="AN14" s="12">
        <f t="shared" si="3"/>
        <v>118</v>
      </c>
      <c r="AO14" s="26">
        <f t="shared" si="4"/>
        <v>0.9147286821705426</v>
      </c>
    </row>
    <row r="15" spans="1:41">
      <c r="A15" s="17" t="s">
        <v>35</v>
      </c>
      <c r="B15" s="21">
        <v>3</v>
      </c>
      <c r="C15" s="22">
        <v>3</v>
      </c>
      <c r="D15" s="21">
        <v>4</v>
      </c>
      <c r="E15" s="22">
        <v>5</v>
      </c>
      <c r="F15" s="21">
        <v>4</v>
      </c>
      <c r="G15" s="22">
        <v>3</v>
      </c>
      <c r="H15" s="21">
        <v>4</v>
      </c>
      <c r="I15" s="22">
        <v>2</v>
      </c>
      <c r="J15" s="21">
        <f t="shared" si="0"/>
        <v>28</v>
      </c>
      <c r="K15" s="32">
        <v>0.93333333333333335</v>
      </c>
      <c r="L15" s="21">
        <v>1</v>
      </c>
      <c r="M15" s="22">
        <v>4</v>
      </c>
      <c r="N15" s="21">
        <v>3</v>
      </c>
      <c r="O15" s="22">
        <v>5</v>
      </c>
      <c r="P15" s="21">
        <v>4</v>
      </c>
      <c r="Q15" s="22">
        <v>3</v>
      </c>
      <c r="R15" s="21">
        <v>5</v>
      </c>
      <c r="S15" s="22">
        <v>5</v>
      </c>
      <c r="T15" s="21">
        <v>4</v>
      </c>
      <c r="U15" s="22">
        <v>2</v>
      </c>
      <c r="V15" s="21">
        <v>4</v>
      </c>
      <c r="W15" s="22">
        <v>2</v>
      </c>
      <c r="X15" s="21">
        <v>42</v>
      </c>
      <c r="Y15" s="32">
        <v>0.875</v>
      </c>
      <c r="Z15" s="21">
        <f>COUNTIFS(AllMusters25!$U$15:$U$147,"I",(AllMusters25!$F$15:$F$147),"1")</f>
        <v>3</v>
      </c>
      <c r="AA15" s="22">
        <f>COUNTIFS(AllMusters25!$U$15:$U$147,"I",(AllMusters25!$F$15:$F$147),"2")</f>
        <v>3</v>
      </c>
      <c r="AB15" s="21">
        <f>COUNTIFS(AllMusters25!$U$15:$U$147,"I",(AllMusters25!$F$15:$F$147),"3")</f>
        <v>5</v>
      </c>
      <c r="AC15" s="22">
        <f>COUNTIFS(AllMusters25!$U$15:$U$147,"I",(AllMusters25!$F$15:$F$147),"4")</f>
        <v>3</v>
      </c>
      <c r="AD15" s="21">
        <f>COUNTIFS(AllMusters25!$U$15:$U$147,"I",(AllMusters25!$F$15:$F$147),"5")</f>
        <v>3</v>
      </c>
      <c r="AE15" s="22">
        <f>COUNTIFS(AllMusters25!$U$15:$U$147,"I",(AllMusters25!$F$15:$F$147),"6")</f>
        <v>3</v>
      </c>
      <c r="AF15" s="21">
        <f>COUNTIFS(AllMusters25!$U$15:$U$147,"I",(AllMusters25!$F$15:$F$147),"7")</f>
        <v>1</v>
      </c>
      <c r="AG15" s="22">
        <f>COUNTIFS(AllMusters25!$U$15:$U$147,"I",(AllMusters25!$F$15:$F$147),"8")</f>
        <v>3</v>
      </c>
      <c r="AH15" s="21">
        <f>COUNTIFS(AllMusters25!$U$15:$U$147,"I",(AllMusters25!$F$15:$F$147),"9")</f>
        <v>5</v>
      </c>
      <c r="AI15" s="22">
        <f>COUNTIFS(AllMusters25!$U$15:$U$147,"I",(AllMusters25!$F$15:$F$147),"10")</f>
        <v>4</v>
      </c>
      <c r="AJ15" s="21">
        <f>COUNTIFS(AllMusters25!$U$15:$U$147,"I",(AllMusters25!$F$15:$F$147),"11")</f>
        <v>2</v>
      </c>
      <c r="AK15" s="22">
        <f>COUNTIFS(AllMusters25!$U$15:$U$147,"I",(AllMusters25!$F$15:$F$147),"12")</f>
        <v>2</v>
      </c>
      <c r="AL15" s="21">
        <f t="shared" si="1"/>
        <v>37</v>
      </c>
      <c r="AM15" s="32">
        <f t="shared" si="2"/>
        <v>0.75510204081632648</v>
      </c>
      <c r="AN15" s="12">
        <f t="shared" si="3"/>
        <v>107</v>
      </c>
      <c r="AO15" s="26">
        <f t="shared" si="4"/>
        <v>0.8294573643410853</v>
      </c>
    </row>
    <row r="16" spans="1:41">
      <c r="A16" s="17" t="s">
        <v>36</v>
      </c>
      <c r="B16" s="21">
        <v>1</v>
      </c>
      <c r="C16" s="22">
        <v>3</v>
      </c>
      <c r="D16" s="21">
        <v>3</v>
      </c>
      <c r="E16" s="22">
        <v>5</v>
      </c>
      <c r="F16" s="21">
        <v>2</v>
      </c>
      <c r="G16" s="22">
        <v>4</v>
      </c>
      <c r="H16" s="21">
        <v>2</v>
      </c>
      <c r="I16" s="22">
        <v>2</v>
      </c>
      <c r="J16" s="21">
        <f t="shared" si="0"/>
        <v>22</v>
      </c>
      <c r="K16" s="32">
        <v>0.73333333333333328</v>
      </c>
      <c r="L16" s="21">
        <v>2</v>
      </c>
      <c r="M16" s="22">
        <v>4</v>
      </c>
      <c r="N16" s="21">
        <v>2</v>
      </c>
      <c r="O16" s="22">
        <v>4</v>
      </c>
      <c r="P16" s="21">
        <v>3</v>
      </c>
      <c r="Q16" s="22">
        <v>4</v>
      </c>
      <c r="R16" s="21">
        <v>4</v>
      </c>
      <c r="S16" s="22">
        <v>3</v>
      </c>
      <c r="T16" s="21">
        <v>5</v>
      </c>
      <c r="U16" s="22">
        <v>1</v>
      </c>
      <c r="V16" s="21">
        <v>3</v>
      </c>
      <c r="W16" s="22">
        <v>2</v>
      </c>
      <c r="X16" s="21">
        <v>37</v>
      </c>
      <c r="Y16" s="32">
        <v>0.73750000000000004</v>
      </c>
      <c r="Z16" s="21">
        <f>COUNTIFS(AllMusters25!$V$15:$V$147,"I",(AllMusters25!$F$15:$F$147),"1")</f>
        <v>3</v>
      </c>
      <c r="AA16" s="22">
        <f>COUNTIFS(AllMusters25!$V$15:$V$147,"I",(AllMusters25!$F$15:$F$147),"2")</f>
        <v>4</v>
      </c>
      <c r="AB16" s="21">
        <f>COUNTIFS(AllMusters25!$V$15:$V$147,"I",(AllMusters25!$F$15:$F$147),"3")</f>
        <v>5</v>
      </c>
      <c r="AC16" s="22">
        <f>COUNTIFS(AllMusters25!$V$15:$V$147,"I",(AllMusters25!$F$15:$F$147),"4")</f>
        <v>4</v>
      </c>
      <c r="AD16" s="21">
        <f>COUNTIFS(AllMusters25!$V$15:$V$147,"I",(AllMusters25!$F$15:$F$147),"5")</f>
        <v>4</v>
      </c>
      <c r="AE16" s="22">
        <f>COUNTIFS(AllMusters25!$V$15:$V$147,"I",(AllMusters25!$F$15:$F$147),"6")</f>
        <v>5</v>
      </c>
      <c r="AF16" s="21">
        <f>COUNTIFS(AllMusters25!$V$15:$V$147,"I",(AllMusters25!$F$15:$F$147),"7")</f>
        <v>4</v>
      </c>
      <c r="AG16" s="22">
        <f>COUNTIFS(AllMusters25!$V$15:$V$147,"I",(AllMusters25!$F$15:$F$147),"8")</f>
        <v>4</v>
      </c>
      <c r="AH16" s="21">
        <f>COUNTIFS(AllMusters25!$V$15:$V$147,"I",(AllMusters25!$F$15:$F$147),"9")</f>
        <v>5</v>
      </c>
      <c r="AI16" s="22">
        <f>COUNTIFS(AllMusters25!$V$15:$V$147,"I",(AllMusters25!$F$15:$F$147),"10")</f>
        <v>4</v>
      </c>
      <c r="AJ16" s="21">
        <f>COUNTIFS(AllMusters25!$V$15:$V$147,"I",(AllMusters25!$F$15:$F$147),"11")</f>
        <v>4</v>
      </c>
      <c r="AK16" s="22">
        <f>COUNTIFS(AllMusters25!$V$15:$V$147,"I",(AllMusters25!$F$15:$F$147),"12")</f>
        <v>3</v>
      </c>
      <c r="AL16" s="21">
        <f t="shared" si="1"/>
        <v>49</v>
      </c>
      <c r="AM16" s="32">
        <f t="shared" si="2"/>
        <v>1</v>
      </c>
      <c r="AN16" s="12">
        <f t="shared" si="3"/>
        <v>108</v>
      </c>
      <c r="AO16" s="26">
        <f t="shared" si="4"/>
        <v>0.83720930232558144</v>
      </c>
    </row>
    <row r="17" spans="1:41">
      <c r="A17" s="17" t="s">
        <v>37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145">
        <f>COUNTIFS(AllMusters25!$W$15:$W$147,"I",(AllMusters25!$F$15:$F$147),"1")</f>
        <v>2</v>
      </c>
      <c r="AA17" s="22">
        <f>COUNTIFS(AllMusters25!$W$15:$W$147,"I",(AllMusters25!$F$15:$F$147),"2")</f>
        <v>1</v>
      </c>
      <c r="AB17" s="31">
        <f>COUNTIFS(AllMusters25!$W$15:$W$147,"I",(AllMusters25!$F$15:$F$147),"3")</f>
        <v>2</v>
      </c>
      <c r="AC17" s="22">
        <f>COUNTIFS(AllMusters25!$W$15:$W$147,"I",(AllMusters25!$F$15:$F$147),"4")</f>
        <v>3</v>
      </c>
      <c r="AD17" s="31">
        <f>COUNTIFS(AllMusters25!$W$15:$W$147,"I",(AllMusters25!$F$15:$F$147),"5")</f>
        <v>1</v>
      </c>
      <c r="AE17" s="22">
        <f>COUNTIFS(AllMusters25!$W$15:$W$147,"I",(AllMusters25!$F$15:$F$147),"6")</f>
        <v>3</v>
      </c>
      <c r="AF17" s="31">
        <f>COUNTIFS(AllMusters25!$W$15:$W$147,"I",(AllMusters25!$F$15:$F$147),"7")</f>
        <v>3</v>
      </c>
      <c r="AG17" s="39">
        <f>COUNTIFS(AllMusters25!$W$15:$W$147,"I",(AllMusters25!$F$15:$F$147),"8")</f>
        <v>3</v>
      </c>
      <c r="AH17" s="31">
        <f>COUNTIFS(AllMusters25!$W$15:$W$147,"I",(AllMusters25!$F$15:$F$147),"9")</f>
        <v>2</v>
      </c>
      <c r="AI17" s="22">
        <f>COUNTIFS(AllMusters25!$W$15:$W$147,"I",(AllMusters25!$F$15:$F$147),"10")</f>
        <v>2</v>
      </c>
      <c r="AJ17" s="31">
        <f>COUNTIFS(AllMusters25!$W$15:$W$147,"I",(AllMusters25!$F$15:$F$147),"11")</f>
        <v>2</v>
      </c>
      <c r="AK17" s="22">
        <f>COUNTIFS(AllMusters25!$W$15:$W$147,"I",(AllMusters25!$F$15:$F$147),"12")</f>
        <v>2</v>
      </c>
      <c r="AL17" s="21">
        <f t="shared" si="1"/>
        <v>26</v>
      </c>
      <c r="AM17" s="32">
        <f>(SUM(AA17:AK17))/SUM($AA$1:$AK$1)</f>
        <v>0.52173913043478259</v>
      </c>
      <c r="AN17" s="12">
        <f t="shared" si="3"/>
        <v>26</v>
      </c>
      <c r="AO17" s="26">
        <f>(SUM(AN17))/SUM($AL$1)</f>
        <v>0.53061224489795922</v>
      </c>
    </row>
    <row r="18" spans="1:41">
      <c r="A18" s="17" t="s">
        <v>38</v>
      </c>
      <c r="B18" s="21">
        <v>3</v>
      </c>
      <c r="C18" s="22">
        <v>4</v>
      </c>
      <c r="D18" s="21">
        <v>4</v>
      </c>
      <c r="E18" s="22">
        <v>4</v>
      </c>
      <c r="F18" s="21">
        <v>3</v>
      </c>
      <c r="G18" s="22">
        <v>4</v>
      </c>
      <c r="H18" s="21">
        <v>4</v>
      </c>
      <c r="I18" s="22">
        <v>1</v>
      </c>
      <c r="J18" s="21">
        <f t="shared" si="0"/>
        <v>27</v>
      </c>
      <c r="K18" s="32">
        <v>0.9</v>
      </c>
      <c r="L18" s="21">
        <v>3</v>
      </c>
      <c r="M18" s="22">
        <v>4</v>
      </c>
      <c r="N18" s="21">
        <v>3</v>
      </c>
      <c r="O18" s="22">
        <v>3</v>
      </c>
      <c r="P18" s="21">
        <v>2</v>
      </c>
      <c r="Q18" s="22">
        <v>4</v>
      </c>
      <c r="R18" s="21">
        <v>4</v>
      </c>
      <c r="S18" s="22">
        <v>4</v>
      </c>
      <c r="T18" s="21">
        <v>4</v>
      </c>
      <c r="U18" s="22">
        <v>3</v>
      </c>
      <c r="V18" s="21">
        <v>4</v>
      </c>
      <c r="W18" s="22">
        <v>2</v>
      </c>
      <c r="X18" s="21">
        <v>40</v>
      </c>
      <c r="Y18" s="32">
        <v>0.83750000000000002</v>
      </c>
      <c r="Z18" s="21">
        <f>COUNTIFS(AllMusters25!$X$15:$X$147,"I",(AllMusters25!$F$15:$F$147),"1")</f>
        <v>3</v>
      </c>
      <c r="AA18" s="22">
        <f>COUNTIFS(AllMusters25!$X$15:$X$147,"I",(AllMusters25!$F$15:$F$147),"2")</f>
        <v>3</v>
      </c>
      <c r="AB18" s="21">
        <f>COUNTIFS(AllMusters25!$X$15:$X$147,"I",(AllMusters25!$F$15:$F$147),"3")</f>
        <v>3</v>
      </c>
      <c r="AC18" s="22">
        <f>COUNTIFS(AllMusters25!$X$15:$X$147,"I",(AllMusters25!$F$15:$F$147),"4")</f>
        <v>4</v>
      </c>
      <c r="AD18" s="21">
        <f>COUNTIFS(AllMusters25!$X$15:$X$147,"I",(AllMusters25!$F$15:$F$147),"5")</f>
        <v>4</v>
      </c>
      <c r="AE18" s="22">
        <f>COUNTIFS(AllMusters25!$X$15:$X$147,"I",(AllMusters25!$F$15:$F$147),"6")</f>
        <v>4</v>
      </c>
      <c r="AF18" s="21">
        <f>COUNTIFS(AllMusters25!$X$15:$X$147,"I",(AllMusters25!$F$15:$F$147),"7")</f>
        <v>4</v>
      </c>
      <c r="AG18" s="22">
        <f>COUNTIFS(AllMusters25!$X$15:$X$147,"I",(AllMusters25!$F$15:$F$147),"8")</f>
        <v>3</v>
      </c>
      <c r="AH18" s="21">
        <f>COUNTIFS(AllMusters25!$X$15:$X$147,"I",(AllMusters25!$F$15:$F$147),"9")</f>
        <v>3</v>
      </c>
      <c r="AI18" s="22">
        <f>COUNTIFS(AllMusters25!$X$15:$X$147,"I",(AllMusters25!$F$15:$F$147),"10")</f>
        <v>4</v>
      </c>
      <c r="AJ18" s="21">
        <f>COUNTIFS(AllMusters25!$X$15:$X$147,"I",(AllMusters25!$F$15:$F$147),"11")</f>
        <v>3</v>
      </c>
      <c r="AK18" s="22">
        <f>COUNTIFS(AllMusters25!$X$15:$X$147,"I",(AllMusters25!$F$15:$F$147),"12")</f>
        <v>3</v>
      </c>
      <c r="AL18" s="21">
        <f t="shared" si="1"/>
        <v>41</v>
      </c>
      <c r="AM18" s="32">
        <f t="shared" si="2"/>
        <v>0.83673469387755106</v>
      </c>
      <c r="AN18" s="12">
        <f t="shared" si="3"/>
        <v>108</v>
      </c>
      <c r="AO18" s="26">
        <f t="shared" si="4"/>
        <v>0.83720930232558144</v>
      </c>
    </row>
    <row r="19" spans="1:41">
      <c r="A19" s="17" t="s">
        <v>39</v>
      </c>
      <c r="B19" s="21">
        <v>2</v>
      </c>
      <c r="C19" s="22">
        <v>3</v>
      </c>
      <c r="D19" s="21">
        <v>3</v>
      </c>
      <c r="E19" s="22">
        <v>3</v>
      </c>
      <c r="F19" s="21">
        <v>3</v>
      </c>
      <c r="G19" s="22">
        <v>2</v>
      </c>
      <c r="H19" s="21">
        <v>2</v>
      </c>
      <c r="I19" s="22">
        <v>2</v>
      </c>
      <c r="J19" s="21">
        <f t="shared" si="0"/>
        <v>20</v>
      </c>
      <c r="K19" s="32">
        <v>0.66666666666666663</v>
      </c>
      <c r="L19" s="21">
        <v>0</v>
      </c>
      <c r="M19" s="22">
        <v>4</v>
      </c>
      <c r="N19" s="21">
        <v>2</v>
      </c>
      <c r="O19" s="22">
        <v>5</v>
      </c>
      <c r="P19" s="21">
        <v>2</v>
      </c>
      <c r="Q19" s="22">
        <v>4</v>
      </c>
      <c r="R19" s="21">
        <v>4</v>
      </c>
      <c r="S19" s="22">
        <v>2</v>
      </c>
      <c r="T19" s="21">
        <v>4</v>
      </c>
      <c r="U19" s="22">
        <v>1</v>
      </c>
      <c r="V19" s="21">
        <v>4</v>
      </c>
      <c r="W19" s="22">
        <v>2</v>
      </c>
      <c r="X19" s="21">
        <v>34</v>
      </c>
      <c r="Y19" s="32">
        <v>0.67500000000000004</v>
      </c>
      <c r="Z19" s="21">
        <f>COUNTIFS(AllMusters25!$Y$15:$Y$147,"I",(AllMusters25!$F$15:$F$147),"1")</f>
        <v>3</v>
      </c>
      <c r="AA19" s="22">
        <f>COUNTIFS(AllMusters25!$Y$15:$Y$147,"I",(AllMusters25!$F$15:$F$147),"2")</f>
        <v>2</v>
      </c>
      <c r="AB19" s="21">
        <f>COUNTIFS(AllMusters25!$Y$15:$Y$147,"I",(AllMusters25!$F$15:$F$147),"3")</f>
        <v>4</v>
      </c>
      <c r="AC19" s="22">
        <f>COUNTIFS(AllMusters25!$Y$15:$Y$147,"I",(AllMusters25!$F$15:$F$147),"4")</f>
        <v>2</v>
      </c>
      <c r="AD19" s="21">
        <f>COUNTIFS(AllMusters25!$Y$15:$Y$147,"I",(AllMusters25!$F$15:$F$147),"5")</f>
        <v>4</v>
      </c>
      <c r="AE19" s="22">
        <f>COUNTIFS(AllMusters25!$Y$15:$Y$147,"I",(AllMusters25!$F$15:$F$147),"6")</f>
        <v>4</v>
      </c>
      <c r="AF19" s="21">
        <f>COUNTIFS(AllMusters25!$Y$15:$Y$147,"I",(AllMusters25!$F$15:$F$147),"7")</f>
        <v>2</v>
      </c>
      <c r="AG19" s="22">
        <f>COUNTIFS(AllMusters25!$Y$15:$Y$147,"I",(AllMusters25!$F$15:$F$147),"8")</f>
        <v>2</v>
      </c>
      <c r="AH19" s="21">
        <f>COUNTIFS(AllMusters25!$Y$15:$Y$147,"I",(AllMusters25!$F$15:$F$147),"9")</f>
        <v>3</v>
      </c>
      <c r="AI19" s="22">
        <f>COUNTIFS(AllMusters25!$Y$15:$Y$147,"I",(AllMusters25!$F$15:$F$147),"10")</f>
        <v>4</v>
      </c>
      <c r="AJ19" s="21">
        <f>COUNTIFS(AllMusters25!$Y$15:$Y$147,"I",(AllMusters25!$F$15:$F$147),"11")</f>
        <v>1</v>
      </c>
      <c r="AK19" s="22">
        <f>COUNTIFS(AllMusters25!$Y$15:$Y$147,"I",(AllMusters25!$F$15:$F$147),"12")</f>
        <v>3</v>
      </c>
      <c r="AL19" s="21">
        <f t="shared" si="1"/>
        <v>34</v>
      </c>
      <c r="AM19" s="32">
        <f t="shared" si="2"/>
        <v>0.69387755102040816</v>
      </c>
      <c r="AN19" s="12">
        <f t="shared" si="3"/>
        <v>88</v>
      </c>
      <c r="AO19" s="26">
        <f t="shared" si="4"/>
        <v>0.68217054263565891</v>
      </c>
    </row>
    <row r="20" spans="1:41">
      <c r="A20" s="17" t="s">
        <v>40</v>
      </c>
      <c r="B20" s="21">
        <v>3</v>
      </c>
      <c r="C20" s="22">
        <v>1</v>
      </c>
      <c r="D20" s="21">
        <v>3</v>
      </c>
      <c r="E20" s="22">
        <v>2</v>
      </c>
      <c r="F20" s="21">
        <v>2</v>
      </c>
      <c r="G20" s="22">
        <v>1</v>
      </c>
      <c r="H20" s="21">
        <v>3</v>
      </c>
      <c r="I20" s="22">
        <v>0</v>
      </c>
      <c r="J20" s="21">
        <f t="shared" si="0"/>
        <v>15</v>
      </c>
      <c r="K20" s="32">
        <v>0.5</v>
      </c>
      <c r="L20" s="21">
        <v>0</v>
      </c>
      <c r="M20" s="22">
        <v>2</v>
      </c>
      <c r="N20" s="21">
        <v>2</v>
      </c>
      <c r="O20" s="22">
        <v>4</v>
      </c>
      <c r="P20" s="21">
        <v>2</v>
      </c>
      <c r="Q20" s="22">
        <v>2</v>
      </c>
      <c r="R20" s="21">
        <v>3</v>
      </c>
      <c r="S20" s="22">
        <v>3</v>
      </c>
      <c r="T20" s="21">
        <v>3</v>
      </c>
      <c r="U20" s="22">
        <v>2</v>
      </c>
      <c r="V20" s="21">
        <v>3</v>
      </c>
      <c r="W20" s="22">
        <v>2</v>
      </c>
      <c r="X20" s="21">
        <v>28</v>
      </c>
      <c r="Y20" s="32">
        <v>0.53749999999999998</v>
      </c>
      <c r="Z20" s="21">
        <f>COUNTIFS(AllMusters25!$Z$15:$Z$147,"I",(AllMusters25!$F$15:$F$147),"1")</f>
        <v>1</v>
      </c>
      <c r="AA20" s="22">
        <f>COUNTIFS(AllMusters25!$Z$15:$Z$147,"I",(AllMusters25!$F$15:$F$147),"2")</f>
        <v>3</v>
      </c>
      <c r="AB20" s="21">
        <f>COUNTIFS(AllMusters25!$Z$15:$Z$147,"I",(AllMusters25!$F$15:$F$147),"3")</f>
        <v>3</v>
      </c>
      <c r="AC20" s="22">
        <f>COUNTIFS(AllMusters25!$Z$15:$Z$147,"I",(AllMusters25!$F$15:$F$147),"4")</f>
        <v>2</v>
      </c>
      <c r="AD20" s="21">
        <f>COUNTIFS(AllMusters25!$Z$15:$Z$147,"I",(AllMusters25!$F$15:$F$147),"5")</f>
        <v>1</v>
      </c>
      <c r="AE20" s="22">
        <f>COUNTIFS(AllMusters25!$Z$15:$Z$147,"I",(AllMusters25!$F$15:$F$147),"6")</f>
        <v>2</v>
      </c>
      <c r="AF20" s="21">
        <f>COUNTIFS(AllMusters25!$Z$15:$Z$147,"I",(AllMusters25!$F$15:$F$147),"7")</f>
        <v>1</v>
      </c>
      <c r="AG20" s="22">
        <f>COUNTIFS(AllMusters25!$Z$15:$Z$147,"I",(AllMusters25!$F$15:$F$147),"8")</f>
        <v>1</v>
      </c>
      <c r="AH20" s="21">
        <f>COUNTIFS(AllMusters25!$Z$15:$Z$147,"I",(AllMusters25!$F$15:$F$147),"9")</f>
        <v>4</v>
      </c>
      <c r="AI20" s="22">
        <f>COUNTIFS(AllMusters25!$Z$15:$Z$147,"I",(AllMusters25!$F$15:$F$147),"10")</f>
        <v>1</v>
      </c>
      <c r="AJ20" s="21">
        <f>COUNTIFS(AllMusters25!$Z$15:$Z$147,"I",(AllMusters25!$F$15:$F$147),"11")</f>
        <v>4</v>
      </c>
      <c r="AK20" s="22">
        <f>COUNTIFS(AllMusters25!$Z$15:$Z$147,"I",(AllMusters25!$F$15:$F$147),"12")</f>
        <v>1</v>
      </c>
      <c r="AL20" s="21">
        <f t="shared" si="1"/>
        <v>24</v>
      </c>
      <c r="AM20" s="32">
        <f t="shared" si="2"/>
        <v>0.48979591836734693</v>
      </c>
      <c r="AN20" s="12">
        <f t="shared" si="3"/>
        <v>67</v>
      </c>
      <c r="AO20" s="26">
        <f t="shared" si="4"/>
        <v>0.51937984496124034</v>
      </c>
    </row>
    <row r="21" spans="1:41">
      <c r="A21" s="17" t="s">
        <v>41</v>
      </c>
      <c r="B21" s="21">
        <v>3</v>
      </c>
      <c r="C21" s="22">
        <v>4</v>
      </c>
      <c r="D21" s="21">
        <v>4</v>
      </c>
      <c r="E21" s="22">
        <v>4</v>
      </c>
      <c r="F21" s="21">
        <v>4</v>
      </c>
      <c r="G21" s="22">
        <v>4</v>
      </c>
      <c r="H21" s="21">
        <v>4</v>
      </c>
      <c r="I21" s="22">
        <v>2</v>
      </c>
      <c r="J21" s="21">
        <f t="shared" si="0"/>
        <v>29</v>
      </c>
      <c r="K21" s="32">
        <v>0.96666666666666667</v>
      </c>
      <c r="L21" s="21">
        <v>3</v>
      </c>
      <c r="M21" s="22">
        <v>4</v>
      </c>
      <c r="N21" s="21">
        <v>3</v>
      </c>
      <c r="O21" s="22">
        <v>4</v>
      </c>
      <c r="P21" s="21">
        <v>3</v>
      </c>
      <c r="Q21" s="22">
        <v>4</v>
      </c>
      <c r="R21" s="21">
        <v>2</v>
      </c>
      <c r="S21" s="22">
        <v>5</v>
      </c>
      <c r="T21" s="21">
        <v>3</v>
      </c>
      <c r="U21" s="22">
        <v>4</v>
      </c>
      <c r="V21" s="21">
        <v>1</v>
      </c>
      <c r="W21" s="22">
        <v>3</v>
      </c>
      <c r="X21" s="21">
        <v>39</v>
      </c>
      <c r="Y21" s="32">
        <v>0.85</v>
      </c>
      <c r="Z21" s="21">
        <f>COUNTIFS(AllMusters25!$AA$15:$AA$147,"I",(AllMusters25!$F$15:$F$147),"1")</f>
        <v>3</v>
      </c>
      <c r="AA21" s="22">
        <f>COUNTIFS(AllMusters25!$AA$15:$AA$147,"I",(AllMusters25!$F$15:$F$147),"2")</f>
        <v>3</v>
      </c>
      <c r="AB21" s="21">
        <f>COUNTIFS(AllMusters25!$AA$15:$AA$147,"I",(AllMusters25!$F$15:$F$147),"3")</f>
        <v>3</v>
      </c>
      <c r="AC21" s="22">
        <f>COUNTIFS(AllMusters25!$AA$15:$AA$147,"I",(AllMusters25!$F$15:$F$147),"4")</f>
        <v>3</v>
      </c>
      <c r="AD21" s="21">
        <f>COUNTIFS(AllMusters25!$AA$15:$AA$147,"I",(AllMusters25!$F$15:$F$147),"5")</f>
        <v>2</v>
      </c>
      <c r="AE21" s="22">
        <f>COUNTIFS(AllMusters25!$AA$15:$AA$147,"I",(AllMusters25!$F$15:$F$147),"6")</f>
        <v>3</v>
      </c>
      <c r="AF21" s="21">
        <f>COUNTIFS(AllMusters25!$AA$15:$AA$147,"I",(AllMusters25!$F$15:$F$147),"7")</f>
        <v>2</v>
      </c>
      <c r="AG21" s="22">
        <f>COUNTIFS(AllMusters25!$AA$15:$AA$147,"I",(AllMusters25!$F$15:$F$147),"8")</f>
        <v>3</v>
      </c>
      <c r="AH21" s="21">
        <f>COUNTIFS(AllMusters25!$AA$15:$AA$147,"I",(AllMusters25!$F$15:$F$147),"9")</f>
        <v>2</v>
      </c>
      <c r="AI21" s="22">
        <f>COUNTIFS(AllMusters25!$AA$15:$AA$147,"I",(AllMusters25!$F$15:$F$147),"10")</f>
        <v>4</v>
      </c>
      <c r="AJ21" s="21">
        <f>COUNTIFS(AllMusters25!$AA$15:$AA$147,"I",(AllMusters25!$F$15:$F$147),"11")</f>
        <v>2</v>
      </c>
      <c r="AK21" s="22">
        <f>COUNTIFS(AllMusters25!$AA$15:$AA$147,"I",(AllMusters25!$F$15:$F$147),"12")</f>
        <v>3</v>
      </c>
      <c r="AL21" s="21">
        <f t="shared" si="1"/>
        <v>33</v>
      </c>
      <c r="AM21" s="32">
        <f t="shared" si="2"/>
        <v>0.67346938775510201</v>
      </c>
      <c r="AN21" s="12">
        <f t="shared" si="3"/>
        <v>101</v>
      </c>
      <c r="AO21" s="26">
        <f t="shared" si="4"/>
        <v>0.78294573643410847</v>
      </c>
    </row>
    <row r="22" spans="1:41">
      <c r="A22" s="17" t="s">
        <v>42</v>
      </c>
      <c r="B22" s="21">
        <v>1</v>
      </c>
      <c r="C22" s="22">
        <v>2</v>
      </c>
      <c r="D22" s="21">
        <v>3</v>
      </c>
      <c r="E22" s="22">
        <v>1</v>
      </c>
      <c r="F22" s="21">
        <v>4</v>
      </c>
      <c r="G22" s="22">
        <v>4</v>
      </c>
      <c r="H22" s="21">
        <v>3</v>
      </c>
      <c r="I22" s="22">
        <v>2</v>
      </c>
      <c r="J22" s="21">
        <f t="shared" si="0"/>
        <v>20</v>
      </c>
      <c r="K22" s="32">
        <v>0.70370370370370372</v>
      </c>
      <c r="L22" s="21">
        <v>3</v>
      </c>
      <c r="M22" s="22">
        <v>4</v>
      </c>
      <c r="N22" s="21">
        <v>2</v>
      </c>
      <c r="O22" s="22">
        <v>5</v>
      </c>
      <c r="P22" s="21">
        <v>3</v>
      </c>
      <c r="Q22" s="22">
        <v>4</v>
      </c>
      <c r="R22" s="21">
        <v>3</v>
      </c>
      <c r="S22" s="22">
        <v>4</v>
      </c>
      <c r="T22" s="21">
        <v>3</v>
      </c>
      <c r="U22" s="22">
        <v>3</v>
      </c>
      <c r="V22" s="21">
        <v>3</v>
      </c>
      <c r="W22" s="22">
        <v>3</v>
      </c>
      <c r="X22" s="21">
        <v>40</v>
      </c>
      <c r="Y22" s="32">
        <v>0.75</v>
      </c>
      <c r="Z22" s="21">
        <f>COUNTIFS(AllMusters25!$AB$15:$AB$147,"I",(AllMusters25!$F$15:$F$147),"1")</f>
        <v>1</v>
      </c>
      <c r="AA22" s="22">
        <f>COUNTIFS(AllMusters25!$AB$15:$AB$147,"I",(AllMusters25!$F$15:$F$147),"2")</f>
        <v>2</v>
      </c>
      <c r="AB22" s="21">
        <f>COUNTIFS(AllMusters25!$AB$15:$AB$147,"I",(AllMusters25!$F$15:$F$147),"3")</f>
        <v>4</v>
      </c>
      <c r="AC22" s="22">
        <f>COUNTIFS(AllMusters25!$AB$15:$AB$147,"I",(AllMusters25!$F$15:$F$147),"4")</f>
        <v>2</v>
      </c>
      <c r="AD22" s="21">
        <f>COUNTIFS(AllMusters25!$AB$15:$AB$147,"I",(AllMusters25!$F$15:$F$147),"5")</f>
        <v>3</v>
      </c>
      <c r="AE22" s="22">
        <f>COUNTIFS(AllMusters25!$AB$15:$AB$147,"I",(AllMusters25!$F$15:$F$147),"6")</f>
        <v>3</v>
      </c>
      <c r="AF22" s="21">
        <f>COUNTIFS(AllMusters25!$AB$15:$AB$147,"I",(AllMusters25!$F$15:$F$147),"7")</f>
        <v>3</v>
      </c>
      <c r="AG22" s="22">
        <f>COUNTIFS(AllMusters25!$AB$15:$AB$147,"I",(AllMusters25!$F$15:$F$147),"8")</f>
        <v>4</v>
      </c>
      <c r="AH22" s="21">
        <f>COUNTIFS(AllMusters25!$AB$15:$AB$147,"I",(AllMusters25!$F$15:$F$147),"9")</f>
        <v>2</v>
      </c>
      <c r="AI22" s="22">
        <f>COUNTIFS(AllMusters25!$AB$15:$AB$147,"I",(AllMusters25!$F$15:$F$147),"10")</f>
        <v>4</v>
      </c>
      <c r="AJ22" s="21">
        <f>COUNTIFS(AllMusters25!$AB$15:$AB$147,"I",(AllMusters25!$F$15:$F$147),"11")</f>
        <v>4</v>
      </c>
      <c r="AK22" s="22">
        <f>COUNTIFS(AllMusters25!$AB$15:$AB$147,"I",(AllMusters25!$F$15:$F$147),"12")</f>
        <v>3</v>
      </c>
      <c r="AL22" s="21">
        <f t="shared" si="1"/>
        <v>35</v>
      </c>
      <c r="AM22" s="32">
        <f t="shared" si="2"/>
        <v>0.7142857142857143</v>
      </c>
      <c r="AN22" s="12">
        <f t="shared" si="3"/>
        <v>95</v>
      </c>
      <c r="AO22" s="26">
        <f t="shared" si="4"/>
        <v>0.73643410852713176</v>
      </c>
    </row>
    <row r="23" spans="1:41">
      <c r="A23" s="17" t="s">
        <v>43</v>
      </c>
      <c r="B23" s="21">
        <v>0</v>
      </c>
      <c r="C23" s="22">
        <v>4</v>
      </c>
      <c r="D23" s="21">
        <v>3</v>
      </c>
      <c r="E23" s="22">
        <v>4</v>
      </c>
      <c r="F23" s="21">
        <v>2</v>
      </c>
      <c r="G23" s="22">
        <v>3</v>
      </c>
      <c r="H23" s="21">
        <v>3</v>
      </c>
      <c r="I23" s="22">
        <v>2</v>
      </c>
      <c r="J23" s="21">
        <f t="shared" si="0"/>
        <v>21</v>
      </c>
      <c r="K23" s="32">
        <v>0.7</v>
      </c>
      <c r="L23" s="21">
        <v>3</v>
      </c>
      <c r="M23" s="22">
        <v>4</v>
      </c>
      <c r="N23" s="21">
        <v>4</v>
      </c>
      <c r="O23" s="22">
        <v>4</v>
      </c>
      <c r="P23" s="21">
        <v>3</v>
      </c>
      <c r="Q23" s="22">
        <v>3</v>
      </c>
      <c r="R23" s="21">
        <v>3</v>
      </c>
      <c r="S23" s="22">
        <v>4</v>
      </c>
      <c r="T23" s="21">
        <v>5</v>
      </c>
      <c r="U23" s="22">
        <v>3</v>
      </c>
      <c r="V23" s="21">
        <v>2</v>
      </c>
      <c r="W23" s="22">
        <v>2</v>
      </c>
      <c r="X23" s="21">
        <v>40</v>
      </c>
      <c r="Y23" s="32">
        <v>0.76249999999999996</v>
      </c>
      <c r="Z23" s="21">
        <f>COUNTIFS(AllMusters25!$AC$15:$AC$147,"I",(AllMusters25!$F$15:$F$147),"1")</f>
        <v>2</v>
      </c>
      <c r="AA23" s="22">
        <f>COUNTIFS(AllMusters25!$AC$15:$AC$147,"I",(AllMusters25!$F$15:$F$147),"2")</f>
        <v>3</v>
      </c>
      <c r="AB23" s="21">
        <f>COUNTIFS(AllMusters25!$AC$15:$AC$147,"I",(AllMusters25!$F$15:$F$147),"3")</f>
        <v>4</v>
      </c>
      <c r="AC23" s="22">
        <f>COUNTIFS(AllMusters25!$AC$15:$AC$147,"I",(AllMusters25!$F$15:$F$147),"4")</f>
        <v>1</v>
      </c>
      <c r="AD23" s="21">
        <f>COUNTIFS(AllMusters25!$AC$15:$AC$147,"I",(AllMusters25!$F$15:$F$147),"5")</f>
        <v>2</v>
      </c>
      <c r="AE23" s="22">
        <f>COUNTIFS(AllMusters25!$AC$15:$AC$147,"I",(AllMusters25!$F$15:$F$147),"6")</f>
        <v>4</v>
      </c>
      <c r="AF23" s="21">
        <f>COUNTIFS(AllMusters25!$AC$15:$AC$147,"I",(AllMusters25!$F$15:$F$147),"7")</f>
        <v>0</v>
      </c>
      <c r="AG23" s="22">
        <f>COUNTIFS(AllMusters25!$AC$15:$AC$147,"I",(AllMusters25!$F$15:$F$147),"8")</f>
        <v>0</v>
      </c>
      <c r="AH23" s="21">
        <f>COUNTIFS(AllMusters25!$AC$15:$AC$147,"I",(AllMusters25!$F$15:$F$147),"9")</f>
        <v>0</v>
      </c>
      <c r="AI23" s="22">
        <f>COUNTIFS(AllMusters25!$AC$15:$AC$147,"I",(AllMusters25!$F$15:$F$147),"10")</f>
        <v>0</v>
      </c>
      <c r="AJ23" s="21">
        <f>COUNTIFS(AllMusters25!$AC$15:$AC$147,"I",(AllMusters25!$F$15:$F$147),"11")</f>
        <v>0</v>
      </c>
      <c r="AK23" s="22">
        <f>COUNTIFS(AllMusters25!$AC$15:$AC$147,"I",(AllMusters25!$F$15:$F$147),"12")</f>
        <v>0</v>
      </c>
      <c r="AL23" s="21">
        <f t="shared" si="1"/>
        <v>16</v>
      </c>
      <c r="AM23" s="32">
        <f t="shared" si="2"/>
        <v>0.32653061224489793</v>
      </c>
      <c r="AN23" s="12">
        <f t="shared" si="3"/>
        <v>77</v>
      </c>
      <c r="AO23" s="26">
        <f t="shared" si="4"/>
        <v>0.5968992248062015</v>
      </c>
    </row>
    <row r="24" spans="1:41">
      <c r="A24" s="17" t="s">
        <v>44</v>
      </c>
      <c r="B24" s="52">
        <v>0</v>
      </c>
      <c r="C24" s="51">
        <v>0</v>
      </c>
      <c r="D24" s="52">
        <v>0</v>
      </c>
      <c r="E24" s="22">
        <v>2</v>
      </c>
      <c r="F24" s="21">
        <v>4</v>
      </c>
      <c r="G24" s="22">
        <v>0</v>
      </c>
      <c r="H24" s="21">
        <v>1</v>
      </c>
      <c r="I24" s="22">
        <v>2</v>
      </c>
      <c r="J24" s="21">
        <f t="shared" si="0"/>
        <v>9</v>
      </c>
      <c r="K24" s="32">
        <v>0.47368421052631576</v>
      </c>
      <c r="L24" s="21">
        <v>1</v>
      </c>
      <c r="M24" s="22">
        <v>2</v>
      </c>
      <c r="N24" s="21">
        <v>2</v>
      </c>
      <c r="O24" s="22">
        <v>3</v>
      </c>
      <c r="P24" s="21">
        <v>1</v>
      </c>
      <c r="Q24" s="22">
        <v>2</v>
      </c>
      <c r="R24" s="21">
        <v>3</v>
      </c>
      <c r="S24" s="22">
        <v>3</v>
      </c>
      <c r="T24" s="21">
        <v>4</v>
      </c>
      <c r="U24" s="22">
        <v>3</v>
      </c>
      <c r="V24" s="21">
        <v>2</v>
      </c>
      <c r="W24" s="22">
        <v>3</v>
      </c>
      <c r="X24" s="21">
        <v>29</v>
      </c>
      <c r="Y24" s="32">
        <v>0.47499999999999998</v>
      </c>
      <c r="Z24" s="21">
        <f>COUNTIFS(AllMusters25!$AD$15:$AD$147,"I",(AllMusters25!$F$15:$F$147),"1")</f>
        <v>2</v>
      </c>
      <c r="AA24" s="22">
        <f>COUNTIFS(AllMusters25!$AD$15:$AD$147,"I",(AllMusters25!$F$15:$F$147),"2")</f>
        <v>3</v>
      </c>
      <c r="AB24" s="21">
        <f>COUNTIFS(AllMusters25!$AD$15:$AD$147,"I",(AllMusters25!$F$15:$F$147),"3")</f>
        <v>3</v>
      </c>
      <c r="AC24" s="22">
        <f>COUNTIFS(AllMusters25!$AD$15:$AD$147,"I",(AllMusters25!$F$15:$F$147),"4")</f>
        <v>1</v>
      </c>
      <c r="AD24" s="21">
        <f>COUNTIFS(AllMusters25!$AD$15:$AD$147,"I",(AllMusters25!$F$15:$F$147),"5")</f>
        <v>2</v>
      </c>
      <c r="AE24" s="22">
        <f>COUNTIFS(AllMusters25!$AD$15:$AD$147,"I",(AllMusters25!$F$15:$F$147),"6")</f>
        <v>3</v>
      </c>
      <c r="AF24" s="21">
        <f>COUNTIFS(AllMusters25!$AD$15:$AD$147,"I",(AllMusters25!$F$15:$F$147),"7")</f>
        <v>2</v>
      </c>
      <c r="AG24" s="22">
        <f>COUNTIFS(AllMusters25!$AD$15:$AD$147,"I",(AllMusters25!$F$15:$F$147),"8")</f>
        <v>2</v>
      </c>
      <c r="AH24" s="21">
        <f>COUNTIFS(AllMusters25!$AD$15:$AD$147,"I",(AllMusters25!$F$15:$F$147),"9")</f>
        <v>2</v>
      </c>
      <c r="AI24" s="22">
        <f>COUNTIFS(AllMusters25!$AD$15:$AD$147,"I",(AllMusters25!$F$15:$F$147),"10")</f>
        <v>2</v>
      </c>
      <c r="AJ24" s="21">
        <f>COUNTIFS(AllMusters25!$AD$15:$AD$147,"I",(AllMusters25!$F$15:$F$147),"11")</f>
        <v>2</v>
      </c>
      <c r="AK24" s="22">
        <f>COUNTIFS(AllMusters25!$AD$15:$AD$147,"I",(AllMusters25!$F$15:$F$147),"12")</f>
        <v>1</v>
      </c>
      <c r="AL24" s="21">
        <f t="shared" si="1"/>
        <v>25</v>
      </c>
      <c r="AM24" s="32">
        <f t="shared" si="2"/>
        <v>0.51020408163265307</v>
      </c>
      <c r="AN24" s="12">
        <f t="shared" si="3"/>
        <v>63</v>
      </c>
      <c r="AO24" s="26">
        <f t="shared" si="4"/>
        <v>0.48837209302325579</v>
      </c>
    </row>
    <row r="25" spans="1:41">
      <c r="A25" s="17" t="s">
        <v>45</v>
      </c>
      <c r="B25" s="21">
        <v>3</v>
      </c>
      <c r="C25" s="22">
        <v>2</v>
      </c>
      <c r="D25" s="21">
        <v>3</v>
      </c>
      <c r="E25" s="22">
        <v>3</v>
      </c>
      <c r="F25" s="21">
        <v>3</v>
      </c>
      <c r="G25" s="22">
        <v>2</v>
      </c>
      <c r="H25" s="21">
        <v>2</v>
      </c>
      <c r="I25" s="22">
        <v>0</v>
      </c>
      <c r="J25" s="21">
        <f t="shared" si="0"/>
        <v>18</v>
      </c>
      <c r="K25" s="32">
        <v>0.6</v>
      </c>
      <c r="L25" s="21">
        <v>3</v>
      </c>
      <c r="M25" s="22">
        <v>3</v>
      </c>
      <c r="N25" s="21">
        <v>3</v>
      </c>
      <c r="O25" s="22">
        <v>4</v>
      </c>
      <c r="P25" s="21">
        <v>0</v>
      </c>
      <c r="Q25" s="22">
        <v>3</v>
      </c>
      <c r="R25" s="21">
        <v>5</v>
      </c>
      <c r="S25" s="22">
        <v>4</v>
      </c>
      <c r="T25" s="21">
        <v>3</v>
      </c>
      <c r="U25" s="22">
        <v>2</v>
      </c>
      <c r="V25" s="21">
        <v>3</v>
      </c>
      <c r="W25" s="22">
        <v>2</v>
      </c>
      <c r="X25" s="21">
        <v>35</v>
      </c>
      <c r="Y25" s="32">
        <v>0.66249999999999998</v>
      </c>
      <c r="Z25" s="21">
        <f>COUNTIFS(AllMusters25!$AE$15:$AE$147,"I",(AllMusters25!$F$15:$F$147),"1")</f>
        <v>3</v>
      </c>
      <c r="AA25" s="22">
        <f>COUNTIFS(AllMusters25!$AE$15:$AE$147,"I",(AllMusters25!$F$15:$F$147),"2")</f>
        <v>3</v>
      </c>
      <c r="AB25" s="21">
        <f>COUNTIFS(AllMusters25!$AE$15:$AE$147,"I",(AllMusters25!$F$15:$F$147),"3")</f>
        <v>3</v>
      </c>
      <c r="AC25" s="22">
        <f>COUNTIFS(AllMusters25!$AE$15:$AE$147,"I",(AllMusters25!$F$15:$F$147),"4")</f>
        <v>3</v>
      </c>
      <c r="AD25" s="21">
        <f>COUNTIFS(AllMusters25!$AE$15:$AE$147,"I",(AllMusters25!$F$15:$F$147),"5")</f>
        <v>1</v>
      </c>
      <c r="AE25" s="22">
        <f>COUNTIFS(AllMusters25!$AE$15:$AE$147,"I",(AllMusters25!$F$15:$F$147),"6")</f>
        <v>4</v>
      </c>
      <c r="AF25" s="21">
        <f>COUNTIFS(AllMusters25!$AE$15:$AE$147,"I",(AllMusters25!$F$15:$F$147),"7")</f>
        <v>2</v>
      </c>
      <c r="AG25" s="22">
        <f>COUNTIFS(AllMusters25!$AE$15:$AE$147,"I",(AllMusters25!$F$15:$F$147),"8")</f>
        <v>3</v>
      </c>
      <c r="AH25" s="21">
        <f>COUNTIFS(AllMusters25!$AE$15:$AE$147,"I",(AllMusters25!$F$15:$F$147),"9")</f>
        <v>1</v>
      </c>
      <c r="AI25" s="22">
        <f>COUNTIFS(AllMusters25!$AE$15:$AE$147,"I",(AllMusters25!$F$15:$F$147),"10")</f>
        <v>2</v>
      </c>
      <c r="AJ25" s="21">
        <f>COUNTIFS(AllMusters25!$AE$15:$AE$147,"I",(AllMusters25!$F$15:$F$147),"11")</f>
        <v>4</v>
      </c>
      <c r="AK25" s="22">
        <f>COUNTIFS(AllMusters25!$AE$15:$AE$147,"I",(AllMusters25!$F$15:$F$147),"12")</f>
        <v>2</v>
      </c>
      <c r="AL25" s="21">
        <f t="shared" si="1"/>
        <v>31</v>
      </c>
      <c r="AM25" s="32">
        <f>(SUM(AL25))/SUM($AL$1)</f>
        <v>0.63265306122448983</v>
      </c>
      <c r="AN25" s="12">
        <f t="shared" si="3"/>
        <v>84</v>
      </c>
      <c r="AO25" s="26">
        <f t="shared" si="4"/>
        <v>0.65116279069767447</v>
      </c>
    </row>
    <row r="26" spans="1:41">
      <c r="A26" s="17" t="s">
        <v>46</v>
      </c>
      <c r="B26" s="21">
        <v>2</v>
      </c>
      <c r="C26" s="22">
        <v>2</v>
      </c>
      <c r="D26" s="21">
        <v>2</v>
      </c>
      <c r="E26" s="22">
        <v>4</v>
      </c>
      <c r="F26" s="21">
        <v>2</v>
      </c>
      <c r="G26" s="22">
        <v>2</v>
      </c>
      <c r="H26" s="21">
        <v>1</v>
      </c>
      <c r="I26" s="22">
        <v>1</v>
      </c>
      <c r="J26" s="21">
        <f t="shared" ref="J26:J30" si="9">SUM(B26:I26)</f>
        <v>16</v>
      </c>
      <c r="K26" s="32">
        <v>0.53333333333333333</v>
      </c>
      <c r="L26" s="21">
        <v>1</v>
      </c>
      <c r="M26" s="22">
        <v>4</v>
      </c>
      <c r="N26" s="21">
        <v>1</v>
      </c>
      <c r="O26" s="22">
        <v>4</v>
      </c>
      <c r="P26" s="21">
        <v>3</v>
      </c>
      <c r="Q26" s="22">
        <v>3</v>
      </c>
      <c r="R26" s="21">
        <v>4</v>
      </c>
      <c r="S26" s="22">
        <v>3</v>
      </c>
      <c r="T26" s="21">
        <v>4</v>
      </c>
      <c r="U26" s="22">
        <v>1</v>
      </c>
      <c r="V26" s="21">
        <v>3</v>
      </c>
      <c r="W26" s="22">
        <v>1</v>
      </c>
      <c r="X26" s="21">
        <v>32</v>
      </c>
      <c r="Y26" s="32">
        <v>0.6</v>
      </c>
      <c r="Z26" s="21">
        <f>COUNTIFS(AllMusters25!$AF$15:$AF$147,"I",(AllMusters25!$F$15:$F$147),"1")</f>
        <v>3</v>
      </c>
      <c r="AA26" s="22">
        <f>COUNTIFS(AllMusters25!$AF$15:$AF$147,"I",(AllMusters25!$F$15:$F$147),"2")</f>
        <v>1</v>
      </c>
      <c r="AB26" s="21">
        <f>COUNTIFS(AllMusters25!$AF$15:$AF$147,"I",(AllMusters25!$F$15:$F$147),"3")</f>
        <v>3</v>
      </c>
      <c r="AC26" s="22">
        <f>COUNTIFS(AllMusters25!$AF$15:$AF$147,"I",(AllMusters25!$F$15:$F$147),"4")</f>
        <v>1</v>
      </c>
      <c r="AD26" s="21">
        <f>COUNTIFS(AllMusters25!$AF$15:$AF$147,"I",(AllMusters25!$F$15:$F$147),"5")</f>
        <v>2</v>
      </c>
      <c r="AE26" s="22">
        <f>COUNTIFS(AllMusters25!$AF$15:$AF$147,"I",(AllMusters25!$F$15:$F$147),"6")</f>
        <v>2</v>
      </c>
      <c r="AF26" s="21">
        <f>COUNTIFS(AllMusters25!$AF$15:$AF$147,"I",(AllMusters25!$F$15:$F$147),"7")</f>
        <v>2</v>
      </c>
      <c r="AG26" s="22">
        <f>COUNTIFS(AllMusters25!$AF$15:$AF$147,"I",(AllMusters25!$F$15:$F$147),"8")</f>
        <v>3</v>
      </c>
      <c r="AH26" s="21">
        <f>COUNTIFS(AllMusters25!$AF$15:$AF$147,"I",(AllMusters25!$F$15:$F$147),"9")</f>
        <v>3</v>
      </c>
      <c r="AI26" s="22">
        <f>COUNTIFS(AllMusters25!$AF$15:$AF$147,"I",(AllMusters25!$F$15:$F$147),"10")</f>
        <v>3</v>
      </c>
      <c r="AJ26" s="21">
        <f>COUNTIFS(AllMusters25!$AF$15:$AF$147,"I",(AllMusters25!$F$15:$F$147),"11")</f>
        <v>1</v>
      </c>
      <c r="AK26" s="22">
        <f>COUNTIFS(AllMusters25!$AF$15:$AF$147,"I",(AllMusters25!$F$15:$F$147),"12")</f>
        <v>3</v>
      </c>
      <c r="AL26" s="21">
        <f t="shared" si="1"/>
        <v>27</v>
      </c>
      <c r="AM26" s="32">
        <f t="shared" ref="AM26:AM30" si="10">(SUM(AL26))/SUM($AL$1)</f>
        <v>0.55102040816326525</v>
      </c>
      <c r="AN26" s="12">
        <f t="shared" ref="AN26:AN30" si="11">SUM(J26,X26,AL26)</f>
        <v>75</v>
      </c>
      <c r="AO26" s="26">
        <f t="shared" ref="AO26:AO30" si="12">(SUM(AN26))/SUM($AN$2)</f>
        <v>0.58139534883720934</v>
      </c>
    </row>
    <row r="27" spans="1:41">
      <c r="A27" s="17" t="s">
        <v>47</v>
      </c>
      <c r="B27" s="21">
        <v>2</v>
      </c>
      <c r="C27" s="22">
        <v>4</v>
      </c>
      <c r="D27" s="21">
        <v>3</v>
      </c>
      <c r="E27" s="22">
        <v>5</v>
      </c>
      <c r="F27" s="21">
        <v>4</v>
      </c>
      <c r="G27" s="22">
        <v>3</v>
      </c>
      <c r="H27" s="21">
        <v>3</v>
      </c>
      <c r="I27" s="22">
        <v>2</v>
      </c>
      <c r="J27" s="21">
        <f t="shared" si="9"/>
        <v>26</v>
      </c>
      <c r="K27" s="32">
        <v>0.8666666666666667</v>
      </c>
      <c r="L27" s="21">
        <v>2</v>
      </c>
      <c r="M27" s="22">
        <v>4</v>
      </c>
      <c r="N27" s="21">
        <v>3</v>
      </c>
      <c r="O27" s="22">
        <v>2</v>
      </c>
      <c r="P27" s="21">
        <v>2</v>
      </c>
      <c r="Q27" s="22">
        <v>4</v>
      </c>
      <c r="R27" s="21">
        <v>4</v>
      </c>
      <c r="S27" s="22">
        <v>2</v>
      </c>
      <c r="T27" s="21">
        <v>2</v>
      </c>
      <c r="U27" s="22">
        <v>1</v>
      </c>
      <c r="V27" s="21">
        <v>2</v>
      </c>
      <c r="W27" s="22">
        <v>1</v>
      </c>
      <c r="X27" s="21">
        <v>29</v>
      </c>
      <c r="Y27" s="32">
        <v>0.6875</v>
      </c>
      <c r="Z27" s="21">
        <f>COUNTIFS(AllMusters25!$AG$15:$AG$147,"I",(AllMusters25!$F$15:$F$147),"1")</f>
        <v>1</v>
      </c>
      <c r="AA27" s="22">
        <f>COUNTIFS(AllMusters25!$AG$15:$AG$147,"I",(AllMusters25!$F$15:$F$147),"2")</f>
        <v>2</v>
      </c>
      <c r="AB27" s="21">
        <f>COUNTIFS(AllMusters25!$AG$15:$AG$147,"I",(AllMusters25!$F$15:$F$147),"3")</f>
        <v>3</v>
      </c>
      <c r="AC27" s="22">
        <f>COUNTIFS(AllMusters25!$AG$15:$AG$147,"I",(AllMusters25!$F$15:$F$147),"4")</f>
        <v>3</v>
      </c>
      <c r="AD27" s="21">
        <f>COUNTIFS(AllMusters25!$AG$15:$AG$147,"I",(AllMusters25!$F$15:$F$147),"5")</f>
        <v>2</v>
      </c>
      <c r="AE27" s="22">
        <f>COUNTIFS(AllMusters25!$AG$15:$AG$147,"I",(AllMusters25!$F$15:$F$147),"6")</f>
        <v>4</v>
      </c>
      <c r="AF27" s="21">
        <f>COUNTIFS(AllMusters25!$AG$15:$AG$147,"I",(AllMusters25!$F$15:$F$147),"7")</f>
        <v>1</v>
      </c>
      <c r="AG27" s="22">
        <f>COUNTIFS(AllMusters25!$AG$15:$AG$147,"I",(AllMusters25!$F$15:$F$147),"8")</f>
        <v>3</v>
      </c>
      <c r="AH27" s="21">
        <f>COUNTIFS(AllMusters25!$AG$15:$AG$147,"I",(AllMusters25!$F$15:$F$147),"9")</f>
        <v>2</v>
      </c>
      <c r="AI27" s="22">
        <f>COUNTIFS(AllMusters25!$AG$15:$AG$147,"I",(AllMusters25!$F$15:$F$147),"10")</f>
        <v>2</v>
      </c>
      <c r="AJ27" s="21">
        <f>COUNTIFS(AllMusters25!$AG$15:$AG$147,"I",(AllMusters25!$F$15:$F$147),"11")</f>
        <v>2</v>
      </c>
      <c r="AK27" s="22">
        <f>COUNTIFS(AllMusters25!$AG$15:$AG$147,"I",(AllMusters25!$F$15:$F$147),"12")</f>
        <v>3</v>
      </c>
      <c r="AL27" s="21">
        <f t="shared" si="1"/>
        <v>28</v>
      </c>
      <c r="AM27" s="32">
        <f t="shared" si="10"/>
        <v>0.5714285714285714</v>
      </c>
      <c r="AN27" s="12">
        <f t="shared" si="11"/>
        <v>83</v>
      </c>
      <c r="AO27" s="26">
        <f t="shared" si="12"/>
        <v>0.64341085271317833</v>
      </c>
    </row>
    <row r="28" spans="1:41">
      <c r="A28" s="17" t="s">
        <v>48</v>
      </c>
      <c r="B28" s="21">
        <v>2</v>
      </c>
      <c r="C28" s="22">
        <v>4</v>
      </c>
      <c r="D28" s="21">
        <v>4</v>
      </c>
      <c r="E28" s="22">
        <v>5</v>
      </c>
      <c r="F28" s="21">
        <v>4</v>
      </c>
      <c r="G28" s="22">
        <v>3</v>
      </c>
      <c r="H28" s="21">
        <v>4</v>
      </c>
      <c r="I28" s="22">
        <v>2</v>
      </c>
      <c r="J28" s="21">
        <f t="shared" si="9"/>
        <v>28</v>
      </c>
      <c r="K28" s="32">
        <v>0.93333333333333335</v>
      </c>
      <c r="L28" s="21">
        <v>3</v>
      </c>
      <c r="M28" s="22">
        <v>3</v>
      </c>
      <c r="N28" s="21">
        <v>4</v>
      </c>
      <c r="O28" s="22">
        <v>5</v>
      </c>
      <c r="P28" s="21">
        <v>4</v>
      </c>
      <c r="Q28" s="22">
        <v>3</v>
      </c>
      <c r="R28" s="21">
        <v>5</v>
      </c>
      <c r="S28" s="22">
        <v>5</v>
      </c>
      <c r="T28" s="21">
        <v>4</v>
      </c>
      <c r="U28" s="22">
        <v>4</v>
      </c>
      <c r="V28" s="21">
        <v>4</v>
      </c>
      <c r="W28" s="22">
        <v>3</v>
      </c>
      <c r="X28" s="21">
        <v>47</v>
      </c>
      <c r="Y28" s="32">
        <v>0.9375</v>
      </c>
      <c r="Z28" s="21">
        <f>COUNTIFS(AllMusters25!$AH$15:$AH$147,"I",(AllMusters25!$F$15:$F$147),"1")</f>
        <v>3</v>
      </c>
      <c r="AA28" s="22">
        <f>COUNTIFS(AllMusters25!$AH$15:$AH$147,"I",(AllMusters25!$F$15:$F$147),"2")</f>
        <v>3</v>
      </c>
      <c r="AB28" s="21">
        <f>COUNTIFS(AllMusters25!$AH$15:$AH$147,"I",(AllMusters25!$F$15:$F$147),"3")</f>
        <v>0</v>
      </c>
      <c r="AC28" s="22">
        <f>COUNTIFS(AllMusters25!$AH$15:$AH$147,"I",(AllMusters25!$F$15:$F$147),"4")</f>
        <v>2</v>
      </c>
      <c r="AD28" s="21">
        <f>COUNTIFS(AllMusters25!$AH$15:$AH$147,"I",(AllMusters25!$F$15:$F$147),"5")</f>
        <v>0</v>
      </c>
      <c r="AE28" s="22">
        <f>COUNTIFS(AllMusters25!$AH$15:$AH$147,"I",(AllMusters25!$F$15:$F$147),"6")</f>
        <v>4</v>
      </c>
      <c r="AF28" s="21">
        <f>COUNTIFS(AllMusters25!$AH$15:$AH$147,"I",(AllMusters25!$F$15:$F$147),"7")</f>
        <v>4</v>
      </c>
      <c r="AG28" s="22">
        <f>COUNTIFS(AllMusters25!$AH$15:$AH$147,"I",(AllMusters25!$F$15:$F$147),"8")</f>
        <v>4</v>
      </c>
      <c r="AH28" s="21">
        <f>COUNTIFS(AllMusters25!$AH$15:$AH$147,"I",(AllMusters25!$F$15:$F$147),"9")</f>
        <v>5</v>
      </c>
      <c r="AI28" s="22">
        <f>COUNTIFS(AllMusters25!$AH$15:$AH$147,"I",(AllMusters25!$F$15:$F$147),"10")</f>
        <v>4</v>
      </c>
      <c r="AJ28" s="21">
        <f>COUNTIFS(AllMusters25!$AH$15:$AH$147,"I",(AllMusters25!$F$15:$F$147),"11")</f>
        <v>3</v>
      </c>
      <c r="AK28" s="22">
        <f>COUNTIFS(AllMusters25!$AH$15:$AH$147,"I",(AllMusters25!$F$15:$F$147),"12")</f>
        <v>3</v>
      </c>
      <c r="AL28" s="21">
        <f t="shared" si="1"/>
        <v>35</v>
      </c>
      <c r="AM28" s="32">
        <f t="shared" si="10"/>
        <v>0.7142857142857143</v>
      </c>
      <c r="AN28" s="12">
        <f t="shared" si="11"/>
        <v>110</v>
      </c>
      <c r="AO28" s="26">
        <f t="shared" si="12"/>
        <v>0.8527131782945736</v>
      </c>
    </row>
    <row r="29" spans="1:41">
      <c r="A29" s="17" t="s">
        <v>49</v>
      </c>
      <c r="B29" s="21">
        <v>0</v>
      </c>
      <c r="C29" s="22">
        <v>3</v>
      </c>
      <c r="D29" s="21">
        <v>3</v>
      </c>
      <c r="E29" s="22">
        <v>2</v>
      </c>
      <c r="F29" s="21">
        <v>4</v>
      </c>
      <c r="G29" s="22">
        <v>3</v>
      </c>
      <c r="H29" s="21">
        <v>4</v>
      </c>
      <c r="I29" s="22">
        <v>2</v>
      </c>
      <c r="J29" s="21">
        <f t="shared" si="9"/>
        <v>21</v>
      </c>
      <c r="K29" s="32">
        <v>0.7</v>
      </c>
      <c r="L29" s="21">
        <v>0</v>
      </c>
      <c r="M29" s="22">
        <v>2</v>
      </c>
      <c r="N29" s="21">
        <v>3</v>
      </c>
      <c r="O29" s="22">
        <v>5</v>
      </c>
      <c r="P29" s="21">
        <v>4</v>
      </c>
      <c r="Q29" s="22">
        <v>3</v>
      </c>
      <c r="R29" s="21">
        <v>3</v>
      </c>
      <c r="S29" s="22">
        <v>2</v>
      </c>
      <c r="T29" s="21">
        <v>4</v>
      </c>
      <c r="U29" s="22">
        <v>4</v>
      </c>
      <c r="V29" s="21">
        <v>4</v>
      </c>
      <c r="W29" s="22">
        <v>3</v>
      </c>
      <c r="X29" s="21">
        <v>37</v>
      </c>
      <c r="Y29" s="32">
        <v>0.72499999999999998</v>
      </c>
      <c r="Z29" s="21">
        <f>COUNTIFS(AllMusters25!$AI$15:$AI$147,"I",(AllMusters25!$F$15:$F$147),"1")</f>
        <v>0</v>
      </c>
      <c r="AA29" s="22">
        <f>COUNTIFS(AllMusters25!$AI$15:$AI$147,"I",(AllMusters25!$F$15:$F$147),"2")</f>
        <v>3</v>
      </c>
      <c r="AB29" s="21">
        <f>COUNTIFS(AllMusters25!$AI$15:$AI$147,"I",(AllMusters25!$F$15:$F$147),"3")</f>
        <v>5</v>
      </c>
      <c r="AC29" s="22">
        <f>COUNTIFS(AllMusters25!$AI$15:$AI$147,"I",(AllMusters25!$F$15:$F$147),"4")</f>
        <v>3</v>
      </c>
      <c r="AD29" s="21">
        <f>COUNTIFS(AllMusters25!$AI$15:$AI$147,"I",(AllMusters25!$F$15:$F$147),"5")</f>
        <v>3</v>
      </c>
      <c r="AE29" s="22">
        <f>COUNTIFS(AllMusters25!$AI$15:$AI$147,"I",(AllMusters25!$F$15:$F$147),"6")</f>
        <v>5</v>
      </c>
      <c r="AF29" s="21">
        <f>COUNTIFS(AllMusters25!$AI$15:$AI$147,"I",(AllMusters25!$F$15:$F$147),"7")</f>
        <v>2</v>
      </c>
      <c r="AG29" s="22">
        <f>COUNTIFS(AllMusters25!$AI$15:$AI$147,"I",(AllMusters25!$F$15:$F$147),"8")</f>
        <v>3</v>
      </c>
      <c r="AH29" s="21">
        <f>COUNTIFS(AllMusters25!$AI$15:$AI$147,"I",(AllMusters25!$F$15:$F$147),"9")</f>
        <v>5</v>
      </c>
      <c r="AI29" s="22">
        <f>COUNTIFS(AllMusters25!$AI$15:$AI$147,"I",(AllMusters25!$F$15:$F$147),"10")</f>
        <v>4</v>
      </c>
      <c r="AJ29" s="21">
        <f>COUNTIFS(AllMusters25!$AI$15:$AI$147,"I",(AllMusters25!$F$15:$F$147),"11")</f>
        <v>2</v>
      </c>
      <c r="AK29" s="22">
        <f>COUNTIFS(AllMusters25!$AI$15:$AI$147,"I",(AllMusters25!$F$15:$F$147),"12")</f>
        <v>3</v>
      </c>
      <c r="AL29" s="21">
        <f t="shared" si="1"/>
        <v>38</v>
      </c>
      <c r="AM29" s="32">
        <f t="shared" si="10"/>
        <v>0.77551020408163263</v>
      </c>
      <c r="AN29" s="12">
        <f t="shared" si="11"/>
        <v>96</v>
      </c>
      <c r="AO29" s="26">
        <f t="shared" si="12"/>
        <v>0.7441860465116279</v>
      </c>
    </row>
    <row r="30" spans="1:41">
      <c r="A30" s="17" t="s">
        <v>50</v>
      </c>
      <c r="B30" s="52"/>
      <c r="C30" s="22">
        <v>1</v>
      </c>
      <c r="D30" s="21">
        <v>2</v>
      </c>
      <c r="E30" s="22">
        <v>3</v>
      </c>
      <c r="F30" s="21">
        <v>3</v>
      </c>
      <c r="G30" s="22">
        <v>3</v>
      </c>
      <c r="H30" s="21">
        <v>3</v>
      </c>
      <c r="I30" s="22">
        <v>1</v>
      </c>
      <c r="J30" s="21">
        <f t="shared" si="9"/>
        <v>16</v>
      </c>
      <c r="K30" s="32">
        <v>0.59259259259259256</v>
      </c>
      <c r="L30" s="21">
        <v>2</v>
      </c>
      <c r="M30" s="22">
        <v>1</v>
      </c>
      <c r="N30" s="21">
        <v>1</v>
      </c>
      <c r="O30" s="22">
        <v>3</v>
      </c>
      <c r="P30" s="21">
        <v>3</v>
      </c>
      <c r="Q30" s="22">
        <v>2</v>
      </c>
      <c r="R30" s="21">
        <v>2</v>
      </c>
      <c r="S30" s="22">
        <v>4</v>
      </c>
      <c r="T30" s="21">
        <v>3</v>
      </c>
      <c r="U30" s="22">
        <v>3</v>
      </c>
      <c r="V30" s="21">
        <v>2</v>
      </c>
      <c r="W30" s="22">
        <v>0</v>
      </c>
      <c r="X30" s="21">
        <v>26</v>
      </c>
      <c r="Y30" s="32">
        <v>0.52500000000000002</v>
      </c>
      <c r="Z30" s="21">
        <f>COUNTIFS(AllMusters25!$AJ$15:$AJ$147,"I",(AllMusters25!$F$15:$F$147),"1")</f>
        <v>1</v>
      </c>
      <c r="AA30" s="22">
        <f>COUNTIFS(AllMusters25!$AJ$15:$AJ$147,"I",(AllMusters25!$F$15:$F$147),"2")</f>
        <v>2</v>
      </c>
      <c r="AB30" s="21">
        <f>COUNTIFS(AllMusters25!$AJ$15:$AJ$147,"I",(AllMusters25!$F$15:$F$147),"3")</f>
        <v>4</v>
      </c>
      <c r="AC30" s="22">
        <f>COUNTIFS(AllMusters25!$AJ$15:$AJ$147,"I",(AllMusters25!$F$15:$F$147),"4")</f>
        <v>0</v>
      </c>
      <c r="AD30" s="21">
        <f>COUNTIFS(AllMusters25!$AJ$15:$AJ$147,"I",(AllMusters25!$F$15:$F$147),"5")</f>
        <v>3</v>
      </c>
      <c r="AE30" s="22">
        <f>COUNTIFS(AllMusters25!$AJ$15:$AJ$147,"I",(AllMusters25!$F$15:$F$147),"6")</f>
        <v>2</v>
      </c>
      <c r="AF30" s="21">
        <f>COUNTIFS(AllMusters25!$AJ$15:$AJ$147,"I",(AllMusters25!$F$15:$F$147),"7")</f>
        <v>1</v>
      </c>
      <c r="AG30" s="22">
        <f>COUNTIFS(AllMusters25!$AJ$15:$AJ$147,"I",(AllMusters25!$F$15:$F$147),"8")</f>
        <v>2</v>
      </c>
      <c r="AH30" s="21">
        <f>COUNTIFS(AllMusters25!$AJ$15:$AJ$147,"I",(AllMusters25!$F$15:$F$147),"9")</f>
        <v>4</v>
      </c>
      <c r="AI30" s="22">
        <f>COUNTIFS(AllMusters25!$AJ$15:$AJ$147,"I",(AllMusters25!$F$15:$F$147),"10")</f>
        <v>0</v>
      </c>
      <c r="AJ30" s="21">
        <f>COUNTIFS(AllMusters25!$AJ$15:$AJ$147,"I",(AllMusters25!$F$15:$F$147),"11")</f>
        <v>2</v>
      </c>
      <c r="AK30" s="22">
        <f>COUNTIFS(AllMusters25!$AJ$15:$AJ$147,"I",(AllMusters25!$F$15:$F$147),"12")</f>
        <v>2</v>
      </c>
      <c r="AL30" s="21">
        <f t="shared" si="1"/>
        <v>23</v>
      </c>
      <c r="AM30" s="32">
        <f t="shared" si="10"/>
        <v>0.46938775510204084</v>
      </c>
      <c r="AN30" s="12">
        <f t="shared" si="11"/>
        <v>65</v>
      </c>
      <c r="AO30" s="26">
        <f t="shared" si="12"/>
        <v>0.50387596899224807</v>
      </c>
    </row>
    <row r="31" spans="1:41">
      <c r="A31" s="17" t="s">
        <v>51</v>
      </c>
      <c r="B31" s="21">
        <v>1</v>
      </c>
      <c r="C31" s="29">
        <v>3</v>
      </c>
      <c r="D31" s="21">
        <v>2</v>
      </c>
      <c r="E31" s="29">
        <v>0</v>
      </c>
      <c r="F31" s="21">
        <v>0</v>
      </c>
      <c r="G31" s="22">
        <v>2</v>
      </c>
      <c r="H31" s="21">
        <v>2</v>
      </c>
      <c r="I31" s="22">
        <v>2</v>
      </c>
      <c r="J31" s="21">
        <f t="shared" si="0"/>
        <v>12</v>
      </c>
      <c r="K31" s="32">
        <v>0.4</v>
      </c>
      <c r="L31" s="21">
        <v>3</v>
      </c>
      <c r="M31" s="22">
        <v>1</v>
      </c>
      <c r="N31" s="21">
        <v>3</v>
      </c>
      <c r="O31" s="22">
        <v>3</v>
      </c>
      <c r="P31" s="21">
        <v>4</v>
      </c>
      <c r="Q31" s="22">
        <v>2</v>
      </c>
      <c r="R31" s="21">
        <v>4</v>
      </c>
      <c r="S31" s="29">
        <v>0</v>
      </c>
      <c r="T31" s="115">
        <v>0</v>
      </c>
      <c r="U31" s="29">
        <v>1</v>
      </c>
      <c r="V31" s="115">
        <v>2</v>
      </c>
      <c r="W31" s="29">
        <v>0</v>
      </c>
      <c r="X31" s="21">
        <v>23</v>
      </c>
      <c r="Y31" s="32">
        <v>0.4375</v>
      </c>
      <c r="Z31" s="115">
        <f>COUNTIFS(AllMusters25!$AK$15:$AK$147,"I",(AllMusters25!$F$15:$F$147),"1")</f>
        <v>0</v>
      </c>
      <c r="AA31" s="22">
        <f>COUNTIFS(AllMusters25!$AK$15:$AK$147,"I",(AllMusters25!$F$15:$F$147),"2")</f>
        <v>0</v>
      </c>
      <c r="AB31" s="21">
        <f>COUNTIFS(AllMusters25!$AK$15:$AK$147,"I",(AllMusters25!$F$15:$F$147),"3")</f>
        <v>4</v>
      </c>
      <c r="AC31" s="22">
        <f>COUNTIFS(AllMusters25!$AK$15:$AK$147,"I",(AllMusters25!$F$15:$F$147),"4")</f>
        <v>3</v>
      </c>
      <c r="AD31" s="21">
        <f>COUNTIFS(AllMusters25!$AK$15:$AK$147,"I",(AllMusters25!$F$15:$F$147),"5")</f>
        <v>3</v>
      </c>
      <c r="AE31" s="22">
        <f>COUNTIFS(AllMusters25!$AK$15:$AK$147,"I",(AllMusters25!$F$15:$F$147),"6")</f>
        <v>5</v>
      </c>
      <c r="AF31" s="21">
        <f>COUNTIFS(AllMusters25!$AK$15:$AK$147,"I",(AllMusters25!$F$15:$F$147),"7")</f>
        <v>3</v>
      </c>
      <c r="AG31" s="22">
        <f>COUNTIFS(AllMusters25!$AK$15:$AK$147,"I",(AllMusters25!$F$15:$F$147),"8")</f>
        <v>3</v>
      </c>
      <c r="AH31" s="21">
        <f>COUNTIFS(AllMusters25!$AK$15:$AK$147,"I",(AllMusters25!$F$15:$F$147),"9")</f>
        <v>4</v>
      </c>
      <c r="AI31" s="22">
        <f>COUNTIFS(AllMusters25!$AK$15:$AK$147,"I",(AllMusters25!$F$15:$F$147),"10")</f>
        <v>3</v>
      </c>
      <c r="AJ31" s="21">
        <f>COUNTIFS(AllMusters25!$AK$15:$AK$147,"I",(AllMusters25!$F$15:$F$147),"11")</f>
        <v>2</v>
      </c>
      <c r="AK31" s="22">
        <f>COUNTIFS(AllMusters25!$AK$15:$AK$147,"I",(AllMusters25!$F$15:$F$147),"12")</f>
        <v>3</v>
      </c>
      <c r="AL31" s="21">
        <f t="shared" si="1"/>
        <v>33</v>
      </c>
      <c r="AM31" s="32">
        <f t="shared" si="2"/>
        <v>0.67346938775510201</v>
      </c>
      <c r="AN31" s="12">
        <f t="shared" si="3"/>
        <v>68</v>
      </c>
      <c r="AO31" s="26">
        <f t="shared" si="4"/>
        <v>0.52713178294573648</v>
      </c>
    </row>
    <row r="32" spans="1:41">
      <c r="A32" s="17" t="s">
        <v>52</v>
      </c>
      <c r="B32" s="21">
        <v>1</v>
      </c>
      <c r="C32" s="22">
        <v>4</v>
      </c>
      <c r="D32" s="21">
        <v>4</v>
      </c>
      <c r="E32" s="22">
        <v>5</v>
      </c>
      <c r="F32" s="21">
        <v>4</v>
      </c>
      <c r="G32" s="22">
        <v>4</v>
      </c>
      <c r="H32" s="21">
        <v>4</v>
      </c>
      <c r="I32" s="22">
        <v>2</v>
      </c>
      <c r="J32" s="21">
        <f t="shared" si="0"/>
        <v>28</v>
      </c>
      <c r="K32" s="32">
        <v>0.93333333333333335</v>
      </c>
      <c r="L32" s="21">
        <v>3</v>
      </c>
      <c r="M32" s="22">
        <v>4</v>
      </c>
      <c r="N32" s="21">
        <v>4</v>
      </c>
      <c r="O32" s="22">
        <v>5</v>
      </c>
      <c r="P32" s="21">
        <v>4</v>
      </c>
      <c r="Q32" s="22">
        <v>3</v>
      </c>
      <c r="R32" s="21">
        <v>3</v>
      </c>
      <c r="S32" s="22">
        <v>5</v>
      </c>
      <c r="T32" s="21">
        <v>5</v>
      </c>
      <c r="U32" s="22">
        <v>4</v>
      </c>
      <c r="V32" s="21">
        <v>4</v>
      </c>
      <c r="W32" s="22">
        <v>3</v>
      </c>
      <c r="X32" s="21">
        <v>47</v>
      </c>
      <c r="Y32" s="32">
        <v>0.9375</v>
      </c>
      <c r="Z32" s="21">
        <f>COUNTIFS(AllMusters25!$AL$15:$AL$147,"I",(AllMusters25!$F$15:$F$147),"1")</f>
        <v>3</v>
      </c>
      <c r="AA32" s="22">
        <f>COUNTIFS(AllMusters25!$AL$15:$AL$147,"I",(AllMusters25!$F$15:$F$147),"2")</f>
        <v>3</v>
      </c>
      <c r="AB32" s="21">
        <f>COUNTIFS(AllMusters25!$AL$15:$AL$147,"I",(AllMusters25!$F$15:$F$147),"3")</f>
        <v>5</v>
      </c>
      <c r="AC32" s="22">
        <f>COUNTIFS(AllMusters25!$AL$15:$AL$147,"I",(AllMusters25!$F$15:$F$147),"4")</f>
        <v>4</v>
      </c>
      <c r="AD32" s="21">
        <f>COUNTIFS(AllMusters25!$AL$15:$AL$147,"I",(AllMusters25!$F$15:$F$147),"5")</f>
        <v>4</v>
      </c>
      <c r="AE32" s="22">
        <f>COUNTIFS(AllMusters25!$AL$15:$AL$147,"I",(AllMusters25!$F$15:$F$147),"6")</f>
        <v>3</v>
      </c>
      <c r="AF32" s="21">
        <f>COUNTIFS(AllMusters25!$AL$15:$AL$147,"I",(AllMusters25!$F$15:$F$147),"7")</f>
        <v>4</v>
      </c>
      <c r="AG32" s="22">
        <f>COUNTIFS(AllMusters25!$AL$15:$AL$147,"I",(AllMusters25!$F$15:$F$147),"8")</f>
        <v>3</v>
      </c>
      <c r="AH32" s="21">
        <f>COUNTIFS(AllMusters25!$AL$15:$AL$147,"I",(AllMusters25!$F$15:$F$147),"9")</f>
        <v>4</v>
      </c>
      <c r="AI32" s="22">
        <f>COUNTIFS(AllMusters25!$AL$15:$AL$147,"I",(AllMusters25!$F$15:$F$147),"10")</f>
        <v>2</v>
      </c>
      <c r="AJ32" s="21">
        <f>COUNTIFS(AllMusters25!$AL$15:$AL$147,"I",(AllMusters25!$F$15:$F$147),"11")</f>
        <v>4</v>
      </c>
      <c r="AK32" s="22">
        <f>COUNTIFS(AllMusters25!$AL$15:$AL$147,"I",(AllMusters25!$F$15:$F$147),"12")</f>
        <v>3</v>
      </c>
      <c r="AL32" s="21">
        <f t="shared" si="1"/>
        <v>42</v>
      </c>
      <c r="AM32" s="32">
        <f t="shared" si="2"/>
        <v>0.8571428571428571</v>
      </c>
      <c r="AN32" s="12">
        <f t="shared" si="3"/>
        <v>117</v>
      </c>
      <c r="AO32" s="26">
        <f t="shared" si="4"/>
        <v>0.90697674418604646</v>
      </c>
    </row>
    <row r="33" spans="1:41">
      <c r="A33" s="30" t="s">
        <v>53</v>
      </c>
      <c r="B33" s="21">
        <v>2</v>
      </c>
      <c r="C33" s="22">
        <v>4</v>
      </c>
      <c r="D33" s="21">
        <v>4</v>
      </c>
      <c r="E33" s="22">
        <v>5</v>
      </c>
      <c r="F33" s="21">
        <v>3</v>
      </c>
      <c r="G33" s="22">
        <v>4</v>
      </c>
      <c r="H33" s="21">
        <v>4</v>
      </c>
      <c r="I33" s="22">
        <v>2</v>
      </c>
      <c r="J33" s="21">
        <f>SUM(B33:I33)</f>
        <v>28</v>
      </c>
      <c r="K33" s="32">
        <v>0.93333333333333335</v>
      </c>
      <c r="L33" s="31">
        <v>3</v>
      </c>
      <c r="M33" s="22">
        <v>2</v>
      </c>
      <c r="N33" s="31">
        <v>3</v>
      </c>
      <c r="O33" s="22">
        <v>5</v>
      </c>
      <c r="P33" s="31">
        <v>2</v>
      </c>
      <c r="Q33" s="22">
        <v>3</v>
      </c>
      <c r="R33" s="31">
        <v>3</v>
      </c>
      <c r="S33" s="39">
        <v>4</v>
      </c>
      <c r="T33" s="31">
        <v>2</v>
      </c>
      <c r="U33" s="22">
        <v>0</v>
      </c>
      <c r="V33" s="31">
        <v>4</v>
      </c>
      <c r="W33" s="22">
        <v>3</v>
      </c>
      <c r="X33" s="21">
        <v>8</v>
      </c>
      <c r="Y33" s="32">
        <v>0.45</v>
      </c>
      <c r="Z33" s="31">
        <f>COUNTIFS(AllMusters25!$AM$15:$AM$147,"I",(AllMusters25!$F$15:$F$147),"1")</f>
        <v>2</v>
      </c>
      <c r="AA33" s="22">
        <f>COUNTIFS(AllMusters25!$AM$15:$AM$147,"I",(AllMusters25!$F$15:$F$147),"2")</f>
        <v>4</v>
      </c>
      <c r="AB33" s="31">
        <f>COUNTIFS(AllMusters25!$AM$15:$AM$147,"I",(AllMusters25!$F$15:$F$147),"3")</f>
        <v>5</v>
      </c>
      <c r="AC33" s="22">
        <f>COUNTIFS(AllMusters25!$AM$15:$AM$147,"I",(AllMusters25!$F$15:$F$147),"4")</f>
        <v>1</v>
      </c>
      <c r="AD33" s="31">
        <f>COUNTIFS(AllMusters25!$AM$15:$AM$147,"I",(AllMusters25!$F$15:$F$147),"5")</f>
        <v>0</v>
      </c>
      <c r="AE33" s="22">
        <f>COUNTIFS(AllMusters25!$AM$15:$AM$147,"I",(AllMusters25!$F$15:$F$147),"6")</f>
        <v>5</v>
      </c>
      <c r="AF33" s="31">
        <f>COUNTIFS(AllMusters25!$AM$15:$AM$147,"I",(AllMusters25!$F$15:$F$147),"7")</f>
        <v>2</v>
      </c>
      <c r="AG33" s="39">
        <f>COUNTIFS(AllMusters25!$AM$15:$AM$147,"I",(AllMusters25!$F$15:$F$147),"8")</f>
        <v>4</v>
      </c>
      <c r="AH33" s="31">
        <f>COUNTIFS(AllMusters25!$AM$15:$AM$147,"I",(AllMusters25!$F$15:$F$147),"9")</f>
        <v>5</v>
      </c>
      <c r="AI33" s="22">
        <f>COUNTIFS(AllMusters25!$AM$15:$AM$147,"I",(AllMusters25!$F$15:$F$147),"10")</f>
        <v>4</v>
      </c>
      <c r="AJ33" s="31">
        <f>COUNTIFS(AllMusters25!$AM$15:$AM$147,"I",(AllMusters25!$F$15:$F$147),"11")</f>
        <v>3</v>
      </c>
      <c r="AK33" s="22">
        <f>COUNTIFS(AllMusters25!$AM$15:$AM$147,"I",(AllMusters25!$F$15:$F$147),"12")</f>
        <v>3</v>
      </c>
      <c r="AL33" s="21">
        <f t="shared" si="1"/>
        <v>38</v>
      </c>
      <c r="AM33" s="32">
        <f t="shared" si="2"/>
        <v>0.77551020408163263</v>
      </c>
      <c r="AN33" s="12">
        <f t="shared" si="3"/>
        <v>74</v>
      </c>
      <c r="AO33" s="26">
        <f t="shared" si="4"/>
        <v>0.5736434108527132</v>
      </c>
    </row>
    <row r="34" spans="1:41">
      <c r="A34" s="30" t="s">
        <v>70</v>
      </c>
      <c r="B34" s="50"/>
      <c r="C34" s="50"/>
      <c r="D34" s="50"/>
      <c r="E34" s="57"/>
      <c r="F34" s="31">
        <v>4</v>
      </c>
      <c r="G34" s="39">
        <v>3</v>
      </c>
      <c r="H34" s="31">
        <v>4</v>
      </c>
      <c r="I34" s="39">
        <v>1</v>
      </c>
      <c r="J34" s="21">
        <f>SUM(B34:I34)</f>
        <v>12</v>
      </c>
      <c r="K34" s="32">
        <v>0.8571428571428571</v>
      </c>
      <c r="L34" s="31">
        <v>1</v>
      </c>
      <c r="M34" s="39">
        <v>1</v>
      </c>
      <c r="N34" s="31">
        <v>0</v>
      </c>
      <c r="O34" s="39">
        <v>3</v>
      </c>
      <c r="P34" s="31">
        <v>3</v>
      </c>
      <c r="Q34" s="39">
        <v>4</v>
      </c>
      <c r="R34" s="31">
        <v>5</v>
      </c>
      <c r="S34" s="39">
        <v>4</v>
      </c>
      <c r="T34" s="31">
        <v>2</v>
      </c>
      <c r="U34" s="22">
        <v>2</v>
      </c>
      <c r="V34" s="31">
        <v>3</v>
      </c>
      <c r="W34" s="22">
        <v>3</v>
      </c>
      <c r="X34" s="21">
        <v>2</v>
      </c>
      <c r="Y34" s="32">
        <v>0.17499999999999999</v>
      </c>
      <c r="Z34" s="31">
        <f>COUNTIFS(AllMusters25!$AN$15:$AN$147,"I",(AllMusters25!$F$15:$F$147),"1")</f>
        <v>2</v>
      </c>
      <c r="AA34" s="39">
        <f>COUNTIFS(AllMusters25!$AN$15:$AN$147,"I",(AllMusters25!$F$15:$F$147),"2")</f>
        <v>2</v>
      </c>
      <c r="AB34" s="31">
        <f>COUNTIFS(AllMusters25!$AN$15:$AN$147,"I",(AllMusters25!$F$15:$F$147),"3")</f>
        <v>2</v>
      </c>
      <c r="AC34" s="39">
        <f>COUNTIFS(AllMusters25!$AN$15:$AN$147,"I",(AllMusters25!$F$15:$F$147),"4")</f>
        <v>4</v>
      </c>
      <c r="AD34" s="31">
        <f>COUNTIFS(AllMusters25!$AN$15:$AN$147,"I",(AllMusters25!$F$15:$F$147),"5")</f>
        <v>2</v>
      </c>
      <c r="AE34" s="39">
        <f>COUNTIFS(AllMusters25!$AN$15:$AN$147,"I",(AllMusters25!$F$15:$F$147),"6")</f>
        <v>4</v>
      </c>
      <c r="AF34" s="31">
        <f>COUNTIFS(AllMusters25!$AN$15:$AN$147,"I",(AllMusters25!$F$15:$F$147),"7")</f>
        <v>3</v>
      </c>
      <c r="AG34" s="39">
        <f>COUNTIFS(AllMusters25!$AN$15:$AN$147,"I",(AllMusters25!$F$15:$F$147),"8")</f>
        <v>3</v>
      </c>
      <c r="AH34" s="31">
        <f>COUNTIFS(AllMusters25!$AN$15:$AN$147,"I",(AllMusters25!$F$15:$F$147),"9")</f>
        <v>3</v>
      </c>
      <c r="AI34" s="22">
        <f>COUNTIFS(AllMusters25!$AN$15:$AN$147,"I",(AllMusters25!$F$15:$F$147),"10")</f>
        <v>3</v>
      </c>
      <c r="AJ34" s="31">
        <f>COUNTIFS(AllMusters25!$AN$15:$AN$147,"I",(AllMusters25!$F$15:$F$147),"11")</f>
        <v>2</v>
      </c>
      <c r="AK34" s="22">
        <f>COUNTIFS(AllMusters25!$AN$15:$AN$147,"I",(AllMusters25!$F$15:$F$147),"12")</f>
        <v>2</v>
      </c>
      <c r="AL34" s="21">
        <f t="shared" si="1"/>
        <v>32</v>
      </c>
      <c r="AM34" s="32">
        <f t="shared" si="2"/>
        <v>0.65306122448979587</v>
      </c>
      <c r="AN34" s="12">
        <f t="shared" si="3"/>
        <v>46</v>
      </c>
      <c r="AO34" s="26">
        <f t="shared" si="4"/>
        <v>0.35658914728682173</v>
      </c>
    </row>
    <row r="35" spans="1:41">
      <c r="A35" s="30" t="s">
        <v>56</v>
      </c>
      <c r="B35" s="50"/>
      <c r="C35" s="50"/>
      <c r="D35" s="50"/>
      <c r="E35" s="57"/>
      <c r="F35" s="31"/>
      <c r="G35" s="129"/>
      <c r="H35" s="31"/>
      <c r="I35" s="39"/>
      <c r="J35" s="21"/>
      <c r="K35" s="32"/>
      <c r="L35" s="31"/>
      <c r="M35" s="39"/>
      <c r="N35" s="50" t="s">
        <v>57</v>
      </c>
      <c r="O35" s="31">
        <v>5</v>
      </c>
      <c r="P35" s="31">
        <v>4</v>
      </c>
      <c r="Q35" s="31">
        <v>3</v>
      </c>
      <c r="R35" s="31">
        <v>4</v>
      </c>
      <c r="S35" s="39">
        <v>4</v>
      </c>
      <c r="T35" s="31">
        <v>3</v>
      </c>
      <c r="U35" s="22">
        <v>3</v>
      </c>
      <c r="V35" s="31">
        <v>2</v>
      </c>
      <c r="W35" s="22">
        <v>3</v>
      </c>
      <c r="X35" s="21">
        <v>31</v>
      </c>
      <c r="Y35" s="32">
        <v>0.62</v>
      </c>
      <c r="Z35" s="31">
        <f>COUNTIFS(AllMusters25!$AO$15:$AO$147,"I",(AllMusters25!$F$15:$F$147),"1")</f>
        <v>2</v>
      </c>
      <c r="AA35" s="39">
        <f>COUNTIFS(AllMusters25!$AO$15:$AO$147,"I",(AllMusters25!$F$15:$F$147),"2")</f>
        <v>3</v>
      </c>
      <c r="AB35" s="31">
        <f>COUNTIFS(AllMusters25!$AO$15:$AO$147,"I",(AllMusters25!$F$15:$F$147),"3")</f>
        <v>5</v>
      </c>
      <c r="AC35" s="39">
        <f>COUNTIFS(AllMusters25!$AO$15:$AO$147,"I",(AllMusters25!$F$15:$F$147),"4")</f>
        <v>4</v>
      </c>
      <c r="AD35" s="31">
        <f>COUNTIFS(AllMusters25!$AO$15:$AO$147,"I",(AllMusters25!$F$15:$F$147),"5")</f>
        <v>2</v>
      </c>
      <c r="AE35" s="39">
        <f>COUNTIFS(AllMusters25!$AO$15:$AO$147,"I",(AllMusters25!$F$15:$F$147),"6")</f>
        <v>5</v>
      </c>
      <c r="AF35" s="31">
        <f>COUNTIFS(AllMusters25!$AO$15:$AO$147,"I",(AllMusters25!$F$15:$F$147),"7")</f>
        <v>2</v>
      </c>
      <c r="AG35" s="39">
        <f>COUNTIFS(AllMusters25!$AO$15:$AO$147,"I",(AllMusters25!$F$15:$F$147),"8")</f>
        <v>4</v>
      </c>
      <c r="AH35" s="31">
        <f>COUNTIFS(AllMusters25!$AO$15:$AO$147,"I",(AllMusters25!$F$15:$F$147),"9")</f>
        <v>4</v>
      </c>
      <c r="AI35" s="22">
        <f>COUNTIFS(AllMusters25!$AO$15:$AO$147,"I",(AllMusters25!$F$15:$F$147),"10")</f>
        <v>2</v>
      </c>
      <c r="AJ35" s="31">
        <f>COUNTIFS(AllMusters25!$AO$15:$AO$147,"I",(AllMusters25!$F$15:$F$147),"11")</f>
        <v>3</v>
      </c>
      <c r="AK35" s="22">
        <f>COUNTIFS(AllMusters25!$AO$15:$AO$147,"I",(AllMusters25!$F$15:$F$147),"12")</f>
        <v>2</v>
      </c>
      <c r="AL35" s="21">
        <f>(SUM($Z35:$AK35))</f>
        <v>38</v>
      </c>
      <c r="AM35" s="32">
        <f t="shared" si="2"/>
        <v>0.77551020408163263</v>
      </c>
      <c r="AN35" s="12">
        <f>SUM(J35,X35,AL35)</f>
        <v>69</v>
      </c>
      <c r="AO35" s="26">
        <f>(SUM(AN35))/SUM($AN$2)</f>
        <v>0.53488372093023251</v>
      </c>
    </row>
    <row r="36" spans="1:41">
      <c r="A36" s="17" t="s">
        <v>58</v>
      </c>
      <c r="B36" s="50"/>
      <c r="C36" s="50"/>
      <c r="D36" s="50"/>
      <c r="E36" s="57"/>
      <c r="F36" s="50"/>
      <c r="G36" s="58"/>
      <c r="H36" s="50"/>
      <c r="I36" s="57"/>
      <c r="J36" s="52"/>
      <c r="K36" s="32"/>
      <c r="L36" s="50"/>
      <c r="M36" s="50"/>
      <c r="N36" s="50" t="s">
        <v>57</v>
      </c>
      <c r="O36" s="50"/>
      <c r="P36" s="50"/>
      <c r="Q36" s="50"/>
      <c r="R36" s="50"/>
      <c r="S36" s="57"/>
      <c r="T36" s="50"/>
      <c r="U36" s="22">
        <v>3</v>
      </c>
      <c r="V36" s="31">
        <v>4</v>
      </c>
      <c r="W36" s="22">
        <v>3</v>
      </c>
      <c r="X36" s="21">
        <v>10</v>
      </c>
      <c r="Y36" s="32">
        <v>0.2</v>
      </c>
      <c r="Z36" s="31">
        <f>COUNTIFS(AllMusters25!$AP$15:$AP$147,"I",(AllMusters25!$F$15:$F$147),"1")</f>
        <v>3</v>
      </c>
      <c r="AA36" s="39">
        <f>COUNTIFS(AllMusters25!$AP$15:$AP$147,"I",(AllMusters25!$F$15:$F$147),"2")</f>
        <v>3</v>
      </c>
      <c r="AB36" s="31">
        <f>COUNTIFS(AllMusters25!$AP$15:$AP$147,"I",(AllMusters25!$F$15:$F$147),"3")</f>
        <v>5</v>
      </c>
      <c r="AC36" s="39">
        <f>COUNTIFS(AllMusters25!$AP$15:$AP$147,"I",(AllMusters25!$F$15:$F$147),"4")</f>
        <v>3</v>
      </c>
      <c r="AD36" s="31">
        <f>COUNTIFS(AllMusters25!$AP$15:$AP$147,"I",(AllMusters25!$F$15:$F$147),"5")</f>
        <v>1</v>
      </c>
      <c r="AE36" s="39">
        <f>COUNTIFS(AllMusters25!$AP$15:$AP$147,"I",(AllMusters25!$F$15:$F$147),"6")</f>
        <v>5</v>
      </c>
      <c r="AF36" s="31">
        <f>COUNTIFS(AllMusters25!$AP$15:$AP$147,"I",(AllMusters25!$F$15:$F$147),"7")</f>
        <v>2</v>
      </c>
      <c r="AG36" s="39">
        <f>COUNTIFS(AllMusters25!$AP$15:$AP$147,"I",(AllMusters25!$F$15:$F$147),"8")</f>
        <v>2</v>
      </c>
      <c r="AH36" s="31">
        <f>COUNTIFS(AllMusters25!$AP$15:$AP$147,"I",(AllMusters25!$F$15:$F$147),"9")</f>
        <v>3</v>
      </c>
      <c r="AI36" s="22">
        <f>COUNTIFS(AllMusters25!$AP$15:$AP$147,"I",(AllMusters25!$F$15:$F$147),"10")</f>
        <v>3</v>
      </c>
      <c r="AJ36" s="31">
        <f>COUNTIFS(AllMusters25!$AP$15:$AP$147,"I",(AllMusters25!$F$15:$F$147),"11")</f>
        <v>3</v>
      </c>
      <c r="AK36" s="22">
        <f>COUNTIFS(AllMusters25!$AP$15:$AP$147,"I",(AllMusters25!$F$15:$F$147),"12")</f>
        <v>3</v>
      </c>
      <c r="AL36" s="21">
        <f t="shared" si="1"/>
        <v>36</v>
      </c>
      <c r="AM36" s="32">
        <f t="shared" si="2"/>
        <v>0.73469387755102045</v>
      </c>
      <c r="AN36" s="12">
        <f t="shared" si="3"/>
        <v>46</v>
      </c>
      <c r="AO36" s="26">
        <f>(SUM($AL36,$X36))/SUM($AL$1,$T$1:$W$1)</f>
        <v>0.70769230769230773</v>
      </c>
    </row>
    <row r="37" spans="1:41">
      <c r="A37" s="17" t="s">
        <v>59</v>
      </c>
      <c r="B37" s="50"/>
      <c r="C37" s="50"/>
      <c r="D37" s="50"/>
      <c r="E37" s="57"/>
      <c r="F37" s="50"/>
      <c r="G37" s="58"/>
      <c r="H37" s="50"/>
      <c r="I37" s="57"/>
      <c r="J37" s="52"/>
      <c r="K37" s="32"/>
      <c r="L37" s="50"/>
      <c r="M37" s="50"/>
      <c r="N37" s="50" t="s">
        <v>57</v>
      </c>
      <c r="O37" s="50"/>
      <c r="P37" s="50"/>
      <c r="Q37" s="50"/>
      <c r="R37" s="50"/>
      <c r="S37" s="57"/>
      <c r="T37" s="50"/>
      <c r="U37" s="22">
        <v>2</v>
      </c>
      <c r="V37" s="31">
        <v>3</v>
      </c>
      <c r="W37" s="22">
        <v>2</v>
      </c>
      <c r="X37" s="21">
        <v>7</v>
      </c>
      <c r="Y37" s="32">
        <v>0.14000000000000001</v>
      </c>
      <c r="Z37" s="31">
        <f>COUNTIFS(AllMusters25!$AQ$15:$AQ$147,"I",(AllMusters25!$F$15:$F$147),"1")</f>
        <v>2</v>
      </c>
      <c r="AA37" s="39">
        <f>COUNTIFS(AllMusters25!$AQ$15:$AQ$147,"I",(AllMusters25!$F$15:$F$147),"2")</f>
        <v>4</v>
      </c>
      <c r="AB37" s="31">
        <f>COUNTIFS(AllMusters25!$AQ$15:$AQ$147,"I",(AllMusters25!$F$15:$F$147),"3")</f>
        <v>5</v>
      </c>
      <c r="AC37" s="39">
        <f>COUNTIFS(AllMusters25!$AQ$15:$AQ$147,"I",(AllMusters25!$F$15:$F$147),"4")</f>
        <v>4</v>
      </c>
      <c r="AD37" s="31">
        <f>COUNTIFS(AllMusters25!$AQ$15:$AQ$147,"I",(AllMusters25!$F$15:$F$147),"5")</f>
        <v>3</v>
      </c>
      <c r="AE37" s="39">
        <f>COUNTIFS(AllMusters25!$AQ$15:$AQ$147,"I",(AllMusters25!$F$15:$F$147),"6")</f>
        <v>3</v>
      </c>
      <c r="AF37" s="31">
        <f>COUNTIFS(AllMusters25!$AQ$15:$AQ$147,"I",(AllMusters25!$F$15:$F$147),"7")</f>
        <v>4</v>
      </c>
      <c r="AG37" s="39">
        <f>COUNTIFS(AllMusters25!$AQ$15:$AQ$147,"I",(AllMusters25!$F$15:$F$147),"8")</f>
        <v>4</v>
      </c>
      <c r="AH37" s="31">
        <f>COUNTIFS(AllMusters25!$AQ$15:$AQ$147,"I",(AllMusters25!$F$15:$F$147),"9")</f>
        <v>5</v>
      </c>
      <c r="AI37" s="22">
        <f>COUNTIFS(AllMusters25!$AQ$15:$AQ$147,"I",(AllMusters25!$F$15:$F$147),"10")</f>
        <v>4</v>
      </c>
      <c r="AJ37" s="31">
        <f>COUNTIFS(AllMusters25!$AQ$15:$AQ$147,"I",(AllMusters25!$F$15:$F$147),"11")</f>
        <v>2</v>
      </c>
      <c r="AK37" s="22">
        <f>COUNTIFS(AllMusters25!$AQ$15:$AQ$147,"I",(AllMusters25!$F$15:$F$147),"12")</f>
        <v>1</v>
      </c>
      <c r="AL37" s="21">
        <f t="shared" si="1"/>
        <v>41</v>
      </c>
      <c r="AM37" s="32">
        <f t="shared" si="2"/>
        <v>0.83673469387755106</v>
      </c>
      <c r="AN37" s="12">
        <f t="shared" si="3"/>
        <v>48</v>
      </c>
      <c r="AO37" s="26">
        <f t="shared" ref="AO37:AO38" si="13">(SUM($AL37,$X37))/SUM($AL$1,$T$1:$W$1)</f>
        <v>0.7384615384615385</v>
      </c>
    </row>
    <row r="38" spans="1:41">
      <c r="A38" s="17" t="s">
        <v>60</v>
      </c>
      <c r="B38" s="50"/>
      <c r="C38" s="50"/>
      <c r="D38" s="50"/>
      <c r="E38" s="57"/>
      <c r="F38" s="50"/>
      <c r="G38" s="58"/>
      <c r="H38" s="50"/>
      <c r="I38" s="57"/>
      <c r="J38" s="52"/>
      <c r="K38" s="32"/>
      <c r="L38" s="50"/>
      <c r="M38" s="50"/>
      <c r="N38" s="50" t="s">
        <v>57</v>
      </c>
      <c r="O38" s="50"/>
      <c r="P38" s="50"/>
      <c r="Q38" s="50"/>
      <c r="R38" s="50"/>
      <c r="S38" s="57"/>
      <c r="T38" s="50"/>
      <c r="U38" s="22">
        <v>2</v>
      </c>
      <c r="V38" s="31">
        <v>4</v>
      </c>
      <c r="W38" s="22">
        <v>2</v>
      </c>
      <c r="X38" s="21">
        <v>8</v>
      </c>
      <c r="Y38" s="32">
        <v>0.16</v>
      </c>
      <c r="Z38" s="31">
        <f>COUNTIFS(AllMusters25!$AR$15:$AR$147,"I",(AllMusters25!$F$15:$F$147),"1")</f>
        <v>2</v>
      </c>
      <c r="AA38" s="22">
        <f>COUNTIFS(AllMusters25!$AR$15:$AR$147,"I",(AllMusters25!$F$15:$F$147),"2")</f>
        <v>4</v>
      </c>
      <c r="AB38" s="31">
        <f>COUNTIFS(AllMusters25!$AR$15:$AR$147,"I",(AllMusters25!$F$15:$F$147),"3")</f>
        <v>5</v>
      </c>
      <c r="AC38" s="22">
        <f>COUNTIFS(AllMusters25!$AR$15:$AR$147,"I",(AllMusters25!$F$15:$F$147),"4")</f>
        <v>4</v>
      </c>
      <c r="AD38" s="31">
        <f>COUNTIFS(AllMusters25!$AR$15:$AR$147,"I",(AllMusters25!$F$15:$F$147),"5")</f>
        <v>3</v>
      </c>
      <c r="AE38" s="22">
        <f>COUNTIFS(AllMusters25!$AR$15:$AR$147,"I",(AllMusters25!$F$15:$F$147),"6")</f>
        <v>3</v>
      </c>
      <c r="AF38" s="31">
        <f>COUNTIFS(AllMusters25!$AR$15:$AR$147,"I",(AllMusters25!$F$15:$F$147),"7")</f>
        <v>2</v>
      </c>
      <c r="AG38" s="39">
        <f>COUNTIFS(AllMusters25!$AR$15:$AR$147,"I",(AllMusters25!$F$15:$F$147),"8")</f>
        <v>3</v>
      </c>
      <c r="AH38" s="31">
        <f>COUNTIFS(AllMusters25!$AR$15:$AR$147,"I",(AllMusters25!$F$15:$F$147),"9")</f>
        <v>3</v>
      </c>
      <c r="AI38" s="22">
        <f>COUNTIFS(AllMusters25!$AR$15:$AR$147,"I",(AllMusters25!$F$15:$F$147),"10")</f>
        <v>3</v>
      </c>
      <c r="AJ38" s="31">
        <f>COUNTIFS(AllMusters25!$AR$15:$AR$147,"I",(AllMusters25!$F$15:$F$147),"11")</f>
        <v>3</v>
      </c>
      <c r="AK38" s="22">
        <f>COUNTIFS(AllMusters25!$AR$15:$AR$147,"I",(AllMusters25!$F$15:$F$147),"12")</f>
        <v>3</v>
      </c>
      <c r="AL38" s="21">
        <f t="shared" si="1"/>
        <v>38</v>
      </c>
      <c r="AM38" s="32">
        <f t="shared" si="2"/>
        <v>0.77551020408163263</v>
      </c>
      <c r="AN38" s="12">
        <f t="shared" si="3"/>
        <v>46</v>
      </c>
      <c r="AO38" s="26">
        <f t="shared" si="13"/>
        <v>0.70769230769230773</v>
      </c>
    </row>
    <row r="39" spans="1:41">
      <c r="A39" s="30" t="s">
        <v>61</v>
      </c>
      <c r="B39" s="50"/>
      <c r="C39" s="50"/>
      <c r="D39" s="50"/>
      <c r="E39" s="57"/>
      <c r="F39" s="50"/>
      <c r="G39" s="58"/>
      <c r="H39" s="31">
        <v>4</v>
      </c>
      <c r="I39" s="39">
        <v>2</v>
      </c>
      <c r="J39" s="21">
        <f>SUM(B39:I39)</f>
        <v>6</v>
      </c>
      <c r="K39" s="32">
        <v>0.42857142857142855</v>
      </c>
      <c r="L39" s="31">
        <v>3</v>
      </c>
      <c r="M39" s="39">
        <v>4</v>
      </c>
      <c r="N39" s="31">
        <v>4</v>
      </c>
      <c r="O39" s="39">
        <v>2</v>
      </c>
      <c r="P39" s="31">
        <v>2</v>
      </c>
      <c r="Q39" s="171">
        <v>0</v>
      </c>
      <c r="R39" s="172">
        <v>0</v>
      </c>
      <c r="S39" s="171">
        <v>0</v>
      </c>
      <c r="T39" s="172">
        <v>0</v>
      </c>
      <c r="U39" s="29">
        <v>0</v>
      </c>
      <c r="V39" s="31">
        <v>2</v>
      </c>
      <c r="W39" s="22">
        <v>0</v>
      </c>
      <c r="X39" s="21">
        <v>11</v>
      </c>
      <c r="Y39" s="32">
        <v>0.21249999999999999</v>
      </c>
      <c r="Z39" s="31">
        <f>COUNTIFS(AllMusters25!$AS$15:$AS$147,"I",(AllMusters25!$F$15:$F$147),"1")</f>
        <v>1</v>
      </c>
      <c r="AA39" s="22">
        <f>COUNTIFS(AllMusters25!$AS$15:$AS$147,"I",(AllMusters25!$F$15:$F$147),"2")</f>
        <v>3</v>
      </c>
      <c r="AB39" s="31">
        <f>COUNTIFS(AllMusters25!$AS$15:$AS$147,"I",(AllMusters25!$F$15:$F$147),"3")</f>
        <v>3</v>
      </c>
      <c r="AC39" s="22">
        <f>COUNTIFS(AllMusters25!$AS$15:$AS$147,"I",(AllMusters25!$F$15:$F$147),"4")</f>
        <v>2</v>
      </c>
      <c r="AD39" s="31">
        <f>COUNTIFS(AllMusters25!$AS$15:$AS$147,"I",(AllMusters25!$F$15:$F$147),"5")</f>
        <v>3</v>
      </c>
      <c r="AE39" s="22">
        <f>COUNTIFS(AllMusters25!$AS$15:$AS$147,"I",(AllMusters25!$F$15:$F$147),"6")</f>
        <v>4</v>
      </c>
      <c r="AF39" s="172">
        <f>COUNTIFS(AllMusters25!$AS$15:$AS$147,"I",(AllMusters25!$F$15:$F$147),"7")</f>
        <v>0</v>
      </c>
      <c r="AG39" s="171">
        <f>COUNTIFS(AllMusters25!$AS$15:$AS$147,"I",(AllMusters25!$F$15:$F$147),"8")</f>
        <v>0</v>
      </c>
      <c r="AH39" s="172">
        <f>COUNTIFS(AllMusters25!$AS$15:$AS$147,"I",(AllMusters25!$F$15:$F$147),"9")</f>
        <v>0</v>
      </c>
      <c r="AI39" s="29">
        <f>COUNTIFS(AllMusters25!$AS$15:$AS$147,"I",(AllMusters25!$F$15:$F$147),"10")</f>
        <v>0</v>
      </c>
      <c r="AJ39" s="172">
        <f>COUNTIFS(AllMusters25!$AS$15:$AS$147,"I",(AllMusters25!$F$15:$F$147),"11")</f>
        <v>0</v>
      </c>
      <c r="AK39" s="29">
        <f>COUNTIFS(AllMusters25!$AS$15:$AS$147,"I",(AllMusters25!$F$15:$F$147),"12")</f>
        <v>0</v>
      </c>
      <c r="AL39" s="21">
        <f t="shared" si="1"/>
        <v>16</v>
      </c>
      <c r="AM39" s="32">
        <f t="shared" ref="AM39" si="14">(SUM(AL39))/SUM($AL$1)</f>
        <v>0.32653061224489793</v>
      </c>
      <c r="AN39" s="12">
        <f t="shared" ref="AN39" si="15">SUM(J39,X39,AL39)</f>
        <v>33</v>
      </c>
      <c r="AO39" s="26">
        <f t="shared" ref="AO39" si="16">(SUM(AN39))/SUM($AN$2)</f>
        <v>0.2558139534883721</v>
      </c>
    </row>
    <row r="40" spans="1:41">
      <c r="A40" s="17" t="s">
        <v>62</v>
      </c>
      <c r="B40" s="50"/>
      <c r="C40" s="50"/>
      <c r="D40" s="50"/>
      <c r="E40" s="57"/>
      <c r="F40" s="50"/>
      <c r="G40" s="58"/>
      <c r="H40" s="50"/>
      <c r="I40" s="57"/>
      <c r="J40" s="52"/>
      <c r="K40" s="32"/>
      <c r="L40" s="50"/>
      <c r="M40" s="50"/>
      <c r="N40" s="50"/>
      <c r="O40" s="50"/>
      <c r="P40" s="50"/>
      <c r="Q40" s="50"/>
      <c r="R40" s="50"/>
      <c r="S40" s="57"/>
      <c r="T40" s="50"/>
      <c r="U40" s="51"/>
      <c r="V40" s="50"/>
      <c r="W40" s="51"/>
      <c r="X40" s="52"/>
      <c r="Y40" s="144"/>
      <c r="Z40" s="50"/>
      <c r="AA40" s="51"/>
      <c r="AB40" s="50"/>
      <c r="AC40" s="51"/>
      <c r="AD40" s="31">
        <f>COUNTIFS(AllMusters25!$AT$15:$AT$147,"I",(AllMusters25!$F$15:$F$147),"5")</f>
        <v>3</v>
      </c>
      <c r="AE40" s="22">
        <f>COUNTIFS(AllMusters25!$AT$15:$AT$147,"I",(AllMusters25!$F$15:$F$147),"6")</f>
        <v>5</v>
      </c>
      <c r="AF40" s="31">
        <f>COUNTIFS(AllMusters25!$AT$15:$AT$147,"I",(AllMusters25!$F$15:$F$147),"7")</f>
        <v>3</v>
      </c>
      <c r="AG40" s="39">
        <f>COUNTIFS(AllMusters25!$AT$15:$AT$147,"I",(AllMusters25!$F$15:$F$147),"8")</f>
        <v>4</v>
      </c>
      <c r="AH40" s="31">
        <f>COUNTIFS(AllMusters25!$AT$15:$AT$147,"I",(AllMusters25!$F$15:$F$147),"9")</f>
        <v>5</v>
      </c>
      <c r="AI40" s="22">
        <f>COUNTIFS(AllMusters25!$AT$15:$AT$147,"I",(AllMusters25!$F$15:$F$147),"10")</f>
        <v>4</v>
      </c>
      <c r="AJ40" s="31">
        <f>COUNTIFS(AllMusters25!$AT$15:$AT$147,"I",(AllMusters25!$F$15:$F$147),"11")</f>
        <v>4</v>
      </c>
      <c r="AK40" s="22">
        <f>COUNTIFS(AllMusters25!$AT$15:$AT$147,"I",(AllMusters25!$F$15:$F$147),"12")</f>
        <v>3</v>
      </c>
      <c r="AL40" s="21">
        <f>(SUM($Z40:$AK40))</f>
        <v>31</v>
      </c>
      <c r="AM40" s="32">
        <f>(SUM(AL40))/SUM($AD$1:$AK$1)</f>
        <v>0.93939393939393945</v>
      </c>
      <c r="AN40" s="12">
        <f>SUM(J40,X40,AL40)</f>
        <v>31</v>
      </c>
      <c r="AO40" s="26">
        <f>(SUM($AL40)/SUM($AD$1:$AK$1))</f>
        <v>0.93939393939393945</v>
      </c>
    </row>
    <row r="41" spans="1:41">
      <c r="A41" s="17" t="s">
        <v>63</v>
      </c>
      <c r="B41" s="50"/>
      <c r="C41" s="50"/>
      <c r="D41" s="50"/>
      <c r="E41" s="57"/>
      <c r="F41" s="50"/>
      <c r="G41" s="58"/>
      <c r="H41" s="50"/>
      <c r="I41" s="57"/>
      <c r="J41" s="52"/>
      <c r="K41" s="32"/>
      <c r="L41" s="50"/>
      <c r="M41" s="50"/>
      <c r="N41" s="50"/>
      <c r="O41" s="50"/>
      <c r="P41" s="50"/>
      <c r="Q41" s="50"/>
      <c r="R41" s="50"/>
      <c r="S41" s="57"/>
      <c r="T41" s="50"/>
      <c r="U41" s="51"/>
      <c r="V41" s="50"/>
      <c r="W41" s="51"/>
      <c r="X41" s="52"/>
      <c r="Y41" s="144"/>
      <c r="Z41" s="50"/>
      <c r="AA41" s="51"/>
      <c r="AB41" s="50"/>
      <c r="AC41" s="51"/>
      <c r="AD41" s="50"/>
      <c r="AE41" s="51"/>
      <c r="AF41" s="50"/>
      <c r="AG41" s="57"/>
      <c r="AH41" s="31">
        <f>COUNTIFS(AllMusters25!$AU$15:$AU$147,"I",(AllMusters25!$F$15:$F$147),"9")</f>
        <v>3</v>
      </c>
      <c r="AI41" s="22">
        <f>COUNTIFS(AllMusters25!$AU$15:$AU$147,"I",(AllMusters25!$F$15:$F$147),"10")</f>
        <v>4</v>
      </c>
      <c r="AJ41" s="31">
        <f>COUNTIFS(AllMusters25!$AU$15:$AU$147,"I",(AllMusters25!$F$15:$F$147),"11")</f>
        <v>2</v>
      </c>
      <c r="AK41" s="22">
        <f>COUNTIFS(AllMusters25!$AU$15:$AU$147,"I",(AllMusters25!$F$15:$F$147),"12")</f>
        <v>3</v>
      </c>
      <c r="AL41" s="21">
        <f>(SUM($AH41:$AK41))</f>
        <v>12</v>
      </c>
      <c r="AM41" s="32">
        <f>(SUM(AL41))/SUM($AH$1:$AK$1)</f>
        <v>0.75</v>
      </c>
      <c r="AN41" s="12">
        <f t="shared" ref="AN41:AN42" si="17">SUM(J41,X41,AL41)</f>
        <v>12</v>
      </c>
      <c r="AO41" s="26">
        <f>(SUM($AL41)/SUM($AH$1:$AK$1))</f>
        <v>0.75</v>
      </c>
    </row>
    <row r="42" spans="1:41">
      <c r="A42" s="17" t="s">
        <v>64</v>
      </c>
      <c r="B42" s="50"/>
      <c r="C42" s="50"/>
      <c r="D42" s="50"/>
      <c r="E42" s="57"/>
      <c r="F42" s="50"/>
      <c r="G42" s="58"/>
      <c r="H42" s="50"/>
      <c r="I42" s="57"/>
      <c r="J42" s="52"/>
      <c r="K42" s="32"/>
      <c r="L42" s="50"/>
      <c r="M42" s="50"/>
      <c r="N42" s="50"/>
      <c r="O42" s="50"/>
      <c r="P42" s="50"/>
      <c r="Q42" s="50"/>
      <c r="R42" s="50"/>
      <c r="S42" s="57"/>
      <c r="T42" s="50"/>
      <c r="U42" s="51"/>
      <c r="V42" s="50"/>
      <c r="W42" s="51"/>
      <c r="X42" s="52"/>
      <c r="Y42" s="144"/>
      <c r="Z42" s="50"/>
      <c r="AA42" s="51"/>
      <c r="AB42" s="50"/>
      <c r="AC42" s="51"/>
      <c r="AD42" s="50"/>
      <c r="AE42" s="51"/>
      <c r="AF42" s="50"/>
      <c r="AG42" s="57"/>
      <c r="AH42" s="31">
        <f>COUNTIFS(AllMusters25!$AV$15:$AV$147,"I",(AllMusters25!$F$15:$F$147),"9")</f>
        <v>3</v>
      </c>
      <c r="AI42" s="22">
        <f>COUNTIFS(AllMusters25!$AV$15:$AV$147,"I",(AllMusters25!$F$15:$F$147),"10")</f>
        <v>2</v>
      </c>
      <c r="AJ42" s="31">
        <f>COUNTIFS(AllMusters25!$AV$15:$AV$147,"I",(AllMusters25!$F$15:$F$147),"11")</f>
        <v>4</v>
      </c>
      <c r="AK42" s="22">
        <f>COUNTIFS(AllMusters25!$AV$15:$AV$147,"I",(AllMusters25!$F$15:$F$147),"12")</f>
        <v>3</v>
      </c>
      <c r="AL42" s="21">
        <f>(SUM($AH42:$AK42))</f>
        <v>12</v>
      </c>
      <c r="AM42" s="32">
        <f>(SUM(AL42))/SUM($AH$1:$AK$1)</f>
        <v>0.75</v>
      </c>
      <c r="AN42" s="12">
        <f t="shared" si="17"/>
        <v>12</v>
      </c>
      <c r="AO42" s="26">
        <f>(SUM($AL42)/SUM($AH$1:$AK$1))</f>
        <v>0.75</v>
      </c>
    </row>
    <row r="43" spans="1:41">
      <c r="A43" s="173" t="s">
        <v>65</v>
      </c>
      <c r="B43" s="50"/>
      <c r="C43" s="50"/>
      <c r="D43" s="50"/>
      <c r="E43" s="57"/>
      <c r="F43" s="50"/>
      <c r="G43" s="58"/>
      <c r="H43" s="50"/>
      <c r="I43" s="57"/>
      <c r="J43" s="52"/>
      <c r="K43" s="32"/>
      <c r="L43" s="50"/>
      <c r="M43" s="50"/>
      <c r="N43" s="50"/>
      <c r="O43" s="50"/>
      <c r="P43" s="50"/>
      <c r="Q43" s="50"/>
      <c r="R43" s="50"/>
      <c r="S43" s="57"/>
      <c r="T43" s="50"/>
      <c r="U43" s="51"/>
      <c r="V43" s="50"/>
      <c r="W43" s="51"/>
      <c r="X43" s="52"/>
      <c r="Y43" s="144"/>
      <c r="Z43" s="50"/>
      <c r="AA43" s="51"/>
      <c r="AB43" s="50"/>
      <c r="AC43" s="51"/>
      <c r="AD43" s="50"/>
      <c r="AE43" s="51"/>
      <c r="AF43" s="50"/>
      <c r="AG43" s="57"/>
      <c r="AH43" s="50"/>
      <c r="AI43" s="57"/>
      <c r="AJ43" s="31">
        <v>2</v>
      </c>
      <c r="AK43" s="22">
        <f>COUNTIFS(AllMusters25!$AV$15:$AV$147,"I",(AllMusters25!$F$15:$F$147),"12")</f>
        <v>3</v>
      </c>
      <c r="AL43" s="21">
        <f>(SUM($AH43:$AK43))</f>
        <v>5</v>
      </c>
      <c r="AM43" s="32">
        <f>(SUM(AL43))/SUM($AH$1:$AK$1)</f>
        <v>0.3125</v>
      </c>
      <c r="AN43" s="12">
        <f t="shared" ref="AN43" si="18">SUM(J43,X43,AL43)</f>
        <v>5</v>
      </c>
      <c r="AO43" s="26">
        <f>(SUM($AL43)/SUM($AH$1:$AK$1))</f>
        <v>0.3125</v>
      </c>
    </row>
    <row r="44" spans="1:41">
      <c r="A44" s="173" t="s">
        <v>71</v>
      </c>
      <c r="B44" s="21">
        <v>2</v>
      </c>
      <c r="C44" s="22">
        <v>2</v>
      </c>
      <c r="D44" s="21">
        <v>3</v>
      </c>
      <c r="E44" s="22">
        <v>3</v>
      </c>
      <c r="F44" s="21">
        <v>1</v>
      </c>
      <c r="G44" s="22">
        <v>4</v>
      </c>
      <c r="H44" s="21">
        <v>3</v>
      </c>
      <c r="I44" s="22">
        <v>2</v>
      </c>
      <c r="J44" s="21">
        <v>20</v>
      </c>
      <c r="K44" s="32">
        <v>0.67</v>
      </c>
      <c r="L44" s="174">
        <v>1</v>
      </c>
      <c r="M44" s="175">
        <v>2</v>
      </c>
      <c r="N44" s="174">
        <v>2</v>
      </c>
      <c r="O44" s="175">
        <v>1</v>
      </c>
      <c r="P44" s="174">
        <v>2</v>
      </c>
      <c r="Q44" s="175">
        <v>2</v>
      </c>
      <c r="R44" s="174">
        <v>1</v>
      </c>
      <c r="S44" s="175">
        <v>0</v>
      </c>
      <c r="T44" s="50"/>
      <c r="U44" s="51"/>
      <c r="V44" s="50"/>
      <c r="W44" s="51"/>
      <c r="X44" s="174">
        <v>11</v>
      </c>
      <c r="Y44" s="176">
        <v>0.47</v>
      </c>
      <c r="Z44" s="50"/>
      <c r="AA44" s="50"/>
      <c r="AB44" s="50"/>
      <c r="AC44" s="51"/>
      <c r="AD44" s="50"/>
      <c r="AE44" s="51"/>
      <c r="AF44" s="50"/>
      <c r="AG44" s="51"/>
      <c r="AH44" s="50"/>
      <c r="AI44" s="57"/>
      <c r="AJ44" s="21">
        <v>2</v>
      </c>
      <c r="AK44" s="22">
        <f>COUNTIFS(AllMusters25!$AH$15:$AH$147,"I",(AllMusters25!$F$15:$F$147),"12")</f>
        <v>3</v>
      </c>
      <c r="AL44" s="21">
        <f t="shared" ref="AL44" si="19">(SUM($Z44:$AK44))</f>
        <v>5</v>
      </c>
      <c r="AM44" s="32">
        <f t="shared" ref="AM44" si="20">(SUM(AL44))/SUM($AL$1)</f>
        <v>0.10204081632653061</v>
      </c>
      <c r="AN44" s="12">
        <f>SUM(J44,X44,AL44)</f>
        <v>36</v>
      </c>
      <c r="AO44" s="26">
        <f>(SUM(AN44))/SUM($AN$2)</f>
        <v>0.27906976744186046</v>
      </c>
    </row>
  </sheetData>
  <mergeCells count="3">
    <mergeCell ref="K1:K2"/>
    <mergeCell ref="Y1:Y2"/>
    <mergeCell ref="AM1:AM2"/>
  </mergeCells>
  <conditionalFormatting sqref="K4:K16 K18:K35">
    <cfRule type="cellIs" dxfId="938" priority="26" operator="between">
      <formula>0.6</formula>
      <formula>1</formula>
    </cfRule>
    <cfRule type="cellIs" dxfId="937" priority="27" operator="between">
      <formula>0.4</formula>
      <formula>0.6</formula>
    </cfRule>
    <cfRule type="cellIs" dxfId="936" priority="28" operator="between">
      <formula>0</formula>
      <formula>0.39</formula>
    </cfRule>
  </conditionalFormatting>
  <conditionalFormatting sqref="K39">
    <cfRule type="cellIs" dxfId="935" priority="4" operator="between">
      <formula>0.6</formula>
      <formula>1</formula>
    </cfRule>
    <cfRule type="cellIs" dxfId="934" priority="5" operator="between">
      <formula>0.4</formula>
      <formula>0.6</formula>
    </cfRule>
    <cfRule type="cellIs" dxfId="933" priority="6" operator="between">
      <formula>0</formula>
      <formula>0.39</formula>
    </cfRule>
  </conditionalFormatting>
  <conditionalFormatting sqref="K44">
    <cfRule type="cellIs" dxfId="932" priority="1" operator="between">
      <formula>0.6</formula>
      <formula>1</formula>
    </cfRule>
    <cfRule type="cellIs" dxfId="931" priority="2" operator="between">
      <formula>0.4</formula>
      <formula>0.6</formula>
    </cfRule>
    <cfRule type="cellIs" dxfId="930" priority="3" operator="between">
      <formula>0</formula>
      <formula>0.39</formula>
    </cfRule>
  </conditionalFormatting>
  <conditionalFormatting sqref="Y4:Y16 AM4:AM44 Y18:Y43">
    <cfRule type="cellIs" dxfId="929" priority="23" operator="between">
      <formula>0.6</formula>
      <formula>1</formula>
    </cfRule>
    <cfRule type="cellIs" dxfId="928" priority="60" operator="between">
      <formula>0.199</formula>
      <formula>0.599</formula>
    </cfRule>
    <cfRule type="cellIs" dxfId="927" priority="61" operator="between">
      <formula>0</formula>
      <formula>0.199</formula>
    </cfRule>
  </conditionalFormatting>
  <conditionalFormatting sqref="AO4:AO44">
    <cfRule type="cellIs" dxfId="926" priority="7" operator="between">
      <formula>0.199</formula>
      <formula>1</formula>
    </cfRule>
    <cfRule type="cellIs" dxfId="925" priority="8" operator="between">
      <formula>0.0999</formula>
      <formula>0.199</formula>
    </cfRule>
    <cfRule type="cellIs" dxfId="924" priority="9" operator="between">
      <formula>0</formula>
      <formula>0.0999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05F1-694E-48A8-84FE-8D6B13C86470}">
  <dimension ref="A1:BS666"/>
  <sheetViews>
    <sheetView tabSelected="1" zoomScale="85" zoomScaleNormal="85" workbookViewId="0">
      <pane ySplit="2" topLeftCell="A165" activePane="bottomLeft" state="frozen"/>
      <selection pane="bottomLeft" activeCell="J675" sqref="J675"/>
      <selection activeCell="K1" sqref="K1"/>
    </sheetView>
  </sheetViews>
  <sheetFormatPr defaultRowHeight="15"/>
  <cols>
    <col min="1" max="1" width="4.140625" customWidth="1"/>
    <col min="2" max="2" width="20.28515625" style="75" customWidth="1"/>
    <col min="3" max="3" width="10" style="78" customWidth="1"/>
    <col min="4" max="4" width="11.5703125" style="78" customWidth="1"/>
    <col min="5" max="5" width="11.5703125" style="7" customWidth="1"/>
    <col min="6" max="6" width="6.140625" customWidth="1"/>
    <col min="7" max="7" width="4.5703125" customWidth="1"/>
    <col min="8" max="8" width="18" customWidth="1"/>
    <col min="9" max="9" width="11.28515625" customWidth="1"/>
    <col min="10" max="10" width="12.7109375" style="71" customWidth="1"/>
    <col min="11" max="12" width="9.5703125" style="87" customWidth="1"/>
    <col min="13" max="13" width="13.85546875" style="7" customWidth="1"/>
    <col min="14" max="14" width="22.85546875" style="7" customWidth="1"/>
    <col min="15" max="15" width="21.140625" style="7" customWidth="1"/>
    <col min="16" max="16" width="26.85546875" style="7" customWidth="1"/>
    <col min="17" max="17" width="3.28515625" style="100" customWidth="1"/>
    <col min="18" max="18" width="34" style="7" customWidth="1"/>
    <col min="19" max="19" width="27.28515625" style="7" customWidth="1"/>
    <col min="20" max="20" width="38.7109375" customWidth="1"/>
    <col min="21" max="21" width="41.140625" customWidth="1"/>
    <col min="22" max="22" width="28" bestFit="1" customWidth="1"/>
    <col min="23" max="23" width="15.140625" bestFit="1" customWidth="1"/>
    <col min="24" max="30" width="5" bestFit="1" customWidth="1"/>
    <col min="31" max="31" width="5" customWidth="1"/>
    <col min="32" max="36" width="5" bestFit="1" customWidth="1"/>
    <col min="37" max="37" width="5" customWidth="1"/>
    <col min="38" max="46" width="5" bestFit="1" customWidth="1"/>
    <col min="47" max="50" width="5" customWidth="1"/>
    <col min="51" max="51" width="4.5703125" bestFit="1" customWidth="1"/>
    <col min="52" max="52" width="5" bestFit="1" customWidth="1"/>
    <col min="53" max="58" width="5" style="68" bestFit="1" customWidth="1"/>
    <col min="59" max="59" width="5" style="68" customWidth="1"/>
    <col min="60" max="60" width="4.5703125" style="68" bestFit="1" customWidth="1"/>
    <col min="61" max="64" width="4.5703125" style="68" customWidth="1"/>
    <col min="65" max="67" width="4.5703125" style="68" bestFit="1" customWidth="1"/>
    <col min="68" max="68" width="4.5703125" style="154" bestFit="1" customWidth="1"/>
    <col min="69" max="69" width="17.85546875" style="74" bestFit="1" customWidth="1"/>
    <col min="70" max="70" width="84.140625" bestFit="1" customWidth="1"/>
    <col min="71" max="71" width="62.85546875" customWidth="1"/>
  </cols>
  <sheetData>
    <row r="1" spans="1:71" ht="172.5" customHeight="1">
      <c r="A1" t="s">
        <v>72</v>
      </c>
      <c r="B1" s="75" t="s">
        <v>73</v>
      </c>
      <c r="C1" s="78" t="s">
        <v>74</v>
      </c>
      <c r="D1" s="78" t="s">
        <v>75</v>
      </c>
      <c r="E1" s="7" t="s">
        <v>76</v>
      </c>
      <c r="F1" s="1" t="s">
        <v>77</v>
      </c>
      <c r="G1" s="1" t="s">
        <v>78</v>
      </c>
      <c r="H1" t="s">
        <v>79</v>
      </c>
      <c r="I1" s="10" t="s">
        <v>80</v>
      </c>
      <c r="J1" s="72" t="s">
        <v>5</v>
      </c>
      <c r="K1" s="127" t="s">
        <v>81</v>
      </c>
      <c r="L1" s="127" t="s">
        <v>82</v>
      </c>
      <c r="M1" s="7" t="s">
        <v>83</v>
      </c>
      <c r="N1" s="7" t="s">
        <v>84</v>
      </c>
      <c r="O1" s="7" t="s">
        <v>85</v>
      </c>
      <c r="P1" s="7" t="s">
        <v>86</v>
      </c>
      <c r="Q1" s="149" t="s">
        <v>87</v>
      </c>
      <c r="R1" s="7" t="s">
        <v>88</v>
      </c>
      <c r="S1" s="7" t="s">
        <v>89</v>
      </c>
      <c r="T1" t="s">
        <v>90</v>
      </c>
      <c r="U1" t="s">
        <v>91</v>
      </c>
      <c r="V1" t="s">
        <v>92</v>
      </c>
      <c r="W1" t="s">
        <v>93</v>
      </c>
      <c r="X1" s="133" t="s">
        <v>21</v>
      </c>
      <c r="Y1" s="133" t="s">
        <v>23</v>
      </c>
      <c r="Z1" s="133" t="s">
        <v>24</v>
      </c>
      <c r="AA1" s="133" t="s">
        <v>25</v>
      </c>
      <c r="AB1" s="133" t="s">
        <v>26</v>
      </c>
      <c r="AC1" s="133" t="s">
        <v>27</v>
      </c>
      <c r="AD1" s="133" t="s">
        <v>28</v>
      </c>
      <c r="AE1" s="133" t="s">
        <v>29</v>
      </c>
      <c r="AF1" s="133" t="s">
        <v>30</v>
      </c>
      <c r="AG1" s="133" t="s">
        <v>32</v>
      </c>
      <c r="AH1" s="133" t="s">
        <v>34</v>
      </c>
      <c r="AI1" s="133" t="s">
        <v>35</v>
      </c>
      <c r="AJ1" s="133" t="s">
        <v>36</v>
      </c>
      <c r="AK1" s="133" t="s">
        <v>37</v>
      </c>
      <c r="AL1" s="133" t="s">
        <v>38</v>
      </c>
      <c r="AM1" s="133" t="s">
        <v>39</v>
      </c>
      <c r="AN1" s="133" t="s">
        <v>40</v>
      </c>
      <c r="AO1" s="133" t="s">
        <v>41</v>
      </c>
      <c r="AP1" s="133" t="s">
        <v>42</v>
      </c>
      <c r="AQ1" s="133" t="s">
        <v>43</v>
      </c>
      <c r="AR1" s="133" t="s">
        <v>44</v>
      </c>
      <c r="AS1" s="133" t="s">
        <v>45</v>
      </c>
      <c r="AT1" s="133" t="s">
        <v>46</v>
      </c>
      <c r="AU1" s="133" t="s">
        <v>47</v>
      </c>
      <c r="AV1" s="133" t="s">
        <v>48</v>
      </c>
      <c r="AW1" s="133" t="s">
        <v>49</v>
      </c>
      <c r="AX1" s="133" t="s">
        <v>50</v>
      </c>
      <c r="AY1" s="133" t="s">
        <v>51</v>
      </c>
      <c r="AZ1" s="133" t="s">
        <v>52</v>
      </c>
      <c r="BA1" s="134" t="s">
        <v>53</v>
      </c>
      <c r="BB1" s="134" t="s">
        <v>55</v>
      </c>
      <c r="BC1" s="134" t="s">
        <v>56</v>
      </c>
      <c r="BD1" s="134" t="s">
        <v>58</v>
      </c>
      <c r="BE1" s="134" t="s">
        <v>59</v>
      </c>
      <c r="BF1" s="134" t="s">
        <v>60</v>
      </c>
      <c r="BG1" s="134" t="s">
        <v>61</v>
      </c>
      <c r="BH1" s="134" t="s">
        <v>62</v>
      </c>
      <c r="BI1" s="134" t="s">
        <v>63</v>
      </c>
      <c r="BJ1" s="134" t="s">
        <v>64</v>
      </c>
      <c r="BK1" s="134" t="s">
        <v>65</v>
      </c>
      <c r="BL1" s="134" t="s">
        <v>66</v>
      </c>
      <c r="BM1" s="134" t="s">
        <v>94</v>
      </c>
      <c r="BN1" s="134" t="s">
        <v>95</v>
      </c>
      <c r="BO1" s="134" t="s">
        <v>96</v>
      </c>
      <c r="BP1" s="150" t="s">
        <v>97</v>
      </c>
      <c r="BQ1" s="73" t="s">
        <v>98</v>
      </c>
      <c r="BR1" t="s">
        <v>99</v>
      </c>
    </row>
    <row r="2" spans="1:71" s="74" customFormat="1" ht="42.75" hidden="1" customHeight="1">
      <c r="A2" s="88" t="s">
        <v>100</v>
      </c>
      <c r="B2" s="89"/>
      <c r="C2" s="90">
        <f>MAX($A15:$A1653)</f>
        <v>652</v>
      </c>
      <c r="D2" s="86"/>
      <c r="E2" s="90"/>
      <c r="F2" s="74">
        <f>(C2+1)</f>
        <v>653</v>
      </c>
      <c r="I2" s="91"/>
      <c r="J2" s="70">
        <f ca="1">TODAY()</f>
        <v>46055</v>
      </c>
      <c r="K2" s="96"/>
      <c r="L2" s="96"/>
      <c r="M2" s="92"/>
      <c r="N2" s="92"/>
      <c r="O2" s="93" t="s">
        <v>101</v>
      </c>
      <c r="P2" s="92" t="s">
        <v>102</v>
      </c>
      <c r="Q2" s="87"/>
      <c r="R2" s="87">
        <f>MAX($L15:$L1653)+1</f>
        <v>665</v>
      </c>
      <c r="S2" s="92"/>
      <c r="V2" s="139" t="s">
        <v>103</v>
      </c>
      <c r="W2" s="139" t="str">
        <f>$T3 &amp; ", " &amp; T4+ T5 &amp; ", " &amp; T6</f>
        <v>8, 10, 0</v>
      </c>
      <c r="X2" s="94" t="s">
        <v>22</v>
      </c>
      <c r="Y2" s="94" t="s">
        <v>22</v>
      </c>
      <c r="Z2" s="94" t="s">
        <v>22</v>
      </c>
      <c r="AA2" s="94" t="s">
        <v>22</v>
      </c>
      <c r="AB2" s="94" t="s">
        <v>22</v>
      </c>
      <c r="AC2" s="94" t="s">
        <v>22</v>
      </c>
      <c r="AD2" s="94" t="s">
        <v>22</v>
      </c>
      <c r="AE2" s="94" t="s">
        <v>22</v>
      </c>
      <c r="AF2" s="94" t="s">
        <v>31</v>
      </c>
      <c r="AG2" s="94" t="s">
        <v>33</v>
      </c>
      <c r="AH2" s="94" t="s">
        <v>31</v>
      </c>
      <c r="AI2" s="94" t="s">
        <v>31</v>
      </c>
      <c r="AJ2" s="94" t="s">
        <v>33</v>
      </c>
      <c r="AK2" s="94" t="s">
        <v>33</v>
      </c>
      <c r="AL2" s="94"/>
      <c r="AM2" s="94" t="s">
        <v>33</v>
      </c>
      <c r="AN2" s="94" t="s">
        <v>33</v>
      </c>
      <c r="AO2" s="94"/>
      <c r="AP2" s="94"/>
      <c r="AQ2" s="94"/>
      <c r="AR2" s="141" t="s">
        <v>33</v>
      </c>
      <c r="AS2" s="94" t="s">
        <v>33</v>
      </c>
      <c r="AT2" s="94"/>
      <c r="AU2" s="94"/>
      <c r="AV2" s="94"/>
      <c r="AW2" s="118"/>
      <c r="AX2" s="118"/>
      <c r="AY2" s="94"/>
      <c r="AZ2" s="94"/>
      <c r="BA2" s="118"/>
      <c r="BB2" s="118"/>
      <c r="BC2" s="118"/>
      <c r="BD2" s="131"/>
      <c r="BE2" s="131"/>
      <c r="BF2" s="131"/>
      <c r="BG2" s="131" t="s">
        <v>104</v>
      </c>
      <c r="BH2" s="131" t="s">
        <v>104</v>
      </c>
      <c r="BI2" s="131" t="s">
        <v>104</v>
      </c>
      <c r="BJ2" s="131" t="s">
        <v>104</v>
      </c>
      <c r="BK2" s="131"/>
      <c r="BL2" s="131"/>
      <c r="BM2" s="128">
        <f t="shared" ref="BM2:BM65" si="0">COUNTIF($X2:$BF2, "I")</f>
        <v>0</v>
      </c>
      <c r="BN2" s="128">
        <f t="shared" ref="BN2:BN65" si="1">COUNTIFS($X2:$BF2, "I",$X$2:$BF$2, "DR" )</f>
        <v>0</v>
      </c>
      <c r="BO2" s="128">
        <f t="shared" ref="BO2:BO65" si="2">COUNTIFS($X2:$BF2, "I",$X$5:$BF$5, "OF" )</f>
        <v>0</v>
      </c>
      <c r="BP2" s="151">
        <f t="shared" ref="BP2:BP65" si="3">COUNTIFS($X2:$BF2, "I",$X$5:$BF$5, "FF" )</f>
        <v>0</v>
      </c>
    </row>
    <row r="3" spans="1:71" ht="15" hidden="1" customHeight="1">
      <c r="A3" s="82"/>
      <c r="C3" s="86" t="s">
        <v>105</v>
      </c>
      <c r="D3" s="87">
        <f>COUNTIF($K$15:$K$1769, "1")</f>
        <v>57</v>
      </c>
      <c r="E3" s="83"/>
      <c r="I3" s="84"/>
      <c r="J3" s="70"/>
      <c r="K3" s="96"/>
      <c r="L3" s="96"/>
      <c r="O3" s="85"/>
      <c r="T3" s="140">
        <f>COUNTIF($X$2:$BF$2, "OF")</f>
        <v>8</v>
      </c>
      <c r="V3" s="3" t="s">
        <v>106</v>
      </c>
      <c r="W3" s="3">
        <f>COUNTIF($X$3:$BF$3, "C")</f>
        <v>20</v>
      </c>
      <c r="X3" s="137" t="s">
        <v>107</v>
      </c>
      <c r="Y3" s="137" t="s">
        <v>107</v>
      </c>
      <c r="Z3" s="137"/>
      <c r="AA3" s="137"/>
      <c r="AB3" s="137"/>
      <c r="AC3" s="137" t="s">
        <v>107</v>
      </c>
      <c r="AD3" s="137" t="s">
        <v>107</v>
      </c>
      <c r="AE3" s="137" t="s">
        <v>107</v>
      </c>
      <c r="AF3" s="137" t="s">
        <v>107</v>
      </c>
      <c r="AG3" s="137" t="s">
        <v>107</v>
      </c>
      <c r="AH3" s="137" t="s">
        <v>107</v>
      </c>
      <c r="AI3" s="137" t="s">
        <v>107</v>
      </c>
      <c r="AJ3" s="137" t="s">
        <v>107</v>
      </c>
      <c r="AK3" s="137" t="s">
        <v>107</v>
      </c>
      <c r="AL3" s="137" t="s">
        <v>107</v>
      </c>
      <c r="AM3" s="137" t="s">
        <v>107</v>
      </c>
      <c r="AN3" s="137" t="s">
        <v>107</v>
      </c>
      <c r="AO3" s="137" t="s">
        <v>107</v>
      </c>
      <c r="AP3" s="137" t="s">
        <v>107</v>
      </c>
      <c r="AQ3" s="137" t="s">
        <v>107</v>
      </c>
      <c r="AR3" s="137" t="s">
        <v>107</v>
      </c>
      <c r="AS3" s="137" t="s">
        <v>107</v>
      </c>
      <c r="AT3" s="137"/>
      <c r="AU3" s="137"/>
      <c r="AV3" s="137"/>
      <c r="AW3" s="138"/>
      <c r="AX3" s="138"/>
      <c r="AY3" s="137" t="s">
        <v>107</v>
      </c>
      <c r="AZ3" s="137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6">
        <f t="shared" si="0"/>
        <v>0</v>
      </c>
      <c r="BN3" s="136">
        <f t="shared" si="1"/>
        <v>0</v>
      </c>
      <c r="BO3" s="136">
        <f t="shared" si="2"/>
        <v>0</v>
      </c>
      <c r="BP3" s="152">
        <f t="shared" si="3"/>
        <v>0</v>
      </c>
      <c r="BQ3" s="74" t="s">
        <v>108</v>
      </c>
      <c r="BR3" s="3">
        <f>COUNTIF(BO:BO, 1)+COUNTIF(BO:BO, 0)</f>
        <v>104</v>
      </c>
      <c r="BS3" s="3"/>
    </row>
    <row r="4" spans="1:71" ht="15" hidden="1" customHeight="1">
      <c r="A4" s="82"/>
      <c r="C4" s="86" t="s">
        <v>109</v>
      </c>
      <c r="D4" s="87">
        <f>COUNTIF($K$15:$K$1769, "2")</f>
        <v>48</v>
      </c>
      <c r="E4" s="83"/>
      <c r="I4" s="84"/>
      <c r="J4" s="70"/>
      <c r="K4" s="96"/>
      <c r="L4" s="96"/>
      <c r="O4" s="85"/>
      <c r="T4" s="140"/>
      <c r="V4" s="3" t="s">
        <v>110</v>
      </c>
      <c r="W4" s="3">
        <f>COUNTIF($X$4:$BF$4, "BA")</f>
        <v>6</v>
      </c>
      <c r="X4" s="137"/>
      <c r="Y4" s="137" t="s">
        <v>111</v>
      </c>
      <c r="Z4" s="137"/>
      <c r="AA4" s="137"/>
      <c r="AB4" s="137"/>
      <c r="AC4" s="137"/>
      <c r="AD4" s="137" t="s">
        <v>111</v>
      </c>
      <c r="AE4" s="137" t="s">
        <v>111</v>
      </c>
      <c r="AF4" s="137"/>
      <c r="AG4" s="137"/>
      <c r="AH4" s="137" t="s">
        <v>111</v>
      </c>
      <c r="AI4" s="137" t="s">
        <v>111</v>
      </c>
      <c r="AJ4" s="137"/>
      <c r="AK4" s="137"/>
      <c r="AL4" s="137"/>
      <c r="AM4" s="137" t="s">
        <v>111</v>
      </c>
      <c r="AN4" s="137"/>
      <c r="AO4" s="137"/>
      <c r="AP4" s="137"/>
      <c r="AQ4" s="137"/>
      <c r="AR4" s="137"/>
      <c r="AS4" s="137"/>
      <c r="AT4" s="137"/>
      <c r="AU4" s="137"/>
      <c r="AV4" s="137"/>
      <c r="AW4" s="138"/>
      <c r="AX4" s="138"/>
      <c r="AY4" s="137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6">
        <f t="shared" si="0"/>
        <v>0</v>
      </c>
      <c r="BN4" s="136">
        <f t="shared" si="1"/>
        <v>0</v>
      </c>
      <c r="BO4" s="136">
        <f t="shared" si="2"/>
        <v>0</v>
      </c>
      <c r="BP4" s="152">
        <f t="shared" si="3"/>
        <v>0</v>
      </c>
      <c r="BQ4" s="74" t="s">
        <v>112</v>
      </c>
      <c r="BR4" s="3">
        <f>COUNTIF(BN:BN,1)+COUNTIF(BN:BN,0)</f>
        <v>150</v>
      </c>
      <c r="BS4" s="3"/>
    </row>
    <row r="5" spans="1:71" ht="15" hidden="1" customHeight="1">
      <c r="A5" s="82"/>
      <c r="C5" s="86" t="s">
        <v>113</v>
      </c>
      <c r="D5" s="87">
        <f>COUNTIF($K$15:$K$1769, "3")</f>
        <v>70</v>
      </c>
      <c r="E5" s="83"/>
      <c r="I5" s="84"/>
      <c r="J5" s="70"/>
      <c r="K5" s="96"/>
      <c r="L5" s="96"/>
      <c r="O5" s="85"/>
      <c r="T5" s="140">
        <f xml:space="preserve"> COUNTIF($X$2:$BF$2, "DR*")</f>
        <v>10</v>
      </c>
      <c r="X5" s="137" t="s">
        <v>22</v>
      </c>
      <c r="Y5" s="137" t="s">
        <v>22</v>
      </c>
      <c r="Z5" s="137" t="s">
        <v>22</v>
      </c>
      <c r="AA5" s="137" t="s">
        <v>22</v>
      </c>
      <c r="AB5" s="137" t="s">
        <v>22</v>
      </c>
      <c r="AC5" s="137" t="s">
        <v>22</v>
      </c>
      <c r="AD5" s="137" t="s">
        <v>22</v>
      </c>
      <c r="AE5" s="137" t="s">
        <v>114</v>
      </c>
      <c r="AF5" s="137" t="s">
        <v>114</v>
      </c>
      <c r="AG5" s="137" t="s">
        <v>114</v>
      </c>
      <c r="AH5" s="137" t="s">
        <v>114</v>
      </c>
      <c r="AI5" s="137" t="s">
        <v>114</v>
      </c>
      <c r="AJ5" s="137" t="s">
        <v>114</v>
      </c>
      <c r="AK5" s="137" t="s">
        <v>114</v>
      </c>
      <c r="AL5" s="137" t="s">
        <v>114</v>
      </c>
      <c r="AM5" s="137" t="s">
        <v>114</v>
      </c>
      <c r="AN5" s="137" t="s">
        <v>114</v>
      </c>
      <c r="AO5" s="137" t="s">
        <v>114</v>
      </c>
      <c r="AP5" s="137" t="s">
        <v>114</v>
      </c>
      <c r="AQ5" s="137" t="s">
        <v>114</v>
      </c>
      <c r="AR5" s="137" t="s">
        <v>114</v>
      </c>
      <c r="AS5" s="137" t="s">
        <v>114</v>
      </c>
      <c r="AT5" s="137" t="s">
        <v>114</v>
      </c>
      <c r="AU5" s="137" t="s">
        <v>114</v>
      </c>
      <c r="AV5" s="137" t="s">
        <v>114</v>
      </c>
      <c r="AW5" s="137" t="s">
        <v>114</v>
      </c>
      <c r="AX5" s="137" t="s">
        <v>114</v>
      </c>
      <c r="AY5" s="137" t="s">
        <v>114</v>
      </c>
      <c r="AZ5" s="137" t="s">
        <v>114</v>
      </c>
      <c r="BA5" s="137" t="s">
        <v>114</v>
      </c>
      <c r="BB5" s="137" t="s">
        <v>114</v>
      </c>
      <c r="BC5" s="137" t="s">
        <v>114</v>
      </c>
      <c r="BD5" s="138"/>
      <c r="BE5" s="138"/>
      <c r="BF5" s="138"/>
      <c r="BG5" s="138"/>
      <c r="BH5" s="138"/>
      <c r="BI5" s="138"/>
      <c r="BJ5" s="138"/>
      <c r="BK5" s="138"/>
      <c r="BL5" s="138"/>
      <c r="BM5" s="136">
        <f t="shared" si="0"/>
        <v>0</v>
      </c>
      <c r="BN5" s="136">
        <f t="shared" si="1"/>
        <v>0</v>
      </c>
      <c r="BO5" s="136">
        <f t="shared" si="2"/>
        <v>0</v>
      </c>
      <c r="BP5" s="152">
        <f t="shared" si="3"/>
        <v>0</v>
      </c>
      <c r="BQ5" s="74" t="s">
        <v>115</v>
      </c>
      <c r="BR5" s="3">
        <f>COUNTIF(BM:BM,1)+COUNTIF(BM:BM,0)+COUNTIF(BM:BM,2)+COUNTIF(BM:BM,3)+COUNTIF(BM:BM,4)+COUNTIF(BM:BM,5)</f>
        <v>28</v>
      </c>
      <c r="BS5" s="3"/>
    </row>
    <row r="6" spans="1:71" ht="15" hidden="1" customHeight="1">
      <c r="A6" s="82"/>
      <c r="C6" s="86" t="s">
        <v>116</v>
      </c>
      <c r="D6" s="87">
        <f>COUNTIF($K$15:$K$1769, "4")</f>
        <v>42</v>
      </c>
      <c r="E6" s="83"/>
      <c r="I6" s="84"/>
      <c r="J6" s="70"/>
      <c r="K6" s="96"/>
      <c r="L6" s="96"/>
      <c r="O6" s="85"/>
      <c r="T6" s="140">
        <f>COUNTIF($X$2:$BF$2, "RC")</f>
        <v>0</v>
      </c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8"/>
      <c r="AX6" s="138"/>
      <c r="AY6" s="137"/>
      <c r="AZ6" s="137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  <c r="BM6" s="136">
        <f t="shared" si="0"/>
        <v>0</v>
      </c>
      <c r="BN6" s="136">
        <f t="shared" si="1"/>
        <v>0</v>
      </c>
      <c r="BO6" s="136">
        <f t="shared" si="2"/>
        <v>0</v>
      </c>
      <c r="BP6" s="152">
        <f t="shared" si="3"/>
        <v>0</v>
      </c>
      <c r="BQ6" s="74" t="s">
        <v>117</v>
      </c>
      <c r="BR6" s="3">
        <f>COUNTIF(BM:BM,1)+COUNTIF(BM:BM,0)+COUNTIF(BM:BM,2)+COUNTIF(BM:BM,3)+COUNTIF(BM:BM,4)+COUNTIF(BM:BM,5)+COUNTIF(BM:BM,6)+COUNTIF(BM:BM,7)</f>
        <v>89</v>
      </c>
      <c r="BS6" s="3"/>
    </row>
    <row r="7" spans="1:71" ht="15" hidden="1" customHeight="1">
      <c r="A7" s="82"/>
      <c r="C7" s="86" t="s">
        <v>6</v>
      </c>
      <c r="D7" s="87">
        <f>COUNTIF($K$15:$K$1769, "5")</f>
        <v>68</v>
      </c>
      <c r="E7" s="83"/>
      <c r="I7" s="84"/>
      <c r="J7" s="70"/>
      <c r="K7" s="96"/>
      <c r="L7" s="96"/>
      <c r="O7" s="85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8"/>
      <c r="AX7" s="138"/>
      <c r="AY7" s="137"/>
      <c r="AZ7" s="137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6">
        <f t="shared" si="0"/>
        <v>0</v>
      </c>
      <c r="BN7" s="136">
        <f t="shared" si="1"/>
        <v>0</v>
      </c>
      <c r="BO7" s="136">
        <f t="shared" si="2"/>
        <v>0</v>
      </c>
      <c r="BP7" s="152">
        <f t="shared" si="3"/>
        <v>0</v>
      </c>
      <c r="BQ7" s="74" t="s">
        <v>118</v>
      </c>
      <c r="BR7" s="3">
        <f>COUNTIF(Q:Q,2)+COUNTIF(Q:Q,3)</f>
        <v>66</v>
      </c>
      <c r="BS7" s="3"/>
    </row>
    <row r="8" spans="1:71" ht="15" hidden="1" customHeight="1">
      <c r="A8" s="82"/>
      <c r="C8" s="86" t="s">
        <v>7</v>
      </c>
      <c r="D8" s="87">
        <f>COUNTIF($K$15:$K$1769, "6")</f>
        <v>35</v>
      </c>
      <c r="E8" s="83"/>
      <c r="I8" s="84"/>
      <c r="J8" s="70"/>
      <c r="K8" s="96"/>
      <c r="L8" s="96"/>
      <c r="O8" s="85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8"/>
      <c r="AX8" s="138"/>
      <c r="AY8" s="137"/>
      <c r="AZ8" s="137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6">
        <f t="shared" si="0"/>
        <v>0</v>
      </c>
      <c r="BN8" s="136">
        <f t="shared" si="1"/>
        <v>0</v>
      </c>
      <c r="BO8" s="136">
        <f t="shared" si="2"/>
        <v>0</v>
      </c>
      <c r="BP8" s="152">
        <f t="shared" si="3"/>
        <v>0</v>
      </c>
    </row>
    <row r="9" spans="1:71" ht="15" hidden="1" customHeight="1">
      <c r="A9" s="82"/>
      <c r="C9" s="86" t="s">
        <v>8</v>
      </c>
      <c r="D9" s="87">
        <f>COUNTIF($K$15:$K$1769, "7")</f>
        <v>56</v>
      </c>
      <c r="E9" s="83"/>
      <c r="I9" s="84"/>
      <c r="J9" s="70"/>
      <c r="K9" s="96"/>
      <c r="L9" s="96"/>
      <c r="O9" s="85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8"/>
      <c r="AX9" s="138"/>
      <c r="AY9" s="137"/>
      <c r="AZ9" s="137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6">
        <f t="shared" si="0"/>
        <v>0</v>
      </c>
      <c r="BN9" s="136">
        <f t="shared" si="1"/>
        <v>0</v>
      </c>
      <c r="BO9" s="136">
        <f t="shared" si="2"/>
        <v>0</v>
      </c>
      <c r="BP9" s="152">
        <f t="shared" si="3"/>
        <v>0</v>
      </c>
      <c r="BQ9" s="74" t="s">
        <v>119</v>
      </c>
      <c r="BR9" s="3">
        <f>COUNTIF(BO:BO, 0)</f>
        <v>26</v>
      </c>
      <c r="BS9" s="3"/>
    </row>
    <row r="10" spans="1:71" ht="15" hidden="1" customHeight="1">
      <c r="A10" s="82"/>
      <c r="C10" s="86" t="s">
        <v>120</v>
      </c>
      <c r="D10" s="87">
        <f>COUNTIF($K$15:$K$1769, "8")</f>
        <v>53</v>
      </c>
      <c r="E10" s="83"/>
      <c r="I10" s="84"/>
      <c r="J10" s="70"/>
      <c r="K10" s="96"/>
      <c r="L10" s="96"/>
      <c r="O10" s="85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8"/>
      <c r="AX10" s="138"/>
      <c r="AY10" s="137"/>
      <c r="AZ10" s="137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6">
        <f t="shared" si="0"/>
        <v>0</v>
      </c>
      <c r="BN10" s="136">
        <f t="shared" si="1"/>
        <v>0</v>
      </c>
      <c r="BO10" s="136">
        <f t="shared" si="2"/>
        <v>0</v>
      </c>
      <c r="BP10" s="152">
        <f t="shared" si="3"/>
        <v>0</v>
      </c>
      <c r="BQ10" s="74" t="s">
        <v>121</v>
      </c>
      <c r="BR10" s="3">
        <f>COUNTIF(BN:BN,0)</f>
        <v>36</v>
      </c>
      <c r="BS10" s="3"/>
    </row>
    <row r="11" spans="1:71" ht="15" hidden="1" customHeight="1">
      <c r="A11" s="82"/>
      <c r="C11" s="86" t="s">
        <v>122</v>
      </c>
      <c r="D11" s="87">
        <f>COUNTIF($K$15:$K$1769, "9")</f>
        <v>47</v>
      </c>
      <c r="E11" s="83"/>
      <c r="I11" s="84"/>
      <c r="J11" s="70"/>
      <c r="K11" s="96"/>
      <c r="L11" s="96"/>
      <c r="O11" s="85"/>
      <c r="W11" s="148" t="s">
        <v>123</v>
      </c>
      <c r="X11" s="137">
        <f t="shared" ref="X11:BJ11" si="4">COUNTIF(X$15:X$951, "I")</f>
        <v>307</v>
      </c>
      <c r="Y11" s="137">
        <f t="shared" si="4"/>
        <v>360</v>
      </c>
      <c r="Z11" s="137">
        <f t="shared" si="4"/>
        <v>169</v>
      </c>
      <c r="AA11" s="137">
        <f t="shared" si="4"/>
        <v>431</v>
      </c>
      <c r="AB11" s="137">
        <f t="shared" si="4"/>
        <v>234</v>
      </c>
      <c r="AC11" s="137">
        <f t="shared" si="4"/>
        <v>128</v>
      </c>
      <c r="AD11" s="137">
        <f t="shared" si="4"/>
        <v>212</v>
      </c>
      <c r="AE11" s="137">
        <f t="shared" si="4"/>
        <v>187</v>
      </c>
      <c r="AF11" s="137">
        <f t="shared" si="4"/>
        <v>133</v>
      </c>
      <c r="AG11" s="137">
        <f t="shared" si="4"/>
        <v>142</v>
      </c>
      <c r="AH11" s="137">
        <f t="shared" si="4"/>
        <v>407</v>
      </c>
      <c r="AI11" s="137">
        <f t="shared" si="4"/>
        <v>218</v>
      </c>
      <c r="AJ11" s="137">
        <f t="shared" si="4"/>
        <v>392</v>
      </c>
      <c r="AK11" s="137">
        <f t="shared" si="4"/>
        <v>243</v>
      </c>
      <c r="AL11" s="137">
        <f t="shared" si="4"/>
        <v>219</v>
      </c>
      <c r="AM11" s="137">
        <f t="shared" si="4"/>
        <v>290</v>
      </c>
      <c r="AN11" s="137">
        <f t="shared" si="4"/>
        <v>125</v>
      </c>
      <c r="AO11" s="137">
        <f t="shared" si="4"/>
        <v>223</v>
      </c>
      <c r="AP11" s="137">
        <f t="shared" si="4"/>
        <v>126</v>
      </c>
      <c r="AQ11" s="137">
        <f t="shared" si="4"/>
        <v>54</v>
      </c>
      <c r="AR11" s="137">
        <f t="shared" si="4"/>
        <v>140</v>
      </c>
      <c r="AS11" s="137">
        <f t="shared" si="4"/>
        <v>256</v>
      </c>
      <c r="AT11" s="137">
        <f t="shared" si="4"/>
        <v>194</v>
      </c>
      <c r="AU11" s="137">
        <f t="shared" si="4"/>
        <v>112</v>
      </c>
      <c r="AV11" s="137">
        <f t="shared" si="4"/>
        <v>184</v>
      </c>
      <c r="AW11" s="137">
        <f t="shared" si="4"/>
        <v>232</v>
      </c>
      <c r="AX11" s="137">
        <f t="shared" si="4"/>
        <v>180</v>
      </c>
      <c r="AY11" s="137">
        <f t="shared" si="4"/>
        <v>135</v>
      </c>
      <c r="AZ11" s="137">
        <f t="shared" si="4"/>
        <v>207</v>
      </c>
      <c r="BA11" s="137">
        <f t="shared" si="4"/>
        <v>132</v>
      </c>
      <c r="BB11" s="137">
        <f t="shared" si="4"/>
        <v>107</v>
      </c>
      <c r="BC11" s="137">
        <f t="shared" si="4"/>
        <v>82</v>
      </c>
      <c r="BD11" s="137">
        <f t="shared" si="4"/>
        <v>153</v>
      </c>
      <c r="BE11" s="137">
        <f t="shared" si="4"/>
        <v>193</v>
      </c>
      <c r="BF11" s="137">
        <f t="shared" si="4"/>
        <v>287</v>
      </c>
      <c r="BG11" s="137">
        <f t="shared" si="4"/>
        <v>78</v>
      </c>
      <c r="BH11" s="137">
        <f t="shared" si="4"/>
        <v>139</v>
      </c>
      <c r="BI11" s="137">
        <f t="shared" si="4"/>
        <v>63</v>
      </c>
      <c r="BJ11" s="137">
        <f t="shared" si="4"/>
        <v>61</v>
      </c>
      <c r="BK11" s="137"/>
      <c r="BL11" s="137"/>
      <c r="BM11" s="136">
        <f t="shared" si="0"/>
        <v>0</v>
      </c>
      <c r="BN11" s="136">
        <f t="shared" si="1"/>
        <v>0</v>
      </c>
      <c r="BO11" s="136">
        <f t="shared" si="2"/>
        <v>0</v>
      </c>
      <c r="BP11" s="152">
        <f t="shared" si="3"/>
        <v>0</v>
      </c>
      <c r="BQ11" s="74" t="s">
        <v>124</v>
      </c>
      <c r="BR11" s="3">
        <f>COUNTIF(BM:BM,1)+COUNTIF(BM:BM,0)+COUNTIF(BM:BM,2)</f>
        <v>15</v>
      </c>
      <c r="BS11" s="3"/>
    </row>
    <row r="12" spans="1:71" ht="15" hidden="1" customHeight="1">
      <c r="A12" s="82"/>
      <c r="C12" s="86" t="s">
        <v>125</v>
      </c>
      <c r="D12" s="87">
        <f>COUNTIF($K$15:$K$1769, "10")</f>
        <v>39</v>
      </c>
      <c r="E12" s="83"/>
      <c r="I12" s="84"/>
      <c r="J12" s="70"/>
      <c r="K12" s="96"/>
      <c r="L12" s="96"/>
      <c r="O12" s="85"/>
      <c r="W12" s="148" t="s">
        <v>126</v>
      </c>
      <c r="X12" s="146">
        <f t="shared" ref="X12:BJ12" si="5">(X11/$C$2)</f>
        <v>0.47085889570552147</v>
      </c>
      <c r="Y12" s="147">
        <f t="shared" si="5"/>
        <v>0.55214723926380371</v>
      </c>
      <c r="Z12" s="147">
        <f t="shared" si="5"/>
        <v>0.25920245398773006</v>
      </c>
      <c r="AA12" s="147">
        <f t="shared" si="5"/>
        <v>0.66104294478527603</v>
      </c>
      <c r="AB12" s="147">
        <f t="shared" si="5"/>
        <v>0.35889570552147237</v>
      </c>
      <c r="AC12" s="147">
        <f t="shared" si="5"/>
        <v>0.19631901840490798</v>
      </c>
      <c r="AD12" s="147">
        <f t="shared" si="5"/>
        <v>0.32515337423312884</v>
      </c>
      <c r="AE12" s="147">
        <f t="shared" ref="AE12" si="6">(AE11/$C$2)</f>
        <v>0.28680981595092025</v>
      </c>
      <c r="AF12" s="147">
        <f t="shared" si="5"/>
        <v>0.20398773006134968</v>
      </c>
      <c r="AG12" s="147">
        <f t="shared" si="5"/>
        <v>0.21779141104294478</v>
      </c>
      <c r="AH12" s="147">
        <f t="shared" si="5"/>
        <v>0.62423312883435578</v>
      </c>
      <c r="AI12" s="147">
        <f t="shared" si="5"/>
        <v>0.33435582822085891</v>
      </c>
      <c r="AJ12" s="147">
        <f t="shared" si="5"/>
        <v>0.60122699386503065</v>
      </c>
      <c r="AK12" s="147">
        <f t="shared" ref="AK12" si="7">(AK11/$C$2)</f>
        <v>0.3726993865030675</v>
      </c>
      <c r="AL12" s="147">
        <f t="shared" si="5"/>
        <v>0.33588957055214724</v>
      </c>
      <c r="AM12" s="147">
        <f t="shared" si="5"/>
        <v>0.44478527607361962</v>
      </c>
      <c r="AN12" s="147">
        <f t="shared" si="5"/>
        <v>0.19171779141104295</v>
      </c>
      <c r="AO12" s="147">
        <f t="shared" si="5"/>
        <v>0.34202453987730064</v>
      </c>
      <c r="AP12" s="147">
        <f t="shared" si="5"/>
        <v>0.19325153374233128</v>
      </c>
      <c r="AQ12" s="147">
        <f t="shared" si="5"/>
        <v>8.2822085889570546E-2</v>
      </c>
      <c r="AR12" s="147">
        <f t="shared" si="5"/>
        <v>0.21472392638036811</v>
      </c>
      <c r="AS12" s="147">
        <f t="shared" si="5"/>
        <v>0.39263803680981596</v>
      </c>
      <c r="AT12" s="147">
        <f t="shared" ref="AT12:AX12" si="8">(AT11/$C$2)</f>
        <v>0.29754601226993865</v>
      </c>
      <c r="AU12" s="147">
        <f t="shared" si="8"/>
        <v>0.17177914110429449</v>
      </c>
      <c r="AV12" s="147">
        <f t="shared" si="8"/>
        <v>0.2822085889570552</v>
      </c>
      <c r="AW12" s="147">
        <f t="shared" si="8"/>
        <v>0.35582822085889571</v>
      </c>
      <c r="AX12" s="147">
        <f t="shared" si="8"/>
        <v>0.27607361963190186</v>
      </c>
      <c r="AY12" s="147">
        <f t="shared" si="5"/>
        <v>0.20705521472392638</v>
      </c>
      <c r="AZ12" s="147">
        <f t="shared" si="5"/>
        <v>0.31748466257668712</v>
      </c>
      <c r="BA12" s="147">
        <f t="shared" si="5"/>
        <v>0.20245398773006135</v>
      </c>
      <c r="BB12" s="147">
        <f t="shared" si="5"/>
        <v>0.16411042944785276</v>
      </c>
      <c r="BC12" s="147">
        <f t="shared" si="5"/>
        <v>0.12576687116564417</v>
      </c>
      <c r="BD12" s="147">
        <f t="shared" si="5"/>
        <v>0.23466257668711657</v>
      </c>
      <c r="BE12" s="147">
        <f t="shared" si="5"/>
        <v>0.29601226993865032</v>
      </c>
      <c r="BF12" s="147">
        <f t="shared" si="5"/>
        <v>0.44018404907975461</v>
      </c>
      <c r="BG12" s="147">
        <f t="shared" ref="BG12" si="9">(BG11/$C$2)</f>
        <v>0.1196319018404908</v>
      </c>
      <c r="BH12" s="147">
        <f t="shared" si="5"/>
        <v>0.21319018404907975</v>
      </c>
      <c r="BI12" s="147">
        <f t="shared" si="5"/>
        <v>9.6625766871165641E-2</v>
      </c>
      <c r="BJ12" s="147">
        <f t="shared" si="5"/>
        <v>9.3558282208588958E-2</v>
      </c>
      <c r="BK12" s="147"/>
      <c r="BL12" s="147"/>
      <c r="BM12" s="136">
        <f t="shared" si="0"/>
        <v>0</v>
      </c>
      <c r="BN12" s="136">
        <f t="shared" si="1"/>
        <v>0</v>
      </c>
      <c r="BO12" s="136">
        <f t="shared" si="2"/>
        <v>0</v>
      </c>
      <c r="BP12" s="152">
        <f t="shared" si="3"/>
        <v>0</v>
      </c>
      <c r="BQ12" s="74" t="s">
        <v>127</v>
      </c>
      <c r="BR12" s="3">
        <f>COUNTIF(BM:BM,1)+COUNTIF(BM:BM,0)+COUNTIF(BM:BM,2)+COUNTIF(BM:BM,3)</f>
        <v>15</v>
      </c>
      <c r="BS12" s="3"/>
    </row>
    <row r="13" spans="1:71" ht="15" hidden="1" customHeight="1">
      <c r="A13" s="82"/>
      <c r="C13" s="86" t="s">
        <v>128</v>
      </c>
      <c r="D13" s="87">
        <f>COUNTIF($K$15:$K$1769, "11")</f>
        <v>58</v>
      </c>
      <c r="E13" s="83"/>
      <c r="I13" s="84"/>
      <c r="J13" s="70"/>
      <c r="K13" s="96"/>
      <c r="L13" s="96"/>
      <c r="O13" s="85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8"/>
      <c r="AX13" s="138"/>
      <c r="AY13" s="137"/>
      <c r="AZ13" s="137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6">
        <f t="shared" si="0"/>
        <v>0</v>
      </c>
      <c r="BN13" s="136">
        <f t="shared" si="1"/>
        <v>0</v>
      </c>
      <c r="BO13" s="136">
        <f t="shared" si="2"/>
        <v>0</v>
      </c>
      <c r="BP13" s="152">
        <f t="shared" si="3"/>
        <v>0</v>
      </c>
      <c r="BQ13" s="74" t="s">
        <v>129</v>
      </c>
      <c r="BR13" s="3">
        <f>COUNTIF(Q:Q,1)</f>
        <v>86</v>
      </c>
      <c r="BS13" s="3"/>
    </row>
    <row r="14" spans="1:71" ht="15" hidden="1" customHeight="1">
      <c r="A14" s="82"/>
      <c r="C14" s="86" t="s">
        <v>130</v>
      </c>
      <c r="D14" s="87">
        <f>COUNTIF($K$15:$K$1769, "12")</f>
        <v>79</v>
      </c>
      <c r="E14" s="83"/>
      <c r="I14" s="84"/>
      <c r="J14" s="70"/>
      <c r="K14" s="96"/>
      <c r="L14" s="96"/>
      <c r="O14" s="85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8"/>
      <c r="AX14" s="138"/>
      <c r="AY14" s="137"/>
      <c r="AZ14" s="137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6">
        <f t="shared" si="0"/>
        <v>0</v>
      </c>
      <c r="BN14" s="136">
        <f t="shared" si="1"/>
        <v>0</v>
      </c>
      <c r="BO14" s="136">
        <f t="shared" si="2"/>
        <v>0</v>
      </c>
      <c r="BP14" s="152">
        <f t="shared" si="3"/>
        <v>0</v>
      </c>
      <c r="BR14" t="s">
        <v>131</v>
      </c>
    </row>
    <row r="15" spans="1:71" hidden="1">
      <c r="A15">
        <v>1</v>
      </c>
      <c r="B15" s="75">
        <v>45658.199652777781</v>
      </c>
      <c r="C15" s="78">
        <v>0.73402777777777772</v>
      </c>
      <c r="D15" s="7">
        <v>45658</v>
      </c>
      <c r="E15" s="7">
        <v>45658</v>
      </c>
      <c r="G15">
        <v>1</v>
      </c>
      <c r="H15" t="s">
        <v>132</v>
      </c>
      <c r="I15" s="10" t="s">
        <v>132</v>
      </c>
      <c r="J15" s="69">
        <v>45658</v>
      </c>
      <c r="K15" s="97">
        <f>MONTH($J15)</f>
        <v>1</v>
      </c>
      <c r="L15" s="97">
        <v>15</v>
      </c>
      <c r="M15" s="7" t="s">
        <v>133</v>
      </c>
      <c r="N15" s="7" t="s">
        <v>134</v>
      </c>
      <c r="O15" s="7" t="s">
        <v>134</v>
      </c>
      <c r="P15" s="7" t="s">
        <v>57</v>
      </c>
      <c r="Q15" s="100">
        <v>1</v>
      </c>
      <c r="R15" s="7" t="s">
        <v>135</v>
      </c>
      <c r="S15" s="7" t="s">
        <v>136</v>
      </c>
      <c r="T15" t="s">
        <v>136</v>
      </c>
      <c r="U15" t="s">
        <v>137</v>
      </c>
      <c r="V15" t="s">
        <v>138</v>
      </c>
      <c r="W15" t="s">
        <v>139</v>
      </c>
      <c r="X15" s="36" t="s">
        <v>140</v>
      </c>
      <c r="Y15" s="36" t="s">
        <v>140</v>
      </c>
      <c r="Z15" s="36" t="s">
        <v>140</v>
      </c>
      <c r="AA15" s="36" t="s">
        <v>141</v>
      </c>
      <c r="AB15" s="36" t="s">
        <v>140</v>
      </c>
      <c r="AC15" s="36" t="s">
        <v>141</v>
      </c>
      <c r="AD15" s="36" t="s">
        <v>140</v>
      </c>
      <c r="AE15" s="36" t="s">
        <v>140</v>
      </c>
      <c r="AF15" s="36" t="s">
        <v>140</v>
      </c>
      <c r="AG15" s="36" t="s">
        <v>141</v>
      </c>
      <c r="AH15" s="36" t="s">
        <v>141</v>
      </c>
      <c r="AI15" s="36" t="s">
        <v>140</v>
      </c>
      <c r="AJ15" s="36" t="s">
        <v>140</v>
      </c>
      <c r="AK15" s="117" t="s">
        <v>140</v>
      </c>
      <c r="AL15" s="36" t="s">
        <v>141</v>
      </c>
      <c r="AM15" s="36" t="s">
        <v>140</v>
      </c>
      <c r="AN15" s="36" t="s">
        <v>140</v>
      </c>
      <c r="AO15" s="36" t="s">
        <v>140</v>
      </c>
      <c r="AP15" s="36" t="s">
        <v>141</v>
      </c>
      <c r="AQ15" s="36" t="s">
        <v>140</v>
      </c>
      <c r="AR15" s="36" t="s">
        <v>140</v>
      </c>
      <c r="AS15" s="36" t="s">
        <v>140</v>
      </c>
      <c r="AT15" s="36" t="s">
        <v>140</v>
      </c>
      <c r="AU15" s="36" t="s">
        <v>141</v>
      </c>
      <c r="AV15" s="36" t="s">
        <v>140</v>
      </c>
      <c r="AW15" s="117" t="s">
        <v>140</v>
      </c>
      <c r="AX15" s="117" t="s">
        <v>140</v>
      </c>
      <c r="AY15" s="36" t="s">
        <v>140</v>
      </c>
      <c r="AZ15" s="36" t="s">
        <v>140</v>
      </c>
      <c r="BA15" s="117" t="s">
        <v>140</v>
      </c>
      <c r="BB15" s="117" t="s">
        <v>140</v>
      </c>
      <c r="BC15" s="117" t="s">
        <v>140</v>
      </c>
      <c r="BD15" s="117" t="s">
        <v>140</v>
      </c>
      <c r="BE15" s="117" t="s">
        <v>140</v>
      </c>
      <c r="BF15" s="117" t="s">
        <v>140</v>
      </c>
      <c r="BG15" s="117" t="s">
        <v>141</v>
      </c>
      <c r="BH15" s="117"/>
      <c r="BI15" s="117"/>
      <c r="BJ15" s="117"/>
      <c r="BK15" s="117"/>
      <c r="BL15" s="117"/>
      <c r="BM15" s="117">
        <f t="shared" si="0"/>
        <v>7</v>
      </c>
      <c r="BN15" s="117">
        <f t="shared" si="1"/>
        <v>1</v>
      </c>
      <c r="BO15" s="117">
        <f t="shared" si="2"/>
        <v>2</v>
      </c>
      <c r="BP15" s="153">
        <f t="shared" si="3"/>
        <v>5</v>
      </c>
      <c r="BQ15" s="74" t="s">
        <v>142</v>
      </c>
      <c r="BR15" s="74" t="s">
        <v>143</v>
      </c>
      <c r="BS15" s="74"/>
    </row>
    <row r="16" spans="1:71" hidden="1">
      <c r="A16">
        <v>2</v>
      </c>
      <c r="B16" s="75">
        <v>45658.873842592591</v>
      </c>
      <c r="C16" s="78">
        <v>0.35833333333333334</v>
      </c>
      <c r="D16" s="7">
        <v>45659</v>
      </c>
      <c r="E16" s="7">
        <v>45659</v>
      </c>
      <c r="G16">
        <v>2</v>
      </c>
      <c r="H16" t="s">
        <v>144</v>
      </c>
      <c r="I16" s="10" t="s">
        <v>144</v>
      </c>
      <c r="J16" s="69">
        <v>45659</v>
      </c>
      <c r="K16" s="97">
        <f t="shared" ref="K16:K48" si="10">MONTH($J16)</f>
        <v>1</v>
      </c>
      <c r="L16" s="97">
        <v>16</v>
      </c>
      <c r="M16" s="7" t="s">
        <v>145</v>
      </c>
      <c r="N16" s="7" t="s">
        <v>146</v>
      </c>
      <c r="O16" s="7" t="s">
        <v>147</v>
      </c>
      <c r="P16" s="7" t="s">
        <v>57</v>
      </c>
      <c r="Q16" s="100">
        <v>1</v>
      </c>
      <c r="R16" s="7" t="s">
        <v>135</v>
      </c>
      <c r="S16" s="7" t="s">
        <v>148</v>
      </c>
      <c r="T16" t="s">
        <v>149</v>
      </c>
      <c r="U16" t="s">
        <v>150</v>
      </c>
      <c r="V16" t="s">
        <v>146</v>
      </c>
      <c r="W16" t="s">
        <v>151</v>
      </c>
      <c r="X16" s="36" t="s">
        <v>140</v>
      </c>
      <c r="Y16" s="36" t="s">
        <v>140</v>
      </c>
      <c r="Z16" s="36" t="s">
        <v>140</v>
      </c>
      <c r="AA16" s="36" t="s">
        <v>140</v>
      </c>
      <c r="AB16" s="36" t="s">
        <v>140</v>
      </c>
      <c r="AC16" s="36" t="s">
        <v>141</v>
      </c>
      <c r="AD16" s="36" t="s">
        <v>140</v>
      </c>
      <c r="AE16" s="36" t="s">
        <v>140</v>
      </c>
      <c r="AF16" s="36" t="s">
        <v>140</v>
      </c>
      <c r="AG16" s="36" t="s">
        <v>140</v>
      </c>
      <c r="AH16" s="36" t="s">
        <v>141</v>
      </c>
      <c r="AI16" s="36" t="s">
        <v>141</v>
      </c>
      <c r="AJ16" s="36" t="s">
        <v>140</v>
      </c>
      <c r="AK16" s="117" t="s">
        <v>140</v>
      </c>
      <c r="AL16" s="36" t="s">
        <v>141</v>
      </c>
      <c r="AM16" s="36" t="s">
        <v>140</v>
      </c>
      <c r="AN16" s="36" t="s">
        <v>140</v>
      </c>
      <c r="AO16" s="36" t="s">
        <v>140</v>
      </c>
      <c r="AP16" s="36" t="s">
        <v>141</v>
      </c>
      <c r="AQ16" s="36" t="s">
        <v>140</v>
      </c>
      <c r="AR16" s="36" t="s">
        <v>140</v>
      </c>
      <c r="AS16" s="36" t="s">
        <v>141</v>
      </c>
      <c r="AT16" s="36" t="s">
        <v>140</v>
      </c>
      <c r="AU16" s="36" t="s">
        <v>141</v>
      </c>
      <c r="AV16" s="36" t="s">
        <v>141</v>
      </c>
      <c r="AW16" s="117" t="s">
        <v>140</v>
      </c>
      <c r="AX16" s="117" t="s">
        <v>140</v>
      </c>
      <c r="AY16" s="36" t="s">
        <v>140</v>
      </c>
      <c r="AZ16" s="36" t="s">
        <v>140</v>
      </c>
      <c r="BA16" s="117" t="s">
        <v>140</v>
      </c>
      <c r="BB16" s="117" t="s">
        <v>140</v>
      </c>
      <c r="BC16" s="117" t="s">
        <v>140</v>
      </c>
      <c r="BD16" s="117" t="s">
        <v>140</v>
      </c>
      <c r="BE16" s="117" t="s">
        <v>140</v>
      </c>
      <c r="BF16" s="117" t="s">
        <v>141</v>
      </c>
      <c r="BG16" s="117" t="s">
        <v>140</v>
      </c>
      <c r="BH16" s="117"/>
      <c r="BI16" s="117"/>
      <c r="BJ16" s="117"/>
      <c r="BK16" s="117"/>
      <c r="BL16" s="117"/>
      <c r="BM16" s="117">
        <f t="shared" si="0"/>
        <v>9</v>
      </c>
      <c r="BN16" s="117">
        <f t="shared" si="1"/>
        <v>1</v>
      </c>
      <c r="BO16" s="117">
        <f t="shared" si="2"/>
        <v>1</v>
      </c>
      <c r="BP16" s="153">
        <f t="shared" si="3"/>
        <v>7</v>
      </c>
      <c r="BQ16" s="74" t="s">
        <v>152</v>
      </c>
      <c r="BR16" s="74" t="s">
        <v>153</v>
      </c>
      <c r="BS16" s="74"/>
    </row>
    <row r="17" spans="1:71" hidden="1">
      <c r="A17">
        <v>3</v>
      </c>
      <c r="B17" s="75">
        <v>45659.71020833333</v>
      </c>
      <c r="C17" s="78">
        <v>0.22916666666666666</v>
      </c>
      <c r="D17" s="7">
        <v>45660</v>
      </c>
      <c r="E17" s="7">
        <v>45660</v>
      </c>
      <c r="G17">
        <v>3</v>
      </c>
      <c r="H17" t="s">
        <v>154</v>
      </c>
      <c r="I17" s="10" t="s">
        <v>154</v>
      </c>
      <c r="J17" s="69">
        <v>45660</v>
      </c>
      <c r="K17" s="97">
        <f t="shared" si="10"/>
        <v>1</v>
      </c>
      <c r="L17" s="97">
        <v>17</v>
      </c>
      <c r="M17" s="7" t="s">
        <v>155</v>
      </c>
      <c r="N17" s="7" t="s">
        <v>156</v>
      </c>
      <c r="O17" s="7" t="s">
        <v>156</v>
      </c>
      <c r="P17" s="7" t="s">
        <v>157</v>
      </c>
      <c r="Q17" s="100">
        <v>2</v>
      </c>
      <c r="R17" s="7" t="s">
        <v>158</v>
      </c>
      <c r="S17" s="7" t="s">
        <v>159</v>
      </c>
      <c r="T17" t="s">
        <v>160</v>
      </c>
      <c r="U17" t="s">
        <v>161</v>
      </c>
      <c r="V17" t="s">
        <v>162</v>
      </c>
      <c r="W17" t="s">
        <v>151</v>
      </c>
      <c r="X17" s="36" t="s">
        <v>140</v>
      </c>
      <c r="Y17" s="36" t="s">
        <v>140</v>
      </c>
      <c r="Z17" s="36" t="s">
        <v>140</v>
      </c>
      <c r="AA17" s="36" t="s">
        <v>140</v>
      </c>
      <c r="AB17" s="36" t="s">
        <v>140</v>
      </c>
      <c r="AC17" s="36" t="s">
        <v>140</v>
      </c>
      <c r="AD17" s="36" t="s">
        <v>140</v>
      </c>
      <c r="AE17" s="36" t="s">
        <v>140</v>
      </c>
      <c r="AF17" s="36" t="s">
        <v>140</v>
      </c>
      <c r="AG17" s="36" t="s">
        <v>141</v>
      </c>
      <c r="AH17" s="36" t="s">
        <v>141</v>
      </c>
      <c r="AI17" s="36" t="s">
        <v>141</v>
      </c>
      <c r="AJ17" s="36" t="s">
        <v>140</v>
      </c>
      <c r="AK17" s="117" t="s">
        <v>140</v>
      </c>
      <c r="AL17" s="36" t="s">
        <v>141</v>
      </c>
      <c r="AM17" s="36" t="s">
        <v>140</v>
      </c>
      <c r="AN17" s="36" t="s">
        <v>140</v>
      </c>
      <c r="AO17" s="36" t="s">
        <v>141</v>
      </c>
      <c r="AP17" s="36" t="s">
        <v>140</v>
      </c>
      <c r="AQ17" s="36" t="s">
        <v>140</v>
      </c>
      <c r="AR17" s="36" t="s">
        <v>141</v>
      </c>
      <c r="AS17" s="36" t="s">
        <v>140</v>
      </c>
      <c r="AT17" s="36" t="s">
        <v>140</v>
      </c>
      <c r="AU17" s="36" t="s">
        <v>140</v>
      </c>
      <c r="AV17" s="36" t="s">
        <v>141</v>
      </c>
      <c r="AW17" s="117" t="s">
        <v>140</v>
      </c>
      <c r="AX17" s="117" t="s">
        <v>140</v>
      </c>
      <c r="AY17" s="36" t="s">
        <v>140</v>
      </c>
      <c r="AZ17" s="36" t="s">
        <v>140</v>
      </c>
      <c r="BA17" s="117" t="s">
        <v>140</v>
      </c>
      <c r="BB17" s="117" t="s">
        <v>140</v>
      </c>
      <c r="BC17" s="117" t="s">
        <v>140</v>
      </c>
      <c r="BD17" s="117" t="s">
        <v>141</v>
      </c>
      <c r="BE17" s="117" t="s">
        <v>140</v>
      </c>
      <c r="BF17" s="117" t="s">
        <v>141</v>
      </c>
      <c r="BG17" s="117" t="s">
        <v>140</v>
      </c>
      <c r="BH17" s="117"/>
      <c r="BI17" s="117"/>
      <c r="BJ17" s="117"/>
      <c r="BK17" s="117"/>
      <c r="BL17" s="117"/>
      <c r="BM17" s="117">
        <f t="shared" si="0"/>
        <v>9</v>
      </c>
      <c r="BN17" s="117">
        <f t="shared" si="1"/>
        <v>2</v>
      </c>
      <c r="BO17" s="117">
        <f t="shared" si="2"/>
        <v>0</v>
      </c>
      <c r="BP17" s="153">
        <f t="shared" si="3"/>
        <v>7</v>
      </c>
      <c r="BQ17" s="74" t="s">
        <v>163</v>
      </c>
      <c r="BR17" s="74"/>
      <c r="BS17" s="74"/>
    </row>
    <row r="18" spans="1:71" hidden="1">
      <c r="A18">
        <v>4</v>
      </c>
      <c r="B18" s="75">
        <v>45660.752534722225</v>
      </c>
      <c r="C18" s="78">
        <v>0.24583333333333332</v>
      </c>
      <c r="D18" s="7">
        <v>45661</v>
      </c>
      <c r="E18" s="7">
        <v>45661</v>
      </c>
      <c r="G18">
        <v>4</v>
      </c>
      <c r="H18" t="s">
        <v>164</v>
      </c>
      <c r="I18" s="10" t="s">
        <v>164</v>
      </c>
      <c r="J18" s="69">
        <v>45661</v>
      </c>
      <c r="K18" s="97">
        <f t="shared" si="10"/>
        <v>1</v>
      </c>
      <c r="L18" s="97">
        <v>18</v>
      </c>
      <c r="M18" s="7" t="s">
        <v>165</v>
      </c>
      <c r="N18" s="7" t="s">
        <v>156</v>
      </c>
      <c r="O18" s="7" t="s">
        <v>156</v>
      </c>
      <c r="P18" s="7" t="s">
        <v>166</v>
      </c>
      <c r="Q18" s="100">
        <v>2</v>
      </c>
      <c r="R18" s="7" t="s">
        <v>158</v>
      </c>
      <c r="S18" s="7" t="s">
        <v>167</v>
      </c>
      <c r="T18" t="s">
        <v>168</v>
      </c>
      <c r="U18" t="s">
        <v>169</v>
      </c>
      <c r="V18" t="s">
        <v>162</v>
      </c>
      <c r="W18" t="s">
        <v>170</v>
      </c>
      <c r="X18" s="36" t="s">
        <v>141</v>
      </c>
      <c r="Y18" s="36" t="s">
        <v>140</v>
      </c>
      <c r="Z18" s="36" t="s">
        <v>140</v>
      </c>
      <c r="AA18" s="36" t="s">
        <v>141</v>
      </c>
      <c r="AB18" s="36" t="s">
        <v>140</v>
      </c>
      <c r="AC18" s="36" t="s">
        <v>140</v>
      </c>
      <c r="AD18" s="36" t="s">
        <v>140</v>
      </c>
      <c r="AE18" s="36" t="s">
        <v>141</v>
      </c>
      <c r="AF18" s="36" t="s">
        <v>140</v>
      </c>
      <c r="AG18" s="36" t="s">
        <v>141</v>
      </c>
      <c r="AH18" s="36" t="s">
        <v>141</v>
      </c>
      <c r="AI18" s="36" t="s">
        <v>141</v>
      </c>
      <c r="AJ18" s="36" t="s">
        <v>140</v>
      </c>
      <c r="AK18" s="117" t="s">
        <v>140</v>
      </c>
      <c r="AL18" s="36" t="s">
        <v>141</v>
      </c>
      <c r="AM18" s="36" t="s">
        <v>140</v>
      </c>
      <c r="AN18" s="36" t="s">
        <v>140</v>
      </c>
      <c r="AO18" s="36" t="s">
        <v>141</v>
      </c>
      <c r="AP18" s="36" t="s">
        <v>140</v>
      </c>
      <c r="AQ18" s="36" t="s">
        <v>140</v>
      </c>
      <c r="AR18" s="36" t="s">
        <v>141</v>
      </c>
      <c r="AS18" s="36" t="s">
        <v>140</v>
      </c>
      <c r="AT18" s="36" t="s">
        <v>140</v>
      </c>
      <c r="AU18" s="36" t="s">
        <v>140</v>
      </c>
      <c r="AV18" s="36" t="s">
        <v>140</v>
      </c>
      <c r="AW18" s="117" t="s">
        <v>140</v>
      </c>
      <c r="AX18" s="117" t="s">
        <v>140</v>
      </c>
      <c r="AY18" s="36" t="s">
        <v>140</v>
      </c>
      <c r="AZ18" s="36" t="s">
        <v>140</v>
      </c>
      <c r="BA18" s="117" t="s">
        <v>140</v>
      </c>
      <c r="BB18" s="117" t="s">
        <v>140</v>
      </c>
      <c r="BC18" s="117" t="s">
        <v>140</v>
      </c>
      <c r="BD18" s="117" t="s">
        <v>140</v>
      </c>
      <c r="BE18" s="117" t="s">
        <v>141</v>
      </c>
      <c r="BF18" s="117" t="s">
        <v>140</v>
      </c>
      <c r="BG18" s="117" t="s">
        <v>140</v>
      </c>
      <c r="BH18" s="117"/>
      <c r="BI18" s="117"/>
      <c r="BJ18" s="117"/>
      <c r="BK18" s="117"/>
      <c r="BL18" s="117"/>
      <c r="BM18" s="117">
        <f t="shared" si="0"/>
        <v>10</v>
      </c>
      <c r="BN18" s="117">
        <f t="shared" si="1"/>
        <v>2</v>
      </c>
      <c r="BO18" s="117">
        <f t="shared" si="2"/>
        <v>2</v>
      </c>
      <c r="BP18" s="153">
        <f t="shared" si="3"/>
        <v>7</v>
      </c>
      <c r="BQ18" s="74" t="s">
        <v>171</v>
      </c>
      <c r="BR18" s="74" t="s">
        <v>172</v>
      </c>
      <c r="BS18" s="74"/>
    </row>
    <row r="19" spans="1:71" hidden="1">
      <c r="A19">
        <v>5</v>
      </c>
      <c r="B19" s="75">
        <v>45660.794664351852</v>
      </c>
      <c r="C19" s="78">
        <v>0.31388888888888888</v>
      </c>
      <c r="D19" s="7">
        <v>45661</v>
      </c>
      <c r="E19" s="7">
        <v>45661</v>
      </c>
      <c r="G19">
        <v>5</v>
      </c>
      <c r="H19" t="s">
        <v>173</v>
      </c>
      <c r="I19" s="10" t="s">
        <v>173</v>
      </c>
      <c r="J19" s="69">
        <v>45661</v>
      </c>
      <c r="K19" s="97">
        <f t="shared" si="10"/>
        <v>1</v>
      </c>
      <c r="L19" s="97">
        <v>19</v>
      </c>
      <c r="M19" s="7" t="s">
        <v>155</v>
      </c>
      <c r="N19" s="7" t="s">
        <v>156</v>
      </c>
      <c r="O19" s="7" t="s">
        <v>156</v>
      </c>
      <c r="P19" s="7" t="s">
        <v>174</v>
      </c>
      <c r="Q19" s="100">
        <v>2</v>
      </c>
      <c r="R19" s="7" t="s">
        <v>158</v>
      </c>
      <c r="S19" s="7" t="s">
        <v>175</v>
      </c>
      <c r="T19" t="s">
        <v>176</v>
      </c>
      <c r="U19" t="s">
        <v>177</v>
      </c>
      <c r="V19" t="s">
        <v>162</v>
      </c>
      <c r="W19" t="s">
        <v>139</v>
      </c>
      <c r="X19" s="36" t="s">
        <v>141</v>
      </c>
      <c r="Y19" s="36" t="s">
        <v>140</v>
      </c>
      <c r="Z19" s="36" t="s">
        <v>140</v>
      </c>
      <c r="AA19" s="36" t="s">
        <v>141</v>
      </c>
      <c r="AB19" s="36" t="s">
        <v>140</v>
      </c>
      <c r="AC19" s="36" t="s">
        <v>140</v>
      </c>
      <c r="AD19" s="36" t="s">
        <v>140</v>
      </c>
      <c r="AE19" s="36" t="s">
        <v>141</v>
      </c>
      <c r="AF19" s="36" t="s">
        <v>140</v>
      </c>
      <c r="AG19" s="36" t="s">
        <v>141</v>
      </c>
      <c r="AH19" s="36" t="s">
        <v>141</v>
      </c>
      <c r="AI19" s="36" t="s">
        <v>140</v>
      </c>
      <c r="AJ19" s="36" t="s">
        <v>140</v>
      </c>
      <c r="AK19" s="117" t="s">
        <v>140</v>
      </c>
      <c r="AL19" s="36" t="s">
        <v>141</v>
      </c>
      <c r="AM19" s="36" t="s">
        <v>140</v>
      </c>
      <c r="AN19" s="36" t="s">
        <v>140</v>
      </c>
      <c r="AO19" s="36" t="s">
        <v>141</v>
      </c>
      <c r="AP19" s="36" t="s">
        <v>140</v>
      </c>
      <c r="AQ19" s="36" t="s">
        <v>140</v>
      </c>
      <c r="AR19" s="36" t="s">
        <v>140</v>
      </c>
      <c r="AS19" s="36" t="s">
        <v>140</v>
      </c>
      <c r="AT19" s="36" t="s">
        <v>140</v>
      </c>
      <c r="AU19" s="36" t="s">
        <v>141</v>
      </c>
      <c r="AV19" s="36" t="s">
        <v>140</v>
      </c>
      <c r="AW19" s="117" t="s">
        <v>140</v>
      </c>
      <c r="AX19" s="117" t="s">
        <v>141</v>
      </c>
      <c r="AY19" s="36" t="s">
        <v>140</v>
      </c>
      <c r="AZ19" s="36" t="s">
        <v>140</v>
      </c>
      <c r="BA19" s="117" t="s">
        <v>140</v>
      </c>
      <c r="BB19" s="117" t="s">
        <v>141</v>
      </c>
      <c r="BC19" s="117" t="s">
        <v>140</v>
      </c>
      <c r="BD19" s="117" t="s">
        <v>141</v>
      </c>
      <c r="BE19" s="117" t="s">
        <v>140</v>
      </c>
      <c r="BF19" s="117" t="s">
        <v>141</v>
      </c>
      <c r="BG19" s="117" t="s">
        <v>141</v>
      </c>
      <c r="BH19" s="117"/>
      <c r="BI19" s="117"/>
      <c r="BJ19" s="117"/>
      <c r="BK19" s="117"/>
      <c r="BL19" s="117"/>
      <c r="BM19" s="117">
        <f t="shared" si="0"/>
        <v>12</v>
      </c>
      <c r="BN19" s="117">
        <f t="shared" si="1"/>
        <v>1</v>
      </c>
      <c r="BO19" s="117">
        <f t="shared" si="2"/>
        <v>2</v>
      </c>
      <c r="BP19" s="153">
        <f t="shared" si="3"/>
        <v>8</v>
      </c>
      <c r="BQ19" s="74" t="s">
        <v>178</v>
      </c>
      <c r="BR19" s="74" t="s">
        <v>179</v>
      </c>
      <c r="BS19" s="74"/>
    </row>
    <row r="20" spans="1:71" hidden="1">
      <c r="A20">
        <v>6</v>
      </c>
      <c r="B20" s="75">
        <v>45661.391932870371</v>
      </c>
      <c r="C20" s="78">
        <v>0.9</v>
      </c>
      <c r="D20" s="7">
        <v>45661</v>
      </c>
      <c r="E20" s="7">
        <v>45661</v>
      </c>
      <c r="G20">
        <v>6</v>
      </c>
      <c r="H20" t="s">
        <v>180</v>
      </c>
      <c r="I20" s="10" t="s">
        <v>180</v>
      </c>
      <c r="J20" s="69">
        <v>45661</v>
      </c>
      <c r="K20" s="97">
        <f t="shared" si="10"/>
        <v>1</v>
      </c>
      <c r="L20" s="97">
        <v>20</v>
      </c>
      <c r="M20" s="7" t="s">
        <v>181</v>
      </c>
      <c r="N20" s="7" t="s">
        <v>182</v>
      </c>
      <c r="O20" s="7" t="s">
        <v>183</v>
      </c>
      <c r="P20" s="7" t="s">
        <v>57</v>
      </c>
      <c r="Q20" s="100">
        <v>3</v>
      </c>
      <c r="R20" s="7" t="s">
        <v>184</v>
      </c>
      <c r="S20" s="7" t="s">
        <v>185</v>
      </c>
      <c r="T20" t="s">
        <v>186</v>
      </c>
      <c r="U20" t="s">
        <v>187</v>
      </c>
      <c r="V20" t="s">
        <v>188</v>
      </c>
      <c r="W20" t="s">
        <v>170</v>
      </c>
      <c r="X20" s="36" t="s">
        <v>141</v>
      </c>
      <c r="Y20" s="36" t="s">
        <v>140</v>
      </c>
      <c r="Z20" s="36" t="s">
        <v>140</v>
      </c>
      <c r="AA20" s="36" t="s">
        <v>140</v>
      </c>
      <c r="AB20" s="36" t="s">
        <v>140</v>
      </c>
      <c r="AC20" s="36" t="s">
        <v>140</v>
      </c>
      <c r="AD20" s="36" t="s">
        <v>140</v>
      </c>
      <c r="AE20" s="36" t="s">
        <v>141</v>
      </c>
      <c r="AF20" s="36" t="s">
        <v>140</v>
      </c>
      <c r="AG20" s="36" t="s">
        <v>141</v>
      </c>
      <c r="AH20" s="36" t="s">
        <v>140</v>
      </c>
      <c r="AI20" s="36" t="s">
        <v>140</v>
      </c>
      <c r="AJ20" s="36" t="s">
        <v>140</v>
      </c>
      <c r="AK20" s="117" t="s">
        <v>140</v>
      </c>
      <c r="AL20" s="36" t="s">
        <v>140</v>
      </c>
      <c r="AM20" s="36" t="s">
        <v>140</v>
      </c>
      <c r="AN20" s="36" t="s">
        <v>140</v>
      </c>
      <c r="AO20" s="36" t="s">
        <v>141</v>
      </c>
      <c r="AP20" s="36" t="s">
        <v>140</v>
      </c>
      <c r="AQ20" s="36" t="s">
        <v>140</v>
      </c>
      <c r="AR20" s="36" t="s">
        <v>141</v>
      </c>
      <c r="AS20" s="36" t="s">
        <v>141</v>
      </c>
      <c r="AT20" s="36" t="s">
        <v>141</v>
      </c>
      <c r="AU20" s="36" t="s">
        <v>140</v>
      </c>
      <c r="AV20" s="36" t="s">
        <v>141</v>
      </c>
      <c r="AW20" s="117" t="s">
        <v>140</v>
      </c>
      <c r="AX20" s="117" t="s">
        <v>141</v>
      </c>
      <c r="AY20" s="36" t="s">
        <v>140</v>
      </c>
      <c r="AZ20" s="36" t="s">
        <v>140</v>
      </c>
      <c r="BA20" s="117" t="s">
        <v>140</v>
      </c>
      <c r="BB20" s="117" t="s">
        <v>140</v>
      </c>
      <c r="BC20" s="117" t="s">
        <v>140</v>
      </c>
      <c r="BD20" s="117" t="s">
        <v>141</v>
      </c>
      <c r="BE20" s="117" t="s">
        <v>141</v>
      </c>
      <c r="BF20" s="117" t="s">
        <v>140</v>
      </c>
      <c r="BG20" s="117" t="s">
        <v>141</v>
      </c>
      <c r="BH20" s="117"/>
      <c r="BI20" s="117"/>
      <c r="BJ20" s="117"/>
      <c r="BK20" s="117"/>
      <c r="BL20" s="117"/>
      <c r="BM20" s="117">
        <f t="shared" si="0"/>
        <v>11</v>
      </c>
      <c r="BN20" s="117">
        <f t="shared" si="1"/>
        <v>3</v>
      </c>
      <c r="BO20" s="117">
        <f t="shared" si="2"/>
        <v>1</v>
      </c>
      <c r="BP20" s="153">
        <f t="shared" si="3"/>
        <v>8</v>
      </c>
      <c r="BQ20" s="74" t="s">
        <v>189</v>
      </c>
      <c r="BR20" s="74" t="s">
        <v>182</v>
      </c>
      <c r="BS20" s="74"/>
    </row>
    <row r="21" spans="1:71" hidden="1">
      <c r="A21">
        <v>7</v>
      </c>
      <c r="B21" s="75">
        <v>45661.732997685183</v>
      </c>
      <c r="C21" s="78">
        <v>0.26597222222222222</v>
      </c>
      <c r="D21" s="7">
        <v>45662</v>
      </c>
      <c r="E21" s="7">
        <v>45662</v>
      </c>
      <c r="G21">
        <v>7</v>
      </c>
      <c r="H21" t="s">
        <v>190</v>
      </c>
      <c r="I21" s="10" t="s">
        <v>190</v>
      </c>
      <c r="J21" s="69">
        <v>45662</v>
      </c>
      <c r="K21" s="97">
        <f t="shared" si="10"/>
        <v>1</v>
      </c>
      <c r="L21" s="97">
        <v>21</v>
      </c>
      <c r="M21" s="7" t="s">
        <v>133</v>
      </c>
      <c r="N21" s="7" t="s">
        <v>134</v>
      </c>
      <c r="O21" s="7" t="s">
        <v>134</v>
      </c>
      <c r="P21" s="7" t="s">
        <v>57</v>
      </c>
      <c r="Q21" s="100">
        <v>1</v>
      </c>
      <c r="R21" s="7" t="s">
        <v>135</v>
      </c>
      <c r="S21" s="7" t="s">
        <v>191</v>
      </c>
      <c r="T21" t="s">
        <v>192</v>
      </c>
      <c r="U21" t="s">
        <v>193</v>
      </c>
      <c r="V21" t="s">
        <v>194</v>
      </c>
      <c r="W21" t="s">
        <v>170</v>
      </c>
      <c r="X21" s="36" t="s">
        <v>141</v>
      </c>
      <c r="Y21" s="36" t="s">
        <v>140</v>
      </c>
      <c r="Z21" s="36" t="s">
        <v>140</v>
      </c>
      <c r="AA21" s="36" t="s">
        <v>140</v>
      </c>
      <c r="AB21" s="36" t="s">
        <v>140</v>
      </c>
      <c r="AC21" s="36" t="s">
        <v>140</v>
      </c>
      <c r="AD21" s="36" t="s">
        <v>140</v>
      </c>
      <c r="AE21" s="36" t="s">
        <v>141</v>
      </c>
      <c r="AF21" s="36" t="s">
        <v>140</v>
      </c>
      <c r="AG21" s="36" t="s">
        <v>140</v>
      </c>
      <c r="AH21" s="36" t="s">
        <v>141</v>
      </c>
      <c r="AI21" s="36" t="s">
        <v>141</v>
      </c>
      <c r="AJ21" s="36" t="s">
        <v>140</v>
      </c>
      <c r="AK21" s="117" t="s">
        <v>140</v>
      </c>
      <c r="AL21" s="36" t="s">
        <v>141</v>
      </c>
      <c r="AM21" s="36" t="s">
        <v>140</v>
      </c>
      <c r="AN21" s="36" t="s">
        <v>140</v>
      </c>
      <c r="AO21" s="36" t="s">
        <v>140</v>
      </c>
      <c r="AP21" s="36" t="s">
        <v>140</v>
      </c>
      <c r="AQ21" s="36" t="s">
        <v>140</v>
      </c>
      <c r="AR21" s="36" t="s">
        <v>140</v>
      </c>
      <c r="AS21" s="36" t="s">
        <v>140</v>
      </c>
      <c r="AT21" s="36" t="s">
        <v>140</v>
      </c>
      <c r="AU21" s="36" t="s">
        <v>141</v>
      </c>
      <c r="AV21" s="36" t="s">
        <v>141</v>
      </c>
      <c r="AW21" s="117" t="s">
        <v>140</v>
      </c>
      <c r="AX21" s="117" t="s">
        <v>140</v>
      </c>
      <c r="AY21" s="36" t="s">
        <v>140</v>
      </c>
      <c r="AZ21" s="36" t="s">
        <v>140</v>
      </c>
      <c r="BA21" s="117" t="s">
        <v>140</v>
      </c>
      <c r="BB21" s="117" t="s">
        <v>140</v>
      </c>
      <c r="BC21" s="117" t="s">
        <v>140</v>
      </c>
      <c r="BD21" s="117" t="s">
        <v>140</v>
      </c>
      <c r="BE21" s="117" t="s">
        <v>140</v>
      </c>
      <c r="BF21" s="117" t="s">
        <v>141</v>
      </c>
      <c r="BG21" s="117" t="s">
        <v>140</v>
      </c>
      <c r="BH21" s="117"/>
      <c r="BI21" s="117"/>
      <c r="BJ21" s="117"/>
      <c r="BK21" s="117"/>
      <c r="BL21" s="117"/>
      <c r="BM21" s="117">
        <f t="shared" si="0"/>
        <v>8</v>
      </c>
      <c r="BN21" s="117">
        <f t="shared" si="1"/>
        <v>0</v>
      </c>
      <c r="BO21" s="117">
        <f t="shared" si="2"/>
        <v>1</v>
      </c>
      <c r="BP21" s="153">
        <f t="shared" si="3"/>
        <v>6</v>
      </c>
      <c r="BQ21" s="74" t="s">
        <v>171</v>
      </c>
      <c r="BR21" s="74"/>
      <c r="BS21" s="74"/>
    </row>
    <row r="22" spans="1:71" hidden="1">
      <c r="A22">
        <v>8</v>
      </c>
      <c r="B22" s="75">
        <v>45663.197222222225</v>
      </c>
      <c r="C22" s="78">
        <v>0.65763888888888888</v>
      </c>
      <c r="D22" s="7">
        <v>45663</v>
      </c>
      <c r="E22" s="7">
        <v>45661</v>
      </c>
      <c r="F22">
        <v>562</v>
      </c>
      <c r="G22">
        <v>8</v>
      </c>
      <c r="H22" t="s">
        <v>195</v>
      </c>
      <c r="I22" s="10" t="s">
        <v>195</v>
      </c>
      <c r="J22" s="69">
        <v>45663</v>
      </c>
      <c r="K22" s="97">
        <f t="shared" si="10"/>
        <v>1</v>
      </c>
      <c r="L22" s="97">
        <v>22</v>
      </c>
      <c r="M22" s="7" t="s">
        <v>196</v>
      </c>
      <c r="N22" s="7" t="s">
        <v>197</v>
      </c>
      <c r="O22" s="7" t="s">
        <v>197</v>
      </c>
      <c r="P22" s="7" t="s">
        <v>57</v>
      </c>
      <c r="Q22" s="100">
        <v>2</v>
      </c>
      <c r="R22" s="7" t="s">
        <v>158</v>
      </c>
      <c r="S22" s="7" t="s">
        <v>198</v>
      </c>
      <c r="T22" t="s">
        <v>198</v>
      </c>
      <c r="U22" t="s">
        <v>199</v>
      </c>
      <c r="V22" t="s">
        <v>200</v>
      </c>
      <c r="W22" t="s">
        <v>170</v>
      </c>
      <c r="X22" s="36" t="s">
        <v>141</v>
      </c>
      <c r="Y22" s="36" t="s">
        <v>141</v>
      </c>
      <c r="Z22" s="36" t="s">
        <v>140</v>
      </c>
      <c r="AA22" s="36" t="s">
        <v>140</v>
      </c>
      <c r="AB22" s="36" t="s">
        <v>140</v>
      </c>
      <c r="AC22" s="36" t="s">
        <v>140</v>
      </c>
      <c r="AD22" s="36" t="s">
        <v>141</v>
      </c>
      <c r="AE22" s="36" t="s">
        <v>141</v>
      </c>
      <c r="AF22" s="36" t="s">
        <v>140</v>
      </c>
      <c r="AG22" s="36" t="s">
        <v>141</v>
      </c>
      <c r="AH22" s="36" t="s">
        <v>141</v>
      </c>
      <c r="AI22" s="36" t="s">
        <v>141</v>
      </c>
      <c r="AJ22" s="36" t="s">
        <v>141</v>
      </c>
      <c r="AK22" s="117" t="s">
        <v>140</v>
      </c>
      <c r="AL22" s="36" t="s">
        <v>141</v>
      </c>
      <c r="AM22" s="36" t="s">
        <v>140</v>
      </c>
      <c r="AN22" s="36" t="s">
        <v>141</v>
      </c>
      <c r="AO22" s="36" t="s">
        <v>140</v>
      </c>
      <c r="AP22" s="36" t="s">
        <v>141</v>
      </c>
      <c r="AQ22" s="36" t="s">
        <v>140</v>
      </c>
      <c r="AR22" s="36" t="s">
        <v>140</v>
      </c>
      <c r="AS22" s="36" t="s">
        <v>140</v>
      </c>
      <c r="AT22" s="36" t="s">
        <v>140</v>
      </c>
      <c r="AU22" s="36" t="s">
        <v>140</v>
      </c>
      <c r="AV22" s="36" t="s">
        <v>140</v>
      </c>
      <c r="AW22" s="117" t="s">
        <v>140</v>
      </c>
      <c r="AX22" s="117" t="s">
        <v>141</v>
      </c>
      <c r="AY22" s="36" t="s">
        <v>140</v>
      </c>
      <c r="AZ22" s="36" t="s">
        <v>140</v>
      </c>
      <c r="BA22" s="117" t="s">
        <v>140</v>
      </c>
      <c r="BB22" s="117" t="s">
        <v>141</v>
      </c>
      <c r="BC22" s="117" t="s">
        <v>140</v>
      </c>
      <c r="BD22" s="117" t="s">
        <v>141</v>
      </c>
      <c r="BE22" s="117" t="s">
        <v>140</v>
      </c>
      <c r="BF22" s="117" t="s">
        <v>141</v>
      </c>
      <c r="BG22" s="117" t="s">
        <v>141</v>
      </c>
      <c r="BH22" s="117"/>
      <c r="BI22" s="117"/>
      <c r="BJ22" s="117"/>
      <c r="BK22" s="117"/>
      <c r="BL22" s="117"/>
      <c r="BM22" s="117">
        <f t="shared" si="0"/>
        <v>15</v>
      </c>
      <c r="BN22" s="117">
        <f t="shared" si="1"/>
        <v>3</v>
      </c>
      <c r="BO22" s="117">
        <f t="shared" si="2"/>
        <v>3</v>
      </c>
      <c r="BP22" s="153">
        <f t="shared" si="3"/>
        <v>10</v>
      </c>
      <c r="BQ22" s="74" t="s">
        <v>201</v>
      </c>
      <c r="BR22" s="74" t="s">
        <v>202</v>
      </c>
      <c r="BS22" s="74"/>
    </row>
    <row r="23" spans="1:71" hidden="1">
      <c r="A23">
        <v>9</v>
      </c>
      <c r="B23" s="75">
        <v>45663.204421296294</v>
      </c>
      <c r="C23" s="78">
        <v>0.73472222222222228</v>
      </c>
      <c r="D23" s="7">
        <v>45663</v>
      </c>
      <c r="E23" s="7">
        <v>45663</v>
      </c>
      <c r="F23">
        <v>563</v>
      </c>
      <c r="G23">
        <v>9</v>
      </c>
      <c r="H23" t="s">
        <v>203</v>
      </c>
      <c r="I23" s="10" t="s">
        <v>203</v>
      </c>
      <c r="J23" s="69">
        <v>45663</v>
      </c>
      <c r="K23" s="97">
        <f t="shared" si="10"/>
        <v>1</v>
      </c>
      <c r="L23" s="97">
        <v>23</v>
      </c>
      <c r="M23" s="7" t="s">
        <v>133</v>
      </c>
      <c r="N23" s="7" t="s">
        <v>134</v>
      </c>
      <c r="O23" s="7" t="s">
        <v>134</v>
      </c>
      <c r="P23" s="7" t="s">
        <v>57</v>
      </c>
      <c r="Q23" s="100">
        <v>1</v>
      </c>
      <c r="R23" s="7" t="s">
        <v>135</v>
      </c>
      <c r="S23" s="7" t="s">
        <v>204</v>
      </c>
      <c r="T23" t="s">
        <v>205</v>
      </c>
      <c r="U23" t="s">
        <v>206</v>
      </c>
      <c r="V23" t="s">
        <v>194</v>
      </c>
      <c r="W23" t="s">
        <v>207</v>
      </c>
      <c r="X23" s="36" t="s">
        <v>140</v>
      </c>
      <c r="Y23" s="36" t="s">
        <v>140</v>
      </c>
      <c r="Z23" s="36" t="s">
        <v>140</v>
      </c>
      <c r="AA23" s="36" t="s">
        <v>140</v>
      </c>
      <c r="AB23" s="36" t="s">
        <v>141</v>
      </c>
      <c r="AC23" s="36" t="s">
        <v>140</v>
      </c>
      <c r="AD23" s="36" t="s">
        <v>141</v>
      </c>
      <c r="AE23" s="36" t="s">
        <v>140</v>
      </c>
      <c r="AF23" s="36" t="s">
        <v>140</v>
      </c>
      <c r="AG23" s="36" t="s">
        <v>140</v>
      </c>
      <c r="AH23" s="36" t="s">
        <v>141</v>
      </c>
      <c r="AI23" s="36" t="s">
        <v>141</v>
      </c>
      <c r="AJ23" s="36" t="s">
        <v>141</v>
      </c>
      <c r="AK23" s="117" t="s">
        <v>140</v>
      </c>
      <c r="AL23" s="36" t="s">
        <v>140</v>
      </c>
      <c r="AM23" s="36" t="s">
        <v>140</v>
      </c>
      <c r="AN23" s="36" t="s">
        <v>140</v>
      </c>
      <c r="AO23" s="36" t="s">
        <v>141</v>
      </c>
      <c r="AP23" s="36" t="s">
        <v>141</v>
      </c>
      <c r="AQ23" s="36" t="s">
        <v>141</v>
      </c>
      <c r="AR23" s="36" t="s">
        <v>140</v>
      </c>
      <c r="AS23" s="36" t="s">
        <v>140</v>
      </c>
      <c r="AT23" s="36" t="s">
        <v>140</v>
      </c>
      <c r="AU23" s="36" t="s">
        <v>141</v>
      </c>
      <c r="AV23" s="36" t="s">
        <v>140</v>
      </c>
      <c r="AW23" s="117" t="s">
        <v>140</v>
      </c>
      <c r="AX23" s="117" t="s">
        <v>141</v>
      </c>
      <c r="AY23" s="36" t="s">
        <v>140</v>
      </c>
      <c r="AZ23" s="36" t="s">
        <v>140</v>
      </c>
      <c r="BA23" s="117" t="s">
        <v>140</v>
      </c>
      <c r="BB23" s="117" t="s">
        <v>140</v>
      </c>
      <c r="BC23" s="117" t="s">
        <v>140</v>
      </c>
      <c r="BD23" s="117" t="s">
        <v>140</v>
      </c>
      <c r="BE23" s="117" t="s">
        <v>140</v>
      </c>
      <c r="BF23" s="117" t="s">
        <v>140</v>
      </c>
      <c r="BG23" s="117" t="s">
        <v>140</v>
      </c>
      <c r="BH23" s="117"/>
      <c r="BI23" s="117"/>
      <c r="BJ23" s="117"/>
      <c r="BK23" s="117"/>
      <c r="BL23" s="117"/>
      <c r="BM23" s="117">
        <f t="shared" si="0"/>
        <v>10</v>
      </c>
      <c r="BN23" s="117">
        <f t="shared" si="1"/>
        <v>1</v>
      </c>
      <c r="BO23" s="117">
        <f t="shared" si="2"/>
        <v>2</v>
      </c>
      <c r="BP23" s="153">
        <f t="shared" si="3"/>
        <v>8</v>
      </c>
      <c r="BQ23" s="74" t="s">
        <v>208</v>
      </c>
      <c r="BR23" s="74" t="s">
        <v>209</v>
      </c>
      <c r="BS23" s="74"/>
    </row>
    <row r="24" spans="1:71" hidden="1">
      <c r="A24">
        <v>10</v>
      </c>
      <c r="B24" s="75">
        <v>45663.287326388891</v>
      </c>
      <c r="C24" s="78">
        <v>0.81736111111111109</v>
      </c>
      <c r="D24" s="7">
        <v>45663</v>
      </c>
      <c r="E24" s="7">
        <v>45663</v>
      </c>
      <c r="F24">
        <v>564</v>
      </c>
      <c r="G24">
        <v>10</v>
      </c>
      <c r="H24" t="s">
        <v>210</v>
      </c>
      <c r="I24" s="10" t="s">
        <v>210</v>
      </c>
      <c r="J24" s="69">
        <v>45663</v>
      </c>
      <c r="K24" s="97">
        <f t="shared" si="10"/>
        <v>1</v>
      </c>
      <c r="L24" s="97">
        <v>24</v>
      </c>
      <c r="M24" s="7" t="s">
        <v>165</v>
      </c>
      <c r="N24" s="7" t="s">
        <v>156</v>
      </c>
      <c r="O24" s="7" t="s">
        <v>156</v>
      </c>
      <c r="P24" s="7" t="s">
        <v>211</v>
      </c>
      <c r="Q24" s="100">
        <v>2</v>
      </c>
      <c r="R24" s="7" t="s">
        <v>158</v>
      </c>
      <c r="S24" s="7" t="s">
        <v>212</v>
      </c>
      <c r="T24" t="s">
        <v>213</v>
      </c>
      <c r="U24" t="s">
        <v>214</v>
      </c>
      <c r="V24" t="s">
        <v>162</v>
      </c>
      <c r="W24" t="s">
        <v>170</v>
      </c>
      <c r="X24" s="36" t="s">
        <v>141</v>
      </c>
      <c r="Y24" s="36" t="s">
        <v>140</v>
      </c>
      <c r="Z24" s="36" t="s">
        <v>140</v>
      </c>
      <c r="AA24" s="36" t="s">
        <v>140</v>
      </c>
      <c r="AB24" s="36" t="s">
        <v>141</v>
      </c>
      <c r="AC24" s="36" t="s">
        <v>140</v>
      </c>
      <c r="AD24" s="36" t="s">
        <v>140</v>
      </c>
      <c r="AE24" s="36" t="s">
        <v>141</v>
      </c>
      <c r="AF24" s="36" t="s">
        <v>140</v>
      </c>
      <c r="AG24" s="36" t="s">
        <v>140</v>
      </c>
      <c r="AH24" s="36" t="s">
        <v>140</v>
      </c>
      <c r="AI24" s="36" t="s">
        <v>141</v>
      </c>
      <c r="AJ24" s="36" t="s">
        <v>141</v>
      </c>
      <c r="AK24" s="117" t="s">
        <v>140</v>
      </c>
      <c r="AL24" s="36" t="s">
        <v>141</v>
      </c>
      <c r="AM24" s="36" t="s">
        <v>140</v>
      </c>
      <c r="AN24" s="36" t="s">
        <v>140</v>
      </c>
      <c r="AO24" s="36" t="s">
        <v>141</v>
      </c>
      <c r="AP24" s="36" t="s">
        <v>141</v>
      </c>
      <c r="AQ24" s="36" t="s">
        <v>141</v>
      </c>
      <c r="AR24" s="36" t="s">
        <v>140</v>
      </c>
      <c r="AS24" s="36" t="s">
        <v>140</v>
      </c>
      <c r="AT24" s="36" t="s">
        <v>140</v>
      </c>
      <c r="AU24" s="36" t="s">
        <v>140</v>
      </c>
      <c r="AV24" s="36" t="s">
        <v>140</v>
      </c>
      <c r="AW24" s="117" t="s">
        <v>140</v>
      </c>
      <c r="AX24" s="117" t="s">
        <v>140</v>
      </c>
      <c r="AY24" s="36" t="s">
        <v>140</v>
      </c>
      <c r="AZ24" s="36" t="s">
        <v>140</v>
      </c>
      <c r="BA24" s="117" t="s">
        <v>140</v>
      </c>
      <c r="BB24" s="117" t="s">
        <v>140</v>
      </c>
      <c r="BC24" s="117" t="s">
        <v>140</v>
      </c>
      <c r="BD24" s="117" t="s">
        <v>140</v>
      </c>
      <c r="BE24" s="117" t="s">
        <v>140</v>
      </c>
      <c r="BF24" s="117" t="s">
        <v>140</v>
      </c>
      <c r="BG24" s="117" t="s">
        <v>140</v>
      </c>
      <c r="BH24" s="117"/>
      <c r="BI24" s="117"/>
      <c r="BJ24" s="117"/>
      <c r="BK24" s="117"/>
      <c r="BL24" s="117"/>
      <c r="BM24" s="117">
        <f t="shared" si="0"/>
        <v>9</v>
      </c>
      <c r="BN24" s="117">
        <f t="shared" si="1"/>
        <v>1</v>
      </c>
      <c r="BO24" s="117">
        <f t="shared" si="2"/>
        <v>2</v>
      </c>
      <c r="BP24" s="153">
        <f t="shared" si="3"/>
        <v>7</v>
      </c>
      <c r="BQ24" s="74" t="s">
        <v>215</v>
      </c>
      <c r="BR24" s="74" t="s">
        <v>216</v>
      </c>
      <c r="BS24" s="74"/>
    </row>
    <row r="25" spans="1:71" hidden="1">
      <c r="A25">
        <v>11</v>
      </c>
      <c r="B25" s="75">
        <v>45664.161168981482</v>
      </c>
      <c r="C25" s="78">
        <v>0.66874999999999996</v>
      </c>
      <c r="D25" s="7">
        <v>45664</v>
      </c>
      <c r="E25" s="7">
        <v>45664</v>
      </c>
      <c r="F25">
        <v>565</v>
      </c>
      <c r="G25">
        <v>11</v>
      </c>
      <c r="H25" t="s">
        <v>217</v>
      </c>
      <c r="I25" s="10" t="s">
        <v>217</v>
      </c>
      <c r="J25" s="69">
        <v>45664</v>
      </c>
      <c r="K25" s="97">
        <f t="shared" si="10"/>
        <v>1</v>
      </c>
      <c r="L25" s="97">
        <v>25</v>
      </c>
      <c r="M25" s="7" t="s">
        <v>218</v>
      </c>
      <c r="N25" s="7" t="s">
        <v>219</v>
      </c>
      <c r="O25" s="7" t="s">
        <v>220</v>
      </c>
      <c r="P25" s="7" t="s">
        <v>57</v>
      </c>
      <c r="Q25" s="100">
        <v>1</v>
      </c>
      <c r="R25" s="7" t="s">
        <v>135</v>
      </c>
      <c r="S25" s="7" t="s">
        <v>221</v>
      </c>
      <c r="T25" t="s">
        <v>222</v>
      </c>
      <c r="U25" t="s">
        <v>223</v>
      </c>
      <c r="V25" t="s">
        <v>224</v>
      </c>
      <c r="W25" t="s">
        <v>225</v>
      </c>
      <c r="X25" s="36" t="s">
        <v>141</v>
      </c>
      <c r="Y25" s="36" t="s">
        <v>140</v>
      </c>
      <c r="Z25" s="36" t="s">
        <v>141</v>
      </c>
      <c r="AA25" s="36" t="s">
        <v>140</v>
      </c>
      <c r="AB25" s="36" t="s">
        <v>140</v>
      </c>
      <c r="AC25" s="36" t="s">
        <v>140</v>
      </c>
      <c r="AD25" s="36" t="s">
        <v>140</v>
      </c>
      <c r="AE25" s="36" t="s">
        <v>141</v>
      </c>
      <c r="AF25" s="36" t="s">
        <v>140</v>
      </c>
      <c r="AG25" s="36" t="s">
        <v>140</v>
      </c>
      <c r="AH25" s="36" t="s">
        <v>141</v>
      </c>
      <c r="AI25" s="36" t="s">
        <v>140</v>
      </c>
      <c r="AJ25" s="36" t="s">
        <v>141</v>
      </c>
      <c r="AK25" s="117" t="s">
        <v>140</v>
      </c>
      <c r="AL25" s="36" t="s">
        <v>141</v>
      </c>
      <c r="AM25" s="36" t="s">
        <v>140</v>
      </c>
      <c r="AN25" s="36" t="s">
        <v>140</v>
      </c>
      <c r="AO25" s="36" t="s">
        <v>140</v>
      </c>
      <c r="AP25" s="36" t="s">
        <v>141</v>
      </c>
      <c r="AQ25" s="36" t="s">
        <v>141</v>
      </c>
      <c r="AR25" s="36" t="s">
        <v>141</v>
      </c>
      <c r="AS25" s="36" t="s">
        <v>141</v>
      </c>
      <c r="AT25" s="36" t="s">
        <v>140</v>
      </c>
      <c r="AU25" s="36" t="s">
        <v>140</v>
      </c>
      <c r="AV25" s="36" t="s">
        <v>140</v>
      </c>
      <c r="AW25" s="117" t="s">
        <v>140</v>
      </c>
      <c r="AX25" s="117" t="s">
        <v>141</v>
      </c>
      <c r="AY25" s="36" t="s">
        <v>140</v>
      </c>
      <c r="AZ25" s="36" t="s">
        <v>140</v>
      </c>
      <c r="BA25" s="117" t="s">
        <v>140</v>
      </c>
      <c r="BB25" s="117" t="s">
        <v>140</v>
      </c>
      <c r="BC25" s="117" t="s">
        <v>140</v>
      </c>
      <c r="BD25" s="117" t="s">
        <v>141</v>
      </c>
      <c r="BE25" s="117" t="s">
        <v>140</v>
      </c>
      <c r="BF25" s="117" t="s">
        <v>140</v>
      </c>
      <c r="BG25" s="117" t="s">
        <v>140</v>
      </c>
      <c r="BH25" s="117"/>
      <c r="BI25" s="117"/>
      <c r="BJ25" s="117"/>
      <c r="BK25" s="117"/>
      <c r="BL25" s="117"/>
      <c r="BM25" s="117">
        <f t="shared" si="0"/>
        <v>12</v>
      </c>
      <c r="BN25" s="117">
        <f t="shared" si="1"/>
        <v>3</v>
      </c>
      <c r="BO25" s="117">
        <f t="shared" si="2"/>
        <v>2</v>
      </c>
      <c r="BP25" s="153">
        <f t="shared" si="3"/>
        <v>9</v>
      </c>
      <c r="BQ25" s="74" t="s">
        <v>152</v>
      </c>
      <c r="BR25" s="74" t="s">
        <v>226</v>
      </c>
      <c r="BS25" s="74"/>
    </row>
    <row r="26" spans="1:71" hidden="1">
      <c r="A26">
        <v>12</v>
      </c>
      <c r="B26" s="75">
        <v>45664.772719907407</v>
      </c>
      <c r="C26" s="78">
        <v>0.30069444444444443</v>
      </c>
      <c r="D26" s="7">
        <v>45665</v>
      </c>
      <c r="E26" s="7">
        <v>45664</v>
      </c>
      <c r="F26">
        <v>566</v>
      </c>
      <c r="G26">
        <v>12</v>
      </c>
      <c r="H26" t="s">
        <v>227</v>
      </c>
      <c r="I26" s="10" t="s">
        <v>227</v>
      </c>
      <c r="J26" s="69">
        <v>0</v>
      </c>
      <c r="K26" s="97">
        <f t="shared" si="10"/>
        <v>1</v>
      </c>
      <c r="L26" s="97">
        <v>26</v>
      </c>
      <c r="M26" s="7" t="s">
        <v>165</v>
      </c>
      <c r="N26" s="7" t="s">
        <v>156</v>
      </c>
      <c r="O26" s="7" t="s">
        <v>156</v>
      </c>
      <c r="P26" s="7" t="s">
        <v>228</v>
      </c>
      <c r="Q26" s="100">
        <v>2</v>
      </c>
      <c r="R26" s="7" t="s">
        <v>158</v>
      </c>
      <c r="S26" s="7" t="s">
        <v>229</v>
      </c>
      <c r="T26" t="s">
        <v>230</v>
      </c>
      <c r="U26" t="s">
        <v>231</v>
      </c>
      <c r="V26" t="s">
        <v>162</v>
      </c>
      <c r="W26" t="s">
        <v>207</v>
      </c>
      <c r="X26" s="36" t="s">
        <v>140</v>
      </c>
      <c r="Y26" s="36" t="s">
        <v>140</v>
      </c>
      <c r="Z26" s="36" t="s">
        <v>140</v>
      </c>
      <c r="AA26" s="36" t="s">
        <v>140</v>
      </c>
      <c r="AB26" s="36" t="s">
        <v>141</v>
      </c>
      <c r="AC26" s="36" t="s">
        <v>141</v>
      </c>
      <c r="AD26" s="36" t="s">
        <v>140</v>
      </c>
      <c r="AE26" s="36" t="s">
        <v>141</v>
      </c>
      <c r="AF26" s="36" t="s">
        <v>140</v>
      </c>
      <c r="AG26" s="36" t="s">
        <v>141</v>
      </c>
      <c r="AH26" s="36" t="s">
        <v>141</v>
      </c>
      <c r="AI26" s="36" t="s">
        <v>141</v>
      </c>
      <c r="AJ26" s="36" t="s">
        <v>141</v>
      </c>
      <c r="AK26" s="117" t="s">
        <v>140</v>
      </c>
      <c r="AL26" s="36" t="s">
        <v>141</v>
      </c>
      <c r="AM26" s="36" t="s">
        <v>141</v>
      </c>
      <c r="AN26" s="36" t="s">
        <v>140</v>
      </c>
      <c r="AO26" s="36" t="s">
        <v>141</v>
      </c>
      <c r="AP26" s="36" t="s">
        <v>141</v>
      </c>
      <c r="AQ26" s="36" t="s">
        <v>140</v>
      </c>
      <c r="AR26" s="36" t="s">
        <v>140</v>
      </c>
      <c r="AS26" s="36" t="s">
        <v>141</v>
      </c>
      <c r="AT26" s="36" t="s">
        <v>140</v>
      </c>
      <c r="AU26" s="36" t="s">
        <v>140</v>
      </c>
      <c r="AV26" s="36" t="s">
        <v>140</v>
      </c>
      <c r="AW26" s="117" t="s">
        <v>140</v>
      </c>
      <c r="AX26" s="117" t="s">
        <v>140</v>
      </c>
      <c r="AY26" s="36" t="s">
        <v>140</v>
      </c>
      <c r="AZ26" s="36" t="s">
        <v>140</v>
      </c>
      <c r="BA26" s="117" t="s">
        <v>140</v>
      </c>
      <c r="BB26" s="117" t="s">
        <v>141</v>
      </c>
      <c r="BC26" s="117" t="s">
        <v>140</v>
      </c>
      <c r="BD26" s="117" t="s">
        <v>140</v>
      </c>
      <c r="BE26" s="117" t="s">
        <v>140</v>
      </c>
      <c r="BF26" s="117" t="s">
        <v>140</v>
      </c>
      <c r="BG26" s="117" t="s">
        <v>140</v>
      </c>
      <c r="BH26" s="117"/>
      <c r="BI26" s="117"/>
      <c r="BJ26" s="117"/>
      <c r="BK26" s="117"/>
      <c r="BL26" s="117"/>
      <c r="BM26" s="117">
        <f t="shared" si="0"/>
        <v>13</v>
      </c>
      <c r="BN26" s="117">
        <f t="shared" si="1"/>
        <v>4</v>
      </c>
      <c r="BO26" s="117">
        <f t="shared" si="2"/>
        <v>2</v>
      </c>
      <c r="BP26" s="153">
        <f t="shared" si="3"/>
        <v>11</v>
      </c>
      <c r="BQ26" s="74" t="s">
        <v>215</v>
      </c>
      <c r="BR26" s="74" t="s">
        <v>232</v>
      </c>
      <c r="BS26" s="74"/>
    </row>
    <row r="27" spans="1:71" hidden="1">
      <c r="A27">
        <v>13</v>
      </c>
      <c r="B27" s="75">
        <v>45664.971122685187</v>
      </c>
      <c r="C27" s="78">
        <v>0.48402777777777778</v>
      </c>
      <c r="D27" s="7">
        <v>45665</v>
      </c>
      <c r="E27" s="7">
        <v>45665</v>
      </c>
      <c r="F27">
        <v>567</v>
      </c>
      <c r="G27">
        <v>13</v>
      </c>
      <c r="H27" t="s">
        <v>233</v>
      </c>
      <c r="I27" s="10" t="s">
        <v>233</v>
      </c>
      <c r="J27" s="69">
        <v>0</v>
      </c>
      <c r="K27" s="97">
        <f t="shared" si="10"/>
        <v>1</v>
      </c>
      <c r="L27" s="97">
        <v>27</v>
      </c>
      <c r="M27" s="7" t="s">
        <v>165</v>
      </c>
      <c r="N27" s="7" t="s">
        <v>234</v>
      </c>
      <c r="O27" s="7" t="s">
        <v>234</v>
      </c>
      <c r="P27" s="7" t="s">
        <v>235</v>
      </c>
      <c r="Q27" s="100">
        <v>2</v>
      </c>
      <c r="R27" s="7" t="s">
        <v>158</v>
      </c>
      <c r="S27" s="7" t="s">
        <v>236</v>
      </c>
      <c r="T27" t="s">
        <v>237</v>
      </c>
      <c r="U27" t="s">
        <v>238</v>
      </c>
      <c r="V27" t="s">
        <v>234</v>
      </c>
      <c r="W27" t="s">
        <v>239</v>
      </c>
      <c r="X27" s="36" t="s">
        <v>140</v>
      </c>
      <c r="Y27" s="36" t="s">
        <v>140</v>
      </c>
      <c r="Z27" s="36" t="s">
        <v>140</v>
      </c>
      <c r="AA27" s="36" t="s">
        <v>141</v>
      </c>
      <c r="AB27" s="36" t="s">
        <v>140</v>
      </c>
      <c r="AC27" s="36" t="s">
        <v>140</v>
      </c>
      <c r="AD27" s="36" t="s">
        <v>140</v>
      </c>
      <c r="AE27" s="36" t="s">
        <v>141</v>
      </c>
      <c r="AF27" s="36" t="s">
        <v>141</v>
      </c>
      <c r="AG27" s="36" t="s">
        <v>141</v>
      </c>
      <c r="AH27" s="36" t="s">
        <v>141</v>
      </c>
      <c r="AI27" s="36" t="s">
        <v>140</v>
      </c>
      <c r="AJ27" s="36" t="s">
        <v>141</v>
      </c>
      <c r="AK27" s="117" t="s">
        <v>140</v>
      </c>
      <c r="AL27" s="36" t="s">
        <v>141</v>
      </c>
      <c r="AM27" s="36" t="s">
        <v>141</v>
      </c>
      <c r="AN27" s="36" t="s">
        <v>140</v>
      </c>
      <c r="AO27" s="36" t="s">
        <v>141</v>
      </c>
      <c r="AP27" s="36" t="s">
        <v>140</v>
      </c>
      <c r="AQ27" s="36" t="s">
        <v>141</v>
      </c>
      <c r="AR27" s="36" t="s">
        <v>141</v>
      </c>
      <c r="AS27" s="36" t="s">
        <v>141</v>
      </c>
      <c r="AT27" s="36" t="s">
        <v>140</v>
      </c>
      <c r="AU27" s="36" t="s">
        <v>140</v>
      </c>
      <c r="AV27" s="36" t="s">
        <v>140</v>
      </c>
      <c r="AW27" s="117" t="s">
        <v>140</v>
      </c>
      <c r="AX27" s="117" t="s">
        <v>140</v>
      </c>
      <c r="AY27" s="36" t="s">
        <v>140</v>
      </c>
      <c r="AZ27" s="36" t="s">
        <v>140</v>
      </c>
      <c r="BA27" s="117" t="s">
        <v>140</v>
      </c>
      <c r="BB27" s="117" t="s">
        <v>140</v>
      </c>
      <c r="BC27" s="117" t="s">
        <v>140</v>
      </c>
      <c r="BD27" s="117" t="s">
        <v>140</v>
      </c>
      <c r="BE27" s="117" t="s">
        <v>140</v>
      </c>
      <c r="BF27" s="117" t="s">
        <v>140</v>
      </c>
      <c r="BG27" s="117" t="s">
        <v>140</v>
      </c>
      <c r="BH27" s="117"/>
      <c r="BI27" s="117"/>
      <c r="BJ27" s="117"/>
      <c r="BK27" s="117"/>
      <c r="BL27" s="117"/>
      <c r="BM27" s="117">
        <f t="shared" si="0"/>
        <v>12</v>
      </c>
      <c r="BN27" s="117">
        <f t="shared" si="1"/>
        <v>5</v>
      </c>
      <c r="BO27" s="117">
        <f t="shared" si="2"/>
        <v>1</v>
      </c>
      <c r="BP27" s="153">
        <f t="shared" si="3"/>
        <v>11</v>
      </c>
      <c r="BQ27" s="74" t="s">
        <v>240</v>
      </c>
      <c r="BR27" s="74" t="s">
        <v>241</v>
      </c>
      <c r="BS27" s="74"/>
    </row>
    <row r="28" spans="1:71" hidden="1">
      <c r="A28">
        <v>14</v>
      </c>
      <c r="B28" s="75">
        <v>45665.007175925923</v>
      </c>
      <c r="C28" s="78">
        <v>0.53472222222222221</v>
      </c>
      <c r="D28" s="7">
        <v>45665</v>
      </c>
      <c r="E28" s="7">
        <v>45665</v>
      </c>
      <c r="F28">
        <v>568</v>
      </c>
      <c r="G28">
        <v>14</v>
      </c>
      <c r="H28" t="s">
        <v>242</v>
      </c>
      <c r="I28" s="10" t="s">
        <v>242</v>
      </c>
      <c r="J28" s="69">
        <v>0</v>
      </c>
      <c r="K28" s="97">
        <f t="shared" si="10"/>
        <v>1</v>
      </c>
      <c r="L28" s="97">
        <v>28</v>
      </c>
      <c r="M28" s="7" t="s">
        <v>155</v>
      </c>
      <c r="N28" s="7" t="s">
        <v>156</v>
      </c>
      <c r="O28" s="7" t="s">
        <v>156</v>
      </c>
      <c r="P28" s="7" t="s">
        <v>243</v>
      </c>
      <c r="Q28" s="100">
        <v>2</v>
      </c>
      <c r="R28" s="7" t="s">
        <v>158</v>
      </c>
      <c r="S28" s="7" t="s">
        <v>244</v>
      </c>
      <c r="T28" t="s">
        <v>245</v>
      </c>
      <c r="U28" t="s">
        <v>246</v>
      </c>
      <c r="V28" t="s">
        <v>162</v>
      </c>
      <c r="W28" t="s">
        <v>139</v>
      </c>
      <c r="X28" s="36" t="s">
        <v>140</v>
      </c>
      <c r="Y28" s="36" t="s">
        <v>140</v>
      </c>
      <c r="Z28" s="36" t="s">
        <v>140</v>
      </c>
      <c r="AA28" s="36" t="s">
        <v>141</v>
      </c>
      <c r="AB28" s="36" t="s">
        <v>140</v>
      </c>
      <c r="AC28" s="36" t="s">
        <v>140</v>
      </c>
      <c r="AD28" s="36" t="s">
        <v>140</v>
      </c>
      <c r="AE28" s="36" t="s">
        <v>141</v>
      </c>
      <c r="AF28" s="36" t="s">
        <v>141</v>
      </c>
      <c r="AG28" s="36" t="s">
        <v>141</v>
      </c>
      <c r="AH28" s="36" t="s">
        <v>141</v>
      </c>
      <c r="AI28" s="36" t="s">
        <v>140</v>
      </c>
      <c r="AJ28" s="36" t="s">
        <v>141</v>
      </c>
      <c r="AK28" s="117" t="s">
        <v>140</v>
      </c>
      <c r="AL28" s="36" t="s">
        <v>140</v>
      </c>
      <c r="AM28" s="36" t="s">
        <v>141</v>
      </c>
      <c r="AN28" s="36" t="s">
        <v>141</v>
      </c>
      <c r="AO28" s="36" t="s">
        <v>141</v>
      </c>
      <c r="AP28" s="36" t="s">
        <v>140</v>
      </c>
      <c r="AQ28" s="36" t="s">
        <v>141</v>
      </c>
      <c r="AR28" s="36" t="s">
        <v>140</v>
      </c>
      <c r="AS28" s="36" t="s">
        <v>141</v>
      </c>
      <c r="AT28" s="36" t="s">
        <v>140</v>
      </c>
      <c r="AU28" s="36" t="s">
        <v>140</v>
      </c>
      <c r="AV28" s="36" t="s">
        <v>140</v>
      </c>
      <c r="AW28" s="117" t="s">
        <v>140</v>
      </c>
      <c r="AX28" s="117" t="s">
        <v>140</v>
      </c>
      <c r="AY28" s="36" t="s">
        <v>140</v>
      </c>
      <c r="AZ28" s="36" t="s">
        <v>140</v>
      </c>
      <c r="BA28" s="117" t="s">
        <v>140</v>
      </c>
      <c r="BB28" s="117" t="s">
        <v>141</v>
      </c>
      <c r="BC28" s="117" t="s">
        <v>140</v>
      </c>
      <c r="BD28" s="117" t="s">
        <v>140</v>
      </c>
      <c r="BE28" s="117" t="s">
        <v>140</v>
      </c>
      <c r="BF28" s="117" t="s">
        <v>140</v>
      </c>
      <c r="BG28" s="117" t="s">
        <v>140</v>
      </c>
      <c r="BH28" s="117"/>
      <c r="BI28" s="117"/>
      <c r="BJ28" s="117"/>
      <c r="BK28" s="117"/>
      <c r="BL28" s="117"/>
      <c r="BM28" s="117">
        <f t="shared" si="0"/>
        <v>12</v>
      </c>
      <c r="BN28" s="117">
        <f t="shared" si="1"/>
        <v>5</v>
      </c>
      <c r="BO28" s="117">
        <f t="shared" si="2"/>
        <v>1</v>
      </c>
      <c r="BP28" s="153">
        <f t="shared" si="3"/>
        <v>11</v>
      </c>
      <c r="BQ28" s="74" t="s">
        <v>240</v>
      </c>
      <c r="BR28" s="74" t="s">
        <v>247</v>
      </c>
      <c r="BS28" s="74"/>
    </row>
    <row r="29" spans="1:71" hidden="1">
      <c r="A29">
        <v>15</v>
      </c>
      <c r="B29" s="75">
        <v>45666.01295138889</v>
      </c>
      <c r="C29" s="78">
        <v>0.53541666666666665</v>
      </c>
      <c r="D29" s="7">
        <v>45666</v>
      </c>
      <c r="E29" s="7">
        <v>45665</v>
      </c>
      <c r="F29">
        <v>569</v>
      </c>
      <c r="G29">
        <v>15</v>
      </c>
      <c r="H29" t="s">
        <v>248</v>
      </c>
      <c r="I29" s="10" t="s">
        <v>248</v>
      </c>
      <c r="J29" s="69">
        <v>0</v>
      </c>
      <c r="K29" s="97">
        <f t="shared" si="10"/>
        <v>1</v>
      </c>
      <c r="L29" s="97">
        <v>29</v>
      </c>
      <c r="M29" s="7" t="s">
        <v>165</v>
      </c>
      <c r="N29" s="7" t="s">
        <v>156</v>
      </c>
      <c r="O29" s="7" t="s">
        <v>156</v>
      </c>
      <c r="P29" s="7" t="s">
        <v>249</v>
      </c>
      <c r="Q29" s="100">
        <v>2</v>
      </c>
      <c r="R29" s="7" t="s">
        <v>158</v>
      </c>
      <c r="S29" s="7" t="s">
        <v>250</v>
      </c>
      <c r="T29" t="s">
        <v>251</v>
      </c>
      <c r="U29" t="s">
        <v>252</v>
      </c>
      <c r="V29" t="s">
        <v>162</v>
      </c>
      <c r="W29" t="s">
        <v>139</v>
      </c>
      <c r="X29" s="36" t="s">
        <v>140</v>
      </c>
      <c r="Y29" s="36" t="s">
        <v>140</v>
      </c>
      <c r="Z29" s="36" t="s">
        <v>140</v>
      </c>
      <c r="AA29" s="36" t="s">
        <v>141</v>
      </c>
      <c r="AB29" s="36" t="s">
        <v>140</v>
      </c>
      <c r="AC29" s="36" t="s">
        <v>140</v>
      </c>
      <c r="AD29" s="36" t="s">
        <v>140</v>
      </c>
      <c r="AE29" s="36" t="s">
        <v>141</v>
      </c>
      <c r="AF29" s="36" t="s">
        <v>141</v>
      </c>
      <c r="AG29" s="36" t="s">
        <v>141</v>
      </c>
      <c r="AH29" s="36" t="s">
        <v>141</v>
      </c>
      <c r="AI29" s="36" t="s">
        <v>141</v>
      </c>
      <c r="AJ29" s="36" t="s">
        <v>141</v>
      </c>
      <c r="AK29" s="117"/>
      <c r="AL29" s="36" t="s">
        <v>141</v>
      </c>
      <c r="AM29" s="36" t="s">
        <v>141</v>
      </c>
      <c r="AN29" s="36" t="s">
        <v>140</v>
      </c>
      <c r="AO29" s="36" t="s">
        <v>140</v>
      </c>
      <c r="AP29" s="36" t="s">
        <v>140</v>
      </c>
      <c r="AQ29" s="36" t="s">
        <v>140</v>
      </c>
      <c r="AR29" s="36" t="s">
        <v>140</v>
      </c>
      <c r="AS29" s="36" t="s">
        <v>140</v>
      </c>
      <c r="AT29" s="36" t="s">
        <v>141</v>
      </c>
      <c r="AU29" s="36" t="s">
        <v>140</v>
      </c>
      <c r="AV29" s="36" t="s">
        <v>140</v>
      </c>
      <c r="AW29" s="117" t="s">
        <v>140</v>
      </c>
      <c r="AX29" s="117" t="s">
        <v>140</v>
      </c>
      <c r="AY29" s="36" t="s">
        <v>140</v>
      </c>
      <c r="AZ29" s="36" t="s">
        <v>140</v>
      </c>
      <c r="BA29" s="117" t="s">
        <v>140</v>
      </c>
      <c r="BB29" s="117" t="s">
        <v>140</v>
      </c>
      <c r="BC29" s="117" t="s">
        <v>140</v>
      </c>
      <c r="BD29" s="117" t="s">
        <v>140</v>
      </c>
      <c r="BE29" s="117" t="s">
        <v>141</v>
      </c>
      <c r="BF29" s="117" t="s">
        <v>140</v>
      </c>
      <c r="BG29" s="117" t="s">
        <v>140</v>
      </c>
      <c r="BH29" s="117"/>
      <c r="BI29" s="117"/>
      <c r="BJ29" s="117"/>
      <c r="BK29" s="117"/>
      <c r="BL29" s="117"/>
      <c r="BM29" s="117">
        <f t="shared" si="0"/>
        <v>11</v>
      </c>
      <c r="BN29" s="117">
        <f t="shared" si="1"/>
        <v>3</v>
      </c>
      <c r="BO29" s="117">
        <f t="shared" si="2"/>
        <v>1</v>
      </c>
      <c r="BP29" s="153">
        <f t="shared" si="3"/>
        <v>9</v>
      </c>
      <c r="BQ29" s="74" t="s">
        <v>215</v>
      </c>
      <c r="BR29" s="74" t="s">
        <v>216</v>
      </c>
      <c r="BS29" s="74"/>
    </row>
    <row r="30" spans="1:71" hidden="1">
      <c r="A30">
        <v>16</v>
      </c>
      <c r="B30" s="75">
        <v>45666.546261574076</v>
      </c>
      <c r="C30" s="78">
        <v>6.805555555555555E-2</v>
      </c>
      <c r="D30" s="7">
        <v>45667</v>
      </c>
      <c r="E30" s="7">
        <v>45667</v>
      </c>
      <c r="F30">
        <v>570</v>
      </c>
      <c r="G30">
        <v>16</v>
      </c>
      <c r="H30" t="s">
        <v>253</v>
      </c>
      <c r="I30" s="10" t="s">
        <v>253</v>
      </c>
      <c r="J30" s="69">
        <v>0</v>
      </c>
      <c r="K30" s="97">
        <f t="shared" si="10"/>
        <v>1</v>
      </c>
      <c r="L30" s="97">
        <v>30</v>
      </c>
      <c r="M30" s="7" t="s">
        <v>181</v>
      </c>
      <c r="N30" s="7" t="s">
        <v>254</v>
      </c>
      <c r="O30" s="7" t="s">
        <v>146</v>
      </c>
      <c r="Q30" s="100">
        <v>1</v>
      </c>
      <c r="R30" s="7" t="s">
        <v>135</v>
      </c>
      <c r="S30" s="7" t="s">
        <v>255</v>
      </c>
      <c r="T30" t="s">
        <v>256</v>
      </c>
      <c r="U30" t="s">
        <v>257</v>
      </c>
      <c r="V30" t="s">
        <v>258</v>
      </c>
      <c r="W30" t="s">
        <v>207</v>
      </c>
      <c r="X30" s="36" t="s">
        <v>141</v>
      </c>
      <c r="Y30" s="36" t="s">
        <v>140</v>
      </c>
      <c r="Z30" s="36" t="s">
        <v>140</v>
      </c>
      <c r="AA30" s="36" t="s">
        <v>140</v>
      </c>
      <c r="AB30" s="36" t="s">
        <v>141</v>
      </c>
      <c r="AC30" s="36" t="s">
        <v>141</v>
      </c>
      <c r="AD30" s="36" t="s">
        <v>140</v>
      </c>
      <c r="AE30" s="36" t="s">
        <v>141</v>
      </c>
      <c r="AF30" s="36" t="s">
        <v>140</v>
      </c>
      <c r="AG30" s="36" t="s">
        <v>141</v>
      </c>
      <c r="AH30" s="36" t="s">
        <v>140</v>
      </c>
      <c r="AI30" s="36" t="s">
        <v>140</v>
      </c>
      <c r="AJ30" s="36" t="s">
        <v>140</v>
      </c>
      <c r="AK30" s="117"/>
      <c r="AL30" s="36" t="s">
        <v>141</v>
      </c>
      <c r="AM30" s="36" t="s">
        <v>140</v>
      </c>
      <c r="AN30" s="36" t="s">
        <v>140</v>
      </c>
      <c r="AO30" s="36" t="s">
        <v>140</v>
      </c>
      <c r="AP30" s="36" t="s">
        <v>140</v>
      </c>
      <c r="AQ30" s="36" t="s">
        <v>140</v>
      </c>
      <c r="AR30" s="36" t="s">
        <v>140</v>
      </c>
      <c r="AS30" s="36" t="s">
        <v>141</v>
      </c>
      <c r="AT30" s="36" t="s">
        <v>140</v>
      </c>
      <c r="AU30" s="36" t="s">
        <v>140</v>
      </c>
      <c r="AV30" s="36" t="s">
        <v>140</v>
      </c>
      <c r="AW30" s="117" t="s">
        <v>140</v>
      </c>
      <c r="AX30" s="117" t="s">
        <v>140</v>
      </c>
      <c r="AY30" s="36" t="s">
        <v>140</v>
      </c>
      <c r="AZ30" s="36" t="s">
        <v>140</v>
      </c>
      <c r="BA30" s="117" t="s">
        <v>140</v>
      </c>
      <c r="BB30" s="117" t="s">
        <v>140</v>
      </c>
      <c r="BC30" s="117" t="s">
        <v>140</v>
      </c>
      <c r="BD30" s="117" t="s">
        <v>140</v>
      </c>
      <c r="BE30" s="117" t="s">
        <v>140</v>
      </c>
      <c r="BF30" s="117" t="s">
        <v>141</v>
      </c>
      <c r="BG30" s="117" t="s">
        <v>140</v>
      </c>
      <c r="BH30" s="117"/>
      <c r="BI30" s="117"/>
      <c r="BJ30" s="117"/>
      <c r="BK30" s="117"/>
      <c r="BL30" s="117"/>
      <c r="BM30" s="117">
        <f t="shared" si="0"/>
        <v>8</v>
      </c>
      <c r="BN30" s="117">
        <f t="shared" si="1"/>
        <v>2</v>
      </c>
      <c r="BO30" s="117">
        <f t="shared" si="2"/>
        <v>3</v>
      </c>
      <c r="BP30" s="153">
        <f t="shared" si="3"/>
        <v>4</v>
      </c>
      <c r="BQ30" s="74" t="s">
        <v>171</v>
      </c>
      <c r="BR30" s="74" t="s">
        <v>259</v>
      </c>
      <c r="BS30" s="74"/>
    </row>
    <row r="31" spans="1:71" hidden="1">
      <c r="A31">
        <v>17</v>
      </c>
      <c r="B31" s="75">
        <v>45667.556539351855</v>
      </c>
      <c r="C31" s="78">
        <v>8.8888888888888892E-2</v>
      </c>
      <c r="D31" s="7">
        <v>45668</v>
      </c>
      <c r="E31" s="7">
        <v>45668</v>
      </c>
      <c r="F31">
        <v>571</v>
      </c>
      <c r="G31">
        <v>17</v>
      </c>
      <c r="H31" t="s">
        <v>260</v>
      </c>
      <c r="I31" s="10" t="s">
        <v>260</v>
      </c>
      <c r="J31" s="69">
        <v>0</v>
      </c>
      <c r="K31" s="97">
        <f t="shared" si="10"/>
        <v>1</v>
      </c>
      <c r="L31" s="97">
        <v>31</v>
      </c>
      <c r="M31" s="7" t="s">
        <v>133</v>
      </c>
      <c r="N31" s="7" t="s">
        <v>134</v>
      </c>
      <c r="O31" s="7" t="s">
        <v>134</v>
      </c>
      <c r="P31" s="7" t="s">
        <v>261</v>
      </c>
      <c r="Q31" s="100">
        <v>1</v>
      </c>
      <c r="R31" s="7" t="s">
        <v>135</v>
      </c>
      <c r="S31" s="7" t="s">
        <v>262</v>
      </c>
      <c r="T31" t="s">
        <v>263</v>
      </c>
      <c r="U31" t="s">
        <v>264</v>
      </c>
      <c r="V31" t="s">
        <v>265</v>
      </c>
      <c r="W31" t="s">
        <v>225</v>
      </c>
      <c r="X31" s="36" t="s">
        <v>140</v>
      </c>
      <c r="Y31" s="36" t="s">
        <v>140</v>
      </c>
      <c r="Z31" s="36" t="s">
        <v>141</v>
      </c>
      <c r="AA31" s="36" t="s">
        <v>140</v>
      </c>
      <c r="AB31" s="36" t="s">
        <v>140</v>
      </c>
      <c r="AC31" s="36" t="s">
        <v>141</v>
      </c>
      <c r="AD31" s="36" t="s">
        <v>140</v>
      </c>
      <c r="AE31" s="36" t="s">
        <v>140</v>
      </c>
      <c r="AF31" s="36" t="s">
        <v>140</v>
      </c>
      <c r="AG31" s="36" t="s">
        <v>140</v>
      </c>
      <c r="AH31" s="36" t="s">
        <v>140</v>
      </c>
      <c r="AI31" s="36" t="s">
        <v>141</v>
      </c>
      <c r="AJ31" s="36" t="s">
        <v>141</v>
      </c>
      <c r="AK31" s="117"/>
      <c r="AL31" s="36" t="s">
        <v>141</v>
      </c>
      <c r="AM31" s="36" t="s">
        <v>140</v>
      </c>
      <c r="AN31" s="36" t="s">
        <v>140</v>
      </c>
      <c r="AO31" s="36" t="s">
        <v>140</v>
      </c>
      <c r="AP31" s="36" t="s">
        <v>140</v>
      </c>
      <c r="AQ31" s="36" t="s">
        <v>140</v>
      </c>
      <c r="AR31" s="36" t="s">
        <v>140</v>
      </c>
      <c r="AS31" s="36" t="s">
        <v>141</v>
      </c>
      <c r="AT31" s="36" t="s">
        <v>140</v>
      </c>
      <c r="AU31" s="36" t="s">
        <v>141</v>
      </c>
      <c r="AV31" s="36" t="s">
        <v>140</v>
      </c>
      <c r="AW31" s="117" t="s">
        <v>140</v>
      </c>
      <c r="AX31" s="117" t="s">
        <v>140</v>
      </c>
      <c r="AY31" s="36" t="s">
        <v>140</v>
      </c>
      <c r="AZ31" s="36" t="s">
        <v>140</v>
      </c>
      <c r="BA31" s="117" t="s">
        <v>140</v>
      </c>
      <c r="BB31" s="117" t="s">
        <v>140</v>
      </c>
      <c r="BC31" s="117" t="s">
        <v>140</v>
      </c>
      <c r="BD31" s="117" t="s">
        <v>140</v>
      </c>
      <c r="BE31" s="117" t="s">
        <v>140</v>
      </c>
      <c r="BF31" s="117" t="s">
        <v>140</v>
      </c>
      <c r="BG31" s="117" t="s">
        <v>140</v>
      </c>
      <c r="BH31" s="117"/>
      <c r="BI31" s="117"/>
      <c r="BJ31" s="117"/>
      <c r="BK31" s="117"/>
      <c r="BL31" s="117"/>
      <c r="BM31" s="117">
        <f t="shared" si="0"/>
        <v>7</v>
      </c>
      <c r="BN31" s="117">
        <f t="shared" si="1"/>
        <v>2</v>
      </c>
      <c r="BO31" s="117">
        <f t="shared" si="2"/>
        <v>2</v>
      </c>
      <c r="BP31" s="153">
        <f t="shared" si="3"/>
        <v>5</v>
      </c>
      <c r="BQ31" s="74" t="s">
        <v>171</v>
      </c>
      <c r="BR31" s="74" t="s">
        <v>266</v>
      </c>
      <c r="BS31" s="74"/>
    </row>
    <row r="32" spans="1:71" hidden="1">
      <c r="A32">
        <v>18</v>
      </c>
      <c r="B32" s="75">
        <v>45667.985335648147</v>
      </c>
      <c r="C32" s="78">
        <v>0.48819444444444443</v>
      </c>
      <c r="D32" s="7">
        <v>45668</v>
      </c>
      <c r="E32" s="7">
        <v>45668</v>
      </c>
      <c r="F32">
        <v>573</v>
      </c>
      <c r="G32">
        <v>18</v>
      </c>
      <c r="H32" t="s">
        <v>267</v>
      </c>
      <c r="I32" s="10" t="s">
        <v>267</v>
      </c>
      <c r="J32" s="69">
        <v>0</v>
      </c>
      <c r="K32" s="97">
        <f t="shared" si="10"/>
        <v>1</v>
      </c>
      <c r="L32" s="97">
        <v>32</v>
      </c>
      <c r="M32" s="7" t="s">
        <v>268</v>
      </c>
      <c r="N32" s="7" t="s">
        <v>156</v>
      </c>
      <c r="O32" s="7" t="s">
        <v>156</v>
      </c>
      <c r="P32" s="7" t="s">
        <v>269</v>
      </c>
      <c r="Q32" s="100">
        <v>2</v>
      </c>
      <c r="R32" s="7" t="s">
        <v>158</v>
      </c>
      <c r="S32" s="7" t="s">
        <v>270</v>
      </c>
      <c r="T32" t="s">
        <v>271</v>
      </c>
      <c r="U32" t="s">
        <v>272</v>
      </c>
      <c r="V32" t="s">
        <v>162</v>
      </c>
      <c r="W32" t="s">
        <v>225</v>
      </c>
      <c r="X32" s="36" t="s">
        <v>141</v>
      </c>
      <c r="Y32" s="36" t="s">
        <v>140</v>
      </c>
      <c r="Z32" s="36" t="s">
        <v>141</v>
      </c>
      <c r="AA32" s="36" t="s">
        <v>140</v>
      </c>
      <c r="AB32" s="36" t="s">
        <v>140</v>
      </c>
      <c r="AC32" s="36" t="s">
        <v>140</v>
      </c>
      <c r="AD32" s="36" t="s">
        <v>140</v>
      </c>
      <c r="AE32" s="36" t="s">
        <v>140</v>
      </c>
      <c r="AF32" s="36" t="s">
        <v>140</v>
      </c>
      <c r="AG32" s="36" t="s">
        <v>140</v>
      </c>
      <c r="AH32" s="36" t="s">
        <v>141</v>
      </c>
      <c r="AI32" s="36" t="s">
        <v>140</v>
      </c>
      <c r="AJ32" s="36" t="s">
        <v>141</v>
      </c>
      <c r="AK32" s="117"/>
      <c r="AL32" s="36" t="s">
        <v>141</v>
      </c>
      <c r="AM32" s="36" t="s">
        <v>140</v>
      </c>
      <c r="AN32" s="36" t="s">
        <v>140</v>
      </c>
      <c r="AO32" s="36" t="s">
        <v>140</v>
      </c>
      <c r="AP32" s="36" t="s">
        <v>140</v>
      </c>
      <c r="AQ32" s="36" t="s">
        <v>140</v>
      </c>
      <c r="AR32" s="36" t="s">
        <v>141</v>
      </c>
      <c r="AS32" s="36" t="s">
        <v>141</v>
      </c>
      <c r="AT32" s="36" t="s">
        <v>141</v>
      </c>
      <c r="AU32" s="36" t="s">
        <v>140</v>
      </c>
      <c r="AV32" s="36" t="s">
        <v>140</v>
      </c>
      <c r="AW32" s="117" t="s">
        <v>140</v>
      </c>
      <c r="AX32" s="117" t="s">
        <v>140</v>
      </c>
      <c r="AY32" s="36" t="s">
        <v>140</v>
      </c>
      <c r="AZ32" s="36" t="s">
        <v>140</v>
      </c>
      <c r="BA32" s="117" t="s">
        <v>140</v>
      </c>
      <c r="BB32" s="117" t="s">
        <v>140</v>
      </c>
      <c r="BC32" s="117" t="s">
        <v>140</v>
      </c>
      <c r="BD32" s="117" t="s">
        <v>140</v>
      </c>
      <c r="BE32" s="117" t="s">
        <v>140</v>
      </c>
      <c r="BF32" s="117" t="s">
        <v>140</v>
      </c>
      <c r="BG32" s="117" t="s">
        <v>140</v>
      </c>
      <c r="BH32" s="117"/>
      <c r="BI32" s="117"/>
      <c r="BJ32" s="117"/>
      <c r="BK32" s="117"/>
      <c r="BL32" s="117"/>
      <c r="BM32" s="117">
        <f t="shared" si="0"/>
        <v>8</v>
      </c>
      <c r="BN32" s="117">
        <f t="shared" si="1"/>
        <v>3</v>
      </c>
      <c r="BO32" s="117">
        <f t="shared" si="2"/>
        <v>2</v>
      </c>
      <c r="BP32" s="153">
        <f t="shared" si="3"/>
        <v>6</v>
      </c>
      <c r="BQ32" s="74" t="s">
        <v>273</v>
      </c>
      <c r="BR32" s="74" t="s">
        <v>274</v>
      </c>
      <c r="BS32" s="74"/>
    </row>
    <row r="33" spans="1:71" hidden="1">
      <c r="A33">
        <v>19</v>
      </c>
      <c r="B33" s="75">
        <v>45668.454085648147</v>
      </c>
      <c r="C33" s="78">
        <v>0.97083333333333333</v>
      </c>
      <c r="D33" s="7">
        <v>45668</v>
      </c>
      <c r="E33" s="7">
        <v>45668</v>
      </c>
      <c r="F33">
        <v>574</v>
      </c>
      <c r="G33">
        <v>19</v>
      </c>
      <c r="H33" t="s">
        <v>275</v>
      </c>
      <c r="I33" s="10" t="s">
        <v>275</v>
      </c>
      <c r="J33" s="69">
        <v>0</v>
      </c>
      <c r="K33" s="97">
        <f t="shared" si="10"/>
        <v>1</v>
      </c>
      <c r="L33" s="97">
        <v>33</v>
      </c>
      <c r="M33" s="7" t="s">
        <v>155</v>
      </c>
      <c r="N33" s="7" t="s">
        <v>156</v>
      </c>
      <c r="O33" s="7" t="s">
        <v>156</v>
      </c>
      <c r="P33" s="7" t="s">
        <v>276</v>
      </c>
      <c r="Q33" s="100">
        <v>2</v>
      </c>
      <c r="R33" s="7" t="s">
        <v>158</v>
      </c>
      <c r="S33" s="7" t="s">
        <v>277</v>
      </c>
      <c r="T33" t="s">
        <v>277</v>
      </c>
      <c r="U33" t="s">
        <v>278</v>
      </c>
      <c r="V33" t="s">
        <v>162</v>
      </c>
      <c r="W33" t="s">
        <v>279</v>
      </c>
      <c r="X33" s="36" t="s">
        <v>140</v>
      </c>
      <c r="Y33" s="36" t="s">
        <v>140</v>
      </c>
      <c r="Z33" s="36" t="s">
        <v>140</v>
      </c>
      <c r="AA33" s="36" t="s">
        <v>140</v>
      </c>
      <c r="AB33" s="36" t="s">
        <v>140</v>
      </c>
      <c r="AC33" s="36" t="s">
        <v>141</v>
      </c>
      <c r="AD33" s="36" t="s">
        <v>140</v>
      </c>
      <c r="AE33" s="36" t="s">
        <v>140</v>
      </c>
      <c r="AF33" s="36" t="s">
        <v>140</v>
      </c>
      <c r="AG33" s="36" t="s">
        <v>140</v>
      </c>
      <c r="AH33" s="36" t="s">
        <v>141</v>
      </c>
      <c r="AI33" s="36" t="s">
        <v>140</v>
      </c>
      <c r="AJ33" s="36" t="s">
        <v>140</v>
      </c>
      <c r="AK33" s="117"/>
      <c r="AL33" s="36" t="s">
        <v>141</v>
      </c>
      <c r="AM33" s="36" t="s">
        <v>140</v>
      </c>
      <c r="AN33" s="36" t="s">
        <v>140</v>
      </c>
      <c r="AO33" s="36" t="s">
        <v>140</v>
      </c>
      <c r="AP33" s="36" t="s">
        <v>140</v>
      </c>
      <c r="AQ33" s="36" t="s">
        <v>141</v>
      </c>
      <c r="AR33" s="36" t="s">
        <v>140</v>
      </c>
      <c r="AS33" s="36" t="s">
        <v>141</v>
      </c>
      <c r="AT33" s="36" t="s">
        <v>141</v>
      </c>
      <c r="AU33" s="36" t="s">
        <v>140</v>
      </c>
      <c r="AV33" s="36" t="s">
        <v>140</v>
      </c>
      <c r="AW33" s="117" t="s">
        <v>140</v>
      </c>
      <c r="AX33" s="117" t="s">
        <v>140</v>
      </c>
      <c r="AY33" s="36" t="s">
        <v>140</v>
      </c>
      <c r="AZ33" s="36" t="s">
        <v>140</v>
      </c>
      <c r="BA33" s="117" t="s">
        <v>140</v>
      </c>
      <c r="BB33" s="117" t="s">
        <v>140</v>
      </c>
      <c r="BC33" s="117" t="s">
        <v>140</v>
      </c>
      <c r="BD33" s="117" t="s">
        <v>140</v>
      </c>
      <c r="BE33" s="117" t="s">
        <v>140</v>
      </c>
      <c r="BF33" s="117" t="s">
        <v>140</v>
      </c>
      <c r="BG33" s="117" t="s">
        <v>140</v>
      </c>
      <c r="BH33" s="117"/>
      <c r="BI33" s="117"/>
      <c r="BJ33" s="117"/>
      <c r="BK33" s="117"/>
      <c r="BL33" s="117"/>
      <c r="BM33" s="117">
        <f t="shared" si="0"/>
        <v>6</v>
      </c>
      <c r="BN33" s="117">
        <f t="shared" si="1"/>
        <v>1</v>
      </c>
      <c r="BO33" s="117">
        <f t="shared" si="2"/>
        <v>1</v>
      </c>
      <c r="BP33" s="153">
        <f t="shared" si="3"/>
        <v>5</v>
      </c>
      <c r="BQ33" s="74" t="s">
        <v>152</v>
      </c>
      <c r="BR33" s="74" t="s">
        <v>280</v>
      </c>
      <c r="BS33" s="74"/>
    </row>
    <row r="34" spans="1:71" hidden="1">
      <c r="A34">
        <v>20</v>
      </c>
      <c r="B34" s="75">
        <v>45668.819374999999</v>
      </c>
      <c r="C34" s="78">
        <v>0.34861111111111109</v>
      </c>
      <c r="D34" s="7">
        <v>45669</v>
      </c>
      <c r="E34" s="7">
        <v>45669</v>
      </c>
      <c r="F34">
        <v>575</v>
      </c>
      <c r="G34">
        <v>20</v>
      </c>
      <c r="H34" t="s">
        <v>281</v>
      </c>
      <c r="I34" s="10" t="s">
        <v>281</v>
      </c>
      <c r="J34" s="69">
        <v>0</v>
      </c>
      <c r="K34" s="97">
        <f t="shared" si="10"/>
        <v>1</v>
      </c>
      <c r="L34" s="97">
        <v>34</v>
      </c>
      <c r="M34" s="7" t="s">
        <v>282</v>
      </c>
      <c r="N34" s="7" t="s">
        <v>197</v>
      </c>
      <c r="O34" s="7" t="s">
        <v>197</v>
      </c>
      <c r="Q34" s="100">
        <v>2</v>
      </c>
      <c r="R34" s="7" t="s">
        <v>158</v>
      </c>
      <c r="S34" s="7" t="s">
        <v>283</v>
      </c>
      <c r="T34" t="s">
        <v>284</v>
      </c>
      <c r="U34" t="s">
        <v>285</v>
      </c>
      <c r="V34" t="s">
        <v>200</v>
      </c>
      <c r="W34" t="s">
        <v>170</v>
      </c>
      <c r="X34" s="36" t="s">
        <v>141</v>
      </c>
      <c r="Y34" s="36" t="s">
        <v>140</v>
      </c>
      <c r="Z34" s="36" t="s">
        <v>140</v>
      </c>
      <c r="AA34" s="36" t="s">
        <v>141</v>
      </c>
      <c r="AB34" s="36" t="s">
        <v>140</v>
      </c>
      <c r="AC34" s="36" t="s">
        <v>141</v>
      </c>
      <c r="AD34" s="36" t="s">
        <v>140</v>
      </c>
      <c r="AE34" s="36" t="s">
        <v>140</v>
      </c>
      <c r="AF34" s="36" t="s">
        <v>140</v>
      </c>
      <c r="AG34" s="36" t="s">
        <v>140</v>
      </c>
      <c r="AH34" s="36" t="s">
        <v>141</v>
      </c>
      <c r="AI34" s="36" t="s">
        <v>141</v>
      </c>
      <c r="AJ34" s="36" t="s">
        <v>140</v>
      </c>
      <c r="AK34" s="117"/>
      <c r="AL34" s="36" t="s">
        <v>141</v>
      </c>
      <c r="AM34" s="36" t="s">
        <v>140</v>
      </c>
      <c r="AN34" s="36" t="s">
        <v>140</v>
      </c>
      <c r="AO34" s="36" t="s">
        <v>140</v>
      </c>
      <c r="AP34" s="36" t="s">
        <v>140</v>
      </c>
      <c r="AQ34" s="36" t="s">
        <v>141</v>
      </c>
      <c r="AR34" s="36" t="s">
        <v>141</v>
      </c>
      <c r="AS34" s="36" t="s">
        <v>141</v>
      </c>
      <c r="AT34" s="36" t="s">
        <v>140</v>
      </c>
      <c r="AU34" s="36" t="s">
        <v>140</v>
      </c>
      <c r="AV34" s="36" t="s">
        <v>140</v>
      </c>
      <c r="AW34" s="117" t="s">
        <v>140</v>
      </c>
      <c r="AX34" s="117" t="s">
        <v>140</v>
      </c>
      <c r="AY34" s="36" t="s">
        <v>140</v>
      </c>
      <c r="AZ34" s="36" t="s">
        <v>140</v>
      </c>
      <c r="BA34" s="117" t="s">
        <v>140</v>
      </c>
      <c r="BB34" s="117" t="s">
        <v>141</v>
      </c>
      <c r="BC34" s="117" t="s">
        <v>140</v>
      </c>
      <c r="BD34" s="117" t="s">
        <v>140</v>
      </c>
      <c r="BE34" s="117" t="s">
        <v>140</v>
      </c>
      <c r="BF34" s="117" t="s">
        <v>140</v>
      </c>
      <c r="BG34" s="117" t="s">
        <v>140</v>
      </c>
      <c r="BH34" s="117"/>
      <c r="BI34" s="117"/>
      <c r="BJ34" s="117"/>
      <c r="BK34" s="117"/>
      <c r="BL34" s="117"/>
      <c r="BM34" s="117">
        <f t="shared" si="0"/>
        <v>10</v>
      </c>
      <c r="BN34" s="117">
        <f t="shared" si="1"/>
        <v>2</v>
      </c>
      <c r="BO34" s="117">
        <f t="shared" si="2"/>
        <v>3</v>
      </c>
      <c r="BP34" s="153">
        <f t="shared" si="3"/>
        <v>7</v>
      </c>
      <c r="BQ34" s="74" t="s">
        <v>240</v>
      </c>
      <c r="BR34" s="74" t="s">
        <v>286</v>
      </c>
      <c r="BS34" s="74"/>
    </row>
    <row r="35" spans="1:71" hidden="1">
      <c r="A35">
        <v>21</v>
      </c>
      <c r="B35" s="75">
        <v>45670.396215277775</v>
      </c>
      <c r="C35" s="78">
        <v>0.92152777777777772</v>
      </c>
      <c r="D35" s="7">
        <v>45670</v>
      </c>
      <c r="E35" s="7">
        <v>45670</v>
      </c>
      <c r="F35">
        <v>576</v>
      </c>
      <c r="G35">
        <v>21</v>
      </c>
      <c r="H35" t="s">
        <v>287</v>
      </c>
      <c r="I35" s="10" t="s">
        <v>287</v>
      </c>
      <c r="J35" s="69">
        <v>0</v>
      </c>
      <c r="K35" s="97">
        <f t="shared" si="10"/>
        <v>1</v>
      </c>
      <c r="L35" s="97">
        <v>35</v>
      </c>
      <c r="M35" s="7" t="s">
        <v>145</v>
      </c>
      <c r="N35" s="7" t="s">
        <v>254</v>
      </c>
      <c r="O35" s="7" t="s">
        <v>146</v>
      </c>
      <c r="Q35" s="100">
        <v>1</v>
      </c>
      <c r="R35" s="7" t="s">
        <v>135</v>
      </c>
      <c r="S35" s="7" t="s">
        <v>288</v>
      </c>
      <c r="T35" t="s">
        <v>289</v>
      </c>
      <c r="U35" t="s">
        <v>290</v>
      </c>
      <c r="V35" t="s">
        <v>258</v>
      </c>
      <c r="W35" t="s">
        <v>291</v>
      </c>
      <c r="X35" s="36" t="s">
        <v>141</v>
      </c>
      <c r="Y35" s="36" t="s">
        <v>140</v>
      </c>
      <c r="Z35" s="36" t="s">
        <v>141</v>
      </c>
      <c r="AA35" s="36" t="s">
        <v>140</v>
      </c>
      <c r="AB35" s="36" t="s">
        <v>141</v>
      </c>
      <c r="AC35" s="36" t="s">
        <v>141</v>
      </c>
      <c r="AD35" s="36" t="s">
        <v>140</v>
      </c>
      <c r="AE35" s="36" t="s">
        <v>140</v>
      </c>
      <c r="AF35" s="36" t="s">
        <v>140</v>
      </c>
      <c r="AG35" s="36" t="s">
        <v>140</v>
      </c>
      <c r="AH35" s="36" t="s">
        <v>140</v>
      </c>
      <c r="AI35" s="36" t="s">
        <v>140</v>
      </c>
      <c r="AJ35" s="36" t="s">
        <v>140</v>
      </c>
      <c r="AK35" s="117"/>
      <c r="AL35" s="36" t="s">
        <v>140</v>
      </c>
      <c r="AM35" s="36" t="s">
        <v>141</v>
      </c>
      <c r="AN35" s="36" t="s">
        <v>140</v>
      </c>
      <c r="AO35" s="36" t="s">
        <v>140</v>
      </c>
      <c r="AP35" s="36" t="s">
        <v>141</v>
      </c>
      <c r="AQ35" s="36" t="s">
        <v>140</v>
      </c>
      <c r="AR35" s="36" t="s">
        <v>141</v>
      </c>
      <c r="AS35" s="36" t="s">
        <v>141</v>
      </c>
      <c r="AT35" s="36" t="s">
        <v>141</v>
      </c>
      <c r="AU35" s="36" t="s">
        <v>140</v>
      </c>
      <c r="AV35" s="36" t="s">
        <v>141</v>
      </c>
      <c r="AW35" s="117" t="s">
        <v>140</v>
      </c>
      <c r="AX35" s="117" t="s">
        <v>140</v>
      </c>
      <c r="AY35" s="36" t="s">
        <v>140</v>
      </c>
      <c r="AZ35" s="36" t="s">
        <v>140</v>
      </c>
      <c r="BA35" s="117" t="s">
        <v>141</v>
      </c>
      <c r="BB35" s="117" t="s">
        <v>140</v>
      </c>
      <c r="BC35" s="117" t="s">
        <v>141</v>
      </c>
      <c r="BD35" s="117" t="s">
        <v>140</v>
      </c>
      <c r="BE35" s="117" t="s">
        <v>140</v>
      </c>
      <c r="BF35" s="117" t="s">
        <v>140</v>
      </c>
      <c r="BG35" s="117" t="s">
        <v>141</v>
      </c>
      <c r="BH35" s="117"/>
      <c r="BI35" s="117"/>
      <c r="BJ35" s="117"/>
      <c r="BK35" s="117"/>
      <c r="BL35" s="117"/>
      <c r="BM35" s="117">
        <f t="shared" si="0"/>
        <v>12</v>
      </c>
      <c r="BN35" s="117">
        <f t="shared" si="1"/>
        <v>3</v>
      </c>
      <c r="BO35" s="117">
        <f t="shared" si="2"/>
        <v>4</v>
      </c>
      <c r="BP35" s="153">
        <f t="shared" si="3"/>
        <v>8</v>
      </c>
      <c r="BQ35" s="74" t="s">
        <v>208</v>
      </c>
      <c r="BR35" s="74" t="s">
        <v>292</v>
      </c>
      <c r="BS35" s="74"/>
    </row>
    <row r="36" spans="1:71" hidden="1">
      <c r="A36">
        <v>22</v>
      </c>
      <c r="B36" s="75">
        <v>45671.006365740737</v>
      </c>
      <c r="C36" s="78">
        <v>0.52152777777777781</v>
      </c>
      <c r="D36" s="7">
        <v>45671</v>
      </c>
      <c r="E36" s="7">
        <v>45671</v>
      </c>
      <c r="F36">
        <v>577</v>
      </c>
      <c r="G36">
        <v>22</v>
      </c>
      <c r="H36" t="s">
        <v>293</v>
      </c>
      <c r="I36" s="10" t="s">
        <v>293</v>
      </c>
      <c r="J36" s="69">
        <v>0</v>
      </c>
      <c r="K36" s="97">
        <f t="shared" si="10"/>
        <v>1</v>
      </c>
      <c r="L36" s="97">
        <v>36</v>
      </c>
      <c r="M36" s="7" t="s">
        <v>181</v>
      </c>
      <c r="N36" s="7" t="s">
        <v>294</v>
      </c>
      <c r="O36" s="7" t="s">
        <v>295</v>
      </c>
      <c r="P36" s="7" t="s">
        <v>296</v>
      </c>
      <c r="Q36" s="100">
        <v>1</v>
      </c>
      <c r="R36" s="7" t="s">
        <v>135</v>
      </c>
      <c r="S36" s="7" t="s">
        <v>297</v>
      </c>
      <c r="T36" t="s">
        <v>298</v>
      </c>
      <c r="U36" t="s">
        <v>299</v>
      </c>
      <c r="V36" t="s">
        <v>300</v>
      </c>
      <c r="W36" t="s">
        <v>139</v>
      </c>
      <c r="X36" s="36" t="s">
        <v>140</v>
      </c>
      <c r="Y36" s="36" t="s">
        <v>140</v>
      </c>
      <c r="Z36" s="36" t="s">
        <v>140</v>
      </c>
      <c r="AA36" s="36" t="s">
        <v>141</v>
      </c>
      <c r="AB36" s="36" t="s">
        <v>140</v>
      </c>
      <c r="AC36" s="36" t="s">
        <v>140</v>
      </c>
      <c r="AD36" s="36" t="s">
        <v>140</v>
      </c>
      <c r="AE36" s="36" t="s">
        <v>140</v>
      </c>
      <c r="AF36" s="36" t="s">
        <v>140</v>
      </c>
      <c r="AG36" s="36" t="s">
        <v>140</v>
      </c>
      <c r="AH36" s="36" t="s">
        <v>141</v>
      </c>
      <c r="AI36" s="36" t="s">
        <v>140</v>
      </c>
      <c r="AJ36" s="36" t="s">
        <v>141</v>
      </c>
      <c r="AK36" s="117"/>
      <c r="AL36" s="36" t="s">
        <v>140</v>
      </c>
      <c r="AM36" s="36" t="s">
        <v>140</v>
      </c>
      <c r="AN36" s="36" t="s">
        <v>140</v>
      </c>
      <c r="AO36" s="36" t="s">
        <v>140</v>
      </c>
      <c r="AP36" s="36" t="s">
        <v>140</v>
      </c>
      <c r="AQ36" s="36" t="s">
        <v>140</v>
      </c>
      <c r="AR36" s="36" t="s">
        <v>140</v>
      </c>
      <c r="AS36" s="36" t="s">
        <v>141</v>
      </c>
      <c r="AT36" s="36" t="s">
        <v>140</v>
      </c>
      <c r="AU36" s="36" t="s">
        <v>140</v>
      </c>
      <c r="AV36" s="36" t="s">
        <v>140</v>
      </c>
      <c r="AW36" s="117" t="s">
        <v>140</v>
      </c>
      <c r="AX36" s="117" t="s">
        <v>140</v>
      </c>
      <c r="AY36" s="36" t="s">
        <v>140</v>
      </c>
      <c r="AZ36" s="36" t="s">
        <v>141</v>
      </c>
      <c r="BA36" s="117" t="s">
        <v>140</v>
      </c>
      <c r="BB36" s="117" t="s">
        <v>140</v>
      </c>
      <c r="BC36" s="117" t="s">
        <v>140</v>
      </c>
      <c r="BD36" s="117" t="s">
        <v>140</v>
      </c>
      <c r="BE36" s="117" t="s">
        <v>140</v>
      </c>
      <c r="BF36" s="117" t="s">
        <v>140</v>
      </c>
      <c r="BG36" s="117" t="s">
        <v>141</v>
      </c>
      <c r="BH36" s="117"/>
      <c r="BI36" s="117"/>
      <c r="BJ36" s="117"/>
      <c r="BK36" s="117"/>
      <c r="BL36" s="117"/>
      <c r="BM36" s="117">
        <f t="shared" si="0"/>
        <v>5</v>
      </c>
      <c r="BN36" s="117">
        <f t="shared" si="1"/>
        <v>2</v>
      </c>
      <c r="BO36" s="117">
        <f t="shared" si="2"/>
        <v>1</v>
      </c>
      <c r="BP36" s="153">
        <f t="shared" si="3"/>
        <v>4</v>
      </c>
      <c r="BQ36" s="74" t="s">
        <v>301</v>
      </c>
      <c r="BR36" s="74" t="s">
        <v>302</v>
      </c>
      <c r="BS36" s="74"/>
    </row>
    <row r="37" spans="1:71" hidden="1">
      <c r="A37">
        <v>23</v>
      </c>
      <c r="B37" s="75">
        <v>45671.841203703705</v>
      </c>
      <c r="C37" s="78">
        <v>0.36944444444444446</v>
      </c>
      <c r="D37" s="7">
        <v>45672</v>
      </c>
      <c r="E37" s="7">
        <v>45672</v>
      </c>
      <c r="F37">
        <v>578</v>
      </c>
      <c r="G37">
        <v>23</v>
      </c>
      <c r="H37" t="s">
        <v>303</v>
      </c>
      <c r="I37" s="10" t="s">
        <v>303</v>
      </c>
      <c r="J37" s="69">
        <v>0</v>
      </c>
      <c r="K37" s="97">
        <f t="shared" si="10"/>
        <v>1</v>
      </c>
      <c r="L37" s="97">
        <v>37</v>
      </c>
      <c r="M37" s="7" t="s">
        <v>133</v>
      </c>
      <c r="N37" s="7" t="s">
        <v>134</v>
      </c>
      <c r="O37" s="7" t="s">
        <v>134</v>
      </c>
      <c r="P37" s="7" t="s">
        <v>304</v>
      </c>
      <c r="Q37" s="100">
        <v>1</v>
      </c>
      <c r="R37" s="7" t="s">
        <v>135</v>
      </c>
      <c r="S37" s="7" t="s">
        <v>305</v>
      </c>
      <c r="T37" t="s">
        <v>306</v>
      </c>
      <c r="U37" t="s">
        <v>307</v>
      </c>
      <c r="V37" t="s">
        <v>194</v>
      </c>
      <c r="W37" t="s">
        <v>139</v>
      </c>
      <c r="X37" s="36" t="s">
        <v>140</v>
      </c>
      <c r="Y37" s="36" t="s">
        <v>140</v>
      </c>
      <c r="Z37" s="36" t="s">
        <v>140</v>
      </c>
      <c r="AA37" s="36" t="s">
        <v>141</v>
      </c>
      <c r="AB37" s="36" t="s">
        <v>140</v>
      </c>
      <c r="AC37" s="36" t="s">
        <v>140</v>
      </c>
      <c r="AD37" s="36" t="s">
        <v>140</v>
      </c>
      <c r="AE37" s="36" t="s">
        <v>140</v>
      </c>
      <c r="AF37" s="36" t="s">
        <v>140</v>
      </c>
      <c r="AG37" s="36" t="s">
        <v>140</v>
      </c>
      <c r="AH37" s="36" t="s">
        <v>141</v>
      </c>
      <c r="AI37" s="36" t="s">
        <v>141</v>
      </c>
      <c r="AJ37" s="36" t="s">
        <v>141</v>
      </c>
      <c r="AK37" s="117" t="s">
        <v>140</v>
      </c>
      <c r="AL37" s="36" t="s">
        <v>140</v>
      </c>
      <c r="AM37" s="36" t="s">
        <v>140</v>
      </c>
      <c r="AN37" s="36" t="s">
        <v>140</v>
      </c>
      <c r="AO37" s="36" t="s">
        <v>140</v>
      </c>
      <c r="AP37" s="36" t="s">
        <v>140</v>
      </c>
      <c r="AQ37" s="36" t="s">
        <v>140</v>
      </c>
      <c r="AR37" s="36" t="s">
        <v>140</v>
      </c>
      <c r="AS37" s="36" t="s">
        <v>140</v>
      </c>
      <c r="AT37" s="36" t="s">
        <v>140</v>
      </c>
      <c r="AU37" s="36" t="s">
        <v>141</v>
      </c>
      <c r="AV37" s="36" t="s">
        <v>140</v>
      </c>
      <c r="AW37" s="117" t="s">
        <v>140</v>
      </c>
      <c r="AX37" s="117" t="s">
        <v>141</v>
      </c>
      <c r="AY37" s="36" t="s">
        <v>140</v>
      </c>
      <c r="AZ37" s="36" t="s">
        <v>140</v>
      </c>
      <c r="BA37" s="117" t="s">
        <v>140</v>
      </c>
      <c r="BB37" s="117" t="s">
        <v>141</v>
      </c>
      <c r="BC37" s="117" t="s">
        <v>140</v>
      </c>
      <c r="BD37" s="117" t="s">
        <v>140</v>
      </c>
      <c r="BE37" s="117" t="s">
        <v>140</v>
      </c>
      <c r="BF37" s="117" t="s">
        <v>140</v>
      </c>
      <c r="BG37" s="117" t="s">
        <v>140</v>
      </c>
      <c r="BH37" s="117"/>
      <c r="BI37" s="117"/>
      <c r="BJ37" s="117"/>
      <c r="BK37" s="117"/>
      <c r="BL37" s="117"/>
      <c r="BM37" s="117">
        <f t="shared" si="0"/>
        <v>7</v>
      </c>
      <c r="BN37" s="117">
        <f t="shared" si="1"/>
        <v>1</v>
      </c>
      <c r="BO37" s="117">
        <f t="shared" si="2"/>
        <v>1</v>
      </c>
      <c r="BP37" s="153">
        <f t="shared" si="3"/>
        <v>6</v>
      </c>
      <c r="BQ37" s="74" t="s">
        <v>308</v>
      </c>
      <c r="BR37" s="74" t="s">
        <v>309</v>
      </c>
      <c r="BS37" s="74"/>
    </row>
    <row r="38" spans="1:71" hidden="1">
      <c r="A38">
        <v>24</v>
      </c>
      <c r="B38" s="75">
        <v>45674.043194444443</v>
      </c>
      <c r="C38" s="78">
        <v>0.57847222222222228</v>
      </c>
      <c r="D38" s="7">
        <v>45674</v>
      </c>
      <c r="E38" s="7">
        <v>45674</v>
      </c>
      <c r="F38">
        <v>579</v>
      </c>
      <c r="G38">
        <v>24</v>
      </c>
      <c r="H38" t="s">
        <v>310</v>
      </c>
      <c r="I38" s="10" t="s">
        <v>310</v>
      </c>
      <c r="J38" s="69">
        <v>0</v>
      </c>
      <c r="K38" s="97">
        <f t="shared" si="10"/>
        <v>1</v>
      </c>
      <c r="L38" s="97">
        <v>38</v>
      </c>
      <c r="M38" s="7" t="s">
        <v>133</v>
      </c>
      <c r="N38" s="7" t="s">
        <v>134</v>
      </c>
      <c r="O38" s="7" t="s">
        <v>134</v>
      </c>
      <c r="Q38" s="100">
        <v>1</v>
      </c>
      <c r="R38" s="7" t="s">
        <v>135</v>
      </c>
      <c r="S38" s="7" t="s">
        <v>311</v>
      </c>
      <c r="T38" t="s">
        <v>312</v>
      </c>
      <c r="U38" t="s">
        <v>313</v>
      </c>
      <c r="V38" t="s">
        <v>138</v>
      </c>
      <c r="W38" t="s">
        <v>170</v>
      </c>
      <c r="X38" s="36" t="s">
        <v>141</v>
      </c>
      <c r="Y38" s="36" t="s">
        <v>140</v>
      </c>
      <c r="Z38" s="36" t="s">
        <v>140</v>
      </c>
      <c r="AA38" s="36" t="s">
        <v>141</v>
      </c>
      <c r="AB38" s="36" t="s">
        <v>140</v>
      </c>
      <c r="AC38" s="36" t="s">
        <v>140</v>
      </c>
      <c r="AD38" s="36" t="s">
        <v>140</v>
      </c>
      <c r="AE38" s="36" t="s">
        <v>140</v>
      </c>
      <c r="AF38" s="36" t="s">
        <v>141</v>
      </c>
      <c r="AG38" s="36" t="s">
        <v>140</v>
      </c>
      <c r="AH38" s="36" t="s">
        <v>141</v>
      </c>
      <c r="AI38" s="36" t="s">
        <v>140</v>
      </c>
      <c r="AJ38" s="36" t="s">
        <v>140</v>
      </c>
      <c r="AK38" s="117" t="s">
        <v>140</v>
      </c>
      <c r="AL38" s="36" t="s">
        <v>140</v>
      </c>
      <c r="AM38" s="36" t="s">
        <v>141</v>
      </c>
      <c r="AN38" s="36" t="s">
        <v>140</v>
      </c>
      <c r="AO38" s="36" t="s">
        <v>140</v>
      </c>
      <c r="AP38" s="36" t="s">
        <v>140</v>
      </c>
      <c r="AQ38" s="36" t="s">
        <v>140</v>
      </c>
      <c r="AR38" s="36" t="s">
        <v>140</v>
      </c>
      <c r="AS38" s="36" t="s">
        <v>140</v>
      </c>
      <c r="AT38" s="36" t="s">
        <v>141</v>
      </c>
      <c r="AU38" s="36" t="s">
        <v>140</v>
      </c>
      <c r="AV38" s="36" t="s">
        <v>141</v>
      </c>
      <c r="AW38" s="117" t="s">
        <v>140</v>
      </c>
      <c r="AX38" s="117" t="s">
        <v>140</v>
      </c>
      <c r="AY38" s="36" t="s">
        <v>140</v>
      </c>
      <c r="AZ38" s="36" t="s">
        <v>140</v>
      </c>
      <c r="BA38" s="117" t="s">
        <v>140</v>
      </c>
      <c r="BB38" s="117" t="s">
        <v>140</v>
      </c>
      <c r="BC38" s="117" t="s">
        <v>140</v>
      </c>
      <c r="BD38" s="117" t="s">
        <v>140</v>
      </c>
      <c r="BE38" s="117" t="s">
        <v>140</v>
      </c>
      <c r="BF38" s="117" t="s">
        <v>140</v>
      </c>
      <c r="BG38" s="117" t="s">
        <v>140</v>
      </c>
      <c r="BH38" s="117"/>
      <c r="BI38" s="117"/>
      <c r="BJ38" s="117"/>
      <c r="BK38" s="117"/>
      <c r="BL38" s="117"/>
      <c r="BM38" s="117">
        <f t="shared" si="0"/>
        <v>7</v>
      </c>
      <c r="BN38" s="117">
        <f t="shared" si="1"/>
        <v>1</v>
      </c>
      <c r="BO38" s="117">
        <f t="shared" si="2"/>
        <v>2</v>
      </c>
      <c r="BP38" s="153">
        <f t="shared" si="3"/>
        <v>5</v>
      </c>
      <c r="BQ38" s="74" t="s">
        <v>163</v>
      </c>
      <c r="BR38" s="74" t="s">
        <v>309</v>
      </c>
      <c r="BS38" s="74"/>
    </row>
    <row r="39" spans="1:71" hidden="1">
      <c r="A39">
        <v>25</v>
      </c>
      <c r="B39" s="75" t="s">
        <v>314</v>
      </c>
      <c r="C39" s="78">
        <v>0.43402777777777779</v>
      </c>
      <c r="D39" s="7">
        <v>45675</v>
      </c>
      <c r="E39" s="7">
        <v>45675</v>
      </c>
      <c r="F39">
        <v>580</v>
      </c>
      <c r="G39">
        <v>25</v>
      </c>
      <c r="H39" t="s">
        <v>315</v>
      </c>
      <c r="I39" t="s">
        <v>315</v>
      </c>
      <c r="J39" s="69">
        <v>1</v>
      </c>
      <c r="K39" s="97">
        <f t="shared" si="10"/>
        <v>1</v>
      </c>
      <c r="L39" s="97">
        <v>39</v>
      </c>
      <c r="M39" s="7" t="s">
        <v>196</v>
      </c>
      <c r="N39" s="7" t="s">
        <v>197</v>
      </c>
      <c r="O39" s="7" t="s">
        <v>197</v>
      </c>
      <c r="Q39" s="100">
        <v>1</v>
      </c>
      <c r="R39" s="7" t="s">
        <v>316</v>
      </c>
      <c r="S39" s="7" t="s">
        <v>317</v>
      </c>
      <c r="T39" t="s">
        <v>318</v>
      </c>
      <c r="U39" t="s">
        <v>319</v>
      </c>
      <c r="V39" t="s">
        <v>200</v>
      </c>
      <c r="W39" t="s">
        <v>239</v>
      </c>
      <c r="X39" s="36" t="s">
        <v>141</v>
      </c>
      <c r="Y39" s="36" t="s">
        <v>140</v>
      </c>
      <c r="Z39" s="36" t="s">
        <v>140</v>
      </c>
      <c r="AA39" s="36" t="s">
        <v>140</v>
      </c>
      <c r="AB39" s="36" t="s">
        <v>140</v>
      </c>
      <c r="AC39" s="36" t="s">
        <v>140</v>
      </c>
      <c r="AD39" s="36" t="s">
        <v>140</v>
      </c>
      <c r="AE39" s="36" t="s">
        <v>140</v>
      </c>
      <c r="AF39" s="36" t="s">
        <v>140</v>
      </c>
      <c r="AG39" s="36" t="s">
        <v>140</v>
      </c>
      <c r="AH39" s="36" t="s">
        <v>141</v>
      </c>
      <c r="AI39" s="36" t="s">
        <v>140</v>
      </c>
      <c r="AJ39" s="36" t="s">
        <v>141</v>
      </c>
      <c r="AK39" s="117" t="s">
        <v>140</v>
      </c>
      <c r="AL39" s="36" t="s">
        <v>141</v>
      </c>
      <c r="AM39" s="36" t="s">
        <v>140</v>
      </c>
      <c r="AN39" s="36" t="s">
        <v>140</v>
      </c>
      <c r="AO39" s="36" t="s">
        <v>141</v>
      </c>
      <c r="AP39" s="36" t="s">
        <v>140</v>
      </c>
      <c r="AQ39" s="36" t="s">
        <v>140</v>
      </c>
      <c r="AR39" s="36" t="s">
        <v>140</v>
      </c>
      <c r="AS39" s="36" t="s">
        <v>140</v>
      </c>
      <c r="AT39" s="36" t="s">
        <v>141</v>
      </c>
      <c r="AU39" s="36" t="s">
        <v>140</v>
      </c>
      <c r="AV39" s="36" t="s">
        <v>140</v>
      </c>
      <c r="AW39" s="117" t="s">
        <v>140</v>
      </c>
      <c r="AX39" s="117" t="s">
        <v>140</v>
      </c>
      <c r="AY39" s="36" t="s">
        <v>140</v>
      </c>
      <c r="AZ39" s="36" t="s">
        <v>140</v>
      </c>
      <c r="BA39" s="117" t="s">
        <v>140</v>
      </c>
      <c r="BB39" s="117" t="s">
        <v>140</v>
      </c>
      <c r="BC39" s="117" t="s">
        <v>140</v>
      </c>
      <c r="BD39" s="117" t="s">
        <v>140</v>
      </c>
      <c r="BE39" s="117" t="s">
        <v>140</v>
      </c>
      <c r="BF39" s="117" t="s">
        <v>140</v>
      </c>
      <c r="BG39" s="117" t="s">
        <v>141</v>
      </c>
      <c r="BH39" s="117"/>
      <c r="BI39" s="117"/>
      <c r="BJ39" s="117"/>
      <c r="BK39" s="117"/>
      <c r="BL39" s="117"/>
      <c r="BM39" s="117">
        <f t="shared" si="0"/>
        <v>6</v>
      </c>
      <c r="BN39" s="117">
        <f t="shared" si="1"/>
        <v>1</v>
      </c>
      <c r="BO39" s="117">
        <f t="shared" si="2"/>
        <v>1</v>
      </c>
      <c r="BP39" s="153">
        <f t="shared" si="3"/>
        <v>5</v>
      </c>
      <c r="BQ39" s="74" t="s">
        <v>273</v>
      </c>
      <c r="BR39" s="74" t="s">
        <v>320</v>
      </c>
      <c r="BS39" s="74"/>
    </row>
    <row r="40" spans="1:71" hidden="1">
      <c r="A40">
        <v>26</v>
      </c>
      <c r="B40" s="75" t="s">
        <v>314</v>
      </c>
      <c r="C40" s="78">
        <v>0.93194444444444446</v>
      </c>
      <c r="D40" s="7">
        <v>45675</v>
      </c>
      <c r="E40" s="7">
        <v>45675</v>
      </c>
      <c r="F40">
        <v>581</v>
      </c>
      <c r="G40">
        <v>26</v>
      </c>
      <c r="H40" t="s">
        <v>321</v>
      </c>
      <c r="I40" s="10" t="s">
        <v>321</v>
      </c>
      <c r="J40" s="69">
        <v>1</v>
      </c>
      <c r="K40" s="97">
        <f>MONTH($J40)</f>
        <v>1</v>
      </c>
      <c r="L40" s="97">
        <v>40</v>
      </c>
      <c r="M40" s="7" t="s">
        <v>145</v>
      </c>
      <c r="N40" s="7" t="s">
        <v>146</v>
      </c>
      <c r="O40" s="7" t="s">
        <v>146</v>
      </c>
      <c r="Q40" s="100">
        <v>1</v>
      </c>
      <c r="R40" s="7" t="s">
        <v>135</v>
      </c>
      <c r="S40" s="7" t="s">
        <v>322</v>
      </c>
      <c r="T40" t="s">
        <v>323</v>
      </c>
      <c r="U40" t="s">
        <v>324</v>
      </c>
      <c r="V40" t="s">
        <v>258</v>
      </c>
      <c r="W40" t="s">
        <v>279</v>
      </c>
      <c r="X40" s="36" t="s">
        <v>140</v>
      </c>
      <c r="Y40" s="36" t="s">
        <v>140</v>
      </c>
      <c r="Z40" s="36" t="s">
        <v>140</v>
      </c>
      <c r="AA40" s="36" t="s">
        <v>141</v>
      </c>
      <c r="AB40" s="36" t="s">
        <v>140</v>
      </c>
      <c r="AC40" s="36" t="s">
        <v>141</v>
      </c>
      <c r="AD40" s="36" t="s">
        <v>140</v>
      </c>
      <c r="AE40" s="36" t="s">
        <v>140</v>
      </c>
      <c r="AF40" s="36" t="s">
        <v>140</v>
      </c>
      <c r="AG40" s="36" t="s">
        <v>140</v>
      </c>
      <c r="AH40" s="36" t="s">
        <v>140</v>
      </c>
      <c r="AI40" s="36" t="s">
        <v>140</v>
      </c>
      <c r="AJ40" s="36" t="s">
        <v>141</v>
      </c>
      <c r="AK40" s="117"/>
      <c r="AL40" s="36" t="s">
        <v>141</v>
      </c>
      <c r="AM40" s="36" t="s">
        <v>140</v>
      </c>
      <c r="AN40" s="36" t="s">
        <v>140</v>
      </c>
      <c r="AO40" s="36" t="s">
        <v>141</v>
      </c>
      <c r="AP40" s="36" t="s">
        <v>140</v>
      </c>
      <c r="AQ40" s="36" t="s">
        <v>140</v>
      </c>
      <c r="AR40" s="36" t="s">
        <v>140</v>
      </c>
      <c r="AS40" s="36" t="s">
        <v>140</v>
      </c>
      <c r="AT40" s="36" t="s">
        <v>140</v>
      </c>
      <c r="AU40" s="36" t="s">
        <v>140</v>
      </c>
      <c r="AV40" s="36" t="s">
        <v>141</v>
      </c>
      <c r="AW40" s="117" t="s">
        <v>140</v>
      </c>
      <c r="AX40" s="117" t="s">
        <v>140</v>
      </c>
      <c r="AY40" s="36" t="s">
        <v>140</v>
      </c>
      <c r="AZ40" s="36" t="s">
        <v>140</v>
      </c>
      <c r="BA40" s="117" t="s">
        <v>140</v>
      </c>
      <c r="BB40" s="117" t="s">
        <v>140</v>
      </c>
      <c r="BC40" s="117" t="s">
        <v>140</v>
      </c>
      <c r="BD40" s="117" t="s">
        <v>140</v>
      </c>
      <c r="BE40" s="117" t="s">
        <v>140</v>
      </c>
      <c r="BF40" s="117" t="s">
        <v>141</v>
      </c>
      <c r="BG40" s="117" t="s">
        <v>141</v>
      </c>
      <c r="BH40" s="117"/>
      <c r="BI40" s="117"/>
      <c r="BJ40" s="117"/>
      <c r="BK40" s="117"/>
      <c r="BL40" s="117"/>
      <c r="BM40" s="117">
        <f t="shared" si="0"/>
        <v>7</v>
      </c>
      <c r="BN40" s="117">
        <f t="shared" si="1"/>
        <v>1</v>
      </c>
      <c r="BO40" s="117">
        <f t="shared" si="2"/>
        <v>2</v>
      </c>
      <c r="BP40" s="153">
        <f t="shared" si="3"/>
        <v>4</v>
      </c>
      <c r="BQ40" s="74" t="s">
        <v>171</v>
      </c>
      <c r="BR40" s="74" t="s">
        <v>325</v>
      </c>
      <c r="BS40" s="74"/>
    </row>
    <row r="41" spans="1:71" hidden="1">
      <c r="A41">
        <v>27</v>
      </c>
      <c r="B41" s="75">
        <v>45676.790555555555</v>
      </c>
      <c r="C41" s="78">
        <v>0.29236111111111113</v>
      </c>
      <c r="D41" s="7">
        <v>45677</v>
      </c>
      <c r="E41" s="7">
        <v>45677</v>
      </c>
      <c r="F41">
        <v>583</v>
      </c>
      <c r="G41">
        <v>27</v>
      </c>
      <c r="H41" t="s">
        <v>326</v>
      </c>
      <c r="I41" s="10" t="s">
        <v>326</v>
      </c>
      <c r="J41" s="69">
        <v>0</v>
      </c>
      <c r="K41" s="97">
        <f t="shared" si="10"/>
        <v>1</v>
      </c>
      <c r="L41" s="97">
        <v>41</v>
      </c>
      <c r="M41" s="7" t="s">
        <v>196</v>
      </c>
      <c r="N41" s="7" t="s">
        <v>197</v>
      </c>
      <c r="O41" s="7" t="s">
        <v>197</v>
      </c>
      <c r="Q41" s="100">
        <v>2</v>
      </c>
      <c r="R41" s="7" t="s">
        <v>158</v>
      </c>
      <c r="S41" s="7" t="s">
        <v>327</v>
      </c>
      <c r="T41" t="s">
        <v>328</v>
      </c>
      <c r="U41" t="s">
        <v>329</v>
      </c>
      <c r="V41" t="s">
        <v>300</v>
      </c>
      <c r="W41" t="s">
        <v>279</v>
      </c>
      <c r="X41" s="36" t="s">
        <v>140</v>
      </c>
      <c r="Y41" s="36" t="s">
        <v>140</v>
      </c>
      <c r="Z41" s="36" t="s">
        <v>141</v>
      </c>
      <c r="AA41" s="36" t="s">
        <v>141</v>
      </c>
      <c r="AB41" s="36" t="s">
        <v>140</v>
      </c>
      <c r="AC41" s="36" t="s">
        <v>141</v>
      </c>
      <c r="AD41" s="36" t="s">
        <v>140</v>
      </c>
      <c r="AE41" s="36" t="s">
        <v>140</v>
      </c>
      <c r="AF41" s="36" t="s">
        <v>140</v>
      </c>
      <c r="AG41" s="36" t="s">
        <v>140</v>
      </c>
      <c r="AH41" s="36" t="s">
        <v>141</v>
      </c>
      <c r="AI41" s="36" t="s">
        <v>141</v>
      </c>
      <c r="AJ41" s="36" t="s">
        <v>140</v>
      </c>
      <c r="AK41" s="117" t="s">
        <v>141</v>
      </c>
      <c r="AL41" s="36" t="s">
        <v>140</v>
      </c>
      <c r="AM41" s="36" t="s">
        <v>140</v>
      </c>
      <c r="AN41" s="36" t="s">
        <v>140</v>
      </c>
      <c r="AO41" s="36" t="s">
        <v>141</v>
      </c>
      <c r="AP41" s="36" t="s">
        <v>140</v>
      </c>
      <c r="AQ41" s="36" t="s">
        <v>140</v>
      </c>
      <c r="AR41" s="36" t="s">
        <v>140</v>
      </c>
      <c r="AS41" s="36" t="s">
        <v>140</v>
      </c>
      <c r="AT41" s="36" t="s">
        <v>140</v>
      </c>
      <c r="AU41" s="36" t="s">
        <v>140</v>
      </c>
      <c r="AV41" s="36" t="s">
        <v>140</v>
      </c>
      <c r="AW41" s="117" t="s">
        <v>140</v>
      </c>
      <c r="AX41" s="117" t="s">
        <v>140</v>
      </c>
      <c r="AY41" s="36" t="s">
        <v>140</v>
      </c>
      <c r="AZ41" s="36" t="s">
        <v>140</v>
      </c>
      <c r="BA41" s="117" t="s">
        <v>140</v>
      </c>
      <c r="BB41" s="117" t="s">
        <v>140</v>
      </c>
      <c r="BC41" s="117" t="s">
        <v>140</v>
      </c>
      <c r="BD41" s="117" t="s">
        <v>140</v>
      </c>
      <c r="BE41" s="117" t="s">
        <v>140</v>
      </c>
      <c r="BF41" s="117" t="s">
        <v>140</v>
      </c>
      <c r="BG41" s="117" t="s">
        <v>140</v>
      </c>
      <c r="BH41" s="117"/>
      <c r="BI41" s="117"/>
      <c r="BJ41" s="117"/>
      <c r="BK41" s="117"/>
      <c r="BL41" s="117"/>
      <c r="BM41" s="117">
        <f t="shared" si="0"/>
        <v>7</v>
      </c>
      <c r="BN41" s="117">
        <f t="shared" si="1"/>
        <v>1</v>
      </c>
      <c r="BO41" s="117">
        <f t="shared" si="2"/>
        <v>3</v>
      </c>
      <c r="BP41" s="153">
        <f t="shared" si="3"/>
        <v>4</v>
      </c>
      <c r="BQ41" s="74" t="s">
        <v>330</v>
      </c>
      <c r="BR41" s="74" t="s">
        <v>331</v>
      </c>
      <c r="BS41" s="74"/>
    </row>
    <row r="42" spans="1:71" hidden="1">
      <c r="A42">
        <v>28</v>
      </c>
      <c r="B42" s="75">
        <v>45677.47934027778</v>
      </c>
      <c r="C42" s="78">
        <v>1.1805555555555555E-2</v>
      </c>
      <c r="D42" s="7">
        <v>45678</v>
      </c>
      <c r="E42" s="7">
        <v>45678</v>
      </c>
      <c r="F42">
        <v>584</v>
      </c>
      <c r="G42">
        <v>28</v>
      </c>
      <c r="H42" t="s">
        <v>332</v>
      </c>
      <c r="I42" s="10" t="s">
        <v>332</v>
      </c>
      <c r="J42" s="69">
        <v>0</v>
      </c>
      <c r="K42" s="97">
        <f t="shared" si="10"/>
        <v>1</v>
      </c>
      <c r="L42" s="97">
        <v>42</v>
      </c>
      <c r="M42" s="7" t="s">
        <v>155</v>
      </c>
      <c r="N42" s="7" t="s">
        <v>156</v>
      </c>
      <c r="O42" s="7" t="s">
        <v>156</v>
      </c>
      <c r="P42" s="7" t="s">
        <v>333</v>
      </c>
      <c r="Q42" s="100">
        <v>2</v>
      </c>
      <c r="R42" s="7" t="s">
        <v>158</v>
      </c>
      <c r="S42" s="7" t="s">
        <v>334</v>
      </c>
      <c r="T42" t="s">
        <v>335</v>
      </c>
      <c r="U42" t="s">
        <v>336</v>
      </c>
      <c r="V42" t="s">
        <v>162</v>
      </c>
      <c r="W42" t="s">
        <v>170</v>
      </c>
      <c r="X42" s="36" t="s">
        <v>141</v>
      </c>
      <c r="Y42" s="36" t="s">
        <v>140</v>
      </c>
      <c r="Z42" s="36" t="s">
        <v>141</v>
      </c>
      <c r="AA42" s="36" t="s">
        <v>141</v>
      </c>
      <c r="AB42" s="36" t="s">
        <v>140</v>
      </c>
      <c r="AC42" s="36" t="s">
        <v>140</v>
      </c>
      <c r="AD42" s="36" t="s">
        <v>140</v>
      </c>
      <c r="AE42" s="36" t="s">
        <v>140</v>
      </c>
      <c r="AF42" s="36" t="s">
        <v>140</v>
      </c>
      <c r="AG42" s="36" t="s">
        <v>141</v>
      </c>
      <c r="AH42" s="36" t="s">
        <v>140</v>
      </c>
      <c r="AI42" s="36" t="s">
        <v>140</v>
      </c>
      <c r="AJ42" s="36" t="s">
        <v>140</v>
      </c>
      <c r="AK42" s="117" t="s">
        <v>141</v>
      </c>
      <c r="AL42" s="36" t="s">
        <v>141</v>
      </c>
      <c r="AM42" s="36" t="s">
        <v>141</v>
      </c>
      <c r="AN42" s="36" t="s">
        <v>140</v>
      </c>
      <c r="AO42" s="36" t="s">
        <v>141</v>
      </c>
      <c r="AP42" s="36" t="s">
        <v>140</v>
      </c>
      <c r="AQ42" s="36" t="s">
        <v>140</v>
      </c>
      <c r="AR42" s="36" t="s">
        <v>140</v>
      </c>
      <c r="AS42" s="36" t="s">
        <v>140</v>
      </c>
      <c r="AT42" s="36" t="s">
        <v>141</v>
      </c>
      <c r="AU42" s="36" t="s">
        <v>140</v>
      </c>
      <c r="AV42" s="36" t="s">
        <v>141</v>
      </c>
      <c r="AW42" s="117" t="s">
        <v>140</v>
      </c>
      <c r="AX42" s="117" t="s">
        <v>140</v>
      </c>
      <c r="AY42" s="36" t="s">
        <v>140</v>
      </c>
      <c r="AZ42" s="36" t="s">
        <v>140</v>
      </c>
      <c r="BA42" s="117" t="s">
        <v>140</v>
      </c>
      <c r="BB42" s="117" t="s">
        <v>140</v>
      </c>
      <c r="BC42" s="117" t="s">
        <v>140</v>
      </c>
      <c r="BD42" s="117" t="s">
        <v>140</v>
      </c>
      <c r="BE42" s="117" t="s">
        <v>140</v>
      </c>
      <c r="BF42" s="117" t="s">
        <v>141</v>
      </c>
      <c r="BG42" s="117" t="s">
        <v>140</v>
      </c>
      <c r="BH42" s="117"/>
      <c r="BI42" s="117"/>
      <c r="BJ42" s="117"/>
      <c r="BK42" s="117"/>
      <c r="BL42" s="117"/>
      <c r="BM42" s="117">
        <f t="shared" si="0"/>
        <v>11</v>
      </c>
      <c r="BN42" s="117">
        <f t="shared" si="1"/>
        <v>3</v>
      </c>
      <c r="BO42" s="117">
        <f t="shared" si="2"/>
        <v>3</v>
      </c>
      <c r="BP42" s="153">
        <f t="shared" si="3"/>
        <v>7</v>
      </c>
      <c r="BQ42" s="74" t="s">
        <v>337</v>
      </c>
      <c r="BR42" s="74" t="s">
        <v>247</v>
      </c>
      <c r="BS42" s="74"/>
    </row>
    <row r="43" spans="1:71" hidden="1">
      <c r="A43">
        <v>29</v>
      </c>
      <c r="B43" s="75">
        <v>45677.668194444443</v>
      </c>
      <c r="C43" s="78">
        <v>0.18124999999999999</v>
      </c>
      <c r="D43" s="7">
        <v>45678</v>
      </c>
      <c r="E43" s="7">
        <v>45678</v>
      </c>
      <c r="F43">
        <v>585</v>
      </c>
      <c r="G43">
        <v>29</v>
      </c>
      <c r="H43" t="s">
        <v>338</v>
      </c>
      <c r="I43" s="10" t="s">
        <v>338</v>
      </c>
      <c r="J43" s="69">
        <v>0</v>
      </c>
      <c r="K43" s="97">
        <f t="shared" si="10"/>
        <v>1</v>
      </c>
      <c r="L43" s="97">
        <v>43</v>
      </c>
      <c r="M43" s="7" t="s">
        <v>165</v>
      </c>
      <c r="N43" s="7" t="s">
        <v>156</v>
      </c>
      <c r="O43" s="7" t="s">
        <v>156</v>
      </c>
      <c r="P43" s="7" t="s">
        <v>339</v>
      </c>
      <c r="Q43" s="100">
        <v>1</v>
      </c>
      <c r="R43" s="7" t="s">
        <v>135</v>
      </c>
      <c r="S43" s="7" t="s">
        <v>340</v>
      </c>
      <c r="T43" t="s">
        <v>341</v>
      </c>
      <c r="U43" t="s">
        <v>342</v>
      </c>
      <c r="V43" t="s">
        <v>162</v>
      </c>
      <c r="W43" t="s">
        <v>239</v>
      </c>
      <c r="X43" s="36" t="s">
        <v>141</v>
      </c>
      <c r="Y43" s="36" t="s">
        <v>140</v>
      </c>
      <c r="Z43" s="36" t="s">
        <v>140</v>
      </c>
      <c r="AA43" s="36" t="s">
        <v>141</v>
      </c>
      <c r="AB43" s="36" t="s">
        <v>140</v>
      </c>
      <c r="AC43" s="36" t="s">
        <v>140</v>
      </c>
      <c r="AD43" s="36" t="s">
        <v>140</v>
      </c>
      <c r="AE43" s="36" t="s">
        <v>140</v>
      </c>
      <c r="AF43" s="36" t="s">
        <v>140</v>
      </c>
      <c r="AG43" s="36" t="s">
        <v>140</v>
      </c>
      <c r="AH43" s="36" t="s">
        <v>141</v>
      </c>
      <c r="AI43" s="36" t="s">
        <v>141</v>
      </c>
      <c r="AJ43" s="36" t="s">
        <v>140</v>
      </c>
      <c r="AK43" s="117" t="s">
        <v>141</v>
      </c>
      <c r="AL43" s="36" t="s">
        <v>140</v>
      </c>
      <c r="AM43" s="36" t="s">
        <v>141</v>
      </c>
      <c r="AN43" s="36" t="s">
        <v>140</v>
      </c>
      <c r="AO43" s="36" t="s">
        <v>141</v>
      </c>
      <c r="AP43" s="36" t="s">
        <v>140</v>
      </c>
      <c r="AQ43" s="36" t="s">
        <v>140</v>
      </c>
      <c r="AR43" s="36" t="s">
        <v>141</v>
      </c>
      <c r="AS43" s="36" t="s">
        <v>140</v>
      </c>
      <c r="AT43" s="36" t="s">
        <v>141</v>
      </c>
      <c r="AU43" s="36" t="s">
        <v>140</v>
      </c>
      <c r="AV43" s="36" t="s">
        <v>140</v>
      </c>
      <c r="AW43" s="117" t="s">
        <v>140</v>
      </c>
      <c r="AX43" s="117" t="s">
        <v>140</v>
      </c>
      <c r="AY43" s="36" t="s">
        <v>140</v>
      </c>
      <c r="AZ43" s="36" t="s">
        <v>140</v>
      </c>
      <c r="BA43" s="117" t="s">
        <v>140</v>
      </c>
      <c r="BB43" s="117" t="s">
        <v>140</v>
      </c>
      <c r="BC43" s="117" t="s">
        <v>140</v>
      </c>
      <c r="BD43" s="117" t="s">
        <v>141</v>
      </c>
      <c r="BE43" s="117" t="s">
        <v>140</v>
      </c>
      <c r="BF43" s="117" t="s">
        <v>141</v>
      </c>
      <c r="BG43" s="117" t="s">
        <v>140</v>
      </c>
      <c r="BH43" s="117"/>
      <c r="BI43" s="117"/>
      <c r="BJ43" s="117"/>
      <c r="BK43" s="117"/>
      <c r="BL43" s="117"/>
      <c r="BM43" s="117">
        <f t="shared" si="0"/>
        <v>11</v>
      </c>
      <c r="BN43" s="117">
        <f t="shared" si="1"/>
        <v>3</v>
      </c>
      <c r="BO43" s="117">
        <f t="shared" si="2"/>
        <v>2</v>
      </c>
      <c r="BP43" s="153">
        <f t="shared" si="3"/>
        <v>7</v>
      </c>
      <c r="BQ43" s="74" t="s">
        <v>178</v>
      </c>
      <c r="BR43" s="74" t="s">
        <v>216</v>
      </c>
      <c r="BS43" s="74"/>
    </row>
    <row r="44" spans="1:71" hidden="1">
      <c r="A44">
        <v>30</v>
      </c>
      <c r="B44" s="75">
        <v>45677.944722222222</v>
      </c>
      <c r="C44" s="78">
        <v>0.47291666666666665</v>
      </c>
      <c r="D44" s="7">
        <v>45678</v>
      </c>
      <c r="E44" s="7">
        <v>45678</v>
      </c>
      <c r="F44">
        <v>586</v>
      </c>
      <c r="G44">
        <v>30</v>
      </c>
      <c r="H44" t="s">
        <v>343</v>
      </c>
      <c r="I44" s="10" t="s">
        <v>343</v>
      </c>
      <c r="J44" s="69">
        <v>0</v>
      </c>
      <c r="K44" s="97">
        <f t="shared" si="10"/>
        <v>1</v>
      </c>
      <c r="L44" s="97">
        <v>44</v>
      </c>
      <c r="M44" s="7" t="s">
        <v>155</v>
      </c>
      <c r="N44" s="7" t="s">
        <v>156</v>
      </c>
      <c r="O44" s="7" t="s">
        <v>156</v>
      </c>
      <c r="P44" s="7" t="s">
        <v>344</v>
      </c>
      <c r="Q44" s="100">
        <v>2</v>
      </c>
      <c r="R44" s="7" t="s">
        <v>158</v>
      </c>
      <c r="S44" s="7" t="s">
        <v>345</v>
      </c>
      <c r="T44" t="s">
        <v>346</v>
      </c>
      <c r="U44" t="s">
        <v>313</v>
      </c>
      <c r="V44" t="s">
        <v>162</v>
      </c>
      <c r="W44" t="s">
        <v>207</v>
      </c>
      <c r="X44" s="36" t="s">
        <v>140</v>
      </c>
      <c r="Y44" s="36" t="s">
        <v>140</v>
      </c>
      <c r="Z44" s="36" t="s">
        <v>140</v>
      </c>
      <c r="AA44" s="36" t="s">
        <v>141</v>
      </c>
      <c r="AB44" s="36" t="s">
        <v>141</v>
      </c>
      <c r="AC44" s="36" t="s">
        <v>140</v>
      </c>
      <c r="AD44" s="36" t="s">
        <v>140</v>
      </c>
      <c r="AE44" s="36" t="s">
        <v>140</v>
      </c>
      <c r="AF44" s="36" t="s">
        <v>140</v>
      </c>
      <c r="AG44" s="36" t="s">
        <v>140</v>
      </c>
      <c r="AH44" s="36" t="s">
        <v>141</v>
      </c>
      <c r="AI44" s="36" t="s">
        <v>140</v>
      </c>
      <c r="AJ44" s="36" t="s">
        <v>141</v>
      </c>
      <c r="AK44" s="117" t="s">
        <v>141</v>
      </c>
      <c r="AL44" s="36" t="s">
        <v>140</v>
      </c>
      <c r="AM44" s="36" t="s">
        <v>141</v>
      </c>
      <c r="AN44" s="36" t="s">
        <v>140</v>
      </c>
      <c r="AO44" s="36" t="s">
        <v>141</v>
      </c>
      <c r="AP44" s="36" t="s">
        <v>140</v>
      </c>
      <c r="AQ44" s="36" t="s">
        <v>140</v>
      </c>
      <c r="AR44" s="36" t="s">
        <v>141</v>
      </c>
      <c r="AS44" s="36" t="s">
        <v>140</v>
      </c>
      <c r="AT44" s="36" t="s">
        <v>140</v>
      </c>
      <c r="AU44" s="36" t="s">
        <v>140</v>
      </c>
      <c r="AV44" s="36" t="s">
        <v>140</v>
      </c>
      <c r="AW44" s="117" t="s">
        <v>140</v>
      </c>
      <c r="AX44" s="117" t="s">
        <v>140</v>
      </c>
      <c r="AY44" s="36" t="s">
        <v>140</v>
      </c>
      <c r="AZ44" s="36" t="s">
        <v>140</v>
      </c>
      <c r="BA44" s="117" t="s">
        <v>140</v>
      </c>
      <c r="BB44" s="117" t="s">
        <v>140</v>
      </c>
      <c r="BC44" s="117" t="s">
        <v>140</v>
      </c>
      <c r="BD44" s="117" t="s">
        <v>140</v>
      </c>
      <c r="BE44" s="117" t="s">
        <v>140</v>
      </c>
      <c r="BF44" s="117" t="s">
        <v>141</v>
      </c>
      <c r="BG44" s="117" t="s">
        <v>141</v>
      </c>
      <c r="BH44" s="117"/>
      <c r="BI44" s="117"/>
      <c r="BJ44" s="117"/>
      <c r="BK44" s="117"/>
      <c r="BL44" s="117"/>
      <c r="BM44" s="117">
        <f t="shared" si="0"/>
        <v>9</v>
      </c>
      <c r="BN44" s="117">
        <f t="shared" si="1"/>
        <v>4</v>
      </c>
      <c r="BO44" s="117">
        <f t="shared" si="2"/>
        <v>2</v>
      </c>
      <c r="BP44" s="153">
        <f t="shared" si="3"/>
        <v>6</v>
      </c>
      <c r="BQ44" s="74" t="s">
        <v>178</v>
      </c>
      <c r="BR44" s="74" t="s">
        <v>347</v>
      </c>
      <c r="BS44" s="74"/>
    </row>
    <row r="45" spans="1:71" hidden="1">
      <c r="A45">
        <v>31</v>
      </c>
      <c r="B45" s="75">
        <v>45678.160185185188</v>
      </c>
      <c r="C45" s="78">
        <v>0.68819444444444444</v>
      </c>
      <c r="D45" s="7">
        <v>45678</v>
      </c>
      <c r="E45" s="7">
        <v>45678</v>
      </c>
      <c r="F45">
        <v>587</v>
      </c>
      <c r="G45">
        <v>31</v>
      </c>
      <c r="H45" t="s">
        <v>348</v>
      </c>
      <c r="I45" s="10" t="s">
        <v>348</v>
      </c>
      <c r="J45" s="69">
        <v>0</v>
      </c>
      <c r="K45" s="97">
        <f t="shared" si="10"/>
        <v>1</v>
      </c>
      <c r="L45" s="97">
        <v>45</v>
      </c>
      <c r="M45" s="7" t="s">
        <v>133</v>
      </c>
      <c r="N45" s="7" t="s">
        <v>134</v>
      </c>
      <c r="O45" s="7" t="s">
        <v>134</v>
      </c>
      <c r="Q45" s="100">
        <v>1</v>
      </c>
      <c r="R45" s="7" t="s">
        <v>135</v>
      </c>
      <c r="S45" s="7" t="s">
        <v>349</v>
      </c>
      <c r="T45" t="s">
        <v>350</v>
      </c>
      <c r="U45" t="s">
        <v>351</v>
      </c>
      <c r="V45" t="s">
        <v>265</v>
      </c>
      <c r="W45" t="s">
        <v>207</v>
      </c>
      <c r="X45" s="36" t="s">
        <v>141</v>
      </c>
      <c r="Y45" s="36" t="s">
        <v>141</v>
      </c>
      <c r="Z45" s="36" t="s">
        <v>141</v>
      </c>
      <c r="AA45" s="36" t="s">
        <v>141</v>
      </c>
      <c r="AB45" s="36" t="s">
        <v>141</v>
      </c>
      <c r="AC45" s="36" t="s">
        <v>140</v>
      </c>
      <c r="AD45" s="36" t="s">
        <v>140</v>
      </c>
      <c r="AE45" s="36" t="s">
        <v>140</v>
      </c>
      <c r="AF45" s="36" t="s">
        <v>140</v>
      </c>
      <c r="AG45" s="36" t="s">
        <v>140</v>
      </c>
      <c r="AH45" s="36" t="s">
        <v>141</v>
      </c>
      <c r="AI45" s="36" t="s">
        <v>140</v>
      </c>
      <c r="AJ45" s="36" t="s">
        <v>141</v>
      </c>
      <c r="AK45" s="117" t="s">
        <v>141</v>
      </c>
      <c r="AL45" s="36" t="s">
        <v>140</v>
      </c>
      <c r="AM45" s="36" t="s">
        <v>141</v>
      </c>
      <c r="AN45" s="36" t="s">
        <v>140</v>
      </c>
      <c r="AO45" s="36" t="s">
        <v>141</v>
      </c>
      <c r="AP45" s="36" t="s">
        <v>140</v>
      </c>
      <c r="AQ45" s="36" t="s">
        <v>140</v>
      </c>
      <c r="AR45" s="36" t="s">
        <v>140</v>
      </c>
      <c r="AS45" s="36" t="s">
        <v>140</v>
      </c>
      <c r="AT45" s="36" t="s">
        <v>140</v>
      </c>
      <c r="AU45" s="36" t="s">
        <v>140</v>
      </c>
      <c r="AV45" s="36" t="s">
        <v>140</v>
      </c>
      <c r="AW45" s="117" t="s">
        <v>140</v>
      </c>
      <c r="AX45" s="117" t="s">
        <v>140</v>
      </c>
      <c r="AY45" s="36" t="s">
        <v>140</v>
      </c>
      <c r="AZ45" s="36" t="s">
        <v>140</v>
      </c>
      <c r="BA45" s="117" t="s">
        <v>140</v>
      </c>
      <c r="BB45" s="117" t="s">
        <v>140</v>
      </c>
      <c r="BC45" s="117" t="s">
        <v>140</v>
      </c>
      <c r="BD45" s="117" t="s">
        <v>140</v>
      </c>
      <c r="BE45" s="117" t="s">
        <v>140</v>
      </c>
      <c r="BF45" s="117" t="s">
        <v>140</v>
      </c>
      <c r="BG45" s="117" t="s">
        <v>141</v>
      </c>
      <c r="BH45" s="117"/>
      <c r="BI45" s="117"/>
      <c r="BJ45" s="117"/>
      <c r="BK45" s="117"/>
      <c r="BL45" s="117"/>
      <c r="BM45" s="117">
        <f t="shared" si="0"/>
        <v>10</v>
      </c>
      <c r="BN45" s="117">
        <f t="shared" si="1"/>
        <v>3</v>
      </c>
      <c r="BO45" s="117">
        <f t="shared" si="2"/>
        <v>5</v>
      </c>
      <c r="BP45" s="153">
        <f t="shared" si="3"/>
        <v>5</v>
      </c>
      <c r="BQ45" s="74" t="s">
        <v>178</v>
      </c>
      <c r="BR45" s="74" t="s">
        <v>352</v>
      </c>
      <c r="BS45" s="74"/>
    </row>
    <row r="46" spans="1:71" hidden="1">
      <c r="A46">
        <v>32</v>
      </c>
      <c r="B46" s="75">
        <v>45679.875358796293</v>
      </c>
      <c r="C46" s="78">
        <v>0.40833333333333333</v>
      </c>
      <c r="D46" s="7">
        <v>45680</v>
      </c>
      <c r="E46" s="7">
        <v>45680</v>
      </c>
      <c r="F46">
        <v>588</v>
      </c>
      <c r="G46">
        <v>32</v>
      </c>
      <c r="H46" t="s">
        <v>353</v>
      </c>
      <c r="I46" s="10" t="s">
        <v>353</v>
      </c>
      <c r="J46" s="69">
        <v>0</v>
      </c>
      <c r="K46" s="97">
        <f t="shared" si="10"/>
        <v>1</v>
      </c>
      <c r="L46" s="97">
        <v>46</v>
      </c>
      <c r="M46" s="7" t="s">
        <v>133</v>
      </c>
      <c r="N46" s="7" t="s">
        <v>134</v>
      </c>
      <c r="O46" s="7" t="s">
        <v>134</v>
      </c>
      <c r="Q46" s="100">
        <v>1</v>
      </c>
      <c r="R46" s="7" t="s">
        <v>135</v>
      </c>
      <c r="S46" s="7" t="s">
        <v>354</v>
      </c>
      <c r="T46" t="s">
        <v>355</v>
      </c>
      <c r="U46" t="s">
        <v>356</v>
      </c>
      <c r="V46" t="s">
        <v>194</v>
      </c>
      <c r="W46" t="s">
        <v>357</v>
      </c>
      <c r="X46" s="36" t="s">
        <v>140</v>
      </c>
      <c r="Y46" s="36" t="s">
        <v>141</v>
      </c>
      <c r="Z46" s="36" t="s">
        <v>140</v>
      </c>
      <c r="AA46" s="36" t="s">
        <v>140</v>
      </c>
      <c r="AB46" s="36" t="s">
        <v>140</v>
      </c>
      <c r="AC46" s="36" t="s">
        <v>140</v>
      </c>
      <c r="AD46" s="36" t="s">
        <v>140</v>
      </c>
      <c r="AE46" s="36" t="s">
        <v>140</v>
      </c>
      <c r="AF46" s="36" t="s">
        <v>141</v>
      </c>
      <c r="AG46" s="36" t="s">
        <v>140</v>
      </c>
      <c r="AH46" s="36" t="s">
        <v>140</v>
      </c>
      <c r="AI46" s="36" t="s">
        <v>140</v>
      </c>
      <c r="AJ46" s="36" t="s">
        <v>141</v>
      </c>
      <c r="AK46" s="117" t="s">
        <v>140</v>
      </c>
      <c r="AL46" s="36" t="s">
        <v>140</v>
      </c>
      <c r="AM46" s="36" t="s">
        <v>140</v>
      </c>
      <c r="AN46" s="36" t="s">
        <v>140</v>
      </c>
      <c r="AO46" s="36" t="s">
        <v>140</v>
      </c>
      <c r="AP46" s="36" t="s">
        <v>140</v>
      </c>
      <c r="AQ46" s="36" t="s">
        <v>140</v>
      </c>
      <c r="AR46" s="36" t="s">
        <v>141</v>
      </c>
      <c r="AS46" s="36" t="s">
        <v>140</v>
      </c>
      <c r="AT46" s="36" t="s">
        <v>140</v>
      </c>
      <c r="AU46" s="36" t="s">
        <v>141</v>
      </c>
      <c r="AV46" s="36" t="s">
        <v>140</v>
      </c>
      <c r="AW46" s="117" t="s">
        <v>140</v>
      </c>
      <c r="AX46" s="117" t="s">
        <v>140</v>
      </c>
      <c r="AY46" s="36" t="s">
        <v>140</v>
      </c>
      <c r="AZ46" s="36" t="s">
        <v>140</v>
      </c>
      <c r="BA46" s="117" t="s">
        <v>140</v>
      </c>
      <c r="BB46" s="117" t="s">
        <v>140</v>
      </c>
      <c r="BC46" s="117" t="s">
        <v>140</v>
      </c>
      <c r="BD46" s="117" t="s">
        <v>140</v>
      </c>
      <c r="BE46" s="117" t="s">
        <v>140</v>
      </c>
      <c r="BF46" s="117" t="s">
        <v>140</v>
      </c>
      <c r="BG46" s="117" t="s">
        <v>141</v>
      </c>
      <c r="BH46" s="117"/>
      <c r="BI46" s="117"/>
      <c r="BJ46" s="117"/>
      <c r="BK46" s="117"/>
      <c r="BL46" s="117"/>
      <c r="BM46" s="117">
        <f t="shared" si="0"/>
        <v>5</v>
      </c>
      <c r="BN46" s="117">
        <f t="shared" si="1"/>
        <v>2</v>
      </c>
      <c r="BO46" s="117">
        <f t="shared" si="2"/>
        <v>1</v>
      </c>
      <c r="BP46" s="153">
        <f t="shared" si="3"/>
        <v>4</v>
      </c>
      <c r="BQ46" s="74" t="s">
        <v>358</v>
      </c>
      <c r="BR46" s="74" t="s">
        <v>359</v>
      </c>
      <c r="BS46" s="74"/>
    </row>
    <row r="47" spans="1:71" hidden="1">
      <c r="A47">
        <v>33</v>
      </c>
      <c r="B47" s="75">
        <v>45680.032233796293</v>
      </c>
      <c r="C47" s="78">
        <v>0.5541666666666667</v>
      </c>
      <c r="D47" s="7">
        <v>45680</v>
      </c>
      <c r="E47" s="7">
        <v>45680</v>
      </c>
      <c r="F47">
        <v>589</v>
      </c>
      <c r="G47">
        <v>33</v>
      </c>
      <c r="H47" t="s">
        <v>360</v>
      </c>
      <c r="I47" s="10" t="s">
        <v>353</v>
      </c>
      <c r="J47" s="69">
        <v>0</v>
      </c>
      <c r="K47" s="97">
        <f t="shared" si="10"/>
        <v>1</v>
      </c>
      <c r="L47" s="97">
        <v>47</v>
      </c>
      <c r="M47" s="7" t="s">
        <v>282</v>
      </c>
      <c r="N47" s="7" t="s">
        <v>197</v>
      </c>
      <c r="O47" s="7" t="s">
        <v>197</v>
      </c>
      <c r="P47" s="7" t="s">
        <v>361</v>
      </c>
      <c r="Q47" s="100">
        <v>2</v>
      </c>
      <c r="R47" s="7" t="s">
        <v>158</v>
      </c>
      <c r="S47" s="7" t="s">
        <v>362</v>
      </c>
      <c r="T47" t="s">
        <v>363</v>
      </c>
      <c r="U47" t="s">
        <v>356</v>
      </c>
      <c r="V47" t="s">
        <v>200</v>
      </c>
      <c r="W47" t="s">
        <v>139</v>
      </c>
      <c r="X47" s="36" t="s">
        <v>140</v>
      </c>
      <c r="Y47" s="36" t="s">
        <v>141</v>
      </c>
      <c r="Z47" s="36" t="s">
        <v>140</v>
      </c>
      <c r="AA47" s="36" t="s">
        <v>141</v>
      </c>
      <c r="AB47" s="36" t="s">
        <v>140</v>
      </c>
      <c r="AC47" s="36" t="s">
        <v>140</v>
      </c>
      <c r="AD47" s="36" t="s">
        <v>140</v>
      </c>
      <c r="AE47" s="36" t="s">
        <v>140</v>
      </c>
      <c r="AF47" s="36" t="s">
        <v>141</v>
      </c>
      <c r="AG47" s="36" t="s">
        <v>140</v>
      </c>
      <c r="AH47" s="36" t="s">
        <v>141</v>
      </c>
      <c r="AI47" s="36" t="s">
        <v>141</v>
      </c>
      <c r="AJ47" s="36" t="s">
        <v>141</v>
      </c>
      <c r="AK47" s="117" t="s">
        <v>140</v>
      </c>
      <c r="AL47" s="36" t="s">
        <v>140</v>
      </c>
      <c r="AM47" s="36" t="s">
        <v>140</v>
      </c>
      <c r="AN47" s="36" t="s">
        <v>141</v>
      </c>
      <c r="AO47" s="36" t="s">
        <v>140</v>
      </c>
      <c r="AP47" s="36" t="s">
        <v>140</v>
      </c>
      <c r="AQ47" s="36" t="s">
        <v>140</v>
      </c>
      <c r="AR47" s="36" t="s">
        <v>140</v>
      </c>
      <c r="AS47" s="36" t="s">
        <v>140</v>
      </c>
      <c r="AT47" s="36" t="s">
        <v>140</v>
      </c>
      <c r="AU47" s="36" t="s">
        <v>141</v>
      </c>
      <c r="AV47" s="36" t="s">
        <v>140</v>
      </c>
      <c r="AW47" s="117" t="s">
        <v>140</v>
      </c>
      <c r="AX47" s="117" t="s">
        <v>140</v>
      </c>
      <c r="AY47" s="36" t="s">
        <v>140</v>
      </c>
      <c r="AZ47" s="36" t="s">
        <v>140</v>
      </c>
      <c r="BA47" s="117" t="s">
        <v>140</v>
      </c>
      <c r="BB47" s="117" t="s">
        <v>140</v>
      </c>
      <c r="BC47" s="117" t="s">
        <v>140</v>
      </c>
      <c r="BD47" s="117" t="s">
        <v>140</v>
      </c>
      <c r="BE47" s="117" t="s">
        <v>140</v>
      </c>
      <c r="BF47" s="117" t="s">
        <v>141</v>
      </c>
      <c r="BG47" s="117" t="s">
        <v>140</v>
      </c>
      <c r="BH47" s="117"/>
      <c r="BI47" s="117"/>
      <c r="BJ47" s="117"/>
      <c r="BK47" s="117"/>
      <c r="BL47" s="117"/>
      <c r="BM47" s="117">
        <f t="shared" si="0"/>
        <v>9</v>
      </c>
      <c r="BN47" s="117">
        <f t="shared" si="1"/>
        <v>2</v>
      </c>
      <c r="BO47" s="117">
        <f t="shared" si="2"/>
        <v>2</v>
      </c>
      <c r="BP47" s="153">
        <f t="shared" si="3"/>
        <v>6</v>
      </c>
      <c r="BQ47" s="74" t="s">
        <v>178</v>
      </c>
      <c r="BR47" s="74" t="s">
        <v>364</v>
      </c>
      <c r="BS47" s="74"/>
    </row>
    <row r="48" spans="1:71" hidden="1">
      <c r="A48">
        <v>34</v>
      </c>
      <c r="B48" s="75">
        <v>45680.140810185185</v>
      </c>
      <c r="C48" s="78">
        <v>0.66319444444444442</v>
      </c>
      <c r="D48" s="7">
        <v>45680</v>
      </c>
      <c r="E48" s="7">
        <v>45680</v>
      </c>
      <c r="F48">
        <v>590</v>
      </c>
      <c r="G48">
        <v>34</v>
      </c>
      <c r="H48" t="s">
        <v>365</v>
      </c>
      <c r="I48" s="10" t="s">
        <v>365</v>
      </c>
      <c r="J48" s="69">
        <v>0</v>
      </c>
      <c r="K48" s="97">
        <f t="shared" si="10"/>
        <v>1</v>
      </c>
      <c r="L48" s="97">
        <v>48</v>
      </c>
      <c r="M48" s="7" t="s">
        <v>155</v>
      </c>
      <c r="N48" s="7" t="s">
        <v>156</v>
      </c>
      <c r="O48" s="7" t="s">
        <v>156</v>
      </c>
      <c r="P48" s="7" t="s">
        <v>174</v>
      </c>
      <c r="Q48" s="100">
        <v>2</v>
      </c>
      <c r="R48" s="7" t="s">
        <v>158</v>
      </c>
      <c r="S48" s="7" t="s">
        <v>366</v>
      </c>
      <c r="T48" t="s">
        <v>367</v>
      </c>
      <c r="U48" t="s">
        <v>368</v>
      </c>
      <c r="V48" t="s">
        <v>162</v>
      </c>
      <c r="W48" t="s">
        <v>170</v>
      </c>
      <c r="X48" s="36" t="s">
        <v>141</v>
      </c>
      <c r="Y48" s="36" t="s">
        <v>140</v>
      </c>
      <c r="Z48" s="36" t="s">
        <v>140</v>
      </c>
      <c r="AA48" s="36" t="s">
        <v>140</v>
      </c>
      <c r="AB48" s="36" t="s">
        <v>141</v>
      </c>
      <c r="AC48" s="36" t="s">
        <v>140</v>
      </c>
      <c r="AD48" s="36" t="s">
        <v>140</v>
      </c>
      <c r="AE48" s="36" t="s">
        <v>140</v>
      </c>
      <c r="AF48" s="36" t="s">
        <v>140</v>
      </c>
      <c r="AG48" s="36" t="s">
        <v>140</v>
      </c>
      <c r="AH48" s="36" t="s">
        <v>141</v>
      </c>
      <c r="AI48" s="36" t="s">
        <v>140</v>
      </c>
      <c r="AJ48" s="36" t="s">
        <v>140</v>
      </c>
      <c r="AK48" s="117" t="s">
        <v>140</v>
      </c>
      <c r="AL48" s="36" t="s">
        <v>140</v>
      </c>
      <c r="AM48" s="36" t="s">
        <v>140</v>
      </c>
      <c r="AN48" s="36" t="s">
        <v>141</v>
      </c>
      <c r="AO48" s="36" t="s">
        <v>140</v>
      </c>
      <c r="AP48" s="36" t="s">
        <v>140</v>
      </c>
      <c r="AQ48" s="36" t="s">
        <v>140</v>
      </c>
      <c r="AR48" s="36" t="s">
        <v>140</v>
      </c>
      <c r="AS48" s="36" t="s">
        <v>141</v>
      </c>
      <c r="AT48" s="36" t="s">
        <v>140</v>
      </c>
      <c r="AU48" s="36" t="s">
        <v>140</v>
      </c>
      <c r="AV48" s="36" t="s">
        <v>140</v>
      </c>
      <c r="AW48" s="117" t="s">
        <v>140</v>
      </c>
      <c r="AX48" s="117" t="s">
        <v>141</v>
      </c>
      <c r="AY48" s="36" t="s">
        <v>141</v>
      </c>
      <c r="AZ48" s="36" t="s">
        <v>140</v>
      </c>
      <c r="BA48" s="117" t="s">
        <v>140</v>
      </c>
      <c r="BB48" s="117" t="s">
        <v>140</v>
      </c>
      <c r="BC48" s="117" t="s">
        <v>140</v>
      </c>
      <c r="BD48" s="117" t="s">
        <v>140</v>
      </c>
      <c r="BE48" s="117" t="s">
        <v>140</v>
      </c>
      <c r="BF48" s="117" t="s">
        <v>141</v>
      </c>
      <c r="BG48" s="117" t="s">
        <v>140</v>
      </c>
      <c r="BH48" s="117"/>
      <c r="BI48" s="117"/>
      <c r="BJ48" s="117"/>
      <c r="BK48" s="117"/>
      <c r="BL48" s="117"/>
      <c r="BM48" s="117">
        <f t="shared" si="0"/>
        <v>8</v>
      </c>
      <c r="BN48" s="117">
        <f t="shared" si="1"/>
        <v>2</v>
      </c>
      <c r="BO48" s="117">
        <f t="shared" si="2"/>
        <v>2</v>
      </c>
      <c r="BP48" s="153">
        <f t="shared" si="3"/>
        <v>5</v>
      </c>
      <c r="BQ48" s="74" t="s">
        <v>208</v>
      </c>
      <c r="BR48" s="74" t="s">
        <v>347</v>
      </c>
      <c r="BS48" s="74"/>
    </row>
    <row r="49" spans="1:71" hidden="1">
      <c r="A49">
        <v>35</v>
      </c>
      <c r="B49" s="75">
        <v>45680.188379629632</v>
      </c>
      <c r="C49" s="78">
        <v>0.71597222222222223</v>
      </c>
      <c r="D49" s="7">
        <v>45680</v>
      </c>
      <c r="E49" s="7">
        <v>45679</v>
      </c>
      <c r="F49">
        <v>591</v>
      </c>
      <c r="G49">
        <v>35</v>
      </c>
      <c r="H49" t="s">
        <v>369</v>
      </c>
      <c r="I49" s="10" t="s">
        <v>369</v>
      </c>
      <c r="J49" s="69">
        <v>0</v>
      </c>
      <c r="K49" s="97">
        <f t="shared" ref="K49:K72" si="11">MONTH($J49)</f>
        <v>1</v>
      </c>
      <c r="L49" s="97">
        <v>49</v>
      </c>
      <c r="M49" s="7" t="s">
        <v>181</v>
      </c>
      <c r="N49" s="7" t="s">
        <v>370</v>
      </c>
      <c r="O49" s="7" t="s">
        <v>146</v>
      </c>
      <c r="Q49" s="100">
        <v>1</v>
      </c>
      <c r="R49" s="7" t="s">
        <v>135</v>
      </c>
      <c r="S49" s="7" t="s">
        <v>371</v>
      </c>
      <c r="T49" t="s">
        <v>372</v>
      </c>
      <c r="U49" t="s">
        <v>373</v>
      </c>
      <c r="V49" t="s">
        <v>146</v>
      </c>
      <c r="W49" t="s">
        <v>207</v>
      </c>
      <c r="X49" s="36" t="s">
        <v>141</v>
      </c>
      <c r="Y49" s="36" t="s">
        <v>140</v>
      </c>
      <c r="Z49" s="36" t="s">
        <v>140</v>
      </c>
      <c r="AA49" s="36" t="s">
        <v>141</v>
      </c>
      <c r="AB49" s="36" t="s">
        <v>141</v>
      </c>
      <c r="AC49" s="36" t="s">
        <v>140</v>
      </c>
      <c r="AD49" s="36" t="s">
        <v>140</v>
      </c>
      <c r="AE49" s="36" t="s">
        <v>140</v>
      </c>
      <c r="AF49" s="36" t="s">
        <v>140</v>
      </c>
      <c r="AG49" s="36" t="s">
        <v>140</v>
      </c>
      <c r="AH49" s="36" t="s">
        <v>141</v>
      </c>
      <c r="AI49" s="36" t="s">
        <v>140</v>
      </c>
      <c r="AJ49" s="36" t="s">
        <v>140</v>
      </c>
      <c r="AK49" s="117" t="s">
        <v>140</v>
      </c>
      <c r="AL49" s="36" t="s">
        <v>140</v>
      </c>
      <c r="AM49" s="36" t="s">
        <v>140</v>
      </c>
      <c r="AN49" s="36" t="s">
        <v>140</v>
      </c>
      <c r="AO49" s="36" t="s">
        <v>141</v>
      </c>
      <c r="AP49" s="36" t="s">
        <v>140</v>
      </c>
      <c r="AQ49" s="36" t="s">
        <v>140</v>
      </c>
      <c r="AR49" s="36" t="s">
        <v>141</v>
      </c>
      <c r="AS49" s="36" t="s">
        <v>140</v>
      </c>
      <c r="AT49" s="36" t="s">
        <v>140</v>
      </c>
      <c r="AU49" s="36" t="s">
        <v>140</v>
      </c>
      <c r="AV49" s="36" t="s">
        <v>141</v>
      </c>
      <c r="AW49" s="117" t="s">
        <v>140</v>
      </c>
      <c r="AX49" s="117" t="s">
        <v>141</v>
      </c>
      <c r="AY49" s="36" t="s">
        <v>140</v>
      </c>
      <c r="AZ49" s="36" t="s">
        <v>140</v>
      </c>
      <c r="BA49" s="117" t="s">
        <v>140</v>
      </c>
      <c r="BB49" s="117" t="s">
        <v>140</v>
      </c>
      <c r="BC49" s="117" t="s">
        <v>140</v>
      </c>
      <c r="BD49" s="117" t="s">
        <v>140</v>
      </c>
      <c r="BE49" s="117" t="s">
        <v>140</v>
      </c>
      <c r="BF49" s="117" t="s">
        <v>141</v>
      </c>
      <c r="BG49" s="117" t="s">
        <v>141</v>
      </c>
      <c r="BH49" s="117"/>
      <c r="BI49" s="117"/>
      <c r="BJ49" s="117"/>
      <c r="BK49" s="117"/>
      <c r="BL49" s="117"/>
      <c r="BM49" s="117">
        <f t="shared" si="0"/>
        <v>9</v>
      </c>
      <c r="BN49" s="117">
        <f t="shared" si="1"/>
        <v>1</v>
      </c>
      <c r="BO49" s="117">
        <f t="shared" si="2"/>
        <v>3</v>
      </c>
      <c r="BP49" s="153">
        <f t="shared" si="3"/>
        <v>5</v>
      </c>
      <c r="BQ49" s="74" t="s">
        <v>273</v>
      </c>
      <c r="BR49" s="74" t="s">
        <v>374</v>
      </c>
      <c r="BS49" s="74"/>
    </row>
    <row r="50" spans="1:71" hidden="1">
      <c r="A50">
        <v>36</v>
      </c>
      <c r="B50" s="75">
        <v>45680.620694444442</v>
      </c>
      <c r="C50" s="78">
        <v>0.11736111111111111</v>
      </c>
      <c r="D50" s="7">
        <v>45681</v>
      </c>
      <c r="E50" s="7">
        <v>45681</v>
      </c>
      <c r="F50">
        <v>592</v>
      </c>
      <c r="G50">
        <v>36</v>
      </c>
      <c r="H50" t="s">
        <v>375</v>
      </c>
      <c r="I50" s="10" t="s">
        <v>375</v>
      </c>
      <c r="J50" s="69">
        <v>45681</v>
      </c>
      <c r="K50" s="97">
        <f t="shared" si="11"/>
        <v>1</v>
      </c>
      <c r="L50" s="97">
        <v>50</v>
      </c>
      <c r="M50" s="7" t="s">
        <v>181</v>
      </c>
      <c r="N50" s="7" t="s">
        <v>182</v>
      </c>
      <c r="O50" s="7" t="s">
        <v>376</v>
      </c>
      <c r="Q50" s="100">
        <v>2</v>
      </c>
      <c r="R50" s="7" t="s">
        <v>158</v>
      </c>
      <c r="S50" s="7" t="s">
        <v>377</v>
      </c>
      <c r="T50" t="s">
        <v>378</v>
      </c>
      <c r="U50" t="s">
        <v>379</v>
      </c>
      <c r="V50" t="s">
        <v>188</v>
      </c>
      <c r="W50" t="s">
        <v>225</v>
      </c>
      <c r="X50" s="36" t="s">
        <v>140</v>
      </c>
      <c r="Y50" s="36" t="s">
        <v>140</v>
      </c>
      <c r="Z50" s="36" t="s">
        <v>141</v>
      </c>
      <c r="AA50" s="36" t="s">
        <v>141</v>
      </c>
      <c r="AB50" s="36" t="s">
        <v>140</v>
      </c>
      <c r="AC50" s="36" t="s">
        <v>140</v>
      </c>
      <c r="AD50" s="36" t="s">
        <v>140</v>
      </c>
      <c r="AE50" s="36" t="s">
        <v>140</v>
      </c>
      <c r="AF50" s="36" t="s">
        <v>140</v>
      </c>
      <c r="AG50" s="36" t="s">
        <v>140</v>
      </c>
      <c r="AH50" s="36" t="s">
        <v>141</v>
      </c>
      <c r="AI50" s="36" t="s">
        <v>140</v>
      </c>
      <c r="AJ50" s="36" t="s">
        <v>140</v>
      </c>
      <c r="AK50" s="117"/>
      <c r="AL50" s="36" t="s">
        <v>141</v>
      </c>
      <c r="AM50" s="36" t="s">
        <v>141</v>
      </c>
      <c r="AN50" s="36" t="s">
        <v>140</v>
      </c>
      <c r="AO50" s="36" t="s">
        <v>140</v>
      </c>
      <c r="AP50" s="36" t="s">
        <v>140</v>
      </c>
      <c r="AQ50" s="36" t="s">
        <v>140</v>
      </c>
      <c r="AR50" s="36" t="s">
        <v>141</v>
      </c>
      <c r="AS50" s="36" t="s">
        <v>140</v>
      </c>
      <c r="AT50" s="36" t="s">
        <v>141</v>
      </c>
      <c r="AU50" s="36" t="s">
        <v>140</v>
      </c>
      <c r="AV50" s="36" t="s">
        <v>141</v>
      </c>
      <c r="AW50" s="117" t="s">
        <v>140</v>
      </c>
      <c r="AX50" s="117" t="s">
        <v>140</v>
      </c>
      <c r="AY50" s="36" t="s">
        <v>140</v>
      </c>
      <c r="AZ50" s="36" t="s">
        <v>140</v>
      </c>
      <c r="BA50" s="117" t="s">
        <v>140</v>
      </c>
      <c r="BB50" s="117" t="s">
        <v>140</v>
      </c>
      <c r="BC50" s="117" t="s">
        <v>140</v>
      </c>
      <c r="BD50" s="117" t="s">
        <v>140</v>
      </c>
      <c r="BE50" s="117" t="s">
        <v>140</v>
      </c>
      <c r="BF50" s="117" t="s">
        <v>140</v>
      </c>
      <c r="BG50" s="117" t="s">
        <v>140</v>
      </c>
      <c r="BH50" s="117"/>
      <c r="BI50" s="117"/>
      <c r="BJ50" s="117"/>
      <c r="BK50" s="117"/>
      <c r="BL50" s="117"/>
      <c r="BM50" s="117">
        <f t="shared" si="0"/>
        <v>8</v>
      </c>
      <c r="BN50" s="117">
        <f t="shared" si="1"/>
        <v>2</v>
      </c>
      <c r="BO50" s="117">
        <f t="shared" si="2"/>
        <v>2</v>
      </c>
      <c r="BP50" s="153">
        <f t="shared" si="3"/>
        <v>6</v>
      </c>
      <c r="BQ50" s="74" t="s">
        <v>178</v>
      </c>
      <c r="BR50" s="74" t="s">
        <v>182</v>
      </c>
      <c r="BS50" s="74"/>
    </row>
    <row r="51" spans="1:71" hidden="1">
      <c r="A51">
        <v>37</v>
      </c>
      <c r="B51" s="75">
        <v>45681.511481481481</v>
      </c>
      <c r="C51" s="78">
        <v>3.4027777777777775E-2</v>
      </c>
      <c r="D51" s="7">
        <v>45682</v>
      </c>
      <c r="E51" s="7">
        <v>45682</v>
      </c>
      <c r="F51">
        <v>593</v>
      </c>
      <c r="G51">
        <v>37</v>
      </c>
      <c r="H51" t="s">
        <v>380</v>
      </c>
      <c r="I51" s="10" t="s">
        <v>380</v>
      </c>
      <c r="J51" s="69">
        <v>45682</v>
      </c>
      <c r="K51" s="97">
        <f t="shared" si="11"/>
        <v>1</v>
      </c>
      <c r="L51" s="97">
        <v>51</v>
      </c>
      <c r="M51" s="7" t="s">
        <v>165</v>
      </c>
      <c r="N51" s="7" t="s">
        <v>156</v>
      </c>
      <c r="O51" s="7" t="s">
        <v>156</v>
      </c>
      <c r="P51" s="7" t="s">
        <v>381</v>
      </c>
      <c r="Q51" s="100">
        <v>2</v>
      </c>
      <c r="R51" s="7" t="s">
        <v>158</v>
      </c>
      <c r="S51" s="7" t="s">
        <v>382</v>
      </c>
      <c r="T51" t="s">
        <v>383</v>
      </c>
      <c r="U51" t="s">
        <v>384</v>
      </c>
      <c r="V51" t="s">
        <v>162</v>
      </c>
      <c r="W51" t="s">
        <v>170</v>
      </c>
      <c r="X51" s="36" t="s">
        <v>141</v>
      </c>
      <c r="Y51" s="36" t="s">
        <v>141</v>
      </c>
      <c r="Z51" s="36" t="s">
        <v>140</v>
      </c>
      <c r="AA51" s="36" t="s">
        <v>140</v>
      </c>
      <c r="AB51" s="36" t="s">
        <v>140</v>
      </c>
      <c r="AC51" s="36" t="s">
        <v>140</v>
      </c>
      <c r="AD51" s="36" t="s">
        <v>140</v>
      </c>
      <c r="AE51" s="36" t="s">
        <v>140</v>
      </c>
      <c r="AF51" s="36" t="s">
        <v>140</v>
      </c>
      <c r="AG51" s="36" t="s">
        <v>140</v>
      </c>
      <c r="AH51" s="36" t="s">
        <v>141</v>
      </c>
      <c r="AI51" s="36" t="s">
        <v>140</v>
      </c>
      <c r="AJ51" s="36" t="s">
        <v>141</v>
      </c>
      <c r="AK51" s="117"/>
      <c r="AL51" s="36" t="s">
        <v>140</v>
      </c>
      <c r="AM51" s="36" t="s">
        <v>140</v>
      </c>
      <c r="AN51" s="36" t="s">
        <v>140</v>
      </c>
      <c r="AO51" s="36" t="s">
        <v>140</v>
      </c>
      <c r="AP51" s="36" t="s">
        <v>141</v>
      </c>
      <c r="AQ51" s="36" t="s">
        <v>140</v>
      </c>
      <c r="AR51" s="36" t="s">
        <v>140</v>
      </c>
      <c r="AS51" s="36" t="s">
        <v>141</v>
      </c>
      <c r="AT51" s="36" t="s">
        <v>140</v>
      </c>
      <c r="AU51" s="36" t="s">
        <v>140</v>
      </c>
      <c r="AV51" s="36" t="s">
        <v>141</v>
      </c>
      <c r="AW51" s="117" t="s">
        <v>140</v>
      </c>
      <c r="AX51" s="117" t="s">
        <v>140</v>
      </c>
      <c r="AY51" s="36" t="s">
        <v>140</v>
      </c>
      <c r="AZ51" s="36" t="s">
        <v>140</v>
      </c>
      <c r="BA51" s="117" t="s">
        <v>140</v>
      </c>
      <c r="BB51" s="117" t="s">
        <v>140</v>
      </c>
      <c r="BC51" s="117" t="s">
        <v>140</v>
      </c>
      <c r="BD51" s="117" t="s">
        <v>140</v>
      </c>
      <c r="BE51" s="117" t="s">
        <v>140</v>
      </c>
      <c r="BF51" s="117" t="s">
        <v>140</v>
      </c>
      <c r="BG51" s="117" t="s">
        <v>140</v>
      </c>
      <c r="BH51" s="117"/>
      <c r="BI51" s="117"/>
      <c r="BJ51" s="117"/>
      <c r="BK51" s="117"/>
      <c r="BL51" s="117"/>
      <c r="BM51" s="117">
        <f t="shared" si="0"/>
        <v>7</v>
      </c>
      <c r="BN51" s="117">
        <f t="shared" si="1"/>
        <v>2</v>
      </c>
      <c r="BO51" s="117">
        <f t="shared" si="2"/>
        <v>2</v>
      </c>
      <c r="BP51" s="153">
        <f t="shared" si="3"/>
        <v>5</v>
      </c>
      <c r="BQ51" s="74" t="s">
        <v>163</v>
      </c>
      <c r="BR51" s="74" t="s">
        <v>347</v>
      </c>
      <c r="BS51" s="74"/>
    </row>
    <row r="52" spans="1:71" hidden="1">
      <c r="A52">
        <v>38</v>
      </c>
      <c r="B52" s="75">
        <v>45681.606527777774</v>
      </c>
      <c r="C52" s="78">
        <v>0.13819444444444445</v>
      </c>
      <c r="D52" s="7">
        <v>45682</v>
      </c>
      <c r="E52" s="7">
        <v>45682</v>
      </c>
      <c r="F52">
        <v>594</v>
      </c>
      <c r="G52">
        <v>38</v>
      </c>
      <c r="H52" t="s">
        <v>385</v>
      </c>
      <c r="I52" s="10" t="s">
        <v>385</v>
      </c>
      <c r="J52" s="69">
        <v>45682</v>
      </c>
      <c r="K52" s="97">
        <f t="shared" si="11"/>
        <v>1</v>
      </c>
      <c r="L52" s="97">
        <v>52</v>
      </c>
      <c r="M52" s="7" t="s">
        <v>181</v>
      </c>
      <c r="N52" s="7" t="s">
        <v>254</v>
      </c>
      <c r="O52" s="7" t="s">
        <v>386</v>
      </c>
      <c r="Q52" s="100">
        <v>1</v>
      </c>
      <c r="R52" s="7" t="s">
        <v>135</v>
      </c>
      <c r="S52" s="7" t="s">
        <v>387</v>
      </c>
      <c r="T52" t="s">
        <v>388</v>
      </c>
      <c r="U52" t="s">
        <v>389</v>
      </c>
      <c r="V52" t="s">
        <v>254</v>
      </c>
      <c r="W52" t="s">
        <v>357</v>
      </c>
      <c r="X52" s="36" t="s">
        <v>141</v>
      </c>
      <c r="Y52" s="36" t="s">
        <v>141</v>
      </c>
      <c r="Z52" s="36" t="s">
        <v>140</v>
      </c>
      <c r="AA52" s="36" t="s">
        <v>140</v>
      </c>
      <c r="AB52" s="36" t="s">
        <v>140</v>
      </c>
      <c r="AC52" s="36" t="s">
        <v>140</v>
      </c>
      <c r="AD52" s="36" t="s">
        <v>140</v>
      </c>
      <c r="AE52" s="36" t="s">
        <v>140</v>
      </c>
      <c r="AF52" s="36" t="s">
        <v>140</v>
      </c>
      <c r="AG52" s="36" t="s">
        <v>140</v>
      </c>
      <c r="AH52" s="36" t="s">
        <v>141</v>
      </c>
      <c r="AI52" s="36" t="s">
        <v>141</v>
      </c>
      <c r="AJ52" s="36" t="s">
        <v>141</v>
      </c>
      <c r="AK52" s="117"/>
      <c r="AL52" s="36" t="s">
        <v>140</v>
      </c>
      <c r="AM52" s="36" t="s">
        <v>140</v>
      </c>
      <c r="AN52" s="36" t="s">
        <v>140</v>
      </c>
      <c r="AO52" s="36" t="s">
        <v>140</v>
      </c>
      <c r="AP52" s="36" t="s">
        <v>141</v>
      </c>
      <c r="AQ52" s="36" t="s">
        <v>140</v>
      </c>
      <c r="AR52" s="36" t="s">
        <v>140</v>
      </c>
      <c r="AS52" s="36" t="s">
        <v>141</v>
      </c>
      <c r="AT52" s="36" t="s">
        <v>140</v>
      </c>
      <c r="AU52" s="36" t="s">
        <v>140</v>
      </c>
      <c r="AV52" s="36" t="s">
        <v>141</v>
      </c>
      <c r="AW52" s="117" t="s">
        <v>140</v>
      </c>
      <c r="AX52" s="117" t="s">
        <v>141</v>
      </c>
      <c r="AY52" s="36" t="s">
        <v>140</v>
      </c>
      <c r="AZ52" s="36" t="s">
        <v>140</v>
      </c>
      <c r="BA52" s="117" t="s">
        <v>140</v>
      </c>
      <c r="BB52" s="117" t="s">
        <v>140</v>
      </c>
      <c r="BC52" s="117" t="s">
        <v>140</v>
      </c>
      <c r="BD52" s="117" t="s">
        <v>140</v>
      </c>
      <c r="BE52" s="117" t="s">
        <v>140</v>
      </c>
      <c r="BF52" s="117" t="s">
        <v>141</v>
      </c>
      <c r="BG52" s="117" t="s">
        <v>140</v>
      </c>
      <c r="BH52" s="117"/>
      <c r="BI52" s="117"/>
      <c r="BJ52" s="117"/>
      <c r="BK52" s="117"/>
      <c r="BL52" s="117"/>
      <c r="BM52" s="117">
        <f t="shared" si="0"/>
        <v>10</v>
      </c>
      <c r="BN52" s="117">
        <f t="shared" si="1"/>
        <v>2</v>
      </c>
      <c r="BO52" s="117">
        <f t="shared" si="2"/>
        <v>2</v>
      </c>
      <c r="BP52" s="153">
        <f t="shared" si="3"/>
        <v>7</v>
      </c>
      <c r="BQ52" s="74" t="s">
        <v>390</v>
      </c>
      <c r="BR52" s="74" t="s">
        <v>391</v>
      </c>
      <c r="BS52" s="74"/>
    </row>
    <row r="53" spans="1:71" hidden="1">
      <c r="A53">
        <v>39</v>
      </c>
      <c r="B53" s="75">
        <v>45681.904803240737</v>
      </c>
      <c r="C53" s="78">
        <v>0.36527777777777776</v>
      </c>
      <c r="D53" s="7">
        <v>45682</v>
      </c>
      <c r="E53" s="7">
        <v>45682</v>
      </c>
      <c r="F53">
        <v>595</v>
      </c>
      <c r="G53">
        <v>39</v>
      </c>
      <c r="H53" t="s">
        <v>392</v>
      </c>
      <c r="I53" s="10" t="s">
        <v>392</v>
      </c>
      <c r="J53" s="69">
        <v>45682</v>
      </c>
      <c r="K53" s="97">
        <f t="shared" si="11"/>
        <v>1</v>
      </c>
      <c r="L53" s="97">
        <v>53</v>
      </c>
      <c r="M53" s="7" t="s">
        <v>282</v>
      </c>
      <c r="N53" s="7" t="s">
        <v>197</v>
      </c>
      <c r="O53" s="7" t="s">
        <v>197</v>
      </c>
      <c r="P53" s="7" t="s">
        <v>393</v>
      </c>
      <c r="Q53" s="100">
        <v>1</v>
      </c>
      <c r="R53" s="7" t="s">
        <v>135</v>
      </c>
      <c r="S53" s="7" t="s">
        <v>394</v>
      </c>
      <c r="T53" t="s">
        <v>395</v>
      </c>
      <c r="U53" t="s">
        <v>396</v>
      </c>
      <c r="V53" t="s">
        <v>200</v>
      </c>
      <c r="W53" t="s">
        <v>291</v>
      </c>
      <c r="X53" s="36" t="s">
        <v>141</v>
      </c>
      <c r="Y53" s="36" t="s">
        <v>141</v>
      </c>
      <c r="Z53" s="36" t="s">
        <v>140</v>
      </c>
      <c r="AA53" s="36" t="s">
        <v>140</v>
      </c>
      <c r="AB53" s="36" t="s">
        <v>140</v>
      </c>
      <c r="AC53" s="36" t="s">
        <v>140</v>
      </c>
      <c r="AD53" s="36" t="s">
        <v>140</v>
      </c>
      <c r="AE53" s="36" t="s">
        <v>140</v>
      </c>
      <c r="AF53" s="36" t="s">
        <v>140</v>
      </c>
      <c r="AG53" s="36" t="s">
        <v>140</v>
      </c>
      <c r="AH53" s="36" t="s">
        <v>141</v>
      </c>
      <c r="AI53" s="36" t="s">
        <v>141</v>
      </c>
      <c r="AJ53" s="36" t="s">
        <v>141</v>
      </c>
      <c r="AK53" s="117"/>
      <c r="AL53" s="36" t="s">
        <v>141</v>
      </c>
      <c r="AM53" s="36" t="s">
        <v>140</v>
      </c>
      <c r="AN53" s="36" t="s">
        <v>140</v>
      </c>
      <c r="AO53" s="36" t="s">
        <v>140</v>
      </c>
      <c r="AP53" s="36" t="s">
        <v>141</v>
      </c>
      <c r="AQ53" s="36" t="s">
        <v>140</v>
      </c>
      <c r="AR53" s="36" t="s">
        <v>140</v>
      </c>
      <c r="AS53" s="36" t="s">
        <v>141</v>
      </c>
      <c r="AT53" s="36" t="s">
        <v>141</v>
      </c>
      <c r="AU53" s="36" t="s">
        <v>140</v>
      </c>
      <c r="AV53" s="36" t="s">
        <v>140</v>
      </c>
      <c r="AW53" s="117" t="s">
        <v>140</v>
      </c>
      <c r="AX53" s="117" t="s">
        <v>141</v>
      </c>
      <c r="AY53" s="36" t="s">
        <v>140</v>
      </c>
      <c r="AZ53" s="36" t="s">
        <v>140</v>
      </c>
      <c r="BA53" s="117"/>
      <c r="BB53" s="117"/>
      <c r="BC53" s="117"/>
      <c r="BD53" s="117" t="s">
        <v>140</v>
      </c>
      <c r="BE53" s="117" t="s">
        <v>140</v>
      </c>
      <c r="BF53" s="117" t="s">
        <v>141</v>
      </c>
      <c r="BG53" s="117" t="s">
        <v>140</v>
      </c>
      <c r="BH53" s="117"/>
      <c r="BI53" s="117"/>
      <c r="BJ53" s="117"/>
      <c r="BK53" s="117"/>
      <c r="BL53" s="117"/>
      <c r="BM53" s="117">
        <f t="shared" si="0"/>
        <v>11</v>
      </c>
      <c r="BN53" s="117">
        <f t="shared" si="1"/>
        <v>2</v>
      </c>
      <c r="BO53" s="117">
        <f t="shared" si="2"/>
        <v>2</v>
      </c>
      <c r="BP53" s="153">
        <f t="shared" si="3"/>
        <v>8</v>
      </c>
      <c r="BQ53" s="74" t="s">
        <v>273</v>
      </c>
      <c r="BR53" s="74" t="s">
        <v>397</v>
      </c>
      <c r="BS53" s="74"/>
    </row>
    <row r="54" spans="1:71" hidden="1">
      <c r="A54">
        <v>40</v>
      </c>
      <c r="B54" s="75">
        <v>45681.965902777774</v>
      </c>
      <c r="C54" s="78">
        <v>0.4236111111111111</v>
      </c>
      <c r="D54" s="7">
        <v>45682</v>
      </c>
      <c r="E54" s="7">
        <v>45682</v>
      </c>
      <c r="F54">
        <v>596</v>
      </c>
      <c r="G54">
        <v>40</v>
      </c>
      <c r="H54" t="s">
        <v>398</v>
      </c>
      <c r="I54" s="10" t="s">
        <v>398</v>
      </c>
      <c r="J54" s="69">
        <v>45682</v>
      </c>
      <c r="K54" s="97">
        <f t="shared" si="11"/>
        <v>1</v>
      </c>
      <c r="L54" s="97">
        <v>54</v>
      </c>
      <c r="M54" s="7" t="s">
        <v>145</v>
      </c>
      <c r="N54" s="7" t="s">
        <v>146</v>
      </c>
      <c r="O54" s="7" t="s">
        <v>146</v>
      </c>
      <c r="Q54" s="100">
        <v>2</v>
      </c>
      <c r="R54" s="7" t="s">
        <v>399</v>
      </c>
      <c r="S54" s="7" t="s">
        <v>400</v>
      </c>
      <c r="T54" t="s">
        <v>401</v>
      </c>
      <c r="U54" t="s">
        <v>402</v>
      </c>
      <c r="V54" t="s">
        <v>146</v>
      </c>
      <c r="W54" t="s">
        <v>291</v>
      </c>
      <c r="X54" s="36" t="s">
        <v>141</v>
      </c>
      <c r="Y54" s="36" t="s">
        <v>141</v>
      </c>
      <c r="Z54" s="36" t="s">
        <v>140</v>
      </c>
      <c r="AA54" s="36" t="s">
        <v>140</v>
      </c>
      <c r="AB54" s="36" t="s">
        <v>140</v>
      </c>
      <c r="AC54" s="36" t="s">
        <v>140</v>
      </c>
      <c r="AD54" s="36" t="s">
        <v>140</v>
      </c>
      <c r="AE54" s="36" t="s">
        <v>140</v>
      </c>
      <c r="AF54" s="36" t="s">
        <v>141</v>
      </c>
      <c r="AG54" s="36" t="s">
        <v>140</v>
      </c>
      <c r="AH54" s="36" t="s">
        <v>140</v>
      </c>
      <c r="AI54" s="36" t="s">
        <v>140</v>
      </c>
      <c r="AJ54" s="36" t="s">
        <v>141</v>
      </c>
      <c r="AK54" s="117"/>
      <c r="AL54" s="36" t="s">
        <v>140</v>
      </c>
      <c r="AM54" s="36" t="s">
        <v>140</v>
      </c>
      <c r="AN54" s="36" t="s">
        <v>140</v>
      </c>
      <c r="AO54" s="36" t="s">
        <v>140</v>
      </c>
      <c r="AP54" s="36" t="s">
        <v>140</v>
      </c>
      <c r="AQ54" s="36" t="s">
        <v>141</v>
      </c>
      <c r="AR54" s="36" t="s">
        <v>141</v>
      </c>
      <c r="AS54" s="36" t="s">
        <v>141</v>
      </c>
      <c r="AT54" s="36" t="s">
        <v>141</v>
      </c>
      <c r="AU54" s="36" t="s">
        <v>140</v>
      </c>
      <c r="AV54" s="36" t="s">
        <v>141</v>
      </c>
      <c r="AW54" s="117" t="s">
        <v>140</v>
      </c>
      <c r="AX54" s="117" t="s">
        <v>140</v>
      </c>
      <c r="AY54" s="36" t="s">
        <v>140</v>
      </c>
      <c r="AZ54" s="36" t="s">
        <v>140</v>
      </c>
      <c r="BA54" s="117" t="s">
        <v>141</v>
      </c>
      <c r="BB54" s="117"/>
      <c r="BC54" s="117"/>
      <c r="BD54" s="117" t="s">
        <v>140</v>
      </c>
      <c r="BE54" s="117" t="s">
        <v>140</v>
      </c>
      <c r="BF54" s="117" t="s">
        <v>141</v>
      </c>
      <c r="BG54" s="117" t="s">
        <v>140</v>
      </c>
      <c r="BH54" s="117"/>
      <c r="BI54" s="117"/>
      <c r="BJ54" s="117"/>
      <c r="BK54" s="117"/>
      <c r="BL54" s="117"/>
      <c r="BM54" s="117">
        <f t="shared" si="0"/>
        <v>11</v>
      </c>
      <c r="BN54" s="117">
        <f t="shared" si="1"/>
        <v>3</v>
      </c>
      <c r="BO54" s="117">
        <f t="shared" si="2"/>
        <v>2</v>
      </c>
      <c r="BP54" s="153">
        <f t="shared" si="3"/>
        <v>8</v>
      </c>
      <c r="BQ54" s="74" t="s">
        <v>163</v>
      </c>
      <c r="BR54" s="74" t="s">
        <v>403</v>
      </c>
      <c r="BS54" s="74"/>
    </row>
    <row r="55" spans="1:71" hidden="1">
      <c r="A55">
        <v>41</v>
      </c>
      <c r="B55" s="75">
        <v>45682.208599537036</v>
      </c>
      <c r="C55" s="78">
        <v>0.69374999999999998</v>
      </c>
      <c r="D55" s="7">
        <v>45682</v>
      </c>
      <c r="E55" s="7">
        <v>45682</v>
      </c>
      <c r="F55">
        <v>597</v>
      </c>
      <c r="G55">
        <v>42</v>
      </c>
      <c r="H55" t="s">
        <v>404</v>
      </c>
      <c r="I55" s="10" t="s">
        <v>404</v>
      </c>
      <c r="J55" s="69">
        <v>45682</v>
      </c>
      <c r="K55" s="97">
        <f t="shared" si="11"/>
        <v>1</v>
      </c>
      <c r="L55" s="97">
        <v>55</v>
      </c>
      <c r="M55" s="7" t="s">
        <v>145</v>
      </c>
      <c r="N55" s="7" t="s">
        <v>146</v>
      </c>
      <c r="O55" s="7" t="s">
        <v>146</v>
      </c>
      <c r="Q55" s="100">
        <v>2</v>
      </c>
      <c r="R55" s="7" t="s">
        <v>158</v>
      </c>
      <c r="S55" s="7" t="s">
        <v>405</v>
      </c>
      <c r="T55" t="s">
        <v>406</v>
      </c>
      <c r="U55" t="s">
        <v>407</v>
      </c>
      <c r="V55" t="s">
        <v>146</v>
      </c>
      <c r="W55" t="s">
        <v>357</v>
      </c>
      <c r="X55" s="36" t="s">
        <v>141</v>
      </c>
      <c r="Y55" s="36" t="s">
        <v>141</v>
      </c>
      <c r="Z55" s="36" t="s">
        <v>140</v>
      </c>
      <c r="AA55" s="36" t="s">
        <v>140</v>
      </c>
      <c r="AB55" s="36" t="s">
        <v>140</v>
      </c>
      <c r="AC55" s="36" t="s">
        <v>140</v>
      </c>
      <c r="AD55" s="36" t="s">
        <v>140</v>
      </c>
      <c r="AE55" s="36" t="s">
        <v>140</v>
      </c>
      <c r="AF55" s="36" t="s">
        <v>141</v>
      </c>
      <c r="AG55" s="36" t="s">
        <v>140</v>
      </c>
      <c r="AH55" s="36" t="s">
        <v>140</v>
      </c>
      <c r="AI55" s="36" t="s">
        <v>140</v>
      </c>
      <c r="AJ55" s="36" t="s">
        <v>141</v>
      </c>
      <c r="AK55" s="117"/>
      <c r="AL55" s="36" t="s">
        <v>141</v>
      </c>
      <c r="AM55" s="36" t="s">
        <v>140</v>
      </c>
      <c r="AN55" s="36" t="s">
        <v>140</v>
      </c>
      <c r="AO55" s="36" t="s">
        <v>140</v>
      </c>
      <c r="AP55" s="36" t="s">
        <v>140</v>
      </c>
      <c r="AQ55" s="36" t="s">
        <v>141</v>
      </c>
      <c r="AR55" s="36" t="s">
        <v>140</v>
      </c>
      <c r="AS55" s="36" t="s">
        <v>141</v>
      </c>
      <c r="AT55" s="36" t="s">
        <v>140</v>
      </c>
      <c r="AU55" s="36" t="s">
        <v>140</v>
      </c>
      <c r="AV55" s="36" t="s">
        <v>140</v>
      </c>
      <c r="AW55" s="117" t="s">
        <v>140</v>
      </c>
      <c r="AX55" s="117" t="s">
        <v>140</v>
      </c>
      <c r="AY55" s="36" t="s">
        <v>140</v>
      </c>
      <c r="AZ55" s="36" t="s">
        <v>140</v>
      </c>
      <c r="BA55" s="117" t="s">
        <v>141</v>
      </c>
      <c r="BB55" s="117"/>
      <c r="BC55" s="117"/>
      <c r="BD55" s="117" t="s">
        <v>140</v>
      </c>
      <c r="BE55" s="117" t="s">
        <v>140</v>
      </c>
      <c r="BF55" s="117" t="s">
        <v>140</v>
      </c>
      <c r="BG55" s="117" t="s">
        <v>140</v>
      </c>
      <c r="BH55" s="117"/>
      <c r="BI55" s="117"/>
      <c r="BJ55" s="117"/>
      <c r="BK55" s="117"/>
      <c r="BL55" s="117"/>
      <c r="BM55" s="117">
        <f t="shared" si="0"/>
        <v>8</v>
      </c>
      <c r="BN55" s="117">
        <f t="shared" si="1"/>
        <v>2</v>
      </c>
      <c r="BO55" s="117">
        <f t="shared" si="2"/>
        <v>2</v>
      </c>
      <c r="BP55" s="153">
        <f t="shared" si="3"/>
        <v>6</v>
      </c>
      <c r="BQ55" s="74" t="s">
        <v>240</v>
      </c>
      <c r="BR55" s="74" t="s">
        <v>408</v>
      </c>
      <c r="BS55" s="74"/>
    </row>
    <row r="56" spans="1:71" hidden="1">
      <c r="A56">
        <v>42</v>
      </c>
      <c r="B56" s="75">
        <v>45682.52957175926</v>
      </c>
      <c r="C56" s="78">
        <v>6.25E-2</v>
      </c>
      <c r="D56" s="7">
        <v>45683</v>
      </c>
      <c r="E56" s="7">
        <v>45683</v>
      </c>
      <c r="F56">
        <v>598</v>
      </c>
      <c r="G56">
        <v>41</v>
      </c>
      <c r="H56" t="s">
        <v>409</v>
      </c>
      <c r="I56" s="10" t="s">
        <v>409</v>
      </c>
      <c r="J56" s="69">
        <v>45683</v>
      </c>
      <c r="K56" s="97">
        <f t="shared" si="11"/>
        <v>1</v>
      </c>
      <c r="L56" s="97">
        <v>56</v>
      </c>
      <c r="M56" s="7" t="s">
        <v>133</v>
      </c>
      <c r="N56" s="7" t="s">
        <v>134</v>
      </c>
      <c r="O56" s="7" t="s">
        <v>134</v>
      </c>
      <c r="Q56" s="100">
        <v>1</v>
      </c>
      <c r="R56" s="7" t="s">
        <v>135</v>
      </c>
      <c r="S56" s="7" t="s">
        <v>410</v>
      </c>
      <c r="T56" t="s">
        <v>411</v>
      </c>
      <c r="U56" t="s">
        <v>412</v>
      </c>
      <c r="V56" t="s">
        <v>194</v>
      </c>
      <c r="W56" t="s">
        <v>357</v>
      </c>
      <c r="X56" s="36" t="s">
        <v>141</v>
      </c>
      <c r="Y56" s="36" t="s">
        <v>141</v>
      </c>
      <c r="Z56" s="36" t="s">
        <v>140</v>
      </c>
      <c r="AA56" s="36" t="s">
        <v>140</v>
      </c>
      <c r="AB56" s="36" t="s">
        <v>140</v>
      </c>
      <c r="AC56" s="36" t="s">
        <v>141</v>
      </c>
      <c r="AD56" s="36" t="s">
        <v>140</v>
      </c>
      <c r="AE56" s="36" t="s">
        <v>140</v>
      </c>
      <c r="AF56" s="36" t="s">
        <v>140</v>
      </c>
      <c r="AG56" s="36" t="s">
        <v>140</v>
      </c>
      <c r="AH56" s="36" t="s">
        <v>141</v>
      </c>
      <c r="AI56" s="36" t="s">
        <v>140</v>
      </c>
      <c r="AJ56" s="36" t="s">
        <v>141</v>
      </c>
      <c r="AK56" s="117"/>
      <c r="AL56" s="36" t="s">
        <v>141</v>
      </c>
      <c r="AM56" s="36" t="s">
        <v>140</v>
      </c>
      <c r="AN56" s="36" t="s">
        <v>140</v>
      </c>
      <c r="AO56" s="36" t="s">
        <v>140</v>
      </c>
      <c r="AP56" s="36" t="s">
        <v>140</v>
      </c>
      <c r="AQ56" s="36" t="s">
        <v>141</v>
      </c>
      <c r="AR56" s="36" t="s">
        <v>140</v>
      </c>
      <c r="AS56" s="36" t="s">
        <v>141</v>
      </c>
      <c r="AT56" s="36" t="s">
        <v>140</v>
      </c>
      <c r="AU56" s="36" t="s">
        <v>140</v>
      </c>
      <c r="AV56" s="36" t="s">
        <v>140</v>
      </c>
      <c r="AW56" s="117" t="s">
        <v>140</v>
      </c>
      <c r="AX56" s="117" t="s">
        <v>140</v>
      </c>
      <c r="AY56" s="36" t="s">
        <v>140</v>
      </c>
      <c r="AZ56" s="36" t="s">
        <v>140</v>
      </c>
      <c r="BA56" s="117"/>
      <c r="BB56" s="117"/>
      <c r="BC56" s="117"/>
      <c r="BD56" s="117" t="s">
        <v>140</v>
      </c>
      <c r="BE56" s="117" t="s">
        <v>140</v>
      </c>
      <c r="BF56" s="117" t="s">
        <v>140</v>
      </c>
      <c r="BG56" s="117" t="s">
        <v>140</v>
      </c>
      <c r="BH56" s="117"/>
      <c r="BI56" s="117"/>
      <c r="BJ56" s="117"/>
      <c r="BK56" s="117"/>
      <c r="BL56" s="117"/>
      <c r="BM56" s="117">
        <f t="shared" si="0"/>
        <v>8</v>
      </c>
      <c r="BN56" s="117">
        <f t="shared" si="1"/>
        <v>2</v>
      </c>
      <c r="BO56" s="117">
        <f t="shared" si="2"/>
        <v>3</v>
      </c>
      <c r="BP56" s="153">
        <f t="shared" si="3"/>
        <v>5</v>
      </c>
      <c r="BQ56" s="74" t="s">
        <v>171</v>
      </c>
      <c r="BR56" s="74" t="s">
        <v>413</v>
      </c>
      <c r="BS56" s="74"/>
    </row>
    <row r="57" spans="1:71" hidden="1">
      <c r="A57">
        <v>43</v>
      </c>
      <c r="B57" s="75">
        <v>45683.182199074072</v>
      </c>
      <c r="C57" s="78">
        <v>0.71388888888888891</v>
      </c>
      <c r="D57" s="7">
        <v>45683</v>
      </c>
      <c r="E57" s="7">
        <v>45683</v>
      </c>
      <c r="F57">
        <v>599</v>
      </c>
      <c r="G57">
        <v>43</v>
      </c>
      <c r="H57" t="s">
        <v>414</v>
      </c>
      <c r="I57" s="10" t="s">
        <v>414</v>
      </c>
      <c r="J57" s="69">
        <v>45683</v>
      </c>
      <c r="K57" s="97">
        <f t="shared" si="11"/>
        <v>1</v>
      </c>
      <c r="L57" s="97">
        <v>57</v>
      </c>
      <c r="M57" s="7" t="s">
        <v>181</v>
      </c>
      <c r="N57" s="7" t="s">
        <v>415</v>
      </c>
      <c r="O57" s="7" t="s">
        <v>416</v>
      </c>
      <c r="Q57" s="100">
        <v>1</v>
      </c>
      <c r="R57" s="7" t="s">
        <v>135</v>
      </c>
      <c r="S57" s="7" t="s">
        <v>417</v>
      </c>
      <c r="T57" t="s">
        <v>418</v>
      </c>
      <c r="U57" t="s">
        <v>419</v>
      </c>
      <c r="V57" t="s">
        <v>300</v>
      </c>
      <c r="W57" t="s">
        <v>357</v>
      </c>
      <c r="X57" s="36" t="s">
        <v>140</v>
      </c>
      <c r="Y57" s="36" t="s">
        <v>141</v>
      </c>
      <c r="Z57" s="36" t="s">
        <v>140</v>
      </c>
      <c r="AA57" s="36" t="s">
        <v>140</v>
      </c>
      <c r="AB57" s="36" t="s">
        <v>140</v>
      </c>
      <c r="AC57" s="36" t="s">
        <v>140</v>
      </c>
      <c r="AD57" s="36" t="s">
        <v>140</v>
      </c>
      <c r="AE57" s="36" t="s">
        <v>140</v>
      </c>
      <c r="AF57" s="36" t="s">
        <v>141</v>
      </c>
      <c r="AG57" s="36" t="s">
        <v>141</v>
      </c>
      <c r="AH57" s="36" t="s">
        <v>140</v>
      </c>
      <c r="AI57" s="36" t="s">
        <v>141</v>
      </c>
      <c r="AJ57" s="36" t="s">
        <v>140</v>
      </c>
      <c r="AK57" s="117"/>
      <c r="AL57" s="36" t="s">
        <v>140</v>
      </c>
      <c r="AM57" s="36" t="s">
        <v>140</v>
      </c>
      <c r="AN57" s="36" t="s">
        <v>140</v>
      </c>
      <c r="AO57" s="36" t="s">
        <v>141</v>
      </c>
      <c r="AP57" s="36" t="s">
        <v>140</v>
      </c>
      <c r="AQ57" s="36" t="s">
        <v>141</v>
      </c>
      <c r="AR57" s="36" t="s">
        <v>140</v>
      </c>
      <c r="AS57" s="36" t="s">
        <v>141</v>
      </c>
      <c r="AT57" s="36" t="s">
        <v>140</v>
      </c>
      <c r="AU57" s="36" t="s">
        <v>140</v>
      </c>
      <c r="AV57" s="36" t="s">
        <v>141</v>
      </c>
      <c r="AW57" s="117" t="s">
        <v>140</v>
      </c>
      <c r="AX57" s="117" t="s">
        <v>140</v>
      </c>
      <c r="AY57" s="36" t="s">
        <v>140</v>
      </c>
      <c r="AZ57" s="36" t="s">
        <v>140</v>
      </c>
      <c r="BA57" s="117"/>
      <c r="BB57" s="117"/>
      <c r="BC57" s="117"/>
      <c r="BD57" s="117" t="s">
        <v>140</v>
      </c>
      <c r="BE57" s="117" t="s">
        <v>140</v>
      </c>
      <c r="BF57" s="117" t="s">
        <v>140</v>
      </c>
      <c r="BG57" s="117" t="s">
        <v>140</v>
      </c>
      <c r="BH57" s="117"/>
      <c r="BI57" s="117"/>
      <c r="BJ57" s="117"/>
      <c r="BK57" s="117"/>
      <c r="BL57" s="117"/>
      <c r="BM57" s="117">
        <f t="shared" si="0"/>
        <v>8</v>
      </c>
      <c r="BN57" s="117">
        <f t="shared" si="1"/>
        <v>2</v>
      </c>
      <c r="BO57" s="117">
        <f t="shared" si="2"/>
        <v>1</v>
      </c>
      <c r="BP57" s="153">
        <f t="shared" si="3"/>
        <v>7</v>
      </c>
      <c r="BQ57" s="74" t="s">
        <v>163</v>
      </c>
      <c r="BR57" s="74" t="s">
        <v>420</v>
      </c>
      <c r="BS57" s="74"/>
    </row>
    <row r="58" spans="1:71" hidden="1">
      <c r="A58">
        <v>44</v>
      </c>
      <c r="B58" s="75">
        <v>45683.234247685185</v>
      </c>
      <c r="C58" s="78">
        <v>0.75624999999999998</v>
      </c>
      <c r="D58" s="7">
        <v>45683</v>
      </c>
      <c r="E58" s="7">
        <v>45683</v>
      </c>
      <c r="F58">
        <v>600</v>
      </c>
      <c r="G58">
        <v>44</v>
      </c>
      <c r="H58" t="s">
        <v>421</v>
      </c>
      <c r="I58" s="10" t="s">
        <v>421</v>
      </c>
      <c r="J58" s="69">
        <v>45683</v>
      </c>
      <c r="K58" s="97">
        <f t="shared" si="11"/>
        <v>1</v>
      </c>
      <c r="L58" s="97">
        <v>58</v>
      </c>
      <c r="M58" s="7" t="s">
        <v>197</v>
      </c>
      <c r="N58" s="7" t="s">
        <v>422</v>
      </c>
      <c r="O58" s="7" t="s">
        <v>197</v>
      </c>
      <c r="Q58" s="100">
        <v>2</v>
      </c>
      <c r="R58" s="7" t="s">
        <v>158</v>
      </c>
      <c r="S58" s="7" t="s">
        <v>423</v>
      </c>
      <c r="T58" t="s">
        <v>424</v>
      </c>
      <c r="U58" t="s">
        <v>425</v>
      </c>
      <c r="V58" t="s">
        <v>200</v>
      </c>
      <c r="W58" t="s">
        <v>279</v>
      </c>
      <c r="X58" s="36" t="s">
        <v>140</v>
      </c>
      <c r="Y58" s="36" t="s">
        <v>141</v>
      </c>
      <c r="Z58" s="36" t="s">
        <v>140</v>
      </c>
      <c r="AA58" s="36" t="s">
        <v>140</v>
      </c>
      <c r="AB58" s="36" t="s">
        <v>140</v>
      </c>
      <c r="AC58" s="36" t="s">
        <v>141</v>
      </c>
      <c r="AD58" s="36" t="s">
        <v>140</v>
      </c>
      <c r="AE58" s="36" t="s">
        <v>140</v>
      </c>
      <c r="AF58" s="36" t="s">
        <v>141</v>
      </c>
      <c r="AG58" s="36" t="s">
        <v>141</v>
      </c>
      <c r="AH58" s="36" t="s">
        <v>140</v>
      </c>
      <c r="AI58" s="36" t="s">
        <v>140</v>
      </c>
      <c r="AJ58" s="36" t="s">
        <v>140</v>
      </c>
      <c r="AK58" s="117"/>
      <c r="AL58" s="36" t="s">
        <v>140</v>
      </c>
      <c r="AM58" s="36" t="s">
        <v>140</v>
      </c>
      <c r="AN58" s="36" t="s">
        <v>140</v>
      </c>
      <c r="AO58" s="36" t="s">
        <v>141</v>
      </c>
      <c r="AP58" s="36" t="s">
        <v>140</v>
      </c>
      <c r="AQ58" s="36" t="s">
        <v>141</v>
      </c>
      <c r="AR58" s="36" t="s">
        <v>140</v>
      </c>
      <c r="AS58" s="36" t="s">
        <v>140</v>
      </c>
      <c r="AT58" s="36" t="s">
        <v>140</v>
      </c>
      <c r="AU58" s="36" t="s">
        <v>140</v>
      </c>
      <c r="AV58" s="36" t="s">
        <v>141</v>
      </c>
      <c r="AW58" s="117" t="s">
        <v>140</v>
      </c>
      <c r="AX58" s="117" t="s">
        <v>141</v>
      </c>
      <c r="AY58" s="36" t="s">
        <v>140</v>
      </c>
      <c r="AZ58" s="36" t="s">
        <v>140</v>
      </c>
      <c r="BA58" s="117"/>
      <c r="BB58" s="117"/>
      <c r="BC58" s="117" t="s">
        <v>141</v>
      </c>
      <c r="BD58" s="117" t="s">
        <v>140</v>
      </c>
      <c r="BE58" s="117" t="s">
        <v>140</v>
      </c>
      <c r="BF58" s="117" t="s">
        <v>140</v>
      </c>
      <c r="BG58" s="117" t="s">
        <v>141</v>
      </c>
      <c r="BH58" s="117"/>
      <c r="BI58" s="117"/>
      <c r="BJ58" s="117"/>
      <c r="BK58" s="117"/>
      <c r="BL58" s="117"/>
      <c r="BM58" s="117">
        <f t="shared" si="0"/>
        <v>9</v>
      </c>
      <c r="BN58" s="117">
        <f t="shared" si="1"/>
        <v>1</v>
      </c>
      <c r="BO58" s="117">
        <f t="shared" si="2"/>
        <v>2</v>
      </c>
      <c r="BP58" s="153">
        <f t="shared" si="3"/>
        <v>7</v>
      </c>
      <c r="BQ58" s="74" t="s">
        <v>163</v>
      </c>
      <c r="BR58" s="74" t="s">
        <v>426</v>
      </c>
      <c r="BS58" s="74"/>
    </row>
    <row r="59" spans="1:71" hidden="1">
      <c r="A59">
        <v>45</v>
      </c>
      <c r="B59" s="75">
        <v>45684.934027777781</v>
      </c>
      <c r="C59" s="78">
        <v>0.46111111111111114</v>
      </c>
      <c r="D59" s="7">
        <v>45685</v>
      </c>
      <c r="E59" s="7">
        <v>45685</v>
      </c>
      <c r="F59">
        <v>601</v>
      </c>
      <c r="G59">
        <v>45</v>
      </c>
      <c r="H59" t="s">
        <v>427</v>
      </c>
      <c r="I59" s="10" t="s">
        <v>427</v>
      </c>
      <c r="J59" s="69">
        <v>45685</v>
      </c>
      <c r="K59" s="97">
        <f t="shared" si="11"/>
        <v>1</v>
      </c>
      <c r="L59" s="97">
        <v>59</v>
      </c>
      <c r="M59" s="7" t="s">
        <v>155</v>
      </c>
      <c r="N59" s="7" t="s">
        <v>156</v>
      </c>
      <c r="O59" s="7" t="s">
        <v>156</v>
      </c>
      <c r="P59" s="7" t="s">
        <v>344</v>
      </c>
      <c r="Q59" s="100">
        <v>2</v>
      </c>
      <c r="R59" s="7" t="s">
        <v>158</v>
      </c>
      <c r="S59" s="7" t="s">
        <v>345</v>
      </c>
      <c r="T59" t="s">
        <v>428</v>
      </c>
      <c r="U59" t="s">
        <v>313</v>
      </c>
      <c r="V59" t="s">
        <v>162</v>
      </c>
      <c r="W59" t="s">
        <v>139</v>
      </c>
      <c r="X59" s="36" t="s">
        <v>140</v>
      </c>
      <c r="Y59" s="36" t="s">
        <v>141</v>
      </c>
      <c r="Z59" s="36" t="s">
        <v>140</v>
      </c>
      <c r="AA59" s="36" t="s">
        <v>141</v>
      </c>
      <c r="AB59" s="36" t="s">
        <v>140</v>
      </c>
      <c r="AC59" s="36" t="s">
        <v>140</v>
      </c>
      <c r="AD59" s="36" t="s">
        <v>140</v>
      </c>
      <c r="AE59" s="36" t="s">
        <v>140</v>
      </c>
      <c r="AF59" s="36" t="s">
        <v>140</v>
      </c>
      <c r="AG59" s="36" t="s">
        <v>140</v>
      </c>
      <c r="AH59" s="36" t="s">
        <v>140</v>
      </c>
      <c r="AI59" s="36" t="s">
        <v>140</v>
      </c>
      <c r="AJ59" s="36" t="s">
        <v>141</v>
      </c>
      <c r="AK59" s="117" t="s">
        <v>141</v>
      </c>
      <c r="AL59" s="36" t="s">
        <v>140</v>
      </c>
      <c r="AM59" s="36" t="s">
        <v>140</v>
      </c>
      <c r="AN59" s="36" t="s">
        <v>140</v>
      </c>
      <c r="AO59" s="36" t="s">
        <v>141</v>
      </c>
      <c r="AP59" s="36" t="s">
        <v>140</v>
      </c>
      <c r="AQ59" s="36" t="s">
        <v>141</v>
      </c>
      <c r="AR59" s="36" t="s">
        <v>140</v>
      </c>
      <c r="AS59" s="36" t="s">
        <v>140</v>
      </c>
      <c r="AT59" s="36" t="s">
        <v>140</v>
      </c>
      <c r="AU59" s="36" t="s">
        <v>140</v>
      </c>
      <c r="AV59" s="36" t="s">
        <v>141</v>
      </c>
      <c r="AW59" s="117" t="s">
        <v>140</v>
      </c>
      <c r="AX59" s="117" t="s">
        <v>140</v>
      </c>
      <c r="AY59" s="36" t="s">
        <v>140</v>
      </c>
      <c r="AZ59" s="36" t="s">
        <v>140</v>
      </c>
      <c r="BA59" s="117"/>
      <c r="BB59" s="117" t="s">
        <v>141</v>
      </c>
      <c r="BC59" s="117"/>
      <c r="BD59" s="117" t="s">
        <v>140</v>
      </c>
      <c r="BE59" s="117" t="s">
        <v>140</v>
      </c>
      <c r="BF59" s="117" t="s">
        <v>141</v>
      </c>
      <c r="BG59" s="117" t="s">
        <v>140</v>
      </c>
      <c r="BH59" s="117"/>
      <c r="BI59" s="117"/>
      <c r="BJ59" s="117"/>
      <c r="BK59" s="117"/>
      <c r="BL59" s="117"/>
      <c r="BM59" s="117">
        <f t="shared" si="0"/>
        <v>9</v>
      </c>
      <c r="BN59" s="117">
        <f t="shared" si="1"/>
        <v>2</v>
      </c>
      <c r="BO59" s="117">
        <f t="shared" si="2"/>
        <v>2</v>
      </c>
      <c r="BP59" s="153">
        <f t="shared" si="3"/>
        <v>6</v>
      </c>
      <c r="BQ59" s="74" t="s">
        <v>163</v>
      </c>
      <c r="BR59" s="74" t="s">
        <v>429</v>
      </c>
      <c r="BS59" s="74"/>
    </row>
    <row r="60" spans="1:71" hidden="1">
      <c r="A60">
        <v>46</v>
      </c>
      <c r="B60" s="75">
        <v>45685.234467592592</v>
      </c>
      <c r="C60" s="78">
        <v>0.74583333333333335</v>
      </c>
      <c r="D60" s="7">
        <v>45685</v>
      </c>
      <c r="E60" s="7">
        <v>45685</v>
      </c>
      <c r="F60">
        <v>602</v>
      </c>
      <c r="G60">
        <v>46</v>
      </c>
      <c r="H60" t="s">
        <v>430</v>
      </c>
      <c r="I60" s="10" t="s">
        <v>430</v>
      </c>
      <c r="J60" s="69">
        <v>45685</v>
      </c>
      <c r="K60" s="97">
        <f t="shared" si="11"/>
        <v>1</v>
      </c>
      <c r="L60" s="97">
        <v>60</v>
      </c>
      <c r="M60" s="7" t="s">
        <v>145</v>
      </c>
      <c r="N60" s="7" t="s">
        <v>146</v>
      </c>
      <c r="O60" s="7" t="s">
        <v>146</v>
      </c>
      <c r="Q60" s="100">
        <v>2</v>
      </c>
      <c r="R60" s="7" t="s">
        <v>399</v>
      </c>
      <c r="S60" s="7" t="s">
        <v>431</v>
      </c>
      <c r="T60" t="s">
        <v>432</v>
      </c>
      <c r="U60" t="s">
        <v>433</v>
      </c>
      <c r="V60" t="s">
        <v>146</v>
      </c>
      <c r="W60" t="s">
        <v>170</v>
      </c>
      <c r="X60" s="36" t="s">
        <v>141</v>
      </c>
      <c r="Y60" s="36" t="s">
        <v>141</v>
      </c>
      <c r="Z60" s="36" t="s">
        <v>141</v>
      </c>
      <c r="AA60" s="36" t="s">
        <v>141</v>
      </c>
      <c r="AB60" s="36" t="s">
        <v>141</v>
      </c>
      <c r="AC60" s="36" t="s">
        <v>140</v>
      </c>
      <c r="AD60" s="36" t="s">
        <v>140</v>
      </c>
      <c r="AE60" s="36" t="s">
        <v>140</v>
      </c>
      <c r="AF60" s="36" t="s">
        <v>141</v>
      </c>
      <c r="AG60" s="36" t="s">
        <v>140</v>
      </c>
      <c r="AH60" s="36" t="s">
        <v>140</v>
      </c>
      <c r="AI60" s="36" t="s">
        <v>140</v>
      </c>
      <c r="AJ60" s="36" t="s">
        <v>141</v>
      </c>
      <c r="AK60" s="117"/>
      <c r="AL60" s="36" t="s">
        <v>141</v>
      </c>
      <c r="AM60" s="36" t="s">
        <v>141</v>
      </c>
      <c r="AN60" s="36" t="s">
        <v>140</v>
      </c>
      <c r="AO60" s="36" t="s">
        <v>141</v>
      </c>
      <c r="AP60" s="36" t="s">
        <v>140</v>
      </c>
      <c r="AQ60" s="36" t="s">
        <v>141</v>
      </c>
      <c r="AR60" s="36" t="s">
        <v>141</v>
      </c>
      <c r="AS60" s="36" t="s">
        <v>140</v>
      </c>
      <c r="AT60" s="36" t="s">
        <v>140</v>
      </c>
      <c r="AU60" s="36" t="s">
        <v>140</v>
      </c>
      <c r="AV60" s="36" t="s">
        <v>141</v>
      </c>
      <c r="AW60" s="117" t="s">
        <v>140</v>
      </c>
      <c r="AX60" s="117" t="s">
        <v>140</v>
      </c>
      <c r="AY60" s="36" t="s">
        <v>140</v>
      </c>
      <c r="AZ60" s="36" t="s">
        <v>140</v>
      </c>
      <c r="BA60" s="117"/>
      <c r="BB60" s="117"/>
      <c r="BC60" s="117"/>
      <c r="BD60" s="117" t="s">
        <v>140</v>
      </c>
      <c r="BE60" s="117" t="s">
        <v>140</v>
      </c>
      <c r="BF60" s="117" t="s">
        <v>141</v>
      </c>
      <c r="BG60" s="117" t="s">
        <v>140</v>
      </c>
      <c r="BH60" s="117"/>
      <c r="BI60" s="117"/>
      <c r="BJ60" s="117"/>
      <c r="BK60" s="117"/>
      <c r="BL60" s="117"/>
      <c r="BM60" s="117">
        <f t="shared" si="0"/>
        <v>14</v>
      </c>
      <c r="BN60" s="117">
        <f t="shared" si="1"/>
        <v>3</v>
      </c>
      <c r="BO60" s="117">
        <f t="shared" si="2"/>
        <v>5</v>
      </c>
      <c r="BP60" s="153">
        <f t="shared" si="3"/>
        <v>8</v>
      </c>
      <c r="BQ60" s="74" t="s">
        <v>208</v>
      </c>
      <c r="BR60" s="74" t="s">
        <v>434</v>
      </c>
      <c r="BS60" s="74"/>
    </row>
    <row r="61" spans="1:71" hidden="1">
      <c r="A61">
        <v>47</v>
      </c>
      <c r="B61" s="75">
        <v>45685.318865740737</v>
      </c>
      <c r="C61" s="78">
        <v>0.84166666666666667</v>
      </c>
      <c r="D61" s="7">
        <v>45685</v>
      </c>
      <c r="E61" s="7">
        <v>45685</v>
      </c>
      <c r="F61">
        <v>603</v>
      </c>
      <c r="G61">
        <v>47</v>
      </c>
      <c r="H61" t="s">
        <v>435</v>
      </c>
      <c r="I61" s="10" t="s">
        <v>435</v>
      </c>
      <c r="J61" s="69">
        <v>45685</v>
      </c>
      <c r="K61" s="97">
        <f t="shared" si="11"/>
        <v>1</v>
      </c>
      <c r="L61" s="97">
        <v>61</v>
      </c>
      <c r="M61" s="7" t="s">
        <v>268</v>
      </c>
      <c r="N61" s="7" t="s">
        <v>156</v>
      </c>
      <c r="O61" s="7" t="s">
        <v>156</v>
      </c>
      <c r="P61" s="7" t="s">
        <v>436</v>
      </c>
      <c r="Q61" s="100">
        <v>1</v>
      </c>
      <c r="R61" s="7" t="s">
        <v>135</v>
      </c>
      <c r="S61" s="7" t="s">
        <v>437</v>
      </c>
      <c r="T61" t="s">
        <v>438</v>
      </c>
      <c r="U61" t="s">
        <v>439</v>
      </c>
      <c r="V61" t="s">
        <v>162</v>
      </c>
      <c r="W61" t="s">
        <v>440</v>
      </c>
      <c r="X61" s="36" t="s">
        <v>141</v>
      </c>
      <c r="Y61" s="36" t="s">
        <v>141</v>
      </c>
      <c r="Z61" s="36" t="s">
        <v>141</v>
      </c>
      <c r="AA61" s="36" t="s">
        <v>141</v>
      </c>
      <c r="AB61" s="36" t="s">
        <v>141</v>
      </c>
      <c r="AC61" s="36" t="s">
        <v>140</v>
      </c>
      <c r="AD61" s="36" t="s">
        <v>140</v>
      </c>
      <c r="AE61" s="36" t="s">
        <v>141</v>
      </c>
      <c r="AF61" s="36" t="s">
        <v>141</v>
      </c>
      <c r="AG61" s="36" t="s">
        <v>140</v>
      </c>
      <c r="AH61" s="36" t="s">
        <v>140</v>
      </c>
      <c r="AI61" s="36" t="s">
        <v>141</v>
      </c>
      <c r="AJ61" s="36" t="s">
        <v>141</v>
      </c>
      <c r="AK61" s="117"/>
      <c r="AL61" s="36" t="s">
        <v>141</v>
      </c>
      <c r="AM61" s="36" t="s">
        <v>141</v>
      </c>
      <c r="AN61" s="36" t="s">
        <v>141</v>
      </c>
      <c r="AO61" s="36" t="s">
        <v>141</v>
      </c>
      <c r="AP61" s="36" t="s">
        <v>140</v>
      </c>
      <c r="AQ61" s="36" t="s">
        <v>141</v>
      </c>
      <c r="AR61" s="36" t="s">
        <v>141</v>
      </c>
      <c r="AS61" s="36" t="s">
        <v>141</v>
      </c>
      <c r="AT61" s="36" t="s">
        <v>141</v>
      </c>
      <c r="AU61" s="36" t="s">
        <v>140</v>
      </c>
      <c r="AV61" s="36" t="s">
        <v>141</v>
      </c>
      <c r="AW61" s="117" t="s">
        <v>140</v>
      </c>
      <c r="AX61" s="117" t="s">
        <v>140</v>
      </c>
      <c r="AY61" s="36" t="s">
        <v>140</v>
      </c>
      <c r="AZ61" s="36" t="s">
        <v>141</v>
      </c>
      <c r="BA61" s="117" t="s">
        <v>141</v>
      </c>
      <c r="BB61" s="117" t="s">
        <v>141</v>
      </c>
      <c r="BC61" s="117" t="s">
        <v>141</v>
      </c>
      <c r="BD61" s="117" t="s">
        <v>141</v>
      </c>
      <c r="BE61" s="117" t="s">
        <v>141</v>
      </c>
      <c r="BF61" s="117" t="s">
        <v>141</v>
      </c>
      <c r="BG61" s="117" t="s">
        <v>140</v>
      </c>
      <c r="BH61" s="117"/>
      <c r="BI61" s="117"/>
      <c r="BJ61" s="117"/>
      <c r="BK61" s="117"/>
      <c r="BL61" s="117"/>
      <c r="BM61" s="117">
        <f t="shared" si="0"/>
        <v>25</v>
      </c>
      <c r="BN61" s="117">
        <f t="shared" si="1"/>
        <v>5</v>
      </c>
      <c r="BO61" s="117">
        <f t="shared" si="2"/>
        <v>5</v>
      </c>
      <c r="BP61" s="153">
        <f t="shared" si="3"/>
        <v>17</v>
      </c>
      <c r="BQ61" s="74" t="s">
        <v>441</v>
      </c>
      <c r="BR61" s="74" t="s">
        <v>247</v>
      </c>
      <c r="BS61" s="74"/>
    </row>
    <row r="62" spans="1:71" hidden="1">
      <c r="A62">
        <v>48</v>
      </c>
      <c r="B62" s="75">
        <v>45685.361550925925</v>
      </c>
      <c r="C62" s="78">
        <v>0.89513888888888893</v>
      </c>
      <c r="D62" s="7">
        <v>45685</v>
      </c>
      <c r="E62" s="7">
        <v>45685</v>
      </c>
      <c r="F62">
        <v>604</v>
      </c>
      <c r="G62">
        <v>48</v>
      </c>
      <c r="H62" t="s">
        <v>442</v>
      </c>
      <c r="I62" s="10" t="s">
        <v>442</v>
      </c>
      <c r="J62" s="69">
        <v>45685</v>
      </c>
      <c r="K62" s="97">
        <f t="shared" si="11"/>
        <v>1</v>
      </c>
      <c r="L62" s="97">
        <v>62</v>
      </c>
      <c r="M62" s="7" t="s">
        <v>181</v>
      </c>
      <c r="N62" s="7" t="s">
        <v>254</v>
      </c>
      <c r="O62" s="7" t="s">
        <v>443</v>
      </c>
      <c r="Q62" s="100">
        <v>1</v>
      </c>
      <c r="R62" s="7" t="s">
        <v>135</v>
      </c>
      <c r="S62" s="7" t="s">
        <v>444</v>
      </c>
      <c r="T62" t="s">
        <v>445</v>
      </c>
      <c r="U62" t="s">
        <v>446</v>
      </c>
      <c r="V62" t="s">
        <v>254</v>
      </c>
      <c r="W62" t="s">
        <v>225</v>
      </c>
      <c r="X62" s="36" t="s">
        <v>141</v>
      </c>
      <c r="Y62" s="36" t="s">
        <v>141</v>
      </c>
      <c r="Z62" s="36" t="s">
        <v>141</v>
      </c>
      <c r="AA62" s="36" t="s">
        <v>141</v>
      </c>
      <c r="AB62" s="36" t="s">
        <v>141</v>
      </c>
      <c r="AC62" s="36" t="s">
        <v>140</v>
      </c>
      <c r="AD62" s="36" t="s">
        <v>140</v>
      </c>
      <c r="AE62" s="36" t="s">
        <v>140</v>
      </c>
      <c r="AF62" s="36" t="s">
        <v>140</v>
      </c>
      <c r="AG62" s="36" t="s">
        <v>140</v>
      </c>
      <c r="AH62" s="36" t="s">
        <v>140</v>
      </c>
      <c r="AI62" s="36" t="s">
        <v>141</v>
      </c>
      <c r="AJ62" s="36" t="s">
        <v>140</v>
      </c>
      <c r="AK62" s="117"/>
      <c r="AL62" s="36" t="s">
        <v>140</v>
      </c>
      <c r="AM62" s="36" t="s">
        <v>140</v>
      </c>
      <c r="AN62" s="36" t="s">
        <v>140</v>
      </c>
      <c r="AO62" s="36" t="s">
        <v>141</v>
      </c>
      <c r="AP62" s="36" t="s">
        <v>140</v>
      </c>
      <c r="AQ62" s="36" t="s">
        <v>140</v>
      </c>
      <c r="AR62" s="36" t="s">
        <v>141</v>
      </c>
      <c r="AS62" s="36" t="s">
        <v>140</v>
      </c>
      <c r="AT62" s="36" t="s">
        <v>141</v>
      </c>
      <c r="AU62" s="36" t="s">
        <v>140</v>
      </c>
      <c r="AV62" s="36" t="s">
        <v>141</v>
      </c>
      <c r="AW62" s="117" t="s">
        <v>140</v>
      </c>
      <c r="AX62" s="117" t="s">
        <v>140</v>
      </c>
      <c r="AY62" s="36" t="s">
        <v>140</v>
      </c>
      <c r="AZ62" s="36" t="s">
        <v>140</v>
      </c>
      <c r="BA62" s="117" t="s">
        <v>141</v>
      </c>
      <c r="BB62" s="117" t="s">
        <v>141</v>
      </c>
      <c r="BC62" s="117" t="s">
        <v>141</v>
      </c>
      <c r="BD62" s="117" t="s">
        <v>140</v>
      </c>
      <c r="BE62" s="117" t="s">
        <v>141</v>
      </c>
      <c r="BF62" s="117" t="s">
        <v>140</v>
      </c>
      <c r="BG62" s="117" t="s">
        <v>140</v>
      </c>
      <c r="BH62" s="117"/>
      <c r="BI62" s="117"/>
      <c r="BJ62" s="117"/>
      <c r="BK62" s="117"/>
      <c r="BL62" s="117"/>
      <c r="BM62" s="117">
        <f t="shared" si="0"/>
        <v>14</v>
      </c>
      <c r="BN62" s="117">
        <f t="shared" si="1"/>
        <v>1</v>
      </c>
      <c r="BO62" s="117">
        <f t="shared" si="2"/>
        <v>5</v>
      </c>
      <c r="BP62" s="153">
        <f t="shared" si="3"/>
        <v>8</v>
      </c>
      <c r="BQ62" s="74" t="s">
        <v>447</v>
      </c>
      <c r="BR62" s="74" t="s">
        <v>391</v>
      </c>
      <c r="BS62" s="74"/>
    </row>
    <row r="63" spans="1:71" hidden="1">
      <c r="A63">
        <v>49</v>
      </c>
      <c r="B63" s="75">
        <v>45685.525648148148</v>
      </c>
      <c r="C63" s="78">
        <v>5.9027777777777776E-2</v>
      </c>
      <c r="D63" s="7">
        <v>45686</v>
      </c>
      <c r="E63" s="7">
        <v>45686</v>
      </c>
      <c r="F63">
        <v>605</v>
      </c>
      <c r="G63">
        <v>49</v>
      </c>
      <c r="H63" t="s">
        <v>448</v>
      </c>
      <c r="I63" s="10" t="s">
        <v>448</v>
      </c>
      <c r="J63" s="69">
        <v>45686</v>
      </c>
      <c r="K63" s="97">
        <f t="shared" si="11"/>
        <v>1</v>
      </c>
      <c r="L63" s="97">
        <v>63</v>
      </c>
      <c r="M63" s="7" t="s">
        <v>181</v>
      </c>
      <c r="N63" s="7" t="s">
        <v>254</v>
      </c>
      <c r="O63" s="7" t="s">
        <v>449</v>
      </c>
      <c r="Q63" s="100">
        <v>1</v>
      </c>
      <c r="R63" s="7" t="s">
        <v>135</v>
      </c>
      <c r="S63" s="7" t="s">
        <v>450</v>
      </c>
      <c r="T63" t="s">
        <v>451</v>
      </c>
      <c r="U63" t="s">
        <v>452</v>
      </c>
      <c r="V63" t="s">
        <v>254</v>
      </c>
      <c r="W63" t="s">
        <v>170</v>
      </c>
      <c r="X63" s="36" t="s">
        <v>141</v>
      </c>
      <c r="Y63" s="36" t="s">
        <v>140</v>
      </c>
      <c r="Z63" s="36" t="s">
        <v>141</v>
      </c>
      <c r="AA63" s="36" t="s">
        <v>140</v>
      </c>
      <c r="AB63" s="36" t="s">
        <v>140</v>
      </c>
      <c r="AC63" s="36" t="s">
        <v>140</v>
      </c>
      <c r="AD63" s="36" t="s">
        <v>140</v>
      </c>
      <c r="AE63" s="36" t="s">
        <v>140</v>
      </c>
      <c r="AF63" s="36" t="s">
        <v>140</v>
      </c>
      <c r="AG63" s="36" t="s">
        <v>140</v>
      </c>
      <c r="AH63" s="36" t="s">
        <v>140</v>
      </c>
      <c r="AI63" s="36" t="s">
        <v>140</v>
      </c>
      <c r="AJ63" s="36" t="s">
        <v>140</v>
      </c>
      <c r="AK63" s="117"/>
      <c r="AL63" s="36" t="s">
        <v>140</v>
      </c>
      <c r="AM63" s="36" t="s">
        <v>141</v>
      </c>
      <c r="AN63" s="36" t="s">
        <v>140</v>
      </c>
      <c r="AO63" s="36" t="s">
        <v>141</v>
      </c>
      <c r="AP63" s="36" t="s">
        <v>140</v>
      </c>
      <c r="AQ63" s="36" t="s">
        <v>140</v>
      </c>
      <c r="AR63" s="36" t="s">
        <v>140</v>
      </c>
      <c r="AS63" s="36" t="s">
        <v>141</v>
      </c>
      <c r="AT63" s="36" t="s">
        <v>140</v>
      </c>
      <c r="AU63" s="36" t="s">
        <v>140</v>
      </c>
      <c r="AV63" s="36" t="s">
        <v>140</v>
      </c>
      <c r="AW63" s="117" t="s">
        <v>140</v>
      </c>
      <c r="AX63" s="117" t="s">
        <v>140</v>
      </c>
      <c r="AY63" s="36" t="s">
        <v>140</v>
      </c>
      <c r="AZ63" s="36" t="s">
        <v>140</v>
      </c>
      <c r="BA63" s="117"/>
      <c r="BB63" s="117"/>
      <c r="BC63" s="117"/>
      <c r="BD63" s="117" t="s">
        <v>140</v>
      </c>
      <c r="BE63" s="117" t="s">
        <v>140</v>
      </c>
      <c r="BF63" s="117" t="s">
        <v>140</v>
      </c>
      <c r="BG63" s="117" t="s">
        <v>141</v>
      </c>
      <c r="BH63" s="117"/>
      <c r="BI63" s="117"/>
      <c r="BJ63" s="117"/>
      <c r="BK63" s="117"/>
      <c r="BL63" s="117"/>
      <c r="BM63" s="117">
        <f t="shared" si="0"/>
        <v>5</v>
      </c>
      <c r="BN63" s="117">
        <f t="shared" si="1"/>
        <v>2</v>
      </c>
      <c r="BO63" s="117">
        <f t="shared" si="2"/>
        <v>2</v>
      </c>
      <c r="BP63" s="153">
        <f t="shared" si="3"/>
        <v>3</v>
      </c>
      <c r="BQ63" s="74" t="s">
        <v>453</v>
      </c>
      <c r="BR63" s="74" t="s">
        <v>454</v>
      </c>
      <c r="BS63" s="74"/>
    </row>
    <row r="64" spans="1:71" hidden="1">
      <c r="A64">
        <v>50</v>
      </c>
      <c r="B64" s="75">
        <v>45685.639606481483</v>
      </c>
      <c r="C64" s="78">
        <v>0.16805555555555557</v>
      </c>
      <c r="D64" s="7">
        <v>45686</v>
      </c>
      <c r="E64" s="7">
        <v>45686</v>
      </c>
      <c r="F64">
        <v>606</v>
      </c>
      <c r="G64">
        <v>50</v>
      </c>
      <c r="H64" t="s">
        <v>455</v>
      </c>
      <c r="I64" s="10" t="s">
        <v>455</v>
      </c>
      <c r="J64" s="69">
        <v>45686</v>
      </c>
      <c r="K64" s="97">
        <f t="shared" si="11"/>
        <v>1</v>
      </c>
      <c r="L64" s="97">
        <v>64</v>
      </c>
      <c r="M64" s="7" t="s">
        <v>181</v>
      </c>
      <c r="N64" s="7" t="s">
        <v>456</v>
      </c>
      <c r="O64" s="7" t="s">
        <v>234</v>
      </c>
      <c r="P64" s="7" t="s">
        <v>457</v>
      </c>
      <c r="Q64" s="100">
        <v>1</v>
      </c>
      <c r="R64" s="7" t="s">
        <v>135</v>
      </c>
      <c r="S64" s="7" t="s">
        <v>458</v>
      </c>
      <c r="T64" t="s">
        <v>459</v>
      </c>
      <c r="U64" t="s">
        <v>460</v>
      </c>
      <c r="V64" t="s">
        <v>461</v>
      </c>
      <c r="W64" t="s">
        <v>170</v>
      </c>
      <c r="X64" s="36" t="s">
        <v>141</v>
      </c>
      <c r="Y64" s="36" t="s">
        <v>140</v>
      </c>
      <c r="Z64" s="36" t="s">
        <v>140</v>
      </c>
      <c r="AA64" s="36" t="s">
        <v>140</v>
      </c>
      <c r="AB64" s="36" t="s">
        <v>141</v>
      </c>
      <c r="AC64" s="36" t="s">
        <v>140</v>
      </c>
      <c r="AD64" s="36" t="s">
        <v>140</v>
      </c>
      <c r="AE64" s="36" t="s">
        <v>140</v>
      </c>
      <c r="AF64" s="36" t="s">
        <v>140</v>
      </c>
      <c r="AG64" s="36" t="s">
        <v>140</v>
      </c>
      <c r="AH64" s="36" t="s">
        <v>140</v>
      </c>
      <c r="AI64" s="36" t="s">
        <v>140</v>
      </c>
      <c r="AJ64" s="36" t="s">
        <v>140</v>
      </c>
      <c r="AK64" s="117"/>
      <c r="AL64" s="36" t="s">
        <v>140</v>
      </c>
      <c r="AM64" s="36" t="s">
        <v>141</v>
      </c>
      <c r="AN64" s="36" t="s">
        <v>140</v>
      </c>
      <c r="AO64" s="36" t="s">
        <v>141</v>
      </c>
      <c r="AP64" s="36" t="s">
        <v>140</v>
      </c>
      <c r="AQ64" s="36" t="s">
        <v>140</v>
      </c>
      <c r="AR64" s="36" t="s">
        <v>140</v>
      </c>
      <c r="AS64" s="36" t="s">
        <v>140</v>
      </c>
      <c r="AT64" s="36" t="s">
        <v>140</v>
      </c>
      <c r="AU64" s="36" t="s">
        <v>140</v>
      </c>
      <c r="AV64" s="36" t="s">
        <v>140</v>
      </c>
      <c r="AW64" s="117" t="s">
        <v>140</v>
      </c>
      <c r="AX64" s="117" t="s">
        <v>140</v>
      </c>
      <c r="AY64" s="36" t="s">
        <v>140</v>
      </c>
      <c r="AZ64" s="36" t="s">
        <v>140</v>
      </c>
      <c r="BA64" s="117"/>
      <c r="BB64" s="117"/>
      <c r="BC64" s="117"/>
      <c r="BD64" s="117" t="s">
        <v>140</v>
      </c>
      <c r="BE64" s="117" t="s">
        <v>140</v>
      </c>
      <c r="BF64" s="117" t="s">
        <v>140</v>
      </c>
      <c r="BG64" s="117" t="s">
        <v>140</v>
      </c>
      <c r="BH64" s="117"/>
      <c r="BI64" s="117"/>
      <c r="BJ64" s="117"/>
      <c r="BK64" s="117"/>
      <c r="BL64" s="117"/>
      <c r="BM64" s="117">
        <f t="shared" si="0"/>
        <v>4</v>
      </c>
      <c r="BN64" s="117">
        <f t="shared" si="1"/>
        <v>1</v>
      </c>
      <c r="BO64" s="117">
        <f t="shared" si="2"/>
        <v>2</v>
      </c>
      <c r="BP64" s="153">
        <f t="shared" si="3"/>
        <v>2</v>
      </c>
      <c r="BQ64" s="74" t="s">
        <v>208</v>
      </c>
      <c r="BR64" s="74" t="s">
        <v>391</v>
      </c>
      <c r="BS64" s="74"/>
    </row>
    <row r="65" spans="1:71" hidden="1">
      <c r="A65">
        <v>51</v>
      </c>
      <c r="B65" s="75">
        <v>45685.860868055555</v>
      </c>
      <c r="C65" s="78">
        <v>0.38958333333333334</v>
      </c>
      <c r="D65" s="7">
        <v>45686</v>
      </c>
      <c r="E65" s="7">
        <v>45686</v>
      </c>
      <c r="F65">
        <v>607</v>
      </c>
      <c r="G65">
        <v>51</v>
      </c>
      <c r="H65" t="s">
        <v>462</v>
      </c>
      <c r="I65" s="10" t="s">
        <v>462</v>
      </c>
      <c r="J65" s="69">
        <v>45686</v>
      </c>
      <c r="K65" s="97">
        <f t="shared" si="11"/>
        <v>1</v>
      </c>
      <c r="L65" s="97">
        <v>65</v>
      </c>
      <c r="M65" s="7" t="s">
        <v>181</v>
      </c>
      <c r="N65" s="7" t="s">
        <v>254</v>
      </c>
      <c r="O65" s="7" t="s">
        <v>463</v>
      </c>
      <c r="P65" s="7" t="s">
        <v>464</v>
      </c>
      <c r="Q65" s="100">
        <v>1</v>
      </c>
      <c r="R65" s="7" t="s">
        <v>135</v>
      </c>
      <c r="S65" s="7" t="s">
        <v>465</v>
      </c>
      <c r="T65" t="s">
        <v>466</v>
      </c>
      <c r="U65" t="s">
        <v>467</v>
      </c>
      <c r="V65" t="s">
        <v>254</v>
      </c>
      <c r="W65" t="s">
        <v>468</v>
      </c>
      <c r="X65" s="36" t="s">
        <v>140</v>
      </c>
      <c r="Y65" s="36" t="s">
        <v>140</v>
      </c>
      <c r="Z65" s="36" t="s">
        <v>140</v>
      </c>
      <c r="AA65" s="36" t="s">
        <v>141</v>
      </c>
      <c r="AB65" s="36" t="s">
        <v>141</v>
      </c>
      <c r="AC65" s="36" t="s">
        <v>140</v>
      </c>
      <c r="AD65" s="36" t="s">
        <v>140</v>
      </c>
      <c r="AE65" s="36" t="s">
        <v>140</v>
      </c>
      <c r="AF65" s="36" t="s">
        <v>140</v>
      </c>
      <c r="AG65" s="36" t="s">
        <v>140</v>
      </c>
      <c r="AH65" s="36" t="s">
        <v>140</v>
      </c>
      <c r="AI65" s="36" t="s">
        <v>140</v>
      </c>
      <c r="AJ65" s="36" t="s">
        <v>141</v>
      </c>
      <c r="AK65" s="117" t="s">
        <v>141</v>
      </c>
      <c r="AL65" s="36" t="s">
        <v>140</v>
      </c>
      <c r="AM65" s="36" t="s">
        <v>141</v>
      </c>
      <c r="AN65" s="36" t="s">
        <v>140</v>
      </c>
      <c r="AO65" s="36" t="s">
        <v>141</v>
      </c>
      <c r="AP65" s="36" t="s">
        <v>140</v>
      </c>
      <c r="AQ65" s="36" t="s">
        <v>140</v>
      </c>
      <c r="AR65" s="36" t="s">
        <v>140</v>
      </c>
      <c r="AS65" s="36" t="s">
        <v>140</v>
      </c>
      <c r="AT65" s="36" t="s">
        <v>140</v>
      </c>
      <c r="AU65" s="36" t="s">
        <v>140</v>
      </c>
      <c r="AV65" s="36" t="s">
        <v>141</v>
      </c>
      <c r="AW65" s="117" t="s">
        <v>140</v>
      </c>
      <c r="AX65" s="117" t="s">
        <v>140</v>
      </c>
      <c r="AY65" s="36" t="s">
        <v>140</v>
      </c>
      <c r="AZ65" s="36" t="s">
        <v>140</v>
      </c>
      <c r="BA65" s="117"/>
      <c r="BB65" s="117"/>
      <c r="BC65" s="117"/>
      <c r="BD65" s="117" t="s">
        <v>140</v>
      </c>
      <c r="BE65" s="117" t="s">
        <v>140</v>
      </c>
      <c r="BF65" s="117" t="s">
        <v>140</v>
      </c>
      <c r="BG65" s="117" t="s">
        <v>140</v>
      </c>
      <c r="BH65" s="117"/>
      <c r="BI65" s="117"/>
      <c r="BJ65" s="117"/>
      <c r="BK65" s="117"/>
      <c r="BL65" s="117"/>
      <c r="BM65" s="117">
        <f t="shared" si="0"/>
        <v>7</v>
      </c>
      <c r="BN65" s="117">
        <f t="shared" si="1"/>
        <v>3</v>
      </c>
      <c r="BO65" s="117">
        <f t="shared" si="2"/>
        <v>2</v>
      </c>
      <c r="BP65" s="153">
        <f t="shared" si="3"/>
        <v>5</v>
      </c>
      <c r="BQ65" s="74" t="s">
        <v>178</v>
      </c>
      <c r="BR65" s="74" t="s">
        <v>391</v>
      </c>
      <c r="BS65" s="74"/>
    </row>
    <row r="66" spans="1:71" hidden="1">
      <c r="A66">
        <v>52</v>
      </c>
      <c r="B66" s="75">
        <v>45686.445173611108</v>
      </c>
      <c r="C66" s="78">
        <v>0.97638888888888886</v>
      </c>
      <c r="D66" s="7">
        <v>45686</v>
      </c>
      <c r="E66" s="7">
        <v>45686</v>
      </c>
      <c r="F66">
        <v>608</v>
      </c>
      <c r="G66">
        <v>52</v>
      </c>
      <c r="H66" t="s">
        <v>469</v>
      </c>
      <c r="I66" s="10" t="s">
        <v>469</v>
      </c>
      <c r="J66" s="69">
        <v>45686</v>
      </c>
      <c r="K66" s="97">
        <f t="shared" si="11"/>
        <v>1</v>
      </c>
      <c r="L66" s="97">
        <v>66</v>
      </c>
      <c r="M66" s="7" t="s">
        <v>155</v>
      </c>
      <c r="N66" s="7" t="s">
        <v>156</v>
      </c>
      <c r="O66" s="7" t="s">
        <v>156</v>
      </c>
      <c r="P66" s="7" t="s">
        <v>470</v>
      </c>
      <c r="Q66" s="100">
        <v>2</v>
      </c>
      <c r="R66" s="7" t="s">
        <v>158</v>
      </c>
      <c r="S66" s="7" t="s">
        <v>471</v>
      </c>
      <c r="T66" t="s">
        <v>472</v>
      </c>
      <c r="U66" t="s">
        <v>473</v>
      </c>
      <c r="V66" t="s">
        <v>162</v>
      </c>
      <c r="W66" t="s">
        <v>170</v>
      </c>
      <c r="X66" s="36" t="s">
        <v>141</v>
      </c>
      <c r="Y66" s="36" t="s">
        <v>140</v>
      </c>
      <c r="Z66" s="36" t="s">
        <v>141</v>
      </c>
      <c r="AA66" s="36" t="s">
        <v>141</v>
      </c>
      <c r="AB66" s="36" t="s">
        <v>141</v>
      </c>
      <c r="AC66" s="36" t="s">
        <v>140</v>
      </c>
      <c r="AD66" s="36" t="s">
        <v>140</v>
      </c>
      <c r="AE66" s="36" t="s">
        <v>140</v>
      </c>
      <c r="AF66" s="36" t="s">
        <v>140</v>
      </c>
      <c r="AG66" s="36" t="s">
        <v>140</v>
      </c>
      <c r="AH66" s="36" t="s">
        <v>140</v>
      </c>
      <c r="AI66" s="36" t="s">
        <v>141</v>
      </c>
      <c r="AJ66" s="36" t="s">
        <v>141</v>
      </c>
      <c r="AK66" s="117"/>
      <c r="AL66" s="36" t="s">
        <v>141</v>
      </c>
      <c r="AM66" s="36" t="s">
        <v>141</v>
      </c>
      <c r="AN66" s="36" t="s">
        <v>140</v>
      </c>
      <c r="AO66" s="36" t="s">
        <v>141</v>
      </c>
      <c r="AP66" s="36" t="s">
        <v>140</v>
      </c>
      <c r="AQ66" s="36" t="s">
        <v>140</v>
      </c>
      <c r="AR66" s="36" t="s">
        <v>141</v>
      </c>
      <c r="AS66" s="36" t="s">
        <v>141</v>
      </c>
      <c r="AT66" s="36" t="s">
        <v>140</v>
      </c>
      <c r="AU66" s="36" t="s">
        <v>140</v>
      </c>
      <c r="AV66" s="36" t="s">
        <v>141</v>
      </c>
      <c r="AW66" s="117" t="s">
        <v>140</v>
      </c>
      <c r="AX66" s="117" t="s">
        <v>140</v>
      </c>
      <c r="AY66" s="36" t="s">
        <v>140</v>
      </c>
      <c r="AZ66" s="36" t="s">
        <v>140</v>
      </c>
      <c r="BA66" s="117"/>
      <c r="BB66" s="117"/>
      <c r="BC66" s="117"/>
      <c r="BD66" s="117" t="s">
        <v>140</v>
      </c>
      <c r="BE66" s="117" t="s">
        <v>140</v>
      </c>
      <c r="BF66" s="117" t="s">
        <v>140</v>
      </c>
      <c r="BG66" s="117" t="s">
        <v>140</v>
      </c>
      <c r="BH66" s="117"/>
      <c r="BI66" s="117"/>
      <c r="BJ66" s="117"/>
      <c r="BK66" s="117"/>
      <c r="BL66" s="117"/>
      <c r="BM66" s="117">
        <f t="shared" ref="BM66:BM129" si="12">COUNTIF($X66:$BF66, "I")</f>
        <v>12</v>
      </c>
      <c r="BN66" s="117">
        <f t="shared" ref="BN66:BN129" si="13">COUNTIFS($X66:$BF66, "I",$X$2:$BF$2, "DR" )</f>
        <v>4</v>
      </c>
      <c r="BO66" s="117">
        <f t="shared" ref="BO66:BO129" si="14">COUNTIFS($X66:$BF66, "I",$X$5:$BF$5, "OF" )</f>
        <v>4</v>
      </c>
      <c r="BP66" s="153">
        <f t="shared" ref="BP66:BP129" si="15">COUNTIFS($X66:$BF66, "I",$X$5:$BF$5, "FF" )</f>
        <v>8</v>
      </c>
      <c r="BQ66" s="74" t="s">
        <v>208</v>
      </c>
      <c r="BR66" s="74" t="s">
        <v>347</v>
      </c>
      <c r="BS66" s="74"/>
    </row>
    <row r="67" spans="1:71" hidden="1">
      <c r="A67">
        <v>53</v>
      </c>
      <c r="B67" s="75">
        <v>45687.257870370369</v>
      </c>
      <c r="C67" s="78">
        <v>0.79305555555555551</v>
      </c>
      <c r="D67" s="7">
        <v>45687</v>
      </c>
      <c r="E67" s="7">
        <v>45687</v>
      </c>
      <c r="F67">
        <v>609</v>
      </c>
      <c r="G67">
        <v>53</v>
      </c>
      <c r="H67" t="s">
        <v>474</v>
      </c>
      <c r="I67" s="10" t="s">
        <v>474</v>
      </c>
      <c r="J67" s="69">
        <v>45687</v>
      </c>
      <c r="K67" s="97">
        <f t="shared" si="11"/>
        <v>1</v>
      </c>
      <c r="L67" s="97">
        <v>67</v>
      </c>
      <c r="M67" s="7" t="s">
        <v>145</v>
      </c>
      <c r="N67" s="7" t="s">
        <v>146</v>
      </c>
      <c r="O67" s="7" t="s">
        <v>146</v>
      </c>
      <c r="Q67" s="100">
        <v>1</v>
      </c>
      <c r="R67" s="7" t="s">
        <v>135</v>
      </c>
      <c r="S67" s="7" t="s">
        <v>475</v>
      </c>
      <c r="T67" t="s">
        <v>476</v>
      </c>
      <c r="U67" t="s">
        <v>477</v>
      </c>
      <c r="V67" t="s">
        <v>146</v>
      </c>
      <c r="W67" t="s">
        <v>139</v>
      </c>
      <c r="X67" s="36" t="s">
        <v>141</v>
      </c>
      <c r="Y67" s="36" t="s">
        <v>141</v>
      </c>
      <c r="Z67" s="36" t="s">
        <v>141</v>
      </c>
      <c r="AA67" s="36" t="s">
        <v>141</v>
      </c>
      <c r="AB67" s="36" t="s">
        <v>141</v>
      </c>
      <c r="AC67" s="36" t="s">
        <v>140</v>
      </c>
      <c r="AD67" s="36" t="s">
        <v>140</v>
      </c>
      <c r="AE67" s="36" t="s">
        <v>140</v>
      </c>
      <c r="AF67" s="36" t="s">
        <v>141</v>
      </c>
      <c r="AG67" s="36" t="s">
        <v>141</v>
      </c>
      <c r="AH67" s="36" t="s">
        <v>140</v>
      </c>
      <c r="AI67" s="36" t="s">
        <v>140</v>
      </c>
      <c r="AJ67" s="36" t="s">
        <v>140</v>
      </c>
      <c r="AK67" s="117"/>
      <c r="AL67" s="36" t="s">
        <v>140</v>
      </c>
      <c r="AM67" s="36" t="s">
        <v>141</v>
      </c>
      <c r="AN67" s="36" t="s">
        <v>140</v>
      </c>
      <c r="AO67" s="36" t="s">
        <v>140</v>
      </c>
      <c r="AP67" s="36" t="s">
        <v>140</v>
      </c>
      <c r="AQ67" s="36" t="s">
        <v>140</v>
      </c>
      <c r="AR67" s="36" t="s">
        <v>141</v>
      </c>
      <c r="AS67" s="36" t="s">
        <v>140</v>
      </c>
      <c r="AT67" s="36" t="s">
        <v>141</v>
      </c>
      <c r="AU67" s="36" t="s">
        <v>140</v>
      </c>
      <c r="AV67" s="36" t="s">
        <v>140</v>
      </c>
      <c r="AW67" s="117" t="s">
        <v>140</v>
      </c>
      <c r="AX67" s="117" t="s">
        <v>140</v>
      </c>
      <c r="AY67" s="36" t="s">
        <v>140</v>
      </c>
      <c r="AZ67" s="36" t="s">
        <v>140</v>
      </c>
      <c r="BA67" s="117"/>
      <c r="BB67" s="117" t="s">
        <v>141</v>
      </c>
      <c r="BC67" s="117"/>
      <c r="BD67" s="117" t="s">
        <v>140</v>
      </c>
      <c r="BE67" s="117" t="s">
        <v>140</v>
      </c>
      <c r="BF67" s="117" t="s">
        <v>141</v>
      </c>
      <c r="BG67" s="117" t="s">
        <v>140</v>
      </c>
      <c r="BH67" s="117"/>
      <c r="BI67" s="117"/>
      <c r="BJ67" s="117"/>
      <c r="BK67" s="117"/>
      <c r="BL67" s="117"/>
      <c r="BM67" s="117">
        <f t="shared" si="12"/>
        <v>12</v>
      </c>
      <c r="BN67" s="117">
        <f t="shared" si="13"/>
        <v>3</v>
      </c>
      <c r="BO67" s="117">
        <f t="shared" si="14"/>
        <v>5</v>
      </c>
      <c r="BP67" s="153">
        <f t="shared" si="15"/>
        <v>6</v>
      </c>
      <c r="BQ67" s="74" t="s">
        <v>208</v>
      </c>
      <c r="BR67" s="74" t="s">
        <v>391</v>
      </c>
      <c r="BS67" s="74"/>
    </row>
    <row r="68" spans="1:71" hidden="1">
      <c r="A68">
        <v>54</v>
      </c>
      <c r="B68" s="75">
        <v>45687.276076388887</v>
      </c>
      <c r="C68" s="78">
        <v>0.80972222222222223</v>
      </c>
      <c r="D68" s="7">
        <v>45687</v>
      </c>
      <c r="E68" s="7">
        <v>45687</v>
      </c>
      <c r="F68">
        <v>610</v>
      </c>
      <c r="G68">
        <v>54</v>
      </c>
      <c r="H68" t="s">
        <v>478</v>
      </c>
      <c r="I68" s="10" t="s">
        <v>478</v>
      </c>
      <c r="J68" s="69">
        <v>45687</v>
      </c>
      <c r="K68" s="97">
        <f t="shared" si="11"/>
        <v>1</v>
      </c>
      <c r="L68" s="97">
        <v>68</v>
      </c>
      <c r="M68" s="7" t="s">
        <v>145</v>
      </c>
      <c r="N68" s="7" t="s">
        <v>146</v>
      </c>
      <c r="O68" s="7" t="s">
        <v>146</v>
      </c>
      <c r="Q68" s="100">
        <v>1</v>
      </c>
      <c r="R68" s="7" t="s">
        <v>135</v>
      </c>
      <c r="S68" s="7" t="s">
        <v>479</v>
      </c>
      <c r="T68" t="s">
        <v>480</v>
      </c>
      <c r="U68" t="s">
        <v>481</v>
      </c>
      <c r="V68" t="s">
        <v>146</v>
      </c>
      <c r="W68" t="s">
        <v>139</v>
      </c>
      <c r="X68" s="36" t="s">
        <v>141</v>
      </c>
      <c r="Y68" s="36" t="s">
        <v>141</v>
      </c>
      <c r="Z68" s="36" t="s">
        <v>141</v>
      </c>
      <c r="AA68" s="36" t="s">
        <v>141</v>
      </c>
      <c r="AB68" s="36" t="s">
        <v>141</v>
      </c>
      <c r="AC68" s="36" t="s">
        <v>141</v>
      </c>
      <c r="AD68" s="36" t="s">
        <v>140</v>
      </c>
      <c r="AE68" s="36" t="s">
        <v>140</v>
      </c>
      <c r="AF68" s="36" t="s">
        <v>141</v>
      </c>
      <c r="AG68" s="36" t="s">
        <v>141</v>
      </c>
      <c r="AH68" s="36" t="s">
        <v>140</v>
      </c>
      <c r="AI68" s="36" t="s">
        <v>141</v>
      </c>
      <c r="AJ68" s="36" t="s">
        <v>140</v>
      </c>
      <c r="AK68" s="117"/>
      <c r="AL68" s="36" t="s">
        <v>140</v>
      </c>
      <c r="AM68" s="36" t="s">
        <v>141</v>
      </c>
      <c r="AN68" s="36" t="s">
        <v>140</v>
      </c>
      <c r="AO68" s="36" t="s">
        <v>140</v>
      </c>
      <c r="AP68" s="36" t="s">
        <v>140</v>
      </c>
      <c r="AQ68" s="36" t="s">
        <v>140</v>
      </c>
      <c r="AR68" s="36" t="s">
        <v>141</v>
      </c>
      <c r="AS68" s="36" t="s">
        <v>141</v>
      </c>
      <c r="AT68" s="36" t="s">
        <v>141</v>
      </c>
      <c r="AU68" s="36" t="s">
        <v>140</v>
      </c>
      <c r="AV68" s="36" t="s">
        <v>140</v>
      </c>
      <c r="AW68" s="117" t="s">
        <v>140</v>
      </c>
      <c r="AX68" s="117" t="s">
        <v>140</v>
      </c>
      <c r="AY68" s="36" t="s">
        <v>140</v>
      </c>
      <c r="AZ68" s="36" t="s">
        <v>140</v>
      </c>
      <c r="BA68" s="117"/>
      <c r="BB68" s="117" t="s">
        <v>141</v>
      </c>
      <c r="BC68" s="117"/>
      <c r="BD68" s="117" t="s">
        <v>140</v>
      </c>
      <c r="BE68" s="117" t="s">
        <v>140</v>
      </c>
      <c r="BF68" s="117" t="s">
        <v>140</v>
      </c>
      <c r="BG68" s="117" t="s">
        <v>140</v>
      </c>
      <c r="BH68" s="117"/>
      <c r="BI68" s="117"/>
      <c r="BJ68" s="117"/>
      <c r="BK68" s="117"/>
      <c r="BL68" s="117"/>
      <c r="BM68" s="117">
        <f t="shared" si="12"/>
        <v>14</v>
      </c>
      <c r="BN68" s="117">
        <f t="shared" si="13"/>
        <v>4</v>
      </c>
      <c r="BO68" s="117">
        <f t="shared" si="14"/>
        <v>6</v>
      </c>
      <c r="BP68" s="153">
        <f t="shared" si="15"/>
        <v>8</v>
      </c>
      <c r="BQ68" s="74" t="s">
        <v>208</v>
      </c>
      <c r="BR68" s="74" t="s">
        <v>391</v>
      </c>
      <c r="BS68" s="74"/>
    </row>
    <row r="69" spans="1:71" hidden="1">
      <c r="A69">
        <v>55</v>
      </c>
      <c r="B69" s="75">
        <v>45687.737824074073</v>
      </c>
      <c r="C69" s="78">
        <v>0.25694444444444442</v>
      </c>
      <c r="D69" s="7">
        <v>45687</v>
      </c>
      <c r="E69" s="7">
        <v>45688</v>
      </c>
      <c r="F69">
        <v>611</v>
      </c>
      <c r="G69">
        <v>55</v>
      </c>
      <c r="H69" t="s">
        <v>482</v>
      </c>
      <c r="I69" s="10" t="s">
        <v>482</v>
      </c>
      <c r="J69" s="69">
        <v>45688</v>
      </c>
      <c r="K69" s="97">
        <f t="shared" si="11"/>
        <v>1</v>
      </c>
      <c r="L69" s="97">
        <v>69</v>
      </c>
      <c r="M69" s="7" t="s">
        <v>196</v>
      </c>
      <c r="N69" s="7" t="s">
        <v>197</v>
      </c>
      <c r="O69" s="7" t="s">
        <v>197</v>
      </c>
      <c r="Q69" s="100">
        <v>3</v>
      </c>
      <c r="R69" s="7" t="s">
        <v>184</v>
      </c>
      <c r="S69" s="7" t="s">
        <v>483</v>
      </c>
      <c r="T69" t="s">
        <v>484</v>
      </c>
      <c r="U69" t="s">
        <v>485</v>
      </c>
      <c r="V69" t="s">
        <v>200</v>
      </c>
      <c r="W69" t="s">
        <v>225</v>
      </c>
      <c r="X69" s="36" t="s">
        <v>141</v>
      </c>
      <c r="Y69" s="36" t="s">
        <v>141</v>
      </c>
      <c r="Z69" s="36" t="s">
        <v>141</v>
      </c>
      <c r="AA69" s="36" t="s">
        <v>141</v>
      </c>
      <c r="AB69" s="36" t="s">
        <v>141</v>
      </c>
      <c r="AC69" s="36" t="s">
        <v>140</v>
      </c>
      <c r="AD69" s="36" t="s">
        <v>140</v>
      </c>
      <c r="AE69" s="36" t="s">
        <v>140</v>
      </c>
      <c r="AF69" s="36" t="s">
        <v>140</v>
      </c>
      <c r="AG69" s="36" t="s">
        <v>140</v>
      </c>
      <c r="AH69" s="36" t="s">
        <v>140</v>
      </c>
      <c r="AI69" s="36" t="s">
        <v>141</v>
      </c>
      <c r="AJ69" s="36" t="s">
        <v>140</v>
      </c>
      <c r="AK69" s="117"/>
      <c r="AL69" s="36" t="s">
        <v>141</v>
      </c>
      <c r="AM69" s="36" t="s">
        <v>141</v>
      </c>
      <c r="AN69" s="36" t="s">
        <v>140</v>
      </c>
      <c r="AO69" s="36" t="s">
        <v>140</v>
      </c>
      <c r="AP69" s="36" t="s">
        <v>140</v>
      </c>
      <c r="AQ69" s="36" t="s">
        <v>140</v>
      </c>
      <c r="AR69" s="36" t="s">
        <v>141</v>
      </c>
      <c r="AS69" s="36" t="s">
        <v>141</v>
      </c>
      <c r="AT69" s="36" t="s">
        <v>140</v>
      </c>
      <c r="AU69" s="36" t="s">
        <v>140</v>
      </c>
      <c r="AV69" s="36" t="s">
        <v>140</v>
      </c>
      <c r="AW69" s="117" t="s">
        <v>140</v>
      </c>
      <c r="AX69" s="117" t="s">
        <v>140</v>
      </c>
      <c r="AY69" s="36" t="s">
        <v>140</v>
      </c>
      <c r="AZ69" s="36" t="s">
        <v>140</v>
      </c>
      <c r="BA69" s="117"/>
      <c r="BB69" s="117" t="s">
        <v>141</v>
      </c>
      <c r="BC69" s="117"/>
      <c r="BD69" s="117" t="s">
        <v>140</v>
      </c>
      <c r="BE69" s="117" t="s">
        <v>140</v>
      </c>
      <c r="BF69" s="117" t="s">
        <v>140</v>
      </c>
      <c r="BG69" s="117" t="s">
        <v>141</v>
      </c>
      <c r="BH69" s="117"/>
      <c r="BI69" s="117"/>
      <c r="BJ69" s="117"/>
      <c r="BK69" s="117"/>
      <c r="BL69" s="117"/>
      <c r="BM69" s="117">
        <f t="shared" si="12"/>
        <v>11</v>
      </c>
      <c r="BN69" s="117">
        <f t="shared" si="13"/>
        <v>3</v>
      </c>
      <c r="BO69" s="117">
        <f t="shared" si="14"/>
        <v>5</v>
      </c>
      <c r="BP69" s="153">
        <f t="shared" si="15"/>
        <v>6</v>
      </c>
      <c r="BQ69" s="74" t="s">
        <v>208</v>
      </c>
      <c r="BR69" s="74" t="s">
        <v>486</v>
      </c>
      <c r="BS69" s="74"/>
    </row>
    <row r="70" spans="1:71" hidden="1">
      <c r="A70">
        <v>56</v>
      </c>
      <c r="B70" s="75">
        <v>45687.792638888888</v>
      </c>
      <c r="C70" s="78">
        <v>0.31944444444444442</v>
      </c>
      <c r="D70" s="7">
        <v>45688</v>
      </c>
      <c r="E70" s="7">
        <v>45688</v>
      </c>
      <c r="F70">
        <v>612</v>
      </c>
      <c r="G70">
        <v>56</v>
      </c>
      <c r="H70" t="s">
        <v>487</v>
      </c>
      <c r="I70" s="10" t="s">
        <v>487</v>
      </c>
      <c r="J70" s="69">
        <v>45688</v>
      </c>
      <c r="K70" s="97">
        <f t="shared" si="11"/>
        <v>1</v>
      </c>
      <c r="L70" s="97">
        <v>70</v>
      </c>
      <c r="M70" s="7" t="s">
        <v>155</v>
      </c>
      <c r="N70" s="7" t="s">
        <v>156</v>
      </c>
      <c r="O70" s="7" t="s">
        <v>156</v>
      </c>
      <c r="P70" s="7" t="s">
        <v>276</v>
      </c>
      <c r="Q70" s="100">
        <v>2</v>
      </c>
      <c r="R70" s="7" t="s">
        <v>158</v>
      </c>
      <c r="S70" s="7" t="s">
        <v>277</v>
      </c>
      <c r="T70" t="s">
        <v>488</v>
      </c>
      <c r="U70" t="s">
        <v>278</v>
      </c>
      <c r="V70" t="s">
        <v>162</v>
      </c>
      <c r="W70" t="s">
        <v>170</v>
      </c>
      <c r="X70" s="36" t="s">
        <v>141</v>
      </c>
      <c r="Y70" s="36" t="s">
        <v>141</v>
      </c>
      <c r="Z70" s="36" t="s">
        <v>140</v>
      </c>
      <c r="AA70" s="36" t="s">
        <v>141</v>
      </c>
      <c r="AB70" s="36" t="s">
        <v>141</v>
      </c>
      <c r="AC70" s="36" t="s">
        <v>140</v>
      </c>
      <c r="AD70" s="36" t="s">
        <v>140</v>
      </c>
      <c r="AE70" s="36" t="s">
        <v>140</v>
      </c>
      <c r="AF70" s="36" t="s">
        <v>140</v>
      </c>
      <c r="AG70" s="36" t="s">
        <v>140</v>
      </c>
      <c r="AH70" s="36" t="s">
        <v>140</v>
      </c>
      <c r="AI70" s="36" t="s">
        <v>140</v>
      </c>
      <c r="AJ70" s="36" t="s">
        <v>140</v>
      </c>
      <c r="AK70" s="117"/>
      <c r="AL70" s="36" t="s">
        <v>140</v>
      </c>
      <c r="AM70" s="36" t="s">
        <v>141</v>
      </c>
      <c r="AN70" s="36" t="s">
        <v>140</v>
      </c>
      <c r="AO70" s="36" t="s">
        <v>140</v>
      </c>
      <c r="AP70" s="36" t="s">
        <v>140</v>
      </c>
      <c r="AQ70" s="36" t="s">
        <v>140</v>
      </c>
      <c r="AR70" s="36" t="s">
        <v>140</v>
      </c>
      <c r="AS70" s="36" t="s">
        <v>141</v>
      </c>
      <c r="AT70" s="36" t="s">
        <v>140</v>
      </c>
      <c r="AU70" s="36" t="s">
        <v>140</v>
      </c>
      <c r="AV70" s="36" t="s">
        <v>140</v>
      </c>
      <c r="AW70" s="117" t="s">
        <v>140</v>
      </c>
      <c r="AX70" s="117" t="s">
        <v>140</v>
      </c>
      <c r="AY70" s="36" t="s">
        <v>140</v>
      </c>
      <c r="AZ70" s="36" t="s">
        <v>140</v>
      </c>
      <c r="BA70" s="117"/>
      <c r="BB70" s="117" t="s">
        <v>141</v>
      </c>
      <c r="BC70" s="117"/>
      <c r="BD70" s="117" t="s">
        <v>140</v>
      </c>
      <c r="BE70" s="117" t="s">
        <v>140</v>
      </c>
      <c r="BF70" s="117" t="s">
        <v>140</v>
      </c>
      <c r="BG70" s="117" t="s">
        <v>140</v>
      </c>
      <c r="BH70" s="117"/>
      <c r="BI70" s="117"/>
      <c r="BJ70" s="117"/>
      <c r="BK70" s="117"/>
      <c r="BL70" s="117"/>
      <c r="BM70" s="117">
        <f t="shared" si="12"/>
        <v>7</v>
      </c>
      <c r="BN70" s="117">
        <f t="shared" si="13"/>
        <v>2</v>
      </c>
      <c r="BO70" s="117">
        <f t="shared" si="14"/>
        <v>4</v>
      </c>
      <c r="BP70" s="153">
        <f t="shared" si="15"/>
        <v>3</v>
      </c>
      <c r="BQ70" s="74" t="s">
        <v>208</v>
      </c>
      <c r="BR70" s="74" t="s">
        <v>347</v>
      </c>
      <c r="BS70" s="74"/>
    </row>
    <row r="71" spans="1:71" hidden="1">
      <c r="A71">
        <v>57</v>
      </c>
      <c r="B71" s="75">
        <v>45688.048356481479</v>
      </c>
      <c r="C71" s="78">
        <v>0.57361111111111107</v>
      </c>
      <c r="D71" s="7">
        <v>45688</v>
      </c>
      <c r="E71" s="7">
        <v>45686</v>
      </c>
      <c r="F71">
        <v>613</v>
      </c>
      <c r="G71">
        <v>57</v>
      </c>
      <c r="H71" t="s">
        <v>489</v>
      </c>
      <c r="I71" s="10" t="s">
        <v>489</v>
      </c>
      <c r="J71" s="69">
        <v>45688</v>
      </c>
      <c r="K71" s="97">
        <f t="shared" si="11"/>
        <v>1</v>
      </c>
      <c r="L71" s="97">
        <v>71</v>
      </c>
      <c r="M71" s="7" t="s">
        <v>181</v>
      </c>
      <c r="N71" s="7" t="s">
        <v>490</v>
      </c>
      <c r="O71" s="7" t="s">
        <v>491</v>
      </c>
      <c r="P71" s="7" t="s">
        <v>492</v>
      </c>
      <c r="Q71" s="100">
        <v>1</v>
      </c>
      <c r="R71" s="7" t="s">
        <v>493</v>
      </c>
      <c r="S71" s="7" t="s">
        <v>494</v>
      </c>
      <c r="T71" t="s">
        <v>495</v>
      </c>
      <c r="U71" t="s">
        <v>439</v>
      </c>
      <c r="V71" t="s">
        <v>496</v>
      </c>
      <c r="W71" t="s">
        <v>139</v>
      </c>
      <c r="X71" s="36" t="s">
        <v>141</v>
      </c>
      <c r="Y71" s="36" t="s">
        <v>141</v>
      </c>
      <c r="Z71" s="36" t="s">
        <v>140</v>
      </c>
      <c r="AA71" s="36" t="s">
        <v>141</v>
      </c>
      <c r="AB71" s="36" t="s">
        <v>140</v>
      </c>
      <c r="AC71" s="36" t="s">
        <v>140</v>
      </c>
      <c r="AD71" s="36" t="s">
        <v>140</v>
      </c>
      <c r="AE71" s="36" t="s">
        <v>140</v>
      </c>
      <c r="AF71" s="36" t="s">
        <v>140</v>
      </c>
      <c r="AG71" s="36" t="s">
        <v>140</v>
      </c>
      <c r="AH71" s="36" t="s">
        <v>140</v>
      </c>
      <c r="AI71" s="36" t="s">
        <v>140</v>
      </c>
      <c r="AJ71" s="36" t="s">
        <v>141</v>
      </c>
      <c r="AK71" s="117"/>
      <c r="AL71" s="36" t="s">
        <v>140</v>
      </c>
      <c r="AM71" s="36" t="s">
        <v>141</v>
      </c>
      <c r="AN71" s="36" t="s">
        <v>140</v>
      </c>
      <c r="AO71" s="36" t="s">
        <v>140</v>
      </c>
      <c r="AP71" s="36" t="s">
        <v>140</v>
      </c>
      <c r="AQ71" s="36" t="s">
        <v>140</v>
      </c>
      <c r="AR71" s="36" t="s">
        <v>140</v>
      </c>
      <c r="AS71" s="36" t="s">
        <v>140</v>
      </c>
      <c r="AT71" s="36" t="s">
        <v>140</v>
      </c>
      <c r="AU71" s="36" t="s">
        <v>140</v>
      </c>
      <c r="AV71" s="36" t="s">
        <v>140</v>
      </c>
      <c r="AW71" s="117" t="s">
        <v>140</v>
      </c>
      <c r="AX71" s="117" t="s">
        <v>141</v>
      </c>
      <c r="AY71" s="36" t="s">
        <v>140</v>
      </c>
      <c r="AZ71" s="36" t="s">
        <v>140</v>
      </c>
      <c r="BA71" s="117"/>
      <c r="BB71" s="117" t="s">
        <v>141</v>
      </c>
      <c r="BC71" s="117"/>
      <c r="BD71" s="117" t="s">
        <v>140</v>
      </c>
      <c r="BE71" s="117" t="s">
        <v>140</v>
      </c>
      <c r="BF71" s="117" t="s">
        <v>141</v>
      </c>
      <c r="BG71" s="117" t="s">
        <v>140</v>
      </c>
      <c r="BH71" s="117"/>
      <c r="BI71" s="117"/>
      <c r="BJ71" s="117"/>
      <c r="BK71" s="117"/>
      <c r="BL71" s="117"/>
      <c r="BM71" s="117">
        <f t="shared" si="12"/>
        <v>8</v>
      </c>
      <c r="BN71" s="117">
        <f t="shared" si="13"/>
        <v>2</v>
      </c>
      <c r="BO71" s="117">
        <f t="shared" si="14"/>
        <v>3</v>
      </c>
      <c r="BP71" s="153">
        <f t="shared" si="15"/>
        <v>4</v>
      </c>
      <c r="BQ71" s="74" t="s">
        <v>139</v>
      </c>
      <c r="BR71" s="74" t="s">
        <v>497</v>
      </c>
      <c r="BS71" s="74"/>
    </row>
    <row r="72" spans="1:71" hidden="1">
      <c r="A72">
        <v>58</v>
      </c>
      <c r="B72" s="75">
        <v>45689.101481481484</v>
      </c>
      <c r="C72" s="78">
        <v>0.63541666666666663</v>
      </c>
      <c r="D72" s="7">
        <v>45689</v>
      </c>
      <c r="E72" s="7">
        <v>45686</v>
      </c>
      <c r="F72">
        <v>614</v>
      </c>
      <c r="G72">
        <v>58</v>
      </c>
      <c r="H72" t="s">
        <v>498</v>
      </c>
      <c r="I72" s="10" t="s">
        <v>498</v>
      </c>
      <c r="J72" s="69">
        <v>45689</v>
      </c>
      <c r="K72" s="97">
        <f t="shared" si="11"/>
        <v>2</v>
      </c>
      <c r="L72" s="97">
        <v>72</v>
      </c>
      <c r="M72" s="7" t="s">
        <v>181</v>
      </c>
      <c r="N72" s="7" t="s">
        <v>254</v>
      </c>
      <c r="O72" s="7" t="s">
        <v>449</v>
      </c>
      <c r="Q72" s="100">
        <v>1</v>
      </c>
      <c r="R72" s="7" t="s">
        <v>135</v>
      </c>
      <c r="S72" s="7" t="s">
        <v>499</v>
      </c>
      <c r="T72" t="s">
        <v>500</v>
      </c>
      <c r="U72" t="s">
        <v>501</v>
      </c>
      <c r="V72" t="s">
        <v>254</v>
      </c>
      <c r="W72" t="s">
        <v>225</v>
      </c>
      <c r="X72" s="36" t="s">
        <v>141</v>
      </c>
      <c r="Y72" s="36" t="s">
        <v>141</v>
      </c>
      <c r="Z72" s="36" t="s">
        <v>141</v>
      </c>
      <c r="AA72" s="36" t="s">
        <v>140</v>
      </c>
      <c r="AB72" s="36" t="s">
        <v>140</v>
      </c>
      <c r="AC72" s="36" t="s">
        <v>140</v>
      </c>
      <c r="AD72" s="36" t="s">
        <v>140</v>
      </c>
      <c r="AE72" s="36" t="s">
        <v>140</v>
      </c>
      <c r="AF72" s="36" t="s">
        <v>140</v>
      </c>
      <c r="AG72" s="36" t="s">
        <v>140</v>
      </c>
      <c r="AH72" s="36" t="s">
        <v>140</v>
      </c>
      <c r="AI72" s="36" t="s">
        <v>140</v>
      </c>
      <c r="AJ72" s="36" t="s">
        <v>140</v>
      </c>
      <c r="AK72" s="117"/>
      <c r="AL72" s="36" t="s">
        <v>141</v>
      </c>
      <c r="AM72" s="36" t="s">
        <v>140</v>
      </c>
      <c r="AN72" s="36" t="s">
        <v>141</v>
      </c>
      <c r="AO72" s="36" t="s">
        <v>140</v>
      </c>
      <c r="AP72" s="36" t="s">
        <v>140</v>
      </c>
      <c r="AQ72" s="36" t="s">
        <v>140</v>
      </c>
      <c r="AR72" s="36" t="s">
        <v>140</v>
      </c>
      <c r="AS72" s="36" t="s">
        <v>140</v>
      </c>
      <c r="AT72" s="36" t="s">
        <v>140</v>
      </c>
      <c r="AU72" s="36" t="s">
        <v>140</v>
      </c>
      <c r="AV72" s="36" t="s">
        <v>140</v>
      </c>
      <c r="AW72" s="117" t="s">
        <v>140</v>
      </c>
      <c r="AX72" s="117" t="s">
        <v>140</v>
      </c>
      <c r="AY72" s="36" t="s">
        <v>140</v>
      </c>
      <c r="AZ72" s="36" t="s">
        <v>140</v>
      </c>
      <c r="BA72" s="117"/>
      <c r="BB72" s="117"/>
      <c r="BC72" s="117"/>
      <c r="BD72" s="117" t="s">
        <v>140</v>
      </c>
      <c r="BE72" s="117" t="s">
        <v>140</v>
      </c>
      <c r="BF72" s="117" t="s">
        <v>141</v>
      </c>
      <c r="BG72" s="117" t="s">
        <v>140</v>
      </c>
      <c r="BH72" s="117"/>
      <c r="BI72" s="117"/>
      <c r="BJ72" s="117"/>
      <c r="BK72" s="117"/>
      <c r="BL72" s="117"/>
      <c r="BM72" s="117">
        <f t="shared" si="12"/>
        <v>6</v>
      </c>
      <c r="BN72" s="117">
        <f t="shared" si="13"/>
        <v>1</v>
      </c>
      <c r="BO72" s="117">
        <f t="shared" si="14"/>
        <v>3</v>
      </c>
      <c r="BP72" s="153">
        <f t="shared" si="15"/>
        <v>2</v>
      </c>
      <c r="BQ72" s="74" t="s">
        <v>502</v>
      </c>
      <c r="BR72" s="74" t="s">
        <v>258</v>
      </c>
      <c r="BS72" s="74"/>
    </row>
    <row r="73" spans="1:71" hidden="1">
      <c r="A73">
        <v>59</v>
      </c>
      <c r="B73" s="75">
        <v>45689.353310185186</v>
      </c>
      <c r="C73" s="78">
        <v>0.79027777777777775</v>
      </c>
      <c r="D73" s="7">
        <v>45689</v>
      </c>
      <c r="E73" s="7">
        <v>45686</v>
      </c>
      <c r="F73">
        <v>615</v>
      </c>
      <c r="G73">
        <v>59</v>
      </c>
      <c r="H73" t="s">
        <v>503</v>
      </c>
      <c r="I73" s="10" t="s">
        <v>503</v>
      </c>
      <c r="J73" s="69">
        <v>45689</v>
      </c>
      <c r="K73" s="97">
        <f t="shared" ref="K73:K78" si="16">MONTH($J73)</f>
        <v>2</v>
      </c>
      <c r="L73" s="97">
        <v>73</v>
      </c>
      <c r="M73" s="7" t="s">
        <v>181</v>
      </c>
      <c r="N73" s="7" t="s">
        <v>254</v>
      </c>
      <c r="O73" s="7" t="s">
        <v>146</v>
      </c>
      <c r="P73" s="7" t="s">
        <v>504</v>
      </c>
      <c r="Q73" s="100">
        <v>2</v>
      </c>
      <c r="R73" s="7" t="s">
        <v>158</v>
      </c>
      <c r="S73" s="7" t="s">
        <v>505</v>
      </c>
      <c r="T73" t="s">
        <v>506</v>
      </c>
      <c r="U73" t="s">
        <v>507</v>
      </c>
      <c r="V73" t="s">
        <v>146</v>
      </c>
      <c r="W73" t="s">
        <v>139</v>
      </c>
      <c r="X73" s="36" t="s">
        <v>140</v>
      </c>
      <c r="Y73" s="36" t="s">
        <v>141</v>
      </c>
      <c r="Z73" s="36" t="s">
        <v>141</v>
      </c>
      <c r="AA73" s="36" t="s">
        <v>141</v>
      </c>
      <c r="AB73" s="36" t="s">
        <v>140</v>
      </c>
      <c r="AC73" s="36" t="s">
        <v>140</v>
      </c>
      <c r="AD73" s="36" t="s">
        <v>140</v>
      </c>
      <c r="AE73" s="36" t="s">
        <v>140</v>
      </c>
      <c r="AF73" s="36" t="s">
        <v>140</v>
      </c>
      <c r="AG73" s="36" t="s">
        <v>140</v>
      </c>
      <c r="AH73" s="36" t="s">
        <v>140</v>
      </c>
      <c r="AI73" s="36" t="s">
        <v>140</v>
      </c>
      <c r="AJ73" s="36" t="s">
        <v>141</v>
      </c>
      <c r="AK73" s="117"/>
      <c r="AL73" s="36" t="s">
        <v>141</v>
      </c>
      <c r="AM73" s="36" t="s">
        <v>140</v>
      </c>
      <c r="AN73" s="36" t="s">
        <v>140</v>
      </c>
      <c r="AO73" s="36" t="s">
        <v>140</v>
      </c>
      <c r="AP73" s="36" t="s">
        <v>140</v>
      </c>
      <c r="AQ73" s="36" t="s">
        <v>140</v>
      </c>
      <c r="AR73" s="36" t="s">
        <v>141</v>
      </c>
      <c r="AS73" s="36" t="s">
        <v>141</v>
      </c>
      <c r="AT73" s="36" t="s">
        <v>141</v>
      </c>
      <c r="AU73" s="36" t="s">
        <v>140</v>
      </c>
      <c r="AV73" s="36" t="s">
        <v>140</v>
      </c>
      <c r="AW73" s="117" t="s">
        <v>140</v>
      </c>
      <c r="AX73" s="117" t="s">
        <v>140</v>
      </c>
      <c r="AY73" s="36" t="s">
        <v>140</v>
      </c>
      <c r="AZ73" s="36" t="s">
        <v>140</v>
      </c>
      <c r="BA73" s="117" t="s">
        <v>141</v>
      </c>
      <c r="BB73" s="117"/>
      <c r="BC73" s="117" t="s">
        <v>141</v>
      </c>
      <c r="BD73" s="117" t="s">
        <v>140</v>
      </c>
      <c r="BE73" s="117" t="s">
        <v>140</v>
      </c>
      <c r="BF73" s="117" t="s">
        <v>140</v>
      </c>
      <c r="BG73" s="117" t="s">
        <v>140</v>
      </c>
      <c r="BH73" s="117"/>
      <c r="BI73" s="117"/>
      <c r="BJ73" s="117"/>
      <c r="BK73" s="117"/>
      <c r="BL73" s="117"/>
      <c r="BM73" s="117">
        <f t="shared" si="12"/>
        <v>10</v>
      </c>
      <c r="BN73" s="117">
        <f t="shared" si="13"/>
        <v>3</v>
      </c>
      <c r="BO73" s="117">
        <f t="shared" si="14"/>
        <v>3</v>
      </c>
      <c r="BP73" s="153">
        <f t="shared" si="15"/>
        <v>7</v>
      </c>
      <c r="BQ73" s="74" t="s">
        <v>502</v>
      </c>
      <c r="BR73" s="74" t="s">
        <v>391</v>
      </c>
      <c r="BS73" s="74"/>
    </row>
    <row r="74" spans="1:71" hidden="1">
      <c r="A74">
        <v>60</v>
      </c>
      <c r="B74" s="75">
        <v>45691.004513888889</v>
      </c>
      <c r="C74" s="78">
        <v>0.46180555555555558</v>
      </c>
      <c r="D74" s="7">
        <v>45691</v>
      </c>
      <c r="E74" s="7">
        <v>45691</v>
      </c>
      <c r="F74">
        <v>616</v>
      </c>
      <c r="G74">
        <v>60</v>
      </c>
      <c r="H74" t="s">
        <v>508</v>
      </c>
      <c r="I74" s="10" t="s">
        <v>508</v>
      </c>
      <c r="J74" s="69">
        <v>45691</v>
      </c>
      <c r="K74" s="97">
        <f t="shared" si="16"/>
        <v>2</v>
      </c>
      <c r="L74" s="97">
        <v>74</v>
      </c>
      <c r="M74" s="7" t="s">
        <v>165</v>
      </c>
      <c r="N74" s="7" t="s">
        <v>234</v>
      </c>
      <c r="O74" s="7" t="s">
        <v>234</v>
      </c>
      <c r="Q74" s="100">
        <v>1</v>
      </c>
      <c r="R74" s="7" t="s">
        <v>135</v>
      </c>
      <c r="S74" s="7" t="s">
        <v>509</v>
      </c>
      <c r="T74" t="s">
        <v>510</v>
      </c>
      <c r="U74" t="s">
        <v>511</v>
      </c>
      <c r="V74" t="s">
        <v>234</v>
      </c>
      <c r="W74" t="s">
        <v>468</v>
      </c>
      <c r="X74" s="36" t="s">
        <v>140</v>
      </c>
      <c r="Y74" s="36" t="s">
        <v>140</v>
      </c>
      <c r="Z74" s="36" t="s">
        <v>140</v>
      </c>
      <c r="AA74" s="36" t="s">
        <v>140</v>
      </c>
      <c r="AB74" s="36" t="s">
        <v>140</v>
      </c>
      <c r="AC74" s="36" t="s">
        <v>140</v>
      </c>
      <c r="AD74" s="36" t="s">
        <v>140</v>
      </c>
      <c r="AE74" s="36" t="s">
        <v>140</v>
      </c>
      <c r="AF74" s="36" t="s">
        <v>141</v>
      </c>
      <c r="AG74" s="36" t="s">
        <v>140</v>
      </c>
      <c r="AH74" s="36" t="s">
        <v>140</v>
      </c>
      <c r="AI74" s="36" t="s">
        <v>140</v>
      </c>
      <c r="AJ74" s="36" t="s">
        <v>141</v>
      </c>
      <c r="AK74" s="117"/>
      <c r="AL74" s="36" t="s">
        <v>140</v>
      </c>
      <c r="AM74" s="36" t="s">
        <v>141</v>
      </c>
      <c r="AN74" s="36" t="s">
        <v>140</v>
      </c>
      <c r="AO74" s="36" t="s">
        <v>140</v>
      </c>
      <c r="AP74" s="36" t="s">
        <v>140</v>
      </c>
      <c r="AQ74" s="36" t="s">
        <v>140</v>
      </c>
      <c r="AR74" s="36" t="s">
        <v>140</v>
      </c>
      <c r="AS74" s="36" t="s">
        <v>141</v>
      </c>
      <c r="AT74" s="36" t="s">
        <v>141</v>
      </c>
      <c r="AU74" s="36" t="s">
        <v>141</v>
      </c>
      <c r="AV74" s="36" t="s">
        <v>141</v>
      </c>
      <c r="AW74" s="117" t="s">
        <v>140</v>
      </c>
      <c r="AX74" s="117" t="s">
        <v>140</v>
      </c>
      <c r="AY74" s="36" t="s">
        <v>140</v>
      </c>
      <c r="AZ74" s="36" t="s">
        <v>140</v>
      </c>
      <c r="BA74" s="117"/>
      <c r="BB74" s="117"/>
      <c r="BC74" s="117"/>
      <c r="BD74" s="117" t="s">
        <v>140</v>
      </c>
      <c r="BE74" s="117" t="s">
        <v>141</v>
      </c>
      <c r="BF74" s="117" t="s">
        <v>141</v>
      </c>
      <c r="BG74" s="117" t="s">
        <v>140</v>
      </c>
      <c r="BH74" s="117"/>
      <c r="BI74" s="117"/>
      <c r="BJ74" s="117"/>
      <c r="BK74" s="117"/>
      <c r="BL74" s="117"/>
      <c r="BM74" s="117">
        <f t="shared" si="12"/>
        <v>9</v>
      </c>
      <c r="BN74" s="117">
        <f t="shared" si="13"/>
        <v>3</v>
      </c>
      <c r="BO74" s="117">
        <f t="shared" si="14"/>
        <v>0</v>
      </c>
      <c r="BP74" s="153">
        <f t="shared" si="15"/>
        <v>7</v>
      </c>
      <c r="BQ74" s="74" t="s">
        <v>163</v>
      </c>
      <c r="BR74" s="74" t="s">
        <v>512</v>
      </c>
      <c r="BS74" s="74"/>
    </row>
    <row r="75" spans="1:71" hidden="1">
      <c r="A75">
        <v>61</v>
      </c>
      <c r="B75" s="75">
        <v>45691.88385416667</v>
      </c>
      <c r="C75" s="78">
        <v>0.41736111111111113</v>
      </c>
      <c r="D75" s="7">
        <v>45692</v>
      </c>
      <c r="E75" s="7">
        <v>45692</v>
      </c>
      <c r="F75">
        <v>617</v>
      </c>
      <c r="G75">
        <v>61</v>
      </c>
      <c r="H75" t="s">
        <v>513</v>
      </c>
      <c r="I75" s="10" t="s">
        <v>513</v>
      </c>
      <c r="J75" s="69">
        <v>45692</v>
      </c>
      <c r="K75" s="97">
        <f t="shared" si="16"/>
        <v>2</v>
      </c>
      <c r="L75" s="97">
        <v>75</v>
      </c>
      <c r="M75" s="7" t="s">
        <v>181</v>
      </c>
      <c r="N75" s="7" t="s">
        <v>490</v>
      </c>
      <c r="O75" s="7" t="s">
        <v>490</v>
      </c>
      <c r="P75" s="7" t="s">
        <v>514</v>
      </c>
      <c r="Q75" s="100">
        <v>1</v>
      </c>
      <c r="R75" s="7" t="s">
        <v>135</v>
      </c>
      <c r="S75" s="7" t="s">
        <v>515</v>
      </c>
      <c r="T75" t="s">
        <v>515</v>
      </c>
      <c r="U75" t="s">
        <v>516</v>
      </c>
      <c r="V75" t="s">
        <v>496</v>
      </c>
      <c r="W75" t="s">
        <v>207</v>
      </c>
      <c r="X75" s="36" t="s">
        <v>140</v>
      </c>
      <c r="Y75" s="36" t="s">
        <v>141</v>
      </c>
      <c r="Z75" s="36" t="s">
        <v>140</v>
      </c>
      <c r="AA75" s="36" t="s">
        <v>140</v>
      </c>
      <c r="AB75" s="36" t="s">
        <v>141</v>
      </c>
      <c r="AC75" s="36" t="s">
        <v>140</v>
      </c>
      <c r="AD75" s="36" t="s">
        <v>140</v>
      </c>
      <c r="AE75" s="36" t="s">
        <v>140</v>
      </c>
      <c r="AF75" s="36" t="s">
        <v>141</v>
      </c>
      <c r="AG75" s="36" t="s">
        <v>140</v>
      </c>
      <c r="AH75" s="36" t="s">
        <v>140</v>
      </c>
      <c r="AI75" s="36" t="s">
        <v>140</v>
      </c>
      <c r="AJ75" s="36" t="s">
        <v>140</v>
      </c>
      <c r="AK75" s="117" t="s">
        <v>141</v>
      </c>
      <c r="AL75" s="36" t="s">
        <v>140</v>
      </c>
      <c r="AM75" s="36" t="s">
        <v>141</v>
      </c>
      <c r="AN75" s="36" t="s">
        <v>141</v>
      </c>
      <c r="AO75" s="36" t="s">
        <v>140</v>
      </c>
      <c r="AP75" s="36" t="s">
        <v>140</v>
      </c>
      <c r="AQ75" s="36" t="s">
        <v>140</v>
      </c>
      <c r="AR75" s="36" t="s">
        <v>141</v>
      </c>
      <c r="AS75" s="36" t="s">
        <v>141</v>
      </c>
      <c r="AT75" s="36" t="s">
        <v>140</v>
      </c>
      <c r="AU75" s="36" t="s">
        <v>140</v>
      </c>
      <c r="AV75" s="36" t="s">
        <v>140</v>
      </c>
      <c r="AW75" s="117" t="s">
        <v>140</v>
      </c>
      <c r="AX75" s="117" t="s">
        <v>141</v>
      </c>
      <c r="AY75" s="36" t="s">
        <v>140</v>
      </c>
      <c r="AZ75" s="36" t="s">
        <v>140</v>
      </c>
      <c r="BA75" s="117"/>
      <c r="BB75" s="117"/>
      <c r="BC75" s="117"/>
      <c r="BD75" s="117" t="s">
        <v>140</v>
      </c>
      <c r="BE75" s="117" t="s">
        <v>140</v>
      </c>
      <c r="BF75" s="117" t="s">
        <v>140</v>
      </c>
      <c r="BG75" s="117" t="s">
        <v>140</v>
      </c>
      <c r="BH75" s="117"/>
      <c r="BI75" s="117"/>
      <c r="BJ75" s="117"/>
      <c r="BK75" s="117"/>
      <c r="BL75" s="117"/>
      <c r="BM75" s="117">
        <f t="shared" si="12"/>
        <v>9</v>
      </c>
      <c r="BN75" s="117">
        <f t="shared" si="13"/>
        <v>5</v>
      </c>
      <c r="BO75" s="117">
        <f t="shared" si="14"/>
        <v>2</v>
      </c>
      <c r="BP75" s="153">
        <f t="shared" si="15"/>
        <v>7</v>
      </c>
      <c r="BQ75" s="74" t="s">
        <v>517</v>
      </c>
      <c r="BR75" s="74" t="s">
        <v>518</v>
      </c>
      <c r="BS75" s="74"/>
    </row>
    <row r="76" spans="1:71" hidden="1">
      <c r="A76">
        <v>62</v>
      </c>
      <c r="B76" s="75">
        <v>45693.10869212963</v>
      </c>
      <c r="C76" s="78">
        <v>0.64166666666666672</v>
      </c>
      <c r="D76" s="7">
        <v>45693</v>
      </c>
      <c r="E76" s="7">
        <v>45691</v>
      </c>
      <c r="F76">
        <v>618</v>
      </c>
      <c r="G76">
        <v>62</v>
      </c>
      <c r="H76" t="s">
        <v>519</v>
      </c>
      <c r="I76" s="10" t="s">
        <v>519</v>
      </c>
      <c r="J76" s="69">
        <v>45693</v>
      </c>
      <c r="K76" s="97">
        <f t="shared" si="16"/>
        <v>2</v>
      </c>
      <c r="L76" s="97">
        <v>76</v>
      </c>
      <c r="M76" s="7" t="s">
        <v>155</v>
      </c>
      <c r="N76" s="7" t="s">
        <v>156</v>
      </c>
      <c r="O76" s="7" t="s">
        <v>156</v>
      </c>
      <c r="P76" s="7" t="s">
        <v>520</v>
      </c>
      <c r="Q76" s="100">
        <v>1</v>
      </c>
      <c r="R76" s="7" t="s">
        <v>135</v>
      </c>
      <c r="S76" s="7" t="s">
        <v>521</v>
      </c>
      <c r="T76" t="s">
        <v>522</v>
      </c>
      <c r="U76" t="s">
        <v>523</v>
      </c>
      <c r="V76" t="s">
        <v>162</v>
      </c>
      <c r="W76" t="s">
        <v>524</v>
      </c>
      <c r="X76" s="36" t="s">
        <v>140</v>
      </c>
      <c r="Y76" s="36" t="s">
        <v>140</v>
      </c>
      <c r="Z76" s="36" t="s">
        <v>140</v>
      </c>
      <c r="AA76" s="36" t="s">
        <v>140</v>
      </c>
      <c r="AB76" s="36" t="s">
        <v>140</v>
      </c>
      <c r="AC76" s="36" t="s">
        <v>140</v>
      </c>
      <c r="AD76" s="36" t="s">
        <v>140</v>
      </c>
      <c r="AE76" s="36" t="s">
        <v>140</v>
      </c>
      <c r="AF76" s="36" t="s">
        <v>140</v>
      </c>
      <c r="AG76" s="36" t="s">
        <v>141</v>
      </c>
      <c r="AH76" s="36" t="s">
        <v>141</v>
      </c>
      <c r="AI76" s="36" t="s">
        <v>140</v>
      </c>
      <c r="AJ76" s="36" t="s">
        <v>140</v>
      </c>
      <c r="AK76" s="117" t="s">
        <v>141</v>
      </c>
      <c r="AL76" s="36" t="s">
        <v>140</v>
      </c>
      <c r="AM76" s="36" t="s">
        <v>141</v>
      </c>
      <c r="AN76" s="36" t="s">
        <v>140</v>
      </c>
      <c r="AO76" s="36" t="s">
        <v>140</v>
      </c>
      <c r="AP76" s="36" t="s">
        <v>140</v>
      </c>
      <c r="AQ76" s="36" t="s">
        <v>140</v>
      </c>
      <c r="AR76" s="36" t="s">
        <v>140</v>
      </c>
      <c r="AS76" s="36" t="s">
        <v>140</v>
      </c>
      <c r="AT76" s="36" t="s">
        <v>140</v>
      </c>
      <c r="AU76" s="36" t="s">
        <v>140</v>
      </c>
      <c r="AV76" s="36" t="s">
        <v>141</v>
      </c>
      <c r="AW76" s="117" t="s">
        <v>140</v>
      </c>
      <c r="AX76" s="117" t="s">
        <v>141</v>
      </c>
      <c r="AY76" s="36" t="s">
        <v>140</v>
      </c>
      <c r="AZ76" s="36" t="s">
        <v>140</v>
      </c>
      <c r="BA76" s="117"/>
      <c r="BB76" s="117" t="s">
        <v>141</v>
      </c>
      <c r="BC76" s="117"/>
      <c r="BD76" s="117" t="s">
        <v>140</v>
      </c>
      <c r="BE76" s="117" t="s">
        <v>140</v>
      </c>
      <c r="BF76" s="117" t="s">
        <v>141</v>
      </c>
      <c r="BG76" s="117" t="s">
        <v>140</v>
      </c>
      <c r="BH76" s="117"/>
      <c r="BI76" s="117"/>
      <c r="BJ76" s="117"/>
      <c r="BK76" s="117"/>
      <c r="BL76" s="117"/>
      <c r="BM76" s="117">
        <f t="shared" si="12"/>
        <v>8</v>
      </c>
      <c r="BN76" s="117">
        <f t="shared" si="13"/>
        <v>3</v>
      </c>
      <c r="BO76" s="117">
        <f t="shared" si="14"/>
        <v>0</v>
      </c>
      <c r="BP76" s="153">
        <f t="shared" si="15"/>
        <v>7</v>
      </c>
      <c r="BQ76" s="74" t="s">
        <v>525</v>
      </c>
      <c r="BR76" s="74" t="s">
        <v>526</v>
      </c>
      <c r="BS76" s="74"/>
    </row>
    <row r="77" spans="1:71" hidden="1">
      <c r="A77">
        <v>63</v>
      </c>
      <c r="B77" s="75">
        <v>45694.629131944443</v>
      </c>
      <c r="C77" s="78">
        <v>8.3333333333333329E-2</v>
      </c>
      <c r="D77" s="7">
        <v>45695</v>
      </c>
      <c r="E77" s="7">
        <v>45695</v>
      </c>
      <c r="F77">
        <v>619</v>
      </c>
      <c r="G77">
        <v>63</v>
      </c>
      <c r="H77" t="s">
        <v>527</v>
      </c>
      <c r="I77" s="10" t="s">
        <v>527</v>
      </c>
      <c r="J77" s="69">
        <v>45695</v>
      </c>
      <c r="K77" s="97">
        <f t="shared" si="16"/>
        <v>2</v>
      </c>
      <c r="L77" s="97">
        <v>77</v>
      </c>
      <c r="M77" s="7" t="s">
        <v>165</v>
      </c>
      <c r="N77" s="7" t="s">
        <v>234</v>
      </c>
      <c r="O77" s="7" t="s">
        <v>234</v>
      </c>
      <c r="P77" s="7" t="s">
        <v>528</v>
      </c>
      <c r="Q77" s="100">
        <v>3</v>
      </c>
      <c r="R77" s="7" t="s">
        <v>184</v>
      </c>
      <c r="S77" s="7" t="s">
        <v>529</v>
      </c>
      <c r="T77" t="s">
        <v>530</v>
      </c>
      <c r="U77" t="s">
        <v>531</v>
      </c>
      <c r="V77" t="s">
        <v>234</v>
      </c>
      <c r="W77" t="s">
        <v>170</v>
      </c>
      <c r="X77" s="36" t="s">
        <v>141</v>
      </c>
      <c r="Y77" s="36" t="s">
        <v>140</v>
      </c>
      <c r="Z77" s="36" t="s">
        <v>140</v>
      </c>
      <c r="AA77" s="36" t="s">
        <v>141</v>
      </c>
      <c r="AB77" s="36" t="s">
        <v>140</v>
      </c>
      <c r="AC77" s="36" t="s">
        <v>140</v>
      </c>
      <c r="AD77" s="36" t="s">
        <v>140</v>
      </c>
      <c r="AE77" s="36" t="s">
        <v>140</v>
      </c>
      <c r="AF77" s="36" t="s">
        <v>140</v>
      </c>
      <c r="AG77" s="36" t="s">
        <v>141</v>
      </c>
      <c r="AH77" s="36" t="s">
        <v>141</v>
      </c>
      <c r="AI77" s="36" t="s">
        <v>141</v>
      </c>
      <c r="AJ77" s="36" t="s">
        <v>141</v>
      </c>
      <c r="AK77" s="117"/>
      <c r="AL77" s="36" t="s">
        <v>140</v>
      </c>
      <c r="AM77" s="36" t="s">
        <v>140</v>
      </c>
      <c r="AN77" s="36" t="s">
        <v>140</v>
      </c>
      <c r="AO77" s="36" t="s">
        <v>140</v>
      </c>
      <c r="AP77" s="36" t="s">
        <v>140</v>
      </c>
      <c r="AQ77" s="36" t="s">
        <v>140</v>
      </c>
      <c r="AR77" s="36" t="s">
        <v>141</v>
      </c>
      <c r="AS77" s="36" t="s">
        <v>141</v>
      </c>
      <c r="AT77" s="36" t="s">
        <v>140</v>
      </c>
      <c r="AU77" s="36" t="s">
        <v>140</v>
      </c>
      <c r="AV77" s="36" t="s">
        <v>141</v>
      </c>
      <c r="AW77" s="117" t="s">
        <v>140</v>
      </c>
      <c r="AX77" s="117" t="s">
        <v>140</v>
      </c>
      <c r="AY77" s="36" t="s">
        <v>140</v>
      </c>
      <c r="AZ77" s="36" t="s">
        <v>140</v>
      </c>
      <c r="BA77" s="117" t="s">
        <v>141</v>
      </c>
      <c r="BB77" s="117"/>
      <c r="BC77" s="117" t="s">
        <v>141</v>
      </c>
      <c r="BD77" s="117" t="s">
        <v>140</v>
      </c>
      <c r="BE77" s="117" t="s">
        <v>140</v>
      </c>
      <c r="BF77" s="117" t="s">
        <v>141</v>
      </c>
      <c r="BG77" s="117" t="s">
        <v>140</v>
      </c>
      <c r="BH77" s="117"/>
      <c r="BI77" s="117"/>
      <c r="BJ77" s="117"/>
      <c r="BK77" s="117"/>
      <c r="BL77" s="117"/>
      <c r="BM77" s="117">
        <f t="shared" si="12"/>
        <v>12</v>
      </c>
      <c r="BN77" s="117">
        <f t="shared" si="13"/>
        <v>4</v>
      </c>
      <c r="BO77" s="117">
        <f t="shared" si="14"/>
        <v>2</v>
      </c>
      <c r="BP77" s="153">
        <f t="shared" si="15"/>
        <v>9</v>
      </c>
      <c r="BQ77" s="74" t="s">
        <v>532</v>
      </c>
      <c r="BR77" s="74" t="s">
        <v>533</v>
      </c>
      <c r="BS77" s="74"/>
    </row>
    <row r="78" spans="1:71" hidden="1">
      <c r="A78">
        <v>64</v>
      </c>
      <c r="B78" s="75">
        <v>45695.196319444447</v>
      </c>
      <c r="C78" s="78">
        <v>0.71875</v>
      </c>
      <c r="D78" s="7">
        <v>45695</v>
      </c>
      <c r="E78" s="7">
        <v>45695</v>
      </c>
      <c r="F78">
        <v>620</v>
      </c>
      <c r="G78">
        <v>64</v>
      </c>
      <c r="H78" t="s">
        <v>534</v>
      </c>
      <c r="I78" s="10" t="s">
        <v>534</v>
      </c>
      <c r="J78" s="69">
        <v>45695</v>
      </c>
      <c r="K78" s="97">
        <f t="shared" si="16"/>
        <v>2</v>
      </c>
      <c r="L78" s="97">
        <v>78</v>
      </c>
      <c r="M78" s="7" t="s">
        <v>145</v>
      </c>
      <c r="N78" s="7" t="s">
        <v>146</v>
      </c>
      <c r="O78" s="7" t="s">
        <v>146</v>
      </c>
      <c r="Q78" s="100">
        <v>1</v>
      </c>
      <c r="R78" s="7" t="s">
        <v>135</v>
      </c>
      <c r="S78" s="7" t="s">
        <v>535</v>
      </c>
      <c r="T78" t="s">
        <v>536</v>
      </c>
      <c r="U78" t="s">
        <v>537</v>
      </c>
      <c r="V78" t="s">
        <v>146</v>
      </c>
      <c r="W78" t="s">
        <v>170</v>
      </c>
      <c r="X78" s="36" t="s">
        <v>141</v>
      </c>
      <c r="Y78" s="36" t="s">
        <v>140</v>
      </c>
      <c r="Z78" s="36" t="s">
        <v>140</v>
      </c>
      <c r="AA78" s="36" t="s">
        <v>141</v>
      </c>
      <c r="AB78" s="36" t="s">
        <v>140</v>
      </c>
      <c r="AC78" s="36" t="s">
        <v>140</v>
      </c>
      <c r="AD78" s="36" t="s">
        <v>140</v>
      </c>
      <c r="AE78" s="36" t="s">
        <v>140</v>
      </c>
      <c r="AF78" s="36" t="s">
        <v>140</v>
      </c>
      <c r="AG78" s="36" t="s">
        <v>141</v>
      </c>
      <c r="AH78" s="36" t="s">
        <v>141</v>
      </c>
      <c r="AI78" s="36" t="s">
        <v>141</v>
      </c>
      <c r="AJ78" s="36" t="s">
        <v>141</v>
      </c>
      <c r="AK78" s="117" t="s">
        <v>141</v>
      </c>
      <c r="AL78" s="36" t="s">
        <v>141</v>
      </c>
      <c r="AM78" s="36" t="s">
        <v>140</v>
      </c>
      <c r="AN78" s="36" t="s">
        <v>140</v>
      </c>
      <c r="AO78" s="36" t="s">
        <v>140</v>
      </c>
      <c r="AP78" s="36" t="s">
        <v>141</v>
      </c>
      <c r="AQ78" s="36" t="s">
        <v>140</v>
      </c>
      <c r="AR78" s="36" t="s">
        <v>140</v>
      </c>
      <c r="AS78" s="36" t="s">
        <v>140</v>
      </c>
      <c r="AT78" s="36" t="s">
        <v>141</v>
      </c>
      <c r="AU78" s="36" t="s">
        <v>140</v>
      </c>
      <c r="AV78" s="36" t="s">
        <v>141</v>
      </c>
      <c r="AW78" s="117" t="s">
        <v>140</v>
      </c>
      <c r="AX78" s="117" t="s">
        <v>140</v>
      </c>
      <c r="AY78" s="36" t="s">
        <v>140</v>
      </c>
      <c r="AZ78" s="36" t="s">
        <v>140</v>
      </c>
      <c r="BA78" s="117"/>
      <c r="BB78" s="117" t="s">
        <v>141</v>
      </c>
      <c r="BC78" s="117"/>
      <c r="BD78" s="117" t="s">
        <v>140</v>
      </c>
      <c r="BE78" s="117" t="s">
        <v>140</v>
      </c>
      <c r="BF78" s="117" t="s">
        <v>140</v>
      </c>
      <c r="BG78" s="117" t="s">
        <v>140</v>
      </c>
      <c r="BH78" s="117"/>
      <c r="BI78" s="117"/>
      <c r="BJ78" s="117"/>
      <c r="BK78" s="117"/>
      <c r="BL78" s="117"/>
      <c r="BM78" s="117">
        <f t="shared" si="12"/>
        <v>12</v>
      </c>
      <c r="BN78" s="117">
        <f t="shared" si="13"/>
        <v>3</v>
      </c>
      <c r="BO78" s="117">
        <f t="shared" si="14"/>
        <v>2</v>
      </c>
      <c r="BP78" s="153">
        <f t="shared" si="15"/>
        <v>10</v>
      </c>
      <c r="BQ78" s="74" t="s">
        <v>178</v>
      </c>
      <c r="BR78" s="74" t="s">
        <v>538</v>
      </c>
      <c r="BS78" s="74"/>
    </row>
    <row r="79" spans="1:71" hidden="1">
      <c r="A79">
        <v>65</v>
      </c>
      <c r="B79" s="75">
        <v>45695.270300925928</v>
      </c>
      <c r="C79" s="78">
        <v>0.78333333333333333</v>
      </c>
      <c r="D79" s="7">
        <v>45695</v>
      </c>
      <c r="E79" s="7">
        <v>45695</v>
      </c>
      <c r="F79">
        <v>621</v>
      </c>
      <c r="G79">
        <v>65</v>
      </c>
      <c r="H79" t="s">
        <v>539</v>
      </c>
      <c r="I79" s="10" t="s">
        <v>539</v>
      </c>
      <c r="J79" s="69">
        <v>45695</v>
      </c>
      <c r="K79" s="97">
        <f t="shared" ref="K79:K88" si="17">MONTH($J79)</f>
        <v>2</v>
      </c>
      <c r="L79" s="97">
        <v>79</v>
      </c>
      <c r="M79" s="7" t="s">
        <v>145</v>
      </c>
      <c r="N79" s="7" t="s">
        <v>146</v>
      </c>
      <c r="O79" s="7" t="s">
        <v>146</v>
      </c>
      <c r="Q79" s="100">
        <v>1</v>
      </c>
      <c r="R79" s="7" t="s">
        <v>135</v>
      </c>
      <c r="S79" s="7" t="s">
        <v>535</v>
      </c>
      <c r="T79" t="s">
        <v>540</v>
      </c>
      <c r="U79" t="s">
        <v>537</v>
      </c>
      <c r="V79" t="s">
        <v>146</v>
      </c>
      <c r="W79" t="s">
        <v>139</v>
      </c>
      <c r="X79" s="36" t="s">
        <v>141</v>
      </c>
      <c r="Y79" s="36" t="s">
        <v>141</v>
      </c>
      <c r="Z79" s="36" t="s">
        <v>140</v>
      </c>
      <c r="AA79" s="36" t="s">
        <v>141</v>
      </c>
      <c r="AB79" s="36" t="s">
        <v>140</v>
      </c>
      <c r="AC79" s="36" t="s">
        <v>140</v>
      </c>
      <c r="AD79" s="36" t="s">
        <v>140</v>
      </c>
      <c r="AE79" s="36" t="s">
        <v>140</v>
      </c>
      <c r="AF79" s="36" t="s">
        <v>140</v>
      </c>
      <c r="AG79" s="36" t="s">
        <v>141</v>
      </c>
      <c r="AH79" s="36" t="s">
        <v>141</v>
      </c>
      <c r="AI79" s="36" t="s">
        <v>140</v>
      </c>
      <c r="AJ79" s="36" t="s">
        <v>141</v>
      </c>
      <c r="AK79" s="117" t="s">
        <v>141</v>
      </c>
      <c r="AL79" s="36" t="s">
        <v>141</v>
      </c>
      <c r="AM79" s="36" t="s">
        <v>140</v>
      </c>
      <c r="AN79" s="36" t="s">
        <v>140</v>
      </c>
      <c r="AO79" s="36" t="s">
        <v>140</v>
      </c>
      <c r="AP79" s="36" t="s">
        <v>141</v>
      </c>
      <c r="AQ79" s="36" t="s">
        <v>140</v>
      </c>
      <c r="AR79" s="36" t="s">
        <v>140</v>
      </c>
      <c r="AS79" s="36" t="s">
        <v>140</v>
      </c>
      <c r="AT79" s="36" t="s">
        <v>141</v>
      </c>
      <c r="AU79" s="36" t="s">
        <v>141</v>
      </c>
      <c r="AV79" s="36" t="s">
        <v>141</v>
      </c>
      <c r="AW79" s="117" t="s">
        <v>140</v>
      </c>
      <c r="AX79" s="117" t="s">
        <v>140</v>
      </c>
      <c r="AY79" s="36" t="s">
        <v>140</v>
      </c>
      <c r="AZ79" s="36" t="s">
        <v>140</v>
      </c>
      <c r="BA79" s="117"/>
      <c r="BB79" s="117" t="s">
        <v>141</v>
      </c>
      <c r="BC79" s="117"/>
      <c r="BD79" s="117" t="s">
        <v>140</v>
      </c>
      <c r="BE79" s="117" t="s">
        <v>140</v>
      </c>
      <c r="BF79" s="117" t="s">
        <v>140</v>
      </c>
      <c r="BG79" s="117" t="s">
        <v>141</v>
      </c>
      <c r="BH79" s="117"/>
      <c r="BI79" s="117"/>
      <c r="BJ79" s="117"/>
      <c r="BK79" s="117"/>
      <c r="BL79" s="117"/>
      <c r="BM79" s="117">
        <f t="shared" si="12"/>
        <v>13</v>
      </c>
      <c r="BN79" s="117">
        <f t="shared" si="13"/>
        <v>3</v>
      </c>
      <c r="BO79" s="117">
        <f t="shared" si="14"/>
        <v>3</v>
      </c>
      <c r="BP79" s="153">
        <f t="shared" si="15"/>
        <v>10</v>
      </c>
      <c r="BQ79" s="74" t="s">
        <v>541</v>
      </c>
      <c r="BR79" s="74" t="s">
        <v>542</v>
      </c>
      <c r="BS79" s="74"/>
    </row>
    <row r="80" spans="1:71" hidden="1">
      <c r="A80">
        <v>66</v>
      </c>
      <c r="B80" s="75">
        <v>45695.390706018516</v>
      </c>
      <c r="C80" s="78">
        <v>0.90694444444444444</v>
      </c>
      <c r="D80" s="7">
        <v>45695</v>
      </c>
      <c r="E80" s="7">
        <v>45695</v>
      </c>
      <c r="F80">
        <v>622</v>
      </c>
      <c r="G80">
        <v>66</v>
      </c>
      <c r="H80" t="s">
        <v>543</v>
      </c>
      <c r="I80" s="10" t="s">
        <v>543</v>
      </c>
      <c r="J80" s="69">
        <v>45695</v>
      </c>
      <c r="K80" s="97">
        <f t="shared" si="17"/>
        <v>2</v>
      </c>
      <c r="L80" s="97">
        <v>80</v>
      </c>
      <c r="M80" s="7" t="s">
        <v>196</v>
      </c>
      <c r="N80" s="7" t="s">
        <v>197</v>
      </c>
      <c r="O80" s="7" t="s">
        <v>197</v>
      </c>
      <c r="Q80" s="100">
        <v>1</v>
      </c>
      <c r="R80" s="7" t="s">
        <v>158</v>
      </c>
      <c r="S80" s="7" t="s">
        <v>544</v>
      </c>
      <c r="T80" t="s">
        <v>545</v>
      </c>
      <c r="U80" t="s">
        <v>546</v>
      </c>
      <c r="V80" t="s">
        <v>200</v>
      </c>
      <c r="W80" t="s">
        <v>139</v>
      </c>
      <c r="X80" s="36" t="s">
        <v>141</v>
      </c>
      <c r="Y80" s="36" t="s">
        <v>141</v>
      </c>
      <c r="Z80" s="36" t="s">
        <v>140</v>
      </c>
      <c r="AA80" s="36" t="s">
        <v>141</v>
      </c>
      <c r="AB80" s="36" t="s">
        <v>140</v>
      </c>
      <c r="AC80" s="36" t="s">
        <v>140</v>
      </c>
      <c r="AD80" s="36" t="s">
        <v>140</v>
      </c>
      <c r="AE80" s="36" t="s">
        <v>140</v>
      </c>
      <c r="AF80" s="36" t="s">
        <v>140</v>
      </c>
      <c r="AG80" s="36" t="s">
        <v>141</v>
      </c>
      <c r="AH80" s="36" t="s">
        <v>140</v>
      </c>
      <c r="AI80" s="36" t="s">
        <v>140</v>
      </c>
      <c r="AJ80" s="36" t="s">
        <v>140</v>
      </c>
      <c r="AK80" s="117" t="s">
        <v>141</v>
      </c>
      <c r="AL80" s="36" t="s">
        <v>140</v>
      </c>
      <c r="AM80" s="36" t="s">
        <v>141</v>
      </c>
      <c r="AN80" s="36" t="s">
        <v>140</v>
      </c>
      <c r="AO80" s="36" t="s">
        <v>140</v>
      </c>
      <c r="AP80" s="36" t="s">
        <v>141</v>
      </c>
      <c r="AQ80" s="36" t="s">
        <v>140</v>
      </c>
      <c r="AR80" s="36" t="s">
        <v>140</v>
      </c>
      <c r="AS80" s="36" t="s">
        <v>140</v>
      </c>
      <c r="AT80" s="36" t="s">
        <v>141</v>
      </c>
      <c r="AU80" s="36" t="s">
        <v>141</v>
      </c>
      <c r="AV80" s="36" t="s">
        <v>141</v>
      </c>
      <c r="AW80" s="117" t="s">
        <v>140</v>
      </c>
      <c r="AX80" s="117" t="s">
        <v>141</v>
      </c>
      <c r="AY80" s="36" t="s">
        <v>140</v>
      </c>
      <c r="AZ80" s="36" t="s">
        <v>140</v>
      </c>
      <c r="BA80" s="117"/>
      <c r="BB80" s="117" t="s">
        <v>141</v>
      </c>
      <c r="BC80" s="117"/>
      <c r="BD80" s="117" t="s">
        <v>141</v>
      </c>
      <c r="BE80" s="117" t="s">
        <v>140</v>
      </c>
      <c r="BF80" s="117" t="s">
        <v>140</v>
      </c>
      <c r="BG80" s="117" t="s">
        <v>140</v>
      </c>
      <c r="BH80" s="117"/>
      <c r="BI80" s="117"/>
      <c r="BJ80" s="117"/>
      <c r="BK80" s="117"/>
      <c r="BL80" s="117"/>
      <c r="BM80" s="117">
        <f t="shared" si="12"/>
        <v>13</v>
      </c>
      <c r="BN80" s="117">
        <f t="shared" si="13"/>
        <v>3</v>
      </c>
      <c r="BO80" s="117">
        <f t="shared" si="14"/>
        <v>3</v>
      </c>
      <c r="BP80" s="153">
        <f t="shared" si="15"/>
        <v>9</v>
      </c>
      <c r="BQ80" s="74" t="s">
        <v>547</v>
      </c>
      <c r="BR80" s="74" t="s">
        <v>548</v>
      </c>
      <c r="BS80" s="74"/>
    </row>
    <row r="81" spans="1:71" hidden="1">
      <c r="A81">
        <v>67</v>
      </c>
      <c r="B81" s="75">
        <v>45695.550763888888</v>
      </c>
      <c r="C81" s="78">
        <v>5.8333333333333334E-2</v>
      </c>
      <c r="D81" s="7">
        <v>45696</v>
      </c>
      <c r="E81" s="7">
        <v>45696</v>
      </c>
      <c r="F81">
        <v>623</v>
      </c>
      <c r="G81">
        <v>67</v>
      </c>
      <c r="H81" t="s">
        <v>549</v>
      </c>
      <c r="I81" s="10" t="s">
        <v>549</v>
      </c>
      <c r="J81" s="69">
        <v>45696</v>
      </c>
      <c r="K81" s="97">
        <f t="shared" si="17"/>
        <v>2</v>
      </c>
      <c r="L81" s="97">
        <v>81</v>
      </c>
      <c r="M81" s="7" t="s">
        <v>133</v>
      </c>
      <c r="N81" s="7" t="s">
        <v>134</v>
      </c>
      <c r="O81" s="7" t="s">
        <v>134</v>
      </c>
      <c r="Q81" s="100">
        <v>1</v>
      </c>
      <c r="R81" s="7" t="s">
        <v>135</v>
      </c>
      <c r="S81" s="7" t="s">
        <v>550</v>
      </c>
      <c r="T81" t="s">
        <v>551</v>
      </c>
      <c r="U81" t="s">
        <v>552</v>
      </c>
      <c r="V81" t="s">
        <v>138</v>
      </c>
      <c r="W81" t="s">
        <v>139</v>
      </c>
      <c r="X81" s="36" t="s">
        <v>141</v>
      </c>
      <c r="Y81" s="36" t="s">
        <v>140</v>
      </c>
      <c r="Z81" s="36" t="s">
        <v>140</v>
      </c>
      <c r="AA81" s="36" t="s">
        <v>141</v>
      </c>
      <c r="AB81" s="36" t="s">
        <v>140</v>
      </c>
      <c r="AC81" s="36" t="s">
        <v>140</v>
      </c>
      <c r="AD81" s="36" t="s">
        <v>140</v>
      </c>
      <c r="AE81" s="36" t="s">
        <v>140</v>
      </c>
      <c r="AF81" s="36" t="s">
        <v>140</v>
      </c>
      <c r="AG81" s="36" t="s">
        <v>141</v>
      </c>
      <c r="AH81" s="36" t="s">
        <v>140</v>
      </c>
      <c r="AI81" s="36" t="s">
        <v>140</v>
      </c>
      <c r="AJ81" s="36" t="s">
        <v>140</v>
      </c>
      <c r="AK81" s="117" t="s">
        <v>141</v>
      </c>
      <c r="AL81" s="36" t="s">
        <v>140</v>
      </c>
      <c r="AM81" s="36" t="s">
        <v>140</v>
      </c>
      <c r="AN81" s="36" t="s">
        <v>140</v>
      </c>
      <c r="AO81" s="36" t="s">
        <v>140</v>
      </c>
      <c r="AP81" s="36" t="s">
        <v>141</v>
      </c>
      <c r="AQ81" s="36" t="s">
        <v>140</v>
      </c>
      <c r="AR81" s="36" t="s">
        <v>140</v>
      </c>
      <c r="AS81" s="36" t="s">
        <v>140</v>
      </c>
      <c r="AT81" s="36" t="s">
        <v>141</v>
      </c>
      <c r="AU81" s="36" t="s">
        <v>140</v>
      </c>
      <c r="AV81" s="36" t="s">
        <v>141</v>
      </c>
      <c r="AW81" s="117" t="s">
        <v>140</v>
      </c>
      <c r="AX81" s="117" t="s">
        <v>141</v>
      </c>
      <c r="AY81" s="36" t="s">
        <v>140</v>
      </c>
      <c r="AZ81" s="36" t="s">
        <v>140</v>
      </c>
      <c r="BA81" s="117" t="s">
        <v>141</v>
      </c>
      <c r="BB81" s="117" t="s">
        <v>141</v>
      </c>
      <c r="BC81" s="117"/>
      <c r="BD81" s="117" t="s">
        <v>140</v>
      </c>
      <c r="BE81" s="117" t="s">
        <v>140</v>
      </c>
      <c r="BF81" s="117" t="s">
        <v>140</v>
      </c>
      <c r="BG81" s="117" t="s">
        <v>141</v>
      </c>
      <c r="BH81" s="117"/>
      <c r="BI81" s="117"/>
      <c r="BJ81" s="117"/>
      <c r="BK81" s="117"/>
      <c r="BL81" s="117"/>
      <c r="BM81" s="117">
        <f t="shared" si="12"/>
        <v>10</v>
      </c>
      <c r="BN81" s="117">
        <f t="shared" si="13"/>
        <v>2</v>
      </c>
      <c r="BO81" s="117">
        <f t="shared" si="14"/>
        <v>2</v>
      </c>
      <c r="BP81" s="153">
        <f t="shared" si="15"/>
        <v>8</v>
      </c>
      <c r="BQ81" s="74" t="s">
        <v>163</v>
      </c>
      <c r="BR81" s="74" t="s">
        <v>553</v>
      </c>
      <c r="BS81" s="74"/>
    </row>
    <row r="82" spans="1:71" hidden="1">
      <c r="A82">
        <v>68</v>
      </c>
      <c r="B82" s="75">
        <v>45696.116354166668</v>
      </c>
      <c r="C82" s="78">
        <v>0.65138888888888891</v>
      </c>
      <c r="D82" s="7">
        <v>45696</v>
      </c>
      <c r="E82" s="7">
        <v>45696</v>
      </c>
      <c r="F82">
        <v>624</v>
      </c>
      <c r="G82">
        <v>68</v>
      </c>
      <c r="H82" t="s">
        <v>554</v>
      </c>
      <c r="I82" s="10" t="s">
        <v>554</v>
      </c>
      <c r="J82" s="69">
        <v>45696</v>
      </c>
      <c r="K82" s="97">
        <f t="shared" si="17"/>
        <v>2</v>
      </c>
      <c r="L82" s="97">
        <v>82</v>
      </c>
      <c r="M82" s="7" t="s">
        <v>145</v>
      </c>
      <c r="N82" s="7" t="s">
        <v>146</v>
      </c>
      <c r="O82" s="7" t="s">
        <v>146</v>
      </c>
      <c r="Q82" s="100">
        <v>1</v>
      </c>
      <c r="R82" s="7" t="s">
        <v>493</v>
      </c>
      <c r="S82" s="7" t="s">
        <v>555</v>
      </c>
      <c r="T82" t="s">
        <v>556</v>
      </c>
      <c r="U82" t="s">
        <v>557</v>
      </c>
      <c r="V82" t="s">
        <v>558</v>
      </c>
      <c r="W82" t="s">
        <v>559</v>
      </c>
      <c r="X82" s="36" t="s">
        <v>141</v>
      </c>
      <c r="Y82" s="36" t="s">
        <v>140</v>
      </c>
      <c r="Z82" s="36" t="s">
        <v>140</v>
      </c>
      <c r="AA82" s="36" t="s">
        <v>141</v>
      </c>
      <c r="AB82" s="36" t="s">
        <v>140</v>
      </c>
      <c r="AC82" s="36" t="s">
        <v>140</v>
      </c>
      <c r="AD82" s="36" t="s">
        <v>140</v>
      </c>
      <c r="AE82" s="36" t="s">
        <v>140</v>
      </c>
      <c r="AF82" s="36" t="s">
        <v>140</v>
      </c>
      <c r="AG82" s="36" t="s">
        <v>140</v>
      </c>
      <c r="AH82" s="36" t="s">
        <v>141</v>
      </c>
      <c r="AI82" s="36" t="s">
        <v>141</v>
      </c>
      <c r="AJ82" s="36" t="s">
        <v>141</v>
      </c>
      <c r="AK82" s="117" t="s">
        <v>141</v>
      </c>
      <c r="AL82" s="36" t="s">
        <v>140</v>
      </c>
      <c r="AM82" s="36" t="s">
        <v>140</v>
      </c>
      <c r="AN82" s="36" t="s">
        <v>140</v>
      </c>
      <c r="AO82" s="36" t="s">
        <v>141</v>
      </c>
      <c r="AP82" s="36" t="s">
        <v>140</v>
      </c>
      <c r="AQ82" s="36" t="s">
        <v>140</v>
      </c>
      <c r="AR82" s="36" t="s">
        <v>141</v>
      </c>
      <c r="AS82" s="36" t="s">
        <v>140</v>
      </c>
      <c r="AT82" s="36" t="s">
        <v>140</v>
      </c>
      <c r="AU82" s="36" t="s">
        <v>140</v>
      </c>
      <c r="AV82" s="36" t="s">
        <v>141</v>
      </c>
      <c r="AW82" s="117" t="s">
        <v>140</v>
      </c>
      <c r="AX82" s="117" t="s">
        <v>140</v>
      </c>
      <c r="AY82" s="36" t="s">
        <v>140</v>
      </c>
      <c r="AZ82" s="36" t="s">
        <v>140</v>
      </c>
      <c r="BA82" s="117" t="s">
        <v>141</v>
      </c>
      <c r="BB82" s="117"/>
      <c r="BC82" s="117"/>
      <c r="BD82" s="117" t="s">
        <v>140</v>
      </c>
      <c r="BE82" s="117" t="s">
        <v>140</v>
      </c>
      <c r="BF82" s="117" t="s">
        <v>140</v>
      </c>
      <c r="BG82" s="117" t="s">
        <v>140</v>
      </c>
      <c r="BH82" s="117"/>
      <c r="BI82" s="117"/>
      <c r="BJ82" s="117"/>
      <c r="BK82" s="117"/>
      <c r="BL82" s="117"/>
      <c r="BM82" s="117">
        <f t="shared" si="12"/>
        <v>10</v>
      </c>
      <c r="BN82" s="117">
        <f t="shared" si="13"/>
        <v>3</v>
      </c>
      <c r="BO82" s="117">
        <f t="shared" si="14"/>
        <v>2</v>
      </c>
      <c r="BP82" s="153">
        <f t="shared" si="15"/>
        <v>8</v>
      </c>
      <c r="BQ82" s="74" t="s">
        <v>163</v>
      </c>
      <c r="BR82" s="74" t="s">
        <v>560</v>
      </c>
      <c r="BS82" s="74"/>
    </row>
    <row r="83" spans="1:71" hidden="1">
      <c r="A83">
        <v>69</v>
      </c>
      <c r="B83" s="75">
        <v>45696.51457175926</v>
      </c>
      <c r="C83" s="78">
        <v>4.7222222222222221E-2</v>
      </c>
      <c r="D83" s="7">
        <v>45697</v>
      </c>
      <c r="E83" s="7">
        <v>45697</v>
      </c>
      <c r="F83">
        <v>625</v>
      </c>
      <c r="G83">
        <v>69</v>
      </c>
      <c r="H83" t="s">
        <v>561</v>
      </c>
      <c r="I83" s="10" t="s">
        <v>561</v>
      </c>
      <c r="J83" s="69">
        <v>45697</v>
      </c>
      <c r="K83" s="97">
        <f t="shared" si="17"/>
        <v>2</v>
      </c>
      <c r="L83" s="97">
        <v>83</v>
      </c>
      <c r="M83" s="7" t="s">
        <v>133</v>
      </c>
      <c r="N83" s="7" t="s">
        <v>134</v>
      </c>
      <c r="O83" s="7" t="s">
        <v>134</v>
      </c>
      <c r="Q83" s="100">
        <v>1</v>
      </c>
      <c r="R83" s="7" t="s">
        <v>135</v>
      </c>
      <c r="S83" s="7" t="s">
        <v>562</v>
      </c>
      <c r="T83" t="s">
        <v>563</v>
      </c>
      <c r="U83" t="s">
        <v>564</v>
      </c>
      <c r="V83" t="s">
        <v>194</v>
      </c>
      <c r="W83" t="s">
        <v>151</v>
      </c>
      <c r="X83" s="36" t="s">
        <v>140</v>
      </c>
      <c r="Y83" s="36" t="s">
        <v>140</v>
      </c>
      <c r="Z83" s="36" t="s">
        <v>140</v>
      </c>
      <c r="AA83" s="36" t="s">
        <v>141</v>
      </c>
      <c r="AB83" s="36" t="s">
        <v>140</v>
      </c>
      <c r="AC83" s="36" t="s">
        <v>140</v>
      </c>
      <c r="AD83" s="36" t="s">
        <v>140</v>
      </c>
      <c r="AE83" s="36" t="s">
        <v>140</v>
      </c>
      <c r="AF83" s="36" t="s">
        <v>140</v>
      </c>
      <c r="AG83" s="36" t="s">
        <v>140</v>
      </c>
      <c r="AH83" s="36" t="s">
        <v>141</v>
      </c>
      <c r="AI83" s="36" t="s">
        <v>140</v>
      </c>
      <c r="AJ83" s="36" t="s">
        <v>141</v>
      </c>
      <c r="AK83" s="117"/>
      <c r="AL83" s="36" t="s">
        <v>140</v>
      </c>
      <c r="AM83" s="36" t="s">
        <v>141</v>
      </c>
      <c r="AN83" s="36" t="s">
        <v>140</v>
      </c>
      <c r="AO83" s="36" t="s">
        <v>140</v>
      </c>
      <c r="AP83" s="36" t="s">
        <v>140</v>
      </c>
      <c r="AQ83" s="36" t="s">
        <v>140</v>
      </c>
      <c r="AR83" s="36" t="s">
        <v>140</v>
      </c>
      <c r="AS83" s="36" t="s">
        <v>140</v>
      </c>
      <c r="AT83" s="36" t="s">
        <v>140</v>
      </c>
      <c r="AU83" s="36" t="s">
        <v>140</v>
      </c>
      <c r="AV83" s="36" t="s">
        <v>141</v>
      </c>
      <c r="AW83" s="117" t="s">
        <v>140</v>
      </c>
      <c r="AX83" s="117" t="s">
        <v>140</v>
      </c>
      <c r="AY83" s="36" t="s">
        <v>140</v>
      </c>
      <c r="AZ83" s="36" t="s">
        <v>140</v>
      </c>
      <c r="BA83" s="117"/>
      <c r="BB83" s="117" t="s">
        <v>141</v>
      </c>
      <c r="BC83" s="117"/>
      <c r="BD83" s="117" t="s">
        <v>140</v>
      </c>
      <c r="BE83" s="117" t="s">
        <v>140</v>
      </c>
      <c r="BF83" s="117" t="s">
        <v>140</v>
      </c>
      <c r="BG83" s="117" t="s">
        <v>140</v>
      </c>
      <c r="BH83" s="117"/>
      <c r="BI83" s="117"/>
      <c r="BJ83" s="117"/>
      <c r="BK83" s="117"/>
      <c r="BL83" s="117"/>
      <c r="BM83" s="117">
        <f t="shared" si="12"/>
        <v>6</v>
      </c>
      <c r="BN83" s="117">
        <f t="shared" si="13"/>
        <v>2</v>
      </c>
      <c r="BO83" s="117">
        <f t="shared" si="14"/>
        <v>1</v>
      </c>
      <c r="BP83" s="153">
        <f t="shared" si="15"/>
        <v>5</v>
      </c>
      <c r="BQ83" s="74" t="s">
        <v>308</v>
      </c>
      <c r="BR83" s="74"/>
      <c r="BS83" s="74"/>
    </row>
    <row r="84" spans="1:71" hidden="1">
      <c r="A84">
        <v>70</v>
      </c>
      <c r="B84" s="75">
        <v>45696.588356481479</v>
      </c>
      <c r="C84" s="78">
        <v>0.12013888888888889</v>
      </c>
      <c r="D84" s="7">
        <v>45697</v>
      </c>
      <c r="E84" s="7">
        <v>45697</v>
      </c>
      <c r="F84">
        <v>626</v>
      </c>
      <c r="G84">
        <v>70</v>
      </c>
      <c r="H84" t="s">
        <v>565</v>
      </c>
      <c r="I84" s="10" t="s">
        <v>565</v>
      </c>
      <c r="J84" s="69">
        <v>45697</v>
      </c>
      <c r="K84" s="97">
        <f t="shared" si="17"/>
        <v>2</v>
      </c>
      <c r="L84" s="97">
        <v>84</v>
      </c>
      <c r="M84" s="7" t="s">
        <v>181</v>
      </c>
      <c r="N84" s="7" t="s">
        <v>254</v>
      </c>
      <c r="O84" s="7" t="s">
        <v>386</v>
      </c>
      <c r="Q84" s="100">
        <v>1</v>
      </c>
      <c r="R84" s="7" t="s">
        <v>135</v>
      </c>
      <c r="S84" s="7" t="s">
        <v>387</v>
      </c>
      <c r="T84" t="s">
        <v>566</v>
      </c>
      <c r="U84" t="s">
        <v>425</v>
      </c>
      <c r="V84" t="s">
        <v>254</v>
      </c>
      <c r="W84" t="s">
        <v>151</v>
      </c>
      <c r="X84" s="36" t="s">
        <v>140</v>
      </c>
      <c r="Y84" s="36" t="s">
        <v>140</v>
      </c>
      <c r="Z84" s="36" t="s">
        <v>140</v>
      </c>
      <c r="AA84" s="36" t="s">
        <v>141</v>
      </c>
      <c r="AB84" s="36" t="s">
        <v>140</v>
      </c>
      <c r="AC84" s="36" t="s">
        <v>140</v>
      </c>
      <c r="AD84" s="36" t="s">
        <v>140</v>
      </c>
      <c r="AE84" s="36" t="s">
        <v>140</v>
      </c>
      <c r="AF84" s="36" t="s">
        <v>140</v>
      </c>
      <c r="AG84" s="36" t="s">
        <v>140</v>
      </c>
      <c r="AH84" s="36" t="s">
        <v>141</v>
      </c>
      <c r="AI84" s="36" t="s">
        <v>140</v>
      </c>
      <c r="AJ84" s="36" t="s">
        <v>141</v>
      </c>
      <c r="AK84" s="117" t="s">
        <v>141</v>
      </c>
      <c r="AL84" s="36" t="s">
        <v>140</v>
      </c>
      <c r="AM84" s="36" t="s">
        <v>141</v>
      </c>
      <c r="AN84" s="36" t="s">
        <v>140</v>
      </c>
      <c r="AO84" s="36" t="s">
        <v>140</v>
      </c>
      <c r="AP84" s="36" t="s">
        <v>140</v>
      </c>
      <c r="AQ84" s="36" t="s">
        <v>140</v>
      </c>
      <c r="AR84" s="36" t="s">
        <v>140</v>
      </c>
      <c r="AS84" s="36" t="s">
        <v>140</v>
      </c>
      <c r="AT84" s="36" t="s">
        <v>140</v>
      </c>
      <c r="AU84" s="36" t="s">
        <v>140</v>
      </c>
      <c r="AV84" s="36" t="s">
        <v>141</v>
      </c>
      <c r="AW84" s="117" t="s">
        <v>140</v>
      </c>
      <c r="AX84" s="117" t="s">
        <v>140</v>
      </c>
      <c r="AY84" s="36" t="s">
        <v>140</v>
      </c>
      <c r="AZ84" s="36" t="s">
        <v>140</v>
      </c>
      <c r="BA84" s="117"/>
      <c r="BB84" s="117" t="s">
        <v>141</v>
      </c>
      <c r="BC84" s="117"/>
      <c r="BD84" s="117" t="s">
        <v>140</v>
      </c>
      <c r="BE84" s="117" t="s">
        <v>140</v>
      </c>
      <c r="BF84" s="117" t="s">
        <v>140</v>
      </c>
      <c r="BG84" s="117" t="s">
        <v>140</v>
      </c>
      <c r="BH84" s="117"/>
      <c r="BI84" s="117"/>
      <c r="BJ84" s="117"/>
      <c r="BK84" s="117"/>
      <c r="BL84" s="117"/>
      <c r="BM84" s="117">
        <f t="shared" si="12"/>
        <v>7</v>
      </c>
      <c r="BN84" s="117">
        <f t="shared" si="13"/>
        <v>3</v>
      </c>
      <c r="BO84" s="117">
        <f t="shared" si="14"/>
        <v>1</v>
      </c>
      <c r="BP84" s="153">
        <f t="shared" si="15"/>
        <v>6</v>
      </c>
      <c r="BQ84" s="74" t="s">
        <v>178</v>
      </c>
      <c r="BR84" s="74" t="s">
        <v>391</v>
      </c>
      <c r="BS84" s="74"/>
    </row>
    <row r="85" spans="1:71" hidden="1">
      <c r="A85">
        <v>71</v>
      </c>
      <c r="B85" s="75">
        <v>45697.040613425925</v>
      </c>
      <c r="C85" s="78">
        <v>0.5708333333333333</v>
      </c>
      <c r="D85" s="7">
        <v>45697</v>
      </c>
      <c r="E85" s="7">
        <v>45696</v>
      </c>
      <c r="F85">
        <v>627</v>
      </c>
      <c r="G85">
        <v>71</v>
      </c>
      <c r="H85" t="s">
        <v>567</v>
      </c>
      <c r="I85" s="10" t="s">
        <v>567</v>
      </c>
      <c r="J85" s="69">
        <v>45697</v>
      </c>
      <c r="K85" s="97">
        <f t="shared" si="17"/>
        <v>2</v>
      </c>
      <c r="L85" s="97">
        <v>85</v>
      </c>
      <c r="M85" s="7" t="s">
        <v>133</v>
      </c>
      <c r="N85" s="7" t="s">
        <v>134</v>
      </c>
      <c r="O85" s="7" t="s">
        <v>134</v>
      </c>
      <c r="Q85" s="100">
        <v>1</v>
      </c>
      <c r="R85" s="7" t="s">
        <v>135</v>
      </c>
      <c r="S85" s="7" t="s">
        <v>568</v>
      </c>
      <c r="T85" t="s">
        <v>569</v>
      </c>
      <c r="U85" t="s">
        <v>570</v>
      </c>
      <c r="V85" t="s">
        <v>138</v>
      </c>
      <c r="W85" t="s">
        <v>225</v>
      </c>
      <c r="X85" s="36" t="s">
        <v>141</v>
      </c>
      <c r="Y85" s="36" t="s">
        <v>141</v>
      </c>
      <c r="Z85" s="36" t="s">
        <v>141</v>
      </c>
      <c r="AA85" s="36" t="s">
        <v>141</v>
      </c>
      <c r="AB85" s="36" t="s">
        <v>140</v>
      </c>
      <c r="AC85" s="36" t="s">
        <v>140</v>
      </c>
      <c r="AD85" s="36" t="s">
        <v>140</v>
      </c>
      <c r="AE85" s="36" t="s">
        <v>140</v>
      </c>
      <c r="AF85" s="36" t="s">
        <v>140</v>
      </c>
      <c r="AG85" s="36" t="s">
        <v>140</v>
      </c>
      <c r="AH85" s="36" t="s">
        <v>140</v>
      </c>
      <c r="AI85" s="36" t="s">
        <v>140</v>
      </c>
      <c r="AJ85" s="36" t="s">
        <v>140</v>
      </c>
      <c r="AK85" s="117"/>
      <c r="AL85" s="36" t="s">
        <v>141</v>
      </c>
      <c r="AM85" s="36" t="s">
        <v>140</v>
      </c>
      <c r="AN85" s="36" t="s">
        <v>140</v>
      </c>
      <c r="AO85" s="36" t="s">
        <v>140</v>
      </c>
      <c r="AP85" s="36" t="s">
        <v>140</v>
      </c>
      <c r="AQ85" s="36" t="s">
        <v>140</v>
      </c>
      <c r="AR85" s="36" t="s">
        <v>141</v>
      </c>
      <c r="AS85" s="36" t="s">
        <v>140</v>
      </c>
      <c r="AT85" s="36" t="s">
        <v>140</v>
      </c>
      <c r="AU85" s="36" t="s">
        <v>140</v>
      </c>
      <c r="AV85" s="36" t="s">
        <v>140</v>
      </c>
      <c r="AW85" s="117" t="s">
        <v>140</v>
      </c>
      <c r="AX85" s="117" t="s">
        <v>141</v>
      </c>
      <c r="AY85" s="36" t="s">
        <v>140</v>
      </c>
      <c r="AZ85" s="36" t="s">
        <v>140</v>
      </c>
      <c r="BA85" s="117"/>
      <c r="BB85" s="117"/>
      <c r="BC85" s="117"/>
      <c r="BD85" s="117" t="s">
        <v>140</v>
      </c>
      <c r="BE85" s="117" t="s">
        <v>140</v>
      </c>
      <c r="BF85" s="117" t="s">
        <v>140</v>
      </c>
      <c r="BG85" s="117" t="s">
        <v>141</v>
      </c>
      <c r="BH85" s="117"/>
      <c r="BI85" s="117"/>
      <c r="BJ85" s="117"/>
      <c r="BK85" s="117"/>
      <c r="BL85" s="117"/>
      <c r="BM85" s="117">
        <f t="shared" si="12"/>
        <v>7</v>
      </c>
      <c r="BN85" s="117">
        <f t="shared" si="13"/>
        <v>1</v>
      </c>
      <c r="BO85" s="117">
        <f t="shared" si="14"/>
        <v>4</v>
      </c>
      <c r="BP85" s="153">
        <f t="shared" si="15"/>
        <v>3</v>
      </c>
      <c r="BQ85" s="74" t="s">
        <v>502</v>
      </c>
      <c r="BR85" s="74" t="s">
        <v>571</v>
      </c>
      <c r="BS85" s="74"/>
    </row>
    <row r="86" spans="1:71" hidden="1">
      <c r="A86">
        <v>72</v>
      </c>
      <c r="B86" s="75">
        <v>45697.406770833331</v>
      </c>
      <c r="C86" s="78">
        <v>0.93680555555555556</v>
      </c>
      <c r="D86" s="7">
        <v>45697</v>
      </c>
      <c r="E86" s="7">
        <v>45697</v>
      </c>
      <c r="F86">
        <v>628</v>
      </c>
      <c r="G86">
        <v>72</v>
      </c>
      <c r="H86" t="s">
        <v>572</v>
      </c>
      <c r="I86" s="10" t="s">
        <v>572</v>
      </c>
      <c r="J86" s="69">
        <v>45697</v>
      </c>
      <c r="K86" s="97">
        <f t="shared" si="17"/>
        <v>2</v>
      </c>
      <c r="L86" s="97">
        <v>86</v>
      </c>
      <c r="M86" s="7" t="s">
        <v>181</v>
      </c>
      <c r="N86" s="7" t="s">
        <v>254</v>
      </c>
      <c r="O86" s="7" t="s">
        <v>449</v>
      </c>
      <c r="Q86" s="100">
        <v>1</v>
      </c>
      <c r="R86" s="7" t="s">
        <v>135</v>
      </c>
      <c r="S86" s="7" t="s">
        <v>573</v>
      </c>
      <c r="T86" t="s">
        <v>574</v>
      </c>
      <c r="U86" t="s">
        <v>575</v>
      </c>
      <c r="V86" t="s">
        <v>254</v>
      </c>
      <c r="W86" t="s">
        <v>207</v>
      </c>
      <c r="X86" s="36" t="s">
        <v>140</v>
      </c>
      <c r="Y86" s="36" t="s">
        <v>141</v>
      </c>
      <c r="Z86" s="36" t="s">
        <v>140</v>
      </c>
      <c r="AA86" s="36" t="s">
        <v>141</v>
      </c>
      <c r="AB86" s="36" t="s">
        <v>141</v>
      </c>
      <c r="AC86" s="36" t="s">
        <v>141</v>
      </c>
      <c r="AD86" s="36" t="s">
        <v>140</v>
      </c>
      <c r="AE86" s="36" t="s">
        <v>140</v>
      </c>
      <c r="AF86" s="36" t="s">
        <v>140</v>
      </c>
      <c r="AG86" s="36" t="s">
        <v>140</v>
      </c>
      <c r="AH86" s="36" t="s">
        <v>140</v>
      </c>
      <c r="AI86" s="36" t="s">
        <v>140</v>
      </c>
      <c r="AJ86" s="36" t="s">
        <v>140</v>
      </c>
      <c r="AK86" s="117"/>
      <c r="AL86" s="36" t="s">
        <v>140</v>
      </c>
      <c r="AM86" s="36" t="s">
        <v>140</v>
      </c>
      <c r="AN86" s="36" t="s">
        <v>140</v>
      </c>
      <c r="AO86" s="36" t="s">
        <v>140</v>
      </c>
      <c r="AP86" s="36" t="s">
        <v>140</v>
      </c>
      <c r="AQ86" s="36" t="s">
        <v>140</v>
      </c>
      <c r="AR86" s="36" t="s">
        <v>141</v>
      </c>
      <c r="AS86" s="36" t="s">
        <v>140</v>
      </c>
      <c r="AT86" s="36" t="s">
        <v>141</v>
      </c>
      <c r="AU86" s="36" t="s">
        <v>140</v>
      </c>
      <c r="AV86" s="36" t="s">
        <v>141</v>
      </c>
      <c r="AW86" s="117" t="s">
        <v>140</v>
      </c>
      <c r="AX86" s="117" t="s">
        <v>140</v>
      </c>
      <c r="AY86" s="36" t="s">
        <v>140</v>
      </c>
      <c r="AZ86" s="36" t="s">
        <v>140</v>
      </c>
      <c r="BA86" s="117"/>
      <c r="BB86" s="117"/>
      <c r="BC86" s="117"/>
      <c r="BD86" s="117" t="s">
        <v>140</v>
      </c>
      <c r="BE86" s="117" t="s">
        <v>140</v>
      </c>
      <c r="BF86" s="117" t="s">
        <v>141</v>
      </c>
      <c r="BG86" s="117" t="s">
        <v>141</v>
      </c>
      <c r="BH86" s="117"/>
      <c r="BI86" s="117"/>
      <c r="BJ86" s="117"/>
      <c r="BK86" s="117"/>
      <c r="BL86" s="117"/>
      <c r="BM86" s="117">
        <f t="shared" si="12"/>
        <v>8</v>
      </c>
      <c r="BN86" s="117">
        <f t="shared" si="13"/>
        <v>1</v>
      </c>
      <c r="BO86" s="117">
        <f t="shared" si="14"/>
        <v>4</v>
      </c>
      <c r="BP86" s="153">
        <f t="shared" si="15"/>
        <v>3</v>
      </c>
      <c r="BQ86" s="74" t="s">
        <v>502</v>
      </c>
      <c r="BR86" s="74" t="s">
        <v>576</v>
      </c>
      <c r="BS86" s="74"/>
    </row>
    <row r="87" spans="1:71" hidden="1">
      <c r="A87">
        <v>73</v>
      </c>
      <c r="B87" s="75">
        <v>45697.668483796297</v>
      </c>
      <c r="C87" s="78">
        <v>0.11597222222222223</v>
      </c>
      <c r="D87" s="7">
        <v>45698</v>
      </c>
      <c r="E87" s="7">
        <v>45698</v>
      </c>
      <c r="F87">
        <v>629</v>
      </c>
      <c r="G87">
        <v>73</v>
      </c>
      <c r="H87" t="s">
        <v>577</v>
      </c>
      <c r="I87" s="10" t="s">
        <v>578</v>
      </c>
      <c r="J87" s="69">
        <v>45698</v>
      </c>
      <c r="K87" s="97">
        <f t="shared" si="17"/>
        <v>2</v>
      </c>
      <c r="L87" s="97">
        <v>87</v>
      </c>
      <c r="M87" s="7" t="s">
        <v>165</v>
      </c>
      <c r="N87" s="7" t="s">
        <v>234</v>
      </c>
      <c r="O87" s="7" t="s">
        <v>234</v>
      </c>
      <c r="P87" s="7" t="s">
        <v>579</v>
      </c>
      <c r="Q87" s="100">
        <v>2</v>
      </c>
      <c r="R87" s="7" t="s">
        <v>158</v>
      </c>
      <c r="S87" s="7" t="s">
        <v>580</v>
      </c>
      <c r="T87" t="s">
        <v>581</v>
      </c>
      <c r="U87" t="s">
        <v>477</v>
      </c>
      <c r="V87" t="s">
        <v>234</v>
      </c>
      <c r="W87" t="s">
        <v>207</v>
      </c>
      <c r="X87" s="36" t="s">
        <v>140</v>
      </c>
      <c r="Y87" s="36" t="s">
        <v>141</v>
      </c>
      <c r="Z87" s="36" t="s">
        <v>141</v>
      </c>
      <c r="AA87" s="36" t="s">
        <v>141</v>
      </c>
      <c r="AB87" s="36" t="s">
        <v>141</v>
      </c>
      <c r="AC87" s="36" t="s">
        <v>140</v>
      </c>
      <c r="AD87" s="36" t="s">
        <v>140</v>
      </c>
      <c r="AE87" s="36" t="s">
        <v>140</v>
      </c>
      <c r="AF87" s="36" t="s">
        <v>140</v>
      </c>
      <c r="AG87" s="36" t="s">
        <v>140</v>
      </c>
      <c r="AH87" s="36" t="s">
        <v>140</v>
      </c>
      <c r="AI87" s="36" t="s">
        <v>140</v>
      </c>
      <c r="AJ87" s="36" t="s">
        <v>140</v>
      </c>
      <c r="AK87" s="117" t="s">
        <v>141</v>
      </c>
      <c r="AL87" s="36" t="s">
        <v>140</v>
      </c>
      <c r="AM87" s="36" t="s">
        <v>140</v>
      </c>
      <c r="AN87" s="36" t="s">
        <v>140</v>
      </c>
      <c r="AO87" s="36" t="s">
        <v>140</v>
      </c>
      <c r="AP87" s="36" t="s">
        <v>140</v>
      </c>
      <c r="AQ87" s="36" t="s">
        <v>140</v>
      </c>
      <c r="AR87" s="36" t="s">
        <v>140</v>
      </c>
      <c r="AS87" s="36" t="s">
        <v>140</v>
      </c>
      <c r="AT87" s="36" t="s">
        <v>141</v>
      </c>
      <c r="AU87" s="36" t="s">
        <v>140</v>
      </c>
      <c r="AV87" s="36" t="s">
        <v>140</v>
      </c>
      <c r="AW87" s="117" t="s">
        <v>140</v>
      </c>
      <c r="AX87" s="117" t="s">
        <v>140</v>
      </c>
      <c r="AY87" s="36" t="s">
        <v>140</v>
      </c>
      <c r="AZ87" s="36" t="s">
        <v>140</v>
      </c>
      <c r="BA87" s="117"/>
      <c r="BB87" s="117"/>
      <c r="BC87" s="117"/>
      <c r="BD87" s="117" t="s">
        <v>140</v>
      </c>
      <c r="BE87" s="117" t="s">
        <v>140</v>
      </c>
      <c r="BF87" s="117" t="s">
        <v>140</v>
      </c>
      <c r="BG87" s="117" t="s">
        <v>141</v>
      </c>
      <c r="BH87" s="117"/>
      <c r="BI87" s="117"/>
      <c r="BJ87" s="117"/>
      <c r="BK87" s="117"/>
      <c r="BL87" s="117"/>
      <c r="BM87" s="117">
        <f t="shared" si="12"/>
        <v>6</v>
      </c>
      <c r="BN87" s="117">
        <f t="shared" si="13"/>
        <v>1</v>
      </c>
      <c r="BO87" s="117">
        <f t="shared" si="14"/>
        <v>4</v>
      </c>
      <c r="BP87" s="153">
        <f t="shared" si="15"/>
        <v>2</v>
      </c>
      <c r="BQ87" s="74" t="s">
        <v>582</v>
      </c>
      <c r="BR87" s="74" t="s">
        <v>583</v>
      </c>
      <c r="BS87" s="74"/>
    </row>
    <row r="88" spans="1:71" hidden="1">
      <c r="A88">
        <v>74</v>
      </c>
      <c r="B88" s="75">
        <v>45697.798402777778</v>
      </c>
      <c r="C88" s="78">
        <v>0.32708333333333334</v>
      </c>
      <c r="D88" s="7">
        <v>45698</v>
      </c>
      <c r="E88" s="7">
        <v>45698</v>
      </c>
      <c r="F88">
        <v>630</v>
      </c>
      <c r="G88">
        <v>74</v>
      </c>
      <c r="H88" t="s">
        <v>584</v>
      </c>
      <c r="I88" s="10" t="s">
        <v>584</v>
      </c>
      <c r="J88" s="69">
        <v>45698</v>
      </c>
      <c r="K88" s="97">
        <f t="shared" si="17"/>
        <v>2</v>
      </c>
      <c r="L88" s="97">
        <v>88</v>
      </c>
      <c r="M88" s="7" t="s">
        <v>133</v>
      </c>
      <c r="N88" s="7" t="s">
        <v>134</v>
      </c>
      <c r="O88" s="7" t="s">
        <v>134</v>
      </c>
      <c r="Q88" s="100">
        <v>1</v>
      </c>
      <c r="R88" s="7" t="s">
        <v>135</v>
      </c>
      <c r="S88" s="7" t="s">
        <v>585</v>
      </c>
      <c r="T88" t="s">
        <v>586</v>
      </c>
      <c r="U88" t="s">
        <v>587</v>
      </c>
      <c r="V88" t="s">
        <v>588</v>
      </c>
      <c r="W88" t="s">
        <v>357</v>
      </c>
      <c r="X88" s="36" t="s">
        <v>140</v>
      </c>
      <c r="Y88" s="36" t="s">
        <v>141</v>
      </c>
      <c r="Z88" s="36" t="s">
        <v>140</v>
      </c>
      <c r="AA88" s="36" t="s">
        <v>140</v>
      </c>
      <c r="AB88" s="36" t="s">
        <v>140</v>
      </c>
      <c r="AC88" s="36" t="s">
        <v>140</v>
      </c>
      <c r="AD88" s="36" t="s">
        <v>140</v>
      </c>
      <c r="AE88" s="36" t="s">
        <v>140</v>
      </c>
      <c r="AF88" s="36" t="s">
        <v>140</v>
      </c>
      <c r="AG88" s="36" t="s">
        <v>140</v>
      </c>
      <c r="AH88" s="36" t="s">
        <v>141</v>
      </c>
      <c r="AI88" s="36" t="s">
        <v>140</v>
      </c>
      <c r="AJ88" s="36" t="s">
        <v>140</v>
      </c>
      <c r="AK88" s="117" t="s">
        <v>141</v>
      </c>
      <c r="AL88" s="36" t="s">
        <v>140</v>
      </c>
      <c r="AM88" s="36" t="s">
        <v>141</v>
      </c>
      <c r="AN88" s="36" t="s">
        <v>140</v>
      </c>
      <c r="AO88" s="36" t="s">
        <v>141</v>
      </c>
      <c r="AP88" s="36" t="s">
        <v>140</v>
      </c>
      <c r="AQ88" s="36" t="s">
        <v>140</v>
      </c>
      <c r="AR88" s="36" t="s">
        <v>141</v>
      </c>
      <c r="AS88" s="36" t="s">
        <v>140</v>
      </c>
      <c r="AT88" s="36" t="s">
        <v>140</v>
      </c>
      <c r="AU88" s="36" t="s">
        <v>140</v>
      </c>
      <c r="AV88" s="36" t="s">
        <v>140</v>
      </c>
      <c r="AW88" s="117" t="s">
        <v>140</v>
      </c>
      <c r="AX88" s="117" t="s">
        <v>140</v>
      </c>
      <c r="AY88" s="36" t="s">
        <v>140</v>
      </c>
      <c r="AZ88" s="36" t="s">
        <v>140</v>
      </c>
      <c r="BA88" s="117"/>
      <c r="BB88" s="117" t="s">
        <v>141</v>
      </c>
      <c r="BC88" s="117"/>
      <c r="BD88" s="117" t="s">
        <v>140</v>
      </c>
      <c r="BE88" s="117" t="s">
        <v>140</v>
      </c>
      <c r="BF88" s="117" t="s">
        <v>140</v>
      </c>
      <c r="BG88" s="117" t="s">
        <v>141</v>
      </c>
      <c r="BH88" s="117"/>
      <c r="BI88" s="117"/>
      <c r="BJ88" s="117"/>
      <c r="BK88" s="117"/>
      <c r="BL88" s="117"/>
      <c r="BM88" s="117">
        <f t="shared" si="12"/>
        <v>7</v>
      </c>
      <c r="BN88" s="117">
        <f t="shared" si="13"/>
        <v>3</v>
      </c>
      <c r="BO88" s="117">
        <f t="shared" si="14"/>
        <v>1</v>
      </c>
      <c r="BP88" s="153">
        <f t="shared" si="15"/>
        <v>6</v>
      </c>
      <c r="BQ88" s="74" t="s">
        <v>589</v>
      </c>
      <c r="BR88" s="74" t="s">
        <v>590</v>
      </c>
      <c r="BS88" s="74"/>
    </row>
    <row r="89" spans="1:71" hidden="1">
      <c r="A89">
        <v>75</v>
      </c>
      <c r="B89" s="75">
        <v>45698.217858796299</v>
      </c>
      <c r="C89" s="78">
        <v>0.72847222222222219</v>
      </c>
      <c r="D89" s="7">
        <v>45698</v>
      </c>
      <c r="E89" s="7">
        <v>45698</v>
      </c>
      <c r="F89">
        <v>631</v>
      </c>
      <c r="G89">
        <v>75</v>
      </c>
      <c r="H89" t="s">
        <v>591</v>
      </c>
      <c r="I89" s="10" t="s">
        <v>591</v>
      </c>
      <c r="J89" s="69">
        <v>45698</v>
      </c>
      <c r="K89" s="97">
        <f t="shared" ref="K89:K95" si="18">MONTH($J89)</f>
        <v>2</v>
      </c>
      <c r="L89" s="97">
        <v>89</v>
      </c>
      <c r="M89" s="7" t="s">
        <v>181</v>
      </c>
      <c r="N89" s="7" t="s">
        <v>254</v>
      </c>
      <c r="O89" s="7" t="s">
        <v>386</v>
      </c>
      <c r="Q89" s="100">
        <v>1</v>
      </c>
      <c r="R89" s="7" t="s">
        <v>135</v>
      </c>
      <c r="S89" s="7" t="s">
        <v>592</v>
      </c>
      <c r="T89" t="s">
        <v>593</v>
      </c>
      <c r="U89" t="s">
        <v>594</v>
      </c>
      <c r="V89" t="s">
        <v>254</v>
      </c>
      <c r="W89" t="s">
        <v>170</v>
      </c>
      <c r="X89" s="36" t="s">
        <v>141</v>
      </c>
      <c r="Y89" s="36" t="s">
        <v>141</v>
      </c>
      <c r="Z89" s="36" t="s">
        <v>141</v>
      </c>
      <c r="AA89" s="36" t="s">
        <v>141</v>
      </c>
      <c r="AB89" s="36" t="s">
        <v>140</v>
      </c>
      <c r="AC89" s="36" t="s">
        <v>140</v>
      </c>
      <c r="AD89" s="36" t="s">
        <v>140</v>
      </c>
      <c r="AE89" s="36" t="s">
        <v>140</v>
      </c>
      <c r="AF89" s="36" t="s">
        <v>140</v>
      </c>
      <c r="AG89" s="36" t="s">
        <v>140</v>
      </c>
      <c r="AH89" s="36" t="s">
        <v>141</v>
      </c>
      <c r="AI89" s="36" t="s">
        <v>140</v>
      </c>
      <c r="AJ89" s="36" t="s">
        <v>141</v>
      </c>
      <c r="AK89" s="117" t="s">
        <v>141</v>
      </c>
      <c r="AL89" s="36" t="s">
        <v>140</v>
      </c>
      <c r="AM89" s="36" t="s">
        <v>140</v>
      </c>
      <c r="AN89" s="36" t="s">
        <v>140</v>
      </c>
      <c r="AO89" s="36" t="s">
        <v>141</v>
      </c>
      <c r="AP89" s="36" t="s">
        <v>140</v>
      </c>
      <c r="AQ89" s="36" t="s">
        <v>141</v>
      </c>
      <c r="AR89" s="36" t="s">
        <v>140</v>
      </c>
      <c r="AS89" s="36" t="s">
        <v>140</v>
      </c>
      <c r="AT89" s="36" t="s">
        <v>140</v>
      </c>
      <c r="AU89" s="36" t="s">
        <v>140</v>
      </c>
      <c r="AV89" s="36" t="s">
        <v>141</v>
      </c>
      <c r="AW89" s="117" t="s">
        <v>140</v>
      </c>
      <c r="AX89" s="117" t="s">
        <v>141</v>
      </c>
      <c r="AY89" s="36" t="s">
        <v>140</v>
      </c>
      <c r="AZ89" s="36" t="s">
        <v>140</v>
      </c>
      <c r="BA89" s="117"/>
      <c r="BB89" s="117"/>
      <c r="BC89" s="117"/>
      <c r="BD89" s="117" t="s">
        <v>141</v>
      </c>
      <c r="BE89" s="117" t="s">
        <v>140</v>
      </c>
      <c r="BF89" s="117" t="s">
        <v>141</v>
      </c>
      <c r="BG89" s="117" t="s">
        <v>141</v>
      </c>
      <c r="BH89" s="117"/>
      <c r="BI89" s="117"/>
      <c r="BJ89" s="117"/>
      <c r="BK89" s="117"/>
      <c r="BL89" s="117"/>
      <c r="BM89" s="117">
        <f t="shared" si="12"/>
        <v>13</v>
      </c>
      <c r="BN89" s="117">
        <f t="shared" si="13"/>
        <v>2</v>
      </c>
      <c r="BO89" s="117">
        <f t="shared" si="14"/>
        <v>4</v>
      </c>
      <c r="BP89" s="153">
        <f t="shared" si="15"/>
        <v>7</v>
      </c>
      <c r="BQ89" s="74" t="s">
        <v>178</v>
      </c>
      <c r="BR89" s="74" t="s">
        <v>391</v>
      </c>
      <c r="BS89" s="74"/>
    </row>
    <row r="90" spans="1:71" hidden="1">
      <c r="A90">
        <v>76</v>
      </c>
      <c r="B90" s="75">
        <v>45698.222430555557</v>
      </c>
      <c r="C90" s="78">
        <v>0.75555555555555554</v>
      </c>
      <c r="D90" s="7">
        <v>45698</v>
      </c>
      <c r="E90" s="7">
        <v>45698</v>
      </c>
      <c r="F90">
        <v>632</v>
      </c>
      <c r="G90">
        <v>76</v>
      </c>
      <c r="H90" t="s">
        <v>595</v>
      </c>
      <c r="I90" s="10">
        <v>4146030</v>
      </c>
      <c r="J90" s="69">
        <v>45698</v>
      </c>
      <c r="K90" s="97">
        <f t="shared" si="18"/>
        <v>2</v>
      </c>
      <c r="L90" s="97">
        <v>90</v>
      </c>
      <c r="M90" s="7" t="s">
        <v>155</v>
      </c>
      <c r="N90" s="7" t="s">
        <v>156</v>
      </c>
      <c r="O90" s="7" t="s">
        <v>156</v>
      </c>
      <c r="P90" s="7" t="s">
        <v>596</v>
      </c>
      <c r="Q90" s="100">
        <v>2</v>
      </c>
      <c r="R90" s="7" t="s">
        <v>158</v>
      </c>
      <c r="S90" s="7" t="s">
        <v>597</v>
      </c>
      <c r="T90" t="s">
        <v>598</v>
      </c>
      <c r="U90" t="s">
        <v>599</v>
      </c>
      <c r="V90" t="s">
        <v>162</v>
      </c>
      <c r="W90" t="s">
        <v>170</v>
      </c>
      <c r="X90" s="36" t="s">
        <v>141</v>
      </c>
      <c r="Y90" s="36" t="s">
        <v>141</v>
      </c>
      <c r="Z90" s="36" t="s">
        <v>141</v>
      </c>
      <c r="AA90" s="36" t="s">
        <v>141</v>
      </c>
      <c r="AB90" s="36" t="s">
        <v>140</v>
      </c>
      <c r="AC90" s="36" t="s">
        <v>140</v>
      </c>
      <c r="AD90" s="36" t="s">
        <v>140</v>
      </c>
      <c r="AE90" s="36" t="s">
        <v>140</v>
      </c>
      <c r="AF90" s="36" t="s">
        <v>140</v>
      </c>
      <c r="AG90" s="36" t="s">
        <v>140</v>
      </c>
      <c r="AH90" s="36" t="s">
        <v>141</v>
      </c>
      <c r="AI90" s="36" t="s">
        <v>140</v>
      </c>
      <c r="AJ90" s="36" t="s">
        <v>141</v>
      </c>
      <c r="AK90" s="117" t="s">
        <v>141</v>
      </c>
      <c r="AL90" s="36" t="s">
        <v>140</v>
      </c>
      <c r="AM90" s="36" t="s">
        <v>140</v>
      </c>
      <c r="AN90" s="36" t="s">
        <v>140</v>
      </c>
      <c r="AO90" s="36" t="s">
        <v>141</v>
      </c>
      <c r="AP90" s="36" t="s">
        <v>140</v>
      </c>
      <c r="AQ90" s="36" t="s">
        <v>141</v>
      </c>
      <c r="AR90" s="36" t="s">
        <v>140</v>
      </c>
      <c r="AS90" s="36" t="s">
        <v>140</v>
      </c>
      <c r="AT90" s="36" t="s">
        <v>140</v>
      </c>
      <c r="AU90" s="36" t="s">
        <v>140</v>
      </c>
      <c r="AV90" s="36" t="s">
        <v>141</v>
      </c>
      <c r="AW90" s="117" t="s">
        <v>140</v>
      </c>
      <c r="AX90" s="117" t="s">
        <v>141</v>
      </c>
      <c r="AY90" s="36" t="s">
        <v>140</v>
      </c>
      <c r="AZ90" s="36" t="s">
        <v>140</v>
      </c>
      <c r="BA90" s="117"/>
      <c r="BB90" s="117"/>
      <c r="BC90" s="117"/>
      <c r="BD90" s="117" t="s">
        <v>140</v>
      </c>
      <c r="BE90" s="117" t="s">
        <v>140</v>
      </c>
      <c r="BF90" s="117" t="s">
        <v>140</v>
      </c>
      <c r="BG90" s="117" t="s">
        <v>140</v>
      </c>
      <c r="BH90" s="117"/>
      <c r="BI90" s="117"/>
      <c r="BJ90" s="117"/>
      <c r="BK90" s="117"/>
      <c r="BL90" s="117"/>
      <c r="BM90" s="117">
        <f t="shared" si="12"/>
        <v>11</v>
      </c>
      <c r="BN90" s="117">
        <f t="shared" si="13"/>
        <v>2</v>
      </c>
      <c r="BO90" s="117">
        <f t="shared" si="14"/>
        <v>4</v>
      </c>
      <c r="BP90" s="153">
        <f t="shared" si="15"/>
        <v>7</v>
      </c>
      <c r="BQ90" s="74" t="s">
        <v>525</v>
      </c>
      <c r="BR90" s="74" t="s">
        <v>600</v>
      </c>
      <c r="BS90" s="74"/>
    </row>
    <row r="91" spans="1:71" hidden="1">
      <c r="A91">
        <v>77</v>
      </c>
      <c r="B91" s="75">
        <v>45698.337175925924</v>
      </c>
      <c r="C91" s="78">
        <v>0.84791666666666665</v>
      </c>
      <c r="D91" s="7">
        <v>45698</v>
      </c>
      <c r="E91" s="7">
        <v>45698</v>
      </c>
      <c r="F91">
        <v>633</v>
      </c>
      <c r="G91">
        <v>77</v>
      </c>
      <c r="H91" t="s">
        <v>601</v>
      </c>
      <c r="I91" s="10" t="s">
        <v>602</v>
      </c>
      <c r="J91" s="69">
        <v>45698</v>
      </c>
      <c r="K91" s="97">
        <f t="shared" si="18"/>
        <v>2</v>
      </c>
      <c r="L91" s="97">
        <v>91</v>
      </c>
      <c r="M91" s="7" t="s">
        <v>181</v>
      </c>
      <c r="N91" s="7" t="s">
        <v>254</v>
      </c>
      <c r="O91" s="7" t="s">
        <v>146</v>
      </c>
      <c r="Q91" s="100">
        <v>1</v>
      </c>
      <c r="R91" s="7" t="s">
        <v>135</v>
      </c>
      <c r="S91" s="7" t="s">
        <v>603</v>
      </c>
      <c r="T91" t="s">
        <v>604</v>
      </c>
      <c r="U91" t="s">
        <v>605</v>
      </c>
      <c r="V91" t="s">
        <v>254</v>
      </c>
      <c r="W91" t="s">
        <v>279</v>
      </c>
      <c r="X91" s="36" t="s">
        <v>141</v>
      </c>
      <c r="Y91" s="36" t="s">
        <v>141</v>
      </c>
      <c r="Z91" s="36" t="s">
        <v>141</v>
      </c>
      <c r="AA91" s="36" t="s">
        <v>141</v>
      </c>
      <c r="AB91" s="36" t="s">
        <v>140</v>
      </c>
      <c r="AC91" s="36" t="s">
        <v>141</v>
      </c>
      <c r="AD91" s="36" t="s">
        <v>140</v>
      </c>
      <c r="AE91" s="36" t="s">
        <v>140</v>
      </c>
      <c r="AF91" s="36" t="s">
        <v>140</v>
      </c>
      <c r="AG91" s="36" t="s">
        <v>141</v>
      </c>
      <c r="AH91" s="36" t="s">
        <v>141</v>
      </c>
      <c r="AI91" s="36" t="s">
        <v>140</v>
      </c>
      <c r="AJ91" s="36" t="s">
        <v>141</v>
      </c>
      <c r="AK91" s="117" t="s">
        <v>141</v>
      </c>
      <c r="AL91" s="36" t="s">
        <v>140</v>
      </c>
      <c r="AM91" s="36" t="s">
        <v>140</v>
      </c>
      <c r="AN91" s="36" t="s">
        <v>141</v>
      </c>
      <c r="AO91" s="36" t="s">
        <v>141</v>
      </c>
      <c r="AP91" s="36" t="s">
        <v>140</v>
      </c>
      <c r="AQ91" s="36" t="s">
        <v>141</v>
      </c>
      <c r="AR91" s="36" t="s">
        <v>141</v>
      </c>
      <c r="AS91" s="36" t="s">
        <v>141</v>
      </c>
      <c r="AT91" s="36" t="s">
        <v>140</v>
      </c>
      <c r="AU91" s="36" t="s">
        <v>141</v>
      </c>
      <c r="AV91" s="36" t="s">
        <v>141</v>
      </c>
      <c r="AW91" s="117" t="s">
        <v>141</v>
      </c>
      <c r="AX91" s="117" t="s">
        <v>141</v>
      </c>
      <c r="AY91" s="36" t="s">
        <v>140</v>
      </c>
      <c r="AZ91" s="36" t="s">
        <v>141</v>
      </c>
      <c r="BA91" s="117" t="s">
        <v>141</v>
      </c>
      <c r="BB91" s="117" t="s">
        <v>141</v>
      </c>
      <c r="BC91" s="117"/>
      <c r="BD91" s="117" t="s">
        <v>141</v>
      </c>
      <c r="BE91" s="117" t="s">
        <v>141</v>
      </c>
      <c r="BF91" s="117" t="s">
        <v>141</v>
      </c>
      <c r="BG91" s="117" t="s">
        <v>140</v>
      </c>
      <c r="BH91" s="117"/>
      <c r="BI91" s="117"/>
      <c r="BJ91" s="117"/>
      <c r="BK91" s="117"/>
      <c r="BL91" s="117"/>
      <c r="BM91" s="117">
        <f t="shared" si="12"/>
        <v>24</v>
      </c>
      <c r="BN91" s="117">
        <f t="shared" si="13"/>
        <v>6</v>
      </c>
      <c r="BO91" s="117">
        <f t="shared" si="14"/>
        <v>5</v>
      </c>
      <c r="BP91" s="153">
        <f t="shared" si="15"/>
        <v>16</v>
      </c>
      <c r="BQ91" s="74" t="s">
        <v>273</v>
      </c>
      <c r="BR91" s="74" t="s">
        <v>391</v>
      </c>
      <c r="BS91" s="74"/>
    </row>
    <row r="92" spans="1:71" hidden="1">
      <c r="A92">
        <v>78</v>
      </c>
      <c r="B92" s="75">
        <v>45698.358749999999</v>
      </c>
      <c r="C92" s="78">
        <v>0.89375000000000004</v>
      </c>
      <c r="D92" s="7">
        <v>45698</v>
      </c>
      <c r="E92" s="7">
        <v>45698</v>
      </c>
      <c r="F92">
        <v>634</v>
      </c>
      <c r="G92">
        <v>78</v>
      </c>
      <c r="H92" t="s">
        <v>606</v>
      </c>
      <c r="I92" s="10" t="s">
        <v>606</v>
      </c>
      <c r="J92" s="69">
        <v>45698</v>
      </c>
      <c r="K92" s="97">
        <f t="shared" si="18"/>
        <v>2</v>
      </c>
      <c r="L92" s="97">
        <v>92</v>
      </c>
      <c r="M92" s="7" t="s">
        <v>181</v>
      </c>
      <c r="N92" s="7" t="s">
        <v>156</v>
      </c>
      <c r="O92" s="7" t="s">
        <v>156</v>
      </c>
      <c r="Q92" s="100">
        <v>1</v>
      </c>
      <c r="R92" s="7" t="s">
        <v>135</v>
      </c>
      <c r="S92" s="7" t="s">
        <v>607</v>
      </c>
      <c r="T92" t="s">
        <v>608</v>
      </c>
      <c r="U92" t="s">
        <v>609</v>
      </c>
      <c r="V92" t="s">
        <v>162</v>
      </c>
      <c r="W92" t="s">
        <v>151</v>
      </c>
      <c r="X92" s="36" t="s">
        <v>140</v>
      </c>
      <c r="Y92" s="36" t="s">
        <v>141</v>
      </c>
      <c r="Z92" s="36" t="s">
        <v>140</v>
      </c>
      <c r="AA92" s="36" t="s">
        <v>141</v>
      </c>
      <c r="AB92" s="36" t="s">
        <v>140</v>
      </c>
      <c r="AC92" s="36" t="s">
        <v>140</v>
      </c>
      <c r="AD92" s="36" t="s">
        <v>140</v>
      </c>
      <c r="AE92" s="36" t="s">
        <v>140</v>
      </c>
      <c r="AF92" s="36" t="s">
        <v>140</v>
      </c>
      <c r="AG92" s="36" t="s">
        <v>141</v>
      </c>
      <c r="AH92" s="36" t="s">
        <v>141</v>
      </c>
      <c r="AI92" s="36" t="s">
        <v>140</v>
      </c>
      <c r="AJ92" s="36" t="s">
        <v>141</v>
      </c>
      <c r="AK92" s="117" t="s">
        <v>141</v>
      </c>
      <c r="AL92" s="36" t="s">
        <v>140</v>
      </c>
      <c r="AM92" s="36" t="s">
        <v>140</v>
      </c>
      <c r="AN92" s="36" t="s">
        <v>141</v>
      </c>
      <c r="AO92" s="36" t="s">
        <v>141</v>
      </c>
      <c r="AP92" s="36" t="s">
        <v>140</v>
      </c>
      <c r="AQ92" s="36" t="s">
        <v>141</v>
      </c>
      <c r="AR92" s="36" t="s">
        <v>140</v>
      </c>
      <c r="AS92" s="36" t="s">
        <v>141</v>
      </c>
      <c r="AT92" s="36" t="s">
        <v>140</v>
      </c>
      <c r="AU92" s="36" t="s">
        <v>141</v>
      </c>
      <c r="AV92" s="36" t="s">
        <v>141</v>
      </c>
      <c r="AW92" s="117" t="s">
        <v>141</v>
      </c>
      <c r="AX92" s="117" t="s">
        <v>141</v>
      </c>
      <c r="AY92" s="36" t="s">
        <v>140</v>
      </c>
      <c r="AZ92" s="36" t="s">
        <v>140</v>
      </c>
      <c r="BA92" s="117" t="s">
        <v>141</v>
      </c>
      <c r="BB92" s="117" t="s">
        <v>141</v>
      </c>
      <c r="BC92" s="117"/>
      <c r="BD92" s="117" t="s">
        <v>140</v>
      </c>
      <c r="BE92" s="117" t="s">
        <v>141</v>
      </c>
      <c r="BF92" s="117" t="s">
        <v>140</v>
      </c>
      <c r="BG92" s="117" t="s">
        <v>140</v>
      </c>
      <c r="BH92" s="117"/>
      <c r="BI92" s="117"/>
      <c r="BJ92" s="117"/>
      <c r="BK92" s="117"/>
      <c r="BL92" s="117"/>
      <c r="BM92" s="117">
        <f t="shared" si="12"/>
        <v>17</v>
      </c>
      <c r="BN92" s="117">
        <f t="shared" si="13"/>
        <v>5</v>
      </c>
      <c r="BO92" s="117">
        <f t="shared" si="14"/>
        <v>2</v>
      </c>
      <c r="BP92" s="153">
        <f t="shared" si="15"/>
        <v>14</v>
      </c>
      <c r="BQ92" s="74" t="s">
        <v>610</v>
      </c>
      <c r="BR92" s="74" t="s">
        <v>611</v>
      </c>
      <c r="BS92" s="74"/>
    </row>
    <row r="93" spans="1:71" hidden="1">
      <c r="A93">
        <v>79</v>
      </c>
      <c r="B93" s="75">
        <v>45699.139166666668</v>
      </c>
      <c r="C93" s="78">
        <v>0.66666666666666663</v>
      </c>
      <c r="D93" s="7">
        <v>45699</v>
      </c>
      <c r="E93" s="7">
        <v>45699</v>
      </c>
      <c r="F93">
        <v>635</v>
      </c>
      <c r="G93">
        <v>79</v>
      </c>
      <c r="H93" t="s">
        <v>612</v>
      </c>
      <c r="I93" s="10" t="s">
        <v>612</v>
      </c>
      <c r="J93" s="69">
        <v>45699</v>
      </c>
      <c r="K93" s="97">
        <f t="shared" si="18"/>
        <v>2</v>
      </c>
      <c r="L93" s="97">
        <v>93</v>
      </c>
      <c r="M93" s="7" t="s">
        <v>181</v>
      </c>
      <c r="N93" s="7" t="s">
        <v>254</v>
      </c>
      <c r="O93" s="7" t="s">
        <v>146</v>
      </c>
      <c r="Q93" s="100">
        <v>1</v>
      </c>
      <c r="R93" s="7" t="s">
        <v>135</v>
      </c>
      <c r="S93" s="7" t="s">
        <v>613</v>
      </c>
      <c r="T93" t="s">
        <v>614</v>
      </c>
      <c r="U93" t="s">
        <v>615</v>
      </c>
      <c r="V93" t="s">
        <v>254</v>
      </c>
      <c r="W93" t="s">
        <v>170</v>
      </c>
      <c r="X93" s="36" t="s">
        <v>141</v>
      </c>
      <c r="Y93" s="36" t="s">
        <v>140</v>
      </c>
      <c r="Z93" s="36" t="s">
        <v>140</v>
      </c>
      <c r="AA93" s="36" t="s">
        <v>141</v>
      </c>
      <c r="AB93" s="36" t="s">
        <v>140</v>
      </c>
      <c r="AC93" s="36" t="s">
        <v>140</v>
      </c>
      <c r="AD93" s="36" t="s">
        <v>140</v>
      </c>
      <c r="AE93" s="36" t="s">
        <v>140</v>
      </c>
      <c r="AF93" s="36" t="s">
        <v>140</v>
      </c>
      <c r="AG93" s="36" t="s">
        <v>140</v>
      </c>
      <c r="AH93" s="36" t="s">
        <v>141</v>
      </c>
      <c r="AI93" s="36" t="s">
        <v>140</v>
      </c>
      <c r="AJ93" s="36" t="s">
        <v>141</v>
      </c>
      <c r="AK93" s="117"/>
      <c r="AL93" s="36" t="s">
        <v>140</v>
      </c>
      <c r="AM93" s="36" t="s">
        <v>141</v>
      </c>
      <c r="AN93" s="36" t="s">
        <v>140</v>
      </c>
      <c r="AO93" s="36" t="s">
        <v>141</v>
      </c>
      <c r="AP93" s="36" t="s">
        <v>140</v>
      </c>
      <c r="AQ93" s="36" t="s">
        <v>141</v>
      </c>
      <c r="AR93" s="36" t="s">
        <v>140</v>
      </c>
      <c r="AS93" s="36" t="s">
        <v>140</v>
      </c>
      <c r="AT93" s="36" t="s">
        <v>140</v>
      </c>
      <c r="AU93" s="36" t="s">
        <v>140</v>
      </c>
      <c r="AV93" s="36" t="s">
        <v>141</v>
      </c>
      <c r="AW93" s="117" t="s">
        <v>141</v>
      </c>
      <c r="AX93" s="117" t="s">
        <v>141</v>
      </c>
      <c r="AY93" s="36" t="s">
        <v>140</v>
      </c>
      <c r="AZ93" s="36" t="s">
        <v>140</v>
      </c>
      <c r="BA93" s="117"/>
      <c r="BB93" s="117"/>
      <c r="BC93" s="117"/>
      <c r="BD93" s="117" t="s">
        <v>140</v>
      </c>
      <c r="BE93" s="117" t="s">
        <v>141</v>
      </c>
      <c r="BF93" s="117" t="s">
        <v>141</v>
      </c>
      <c r="BG93" s="117" t="s">
        <v>140</v>
      </c>
      <c r="BH93" s="117"/>
      <c r="BI93" s="117"/>
      <c r="BJ93" s="117"/>
      <c r="BK93" s="117"/>
      <c r="BL93" s="117"/>
      <c r="BM93" s="117">
        <f t="shared" si="12"/>
        <v>12</v>
      </c>
      <c r="BN93" s="117">
        <f t="shared" si="13"/>
        <v>2</v>
      </c>
      <c r="BO93" s="117">
        <f t="shared" si="14"/>
        <v>2</v>
      </c>
      <c r="BP93" s="153">
        <f t="shared" si="15"/>
        <v>8</v>
      </c>
      <c r="BQ93" s="74" t="s">
        <v>273</v>
      </c>
      <c r="BR93" s="74" t="s">
        <v>616</v>
      </c>
      <c r="BS93" s="74"/>
    </row>
    <row r="94" spans="1:71" hidden="1">
      <c r="A94">
        <v>80</v>
      </c>
      <c r="B94" s="75">
        <v>45699.674120370371</v>
      </c>
      <c r="C94" s="78">
        <v>0.2</v>
      </c>
      <c r="D94" s="7">
        <v>45700</v>
      </c>
      <c r="E94" s="7">
        <v>45700</v>
      </c>
      <c r="F94">
        <v>636</v>
      </c>
      <c r="G94">
        <v>80</v>
      </c>
      <c r="H94" t="s">
        <v>617</v>
      </c>
      <c r="I94" s="10" t="s">
        <v>617</v>
      </c>
      <c r="J94" s="69">
        <v>45700</v>
      </c>
      <c r="K94" s="97">
        <f t="shared" si="18"/>
        <v>2</v>
      </c>
      <c r="L94" s="97">
        <v>94</v>
      </c>
      <c r="M94" s="7" t="s">
        <v>268</v>
      </c>
      <c r="N94" s="7" t="s">
        <v>156</v>
      </c>
      <c r="O94" s="7" t="s">
        <v>156</v>
      </c>
      <c r="P94" s="7" t="s">
        <v>618</v>
      </c>
      <c r="Q94" s="100">
        <v>2</v>
      </c>
      <c r="R94" s="7" t="s">
        <v>158</v>
      </c>
      <c r="S94" s="7" t="s">
        <v>619</v>
      </c>
      <c r="T94" t="s">
        <v>620</v>
      </c>
      <c r="U94" t="s">
        <v>621</v>
      </c>
      <c r="V94" t="s">
        <v>162</v>
      </c>
      <c r="W94" t="s">
        <v>279</v>
      </c>
      <c r="X94" s="36" t="s">
        <v>140</v>
      </c>
      <c r="Y94" s="36" t="s">
        <v>140</v>
      </c>
      <c r="Z94" s="36" t="s">
        <v>141</v>
      </c>
      <c r="AA94" s="36" t="s">
        <v>141</v>
      </c>
      <c r="AB94" s="36" t="s">
        <v>140</v>
      </c>
      <c r="AC94" s="36" t="s">
        <v>141</v>
      </c>
      <c r="AD94" s="36" t="s">
        <v>140</v>
      </c>
      <c r="AE94" s="36" t="s">
        <v>140</v>
      </c>
      <c r="AF94" s="36" t="s">
        <v>140</v>
      </c>
      <c r="AG94" s="36" t="s">
        <v>140</v>
      </c>
      <c r="AH94" s="36" t="s">
        <v>141</v>
      </c>
      <c r="AI94" s="36" t="s">
        <v>140</v>
      </c>
      <c r="AJ94" s="36" t="s">
        <v>141</v>
      </c>
      <c r="AK94" s="117"/>
      <c r="AL94" s="36" t="s">
        <v>141</v>
      </c>
      <c r="AM94" s="36" t="s">
        <v>141</v>
      </c>
      <c r="AN94" s="36" t="s">
        <v>140</v>
      </c>
      <c r="AO94" s="36" t="s">
        <v>140</v>
      </c>
      <c r="AP94" s="36" t="s">
        <v>140</v>
      </c>
      <c r="AQ94" s="36" t="s">
        <v>140</v>
      </c>
      <c r="AR94" s="36" t="s">
        <v>141</v>
      </c>
      <c r="AS94" s="36" t="s">
        <v>140</v>
      </c>
      <c r="AT94" s="36" t="s">
        <v>140</v>
      </c>
      <c r="AU94" s="36" t="s">
        <v>141</v>
      </c>
      <c r="AV94" s="36" t="s">
        <v>141</v>
      </c>
      <c r="AW94" s="117" t="s">
        <v>140</v>
      </c>
      <c r="AX94" s="117" t="s">
        <v>140</v>
      </c>
      <c r="AY94" s="36" t="s">
        <v>140</v>
      </c>
      <c r="AZ94" s="36" t="s">
        <v>140</v>
      </c>
      <c r="BA94" s="117"/>
      <c r="BB94" s="117"/>
      <c r="BC94" s="117"/>
      <c r="BD94" s="117" t="s">
        <v>140</v>
      </c>
      <c r="BE94" s="117" t="s">
        <v>140</v>
      </c>
      <c r="BF94" s="117" t="s">
        <v>141</v>
      </c>
      <c r="BG94" s="117" t="s">
        <v>140</v>
      </c>
      <c r="BH94" s="117"/>
      <c r="BI94" s="117"/>
      <c r="BJ94" s="117"/>
      <c r="BK94" s="117"/>
      <c r="BL94" s="117"/>
      <c r="BM94" s="117">
        <f t="shared" si="12"/>
        <v>11</v>
      </c>
      <c r="BN94" s="117">
        <f t="shared" si="13"/>
        <v>3</v>
      </c>
      <c r="BO94" s="117">
        <f t="shared" si="14"/>
        <v>3</v>
      </c>
      <c r="BP94" s="153">
        <f t="shared" si="15"/>
        <v>7</v>
      </c>
      <c r="BQ94" s="74" t="s">
        <v>163</v>
      </c>
      <c r="BR94" s="74" t="s">
        <v>622</v>
      </c>
      <c r="BS94" s="74"/>
    </row>
    <row r="95" spans="1:71" hidden="1">
      <c r="A95">
        <v>81</v>
      </c>
      <c r="B95" s="75">
        <v>45699.720648148148</v>
      </c>
      <c r="C95" s="78">
        <v>0.24861111111111112</v>
      </c>
      <c r="D95" s="7">
        <v>45700</v>
      </c>
      <c r="E95" s="7">
        <v>45700</v>
      </c>
      <c r="F95">
        <v>637</v>
      </c>
      <c r="G95">
        <v>81</v>
      </c>
      <c r="H95" t="s">
        <v>623</v>
      </c>
      <c r="I95" s="10" t="s">
        <v>623</v>
      </c>
      <c r="J95" s="69">
        <v>45700</v>
      </c>
      <c r="K95" s="97">
        <f t="shared" si="18"/>
        <v>2</v>
      </c>
      <c r="L95" s="97">
        <v>95</v>
      </c>
      <c r="M95" s="7" t="s">
        <v>133</v>
      </c>
      <c r="N95" s="7" t="s">
        <v>134</v>
      </c>
      <c r="O95" s="7" t="s">
        <v>134</v>
      </c>
      <c r="Q95" s="100">
        <v>1</v>
      </c>
      <c r="R95" s="7" t="s">
        <v>135</v>
      </c>
      <c r="S95" s="7" t="s">
        <v>624</v>
      </c>
      <c r="T95" t="s">
        <v>625</v>
      </c>
      <c r="U95" t="s">
        <v>626</v>
      </c>
      <c r="V95" t="s">
        <v>138</v>
      </c>
      <c r="W95" t="s">
        <v>279</v>
      </c>
      <c r="X95" s="36" t="s">
        <v>140</v>
      </c>
      <c r="Y95" s="36" t="s">
        <v>141</v>
      </c>
      <c r="Z95" s="36" t="s">
        <v>141</v>
      </c>
      <c r="AA95" s="36" t="s">
        <v>141</v>
      </c>
      <c r="AB95" s="36" t="s">
        <v>140</v>
      </c>
      <c r="AC95" s="36" t="s">
        <v>140</v>
      </c>
      <c r="AD95" s="36" t="s">
        <v>140</v>
      </c>
      <c r="AE95" s="36" t="s">
        <v>140</v>
      </c>
      <c r="AF95" s="36" t="s">
        <v>140</v>
      </c>
      <c r="AG95" s="36" t="s">
        <v>140</v>
      </c>
      <c r="AH95" s="36" t="s">
        <v>141</v>
      </c>
      <c r="AI95" s="36" t="s">
        <v>140</v>
      </c>
      <c r="AJ95" s="36" t="s">
        <v>141</v>
      </c>
      <c r="AK95" s="117" t="s">
        <v>140</v>
      </c>
      <c r="AL95" s="36" t="s">
        <v>140</v>
      </c>
      <c r="AM95" s="36" t="s">
        <v>141</v>
      </c>
      <c r="AN95" s="36" t="s">
        <v>140</v>
      </c>
      <c r="AO95" s="36" t="s">
        <v>140</v>
      </c>
      <c r="AP95" s="36" t="s">
        <v>140</v>
      </c>
      <c r="AQ95" s="36" t="s">
        <v>140</v>
      </c>
      <c r="AR95" s="36" t="s">
        <v>140</v>
      </c>
      <c r="AS95" s="36" t="s">
        <v>140</v>
      </c>
      <c r="AT95" s="36" t="s">
        <v>140</v>
      </c>
      <c r="AU95" s="36" t="s">
        <v>140</v>
      </c>
      <c r="AV95" s="36" t="s">
        <v>140</v>
      </c>
      <c r="AW95" s="117" t="s">
        <v>140</v>
      </c>
      <c r="AX95" s="117" t="s">
        <v>140</v>
      </c>
      <c r="AY95" s="36" t="s">
        <v>140</v>
      </c>
      <c r="AZ95" s="36" t="s">
        <v>140</v>
      </c>
      <c r="BA95" s="117" t="s">
        <v>140</v>
      </c>
      <c r="BB95" s="117" t="s">
        <v>140</v>
      </c>
      <c r="BC95" s="117" t="s">
        <v>140</v>
      </c>
      <c r="BD95" s="117" t="s">
        <v>141</v>
      </c>
      <c r="BE95" s="117" t="s">
        <v>140</v>
      </c>
      <c r="BF95" s="117" t="s">
        <v>140</v>
      </c>
      <c r="BG95" s="117" t="s">
        <v>140</v>
      </c>
      <c r="BH95" s="117"/>
      <c r="BI95" s="117"/>
      <c r="BJ95" s="117"/>
      <c r="BK95" s="117"/>
      <c r="BL95" s="117"/>
      <c r="BM95" s="117">
        <f t="shared" si="12"/>
        <v>7</v>
      </c>
      <c r="BN95" s="117">
        <f t="shared" si="13"/>
        <v>2</v>
      </c>
      <c r="BO95" s="117">
        <f t="shared" si="14"/>
        <v>3</v>
      </c>
      <c r="BP95" s="153">
        <f t="shared" si="15"/>
        <v>3</v>
      </c>
      <c r="BQ95" s="74" t="s">
        <v>627</v>
      </c>
      <c r="BR95" s="74" t="s">
        <v>628</v>
      </c>
      <c r="BS95" s="74"/>
    </row>
    <row r="96" spans="1:71" hidden="1">
      <c r="A96">
        <v>82</v>
      </c>
      <c r="B96" s="75">
        <v>45700.688460648147</v>
      </c>
      <c r="C96" s="78">
        <v>0.11319444444444444</v>
      </c>
      <c r="D96" s="7">
        <v>45701</v>
      </c>
      <c r="E96" s="7">
        <v>45701</v>
      </c>
      <c r="F96">
        <v>638</v>
      </c>
      <c r="G96">
        <v>82</v>
      </c>
      <c r="H96" t="s">
        <v>629</v>
      </c>
      <c r="I96" s="10" t="s">
        <v>629</v>
      </c>
      <c r="J96" s="69">
        <v>45701</v>
      </c>
      <c r="K96" s="97">
        <f t="shared" ref="K96:K102" si="19">MONTH($J96)</f>
        <v>2</v>
      </c>
      <c r="L96" s="97">
        <v>96</v>
      </c>
      <c r="M96" s="7" t="s">
        <v>165</v>
      </c>
      <c r="N96" s="7" t="s">
        <v>234</v>
      </c>
      <c r="O96" s="7" t="s">
        <v>234</v>
      </c>
      <c r="Q96" s="100">
        <v>3</v>
      </c>
      <c r="R96" s="7" t="s">
        <v>184</v>
      </c>
      <c r="S96" s="7" t="s">
        <v>630</v>
      </c>
      <c r="T96" t="s">
        <v>631</v>
      </c>
      <c r="U96" t="s">
        <v>632</v>
      </c>
      <c r="V96" t="s">
        <v>234</v>
      </c>
      <c r="W96" t="s">
        <v>225</v>
      </c>
      <c r="X96" s="36" t="s">
        <v>141</v>
      </c>
      <c r="Y96" s="36" t="s">
        <v>140</v>
      </c>
      <c r="Z96" s="36" t="s">
        <v>141</v>
      </c>
      <c r="AA96" s="36" t="s">
        <v>141</v>
      </c>
      <c r="AB96" s="36" t="s">
        <v>140</v>
      </c>
      <c r="AC96" s="36" t="s">
        <v>141</v>
      </c>
      <c r="AD96" s="36" t="s">
        <v>140</v>
      </c>
      <c r="AE96" s="36" t="s">
        <v>140</v>
      </c>
      <c r="AF96" s="36" t="s">
        <v>140</v>
      </c>
      <c r="AG96" s="36" t="s">
        <v>140</v>
      </c>
      <c r="AH96" s="36" t="s">
        <v>140</v>
      </c>
      <c r="AI96" s="36" t="s">
        <v>141</v>
      </c>
      <c r="AJ96" s="36" t="s">
        <v>141</v>
      </c>
      <c r="AK96" s="117" t="s">
        <v>140</v>
      </c>
      <c r="AL96" s="36" t="s">
        <v>141</v>
      </c>
      <c r="AM96" s="36" t="s">
        <v>141</v>
      </c>
      <c r="AN96" s="36" t="s">
        <v>140</v>
      </c>
      <c r="AO96" s="36" t="s">
        <v>140</v>
      </c>
      <c r="AP96" s="36" t="s">
        <v>140</v>
      </c>
      <c r="AQ96" s="36" t="s">
        <v>140</v>
      </c>
      <c r="AR96" s="36" t="s">
        <v>141</v>
      </c>
      <c r="AS96" s="36" t="s">
        <v>141</v>
      </c>
      <c r="AT96" s="36" t="s">
        <v>140</v>
      </c>
      <c r="AU96" s="36" t="s">
        <v>141</v>
      </c>
      <c r="AV96" s="36" t="s">
        <v>141</v>
      </c>
      <c r="AW96" s="117" t="s">
        <v>141</v>
      </c>
      <c r="AX96" s="117" t="s">
        <v>140</v>
      </c>
      <c r="AY96" s="36" t="s">
        <v>140</v>
      </c>
      <c r="AZ96" s="36" t="s">
        <v>140</v>
      </c>
      <c r="BA96" s="117" t="s">
        <v>140</v>
      </c>
      <c r="BB96" s="117" t="s">
        <v>140</v>
      </c>
      <c r="BC96" s="117" t="s">
        <v>141</v>
      </c>
      <c r="BD96" s="117" t="s">
        <v>140</v>
      </c>
      <c r="BE96" s="117" t="s">
        <v>140</v>
      </c>
      <c r="BF96" s="117" t="s">
        <v>140</v>
      </c>
      <c r="BG96" s="117" t="s">
        <v>140</v>
      </c>
      <c r="BH96" s="117"/>
      <c r="BI96" s="117"/>
      <c r="BJ96" s="117"/>
      <c r="BK96" s="117"/>
      <c r="BL96" s="117"/>
      <c r="BM96" s="117">
        <f t="shared" si="12"/>
        <v>14</v>
      </c>
      <c r="BN96" s="117">
        <f t="shared" si="13"/>
        <v>4</v>
      </c>
      <c r="BO96" s="117">
        <f t="shared" si="14"/>
        <v>4</v>
      </c>
      <c r="BP96" s="153">
        <f t="shared" si="15"/>
        <v>10</v>
      </c>
      <c r="BQ96" s="74" t="s">
        <v>627</v>
      </c>
      <c r="BR96" s="74" t="s">
        <v>633</v>
      </c>
      <c r="BS96" s="74"/>
    </row>
    <row r="97" spans="1:71" hidden="1">
      <c r="A97">
        <v>83</v>
      </c>
      <c r="B97" s="75">
        <v>45701.137175925927</v>
      </c>
      <c r="C97" s="78">
        <v>0.66041666666666665</v>
      </c>
      <c r="D97" s="7">
        <v>45701</v>
      </c>
      <c r="E97" s="7">
        <v>45700</v>
      </c>
      <c r="F97">
        <v>639</v>
      </c>
      <c r="G97">
        <v>83</v>
      </c>
      <c r="H97" t="s">
        <v>634</v>
      </c>
      <c r="I97" s="10" t="s">
        <v>634</v>
      </c>
      <c r="J97" s="69">
        <v>45701</v>
      </c>
      <c r="K97" s="97">
        <f t="shared" si="19"/>
        <v>2</v>
      </c>
      <c r="L97" s="97">
        <v>97</v>
      </c>
      <c r="M97" s="7" t="s">
        <v>165</v>
      </c>
      <c r="N97" s="7" t="s">
        <v>156</v>
      </c>
      <c r="O97" s="7" t="s">
        <v>156</v>
      </c>
      <c r="P97" s="7" t="s">
        <v>635</v>
      </c>
      <c r="Q97" s="100">
        <v>2</v>
      </c>
      <c r="R97" s="7" t="s">
        <v>158</v>
      </c>
      <c r="S97" s="7" t="s">
        <v>636</v>
      </c>
      <c r="T97" t="s">
        <v>637</v>
      </c>
      <c r="U97" t="s">
        <v>638</v>
      </c>
      <c r="V97" t="s">
        <v>162</v>
      </c>
      <c r="W97" t="s">
        <v>170</v>
      </c>
      <c r="X97" s="36" t="s">
        <v>141</v>
      </c>
      <c r="Y97" s="36" t="s">
        <v>141</v>
      </c>
      <c r="Z97" s="36" t="s">
        <v>140</v>
      </c>
      <c r="AA97" s="36" t="s">
        <v>141</v>
      </c>
      <c r="AB97" s="36" t="s">
        <v>140</v>
      </c>
      <c r="AC97" s="36" t="s">
        <v>140</v>
      </c>
      <c r="AD97" s="36" t="s">
        <v>140</v>
      </c>
      <c r="AE97" s="36" t="s">
        <v>140</v>
      </c>
      <c r="AF97" s="36" t="s">
        <v>141</v>
      </c>
      <c r="AG97" s="36" t="s">
        <v>140</v>
      </c>
      <c r="AH97" s="36" t="s">
        <v>141</v>
      </c>
      <c r="AI97" s="36" t="s">
        <v>141</v>
      </c>
      <c r="AJ97" s="36" t="s">
        <v>140</v>
      </c>
      <c r="AK97" s="117" t="s">
        <v>140</v>
      </c>
      <c r="AL97" s="36" t="s">
        <v>140</v>
      </c>
      <c r="AM97" s="36" t="s">
        <v>140</v>
      </c>
      <c r="AN97" s="36" t="s">
        <v>140</v>
      </c>
      <c r="AO97" s="36" t="s">
        <v>140</v>
      </c>
      <c r="AP97" s="36" t="s">
        <v>140</v>
      </c>
      <c r="AQ97" s="36" t="s">
        <v>140</v>
      </c>
      <c r="AR97" s="36" t="s">
        <v>140</v>
      </c>
      <c r="AS97" s="36" t="s">
        <v>140</v>
      </c>
      <c r="AT97" s="36" t="s">
        <v>141</v>
      </c>
      <c r="AU97" s="36" t="s">
        <v>140</v>
      </c>
      <c r="AV97" s="36" t="s">
        <v>141</v>
      </c>
      <c r="AW97" s="117" t="s">
        <v>141</v>
      </c>
      <c r="AX97" s="117" t="s">
        <v>141</v>
      </c>
      <c r="AY97" s="36" t="s">
        <v>140</v>
      </c>
      <c r="AZ97" s="36" t="s">
        <v>140</v>
      </c>
      <c r="BA97" s="117" t="s">
        <v>140</v>
      </c>
      <c r="BB97" s="117" t="s">
        <v>140</v>
      </c>
      <c r="BC97" s="117" t="s">
        <v>140</v>
      </c>
      <c r="BD97" s="117" t="s">
        <v>141</v>
      </c>
      <c r="BE97" s="117" t="s">
        <v>140</v>
      </c>
      <c r="BF97" s="117" t="s">
        <v>141</v>
      </c>
      <c r="BG97" s="117" t="s">
        <v>140</v>
      </c>
      <c r="BH97" s="117"/>
      <c r="BI97" s="117"/>
      <c r="BJ97" s="117"/>
      <c r="BK97" s="117"/>
      <c r="BL97" s="117"/>
      <c r="BM97" s="117">
        <f t="shared" si="12"/>
        <v>12</v>
      </c>
      <c r="BN97" s="117">
        <f t="shared" si="13"/>
        <v>0</v>
      </c>
      <c r="BO97" s="117">
        <f t="shared" si="14"/>
        <v>3</v>
      </c>
      <c r="BP97" s="153">
        <f t="shared" si="15"/>
        <v>7</v>
      </c>
      <c r="BQ97" s="74" t="s">
        <v>639</v>
      </c>
      <c r="BR97" s="74" t="s">
        <v>640</v>
      </c>
      <c r="BS97" s="74"/>
    </row>
    <row r="98" spans="1:71" hidden="1">
      <c r="A98">
        <v>84</v>
      </c>
      <c r="B98" s="75">
        <v>45701.480671296296</v>
      </c>
      <c r="C98" s="78">
        <v>0.99930555555555556</v>
      </c>
      <c r="D98" s="7">
        <v>45701</v>
      </c>
      <c r="E98" s="7">
        <v>45702</v>
      </c>
      <c r="F98">
        <v>640</v>
      </c>
      <c r="G98">
        <v>84</v>
      </c>
      <c r="H98" t="s">
        <v>641</v>
      </c>
      <c r="I98" s="10" t="s">
        <v>641</v>
      </c>
      <c r="J98" s="69">
        <v>45702</v>
      </c>
      <c r="K98" s="97">
        <f t="shared" si="19"/>
        <v>2</v>
      </c>
      <c r="L98" s="97">
        <v>98</v>
      </c>
      <c r="M98" s="7" t="s">
        <v>181</v>
      </c>
      <c r="N98" s="7" t="s">
        <v>134</v>
      </c>
      <c r="O98" s="7" t="s">
        <v>642</v>
      </c>
      <c r="Q98" s="100">
        <v>1</v>
      </c>
      <c r="R98" s="7" t="s">
        <v>135</v>
      </c>
      <c r="S98" s="7" t="s">
        <v>643</v>
      </c>
      <c r="T98" t="s">
        <v>643</v>
      </c>
      <c r="U98" t="s">
        <v>644</v>
      </c>
      <c r="V98" t="s">
        <v>645</v>
      </c>
      <c r="W98" t="s">
        <v>151</v>
      </c>
      <c r="X98" s="36" t="s">
        <v>141</v>
      </c>
      <c r="Y98" s="36" t="s">
        <v>141</v>
      </c>
      <c r="Z98" s="36" t="s">
        <v>140</v>
      </c>
      <c r="AA98" s="36" t="s">
        <v>140</v>
      </c>
      <c r="AB98" s="36" t="s">
        <v>140</v>
      </c>
      <c r="AC98" s="36" t="s">
        <v>140</v>
      </c>
      <c r="AD98" s="36" t="s">
        <v>140</v>
      </c>
      <c r="AE98" s="36" t="s">
        <v>140</v>
      </c>
      <c r="AF98" s="36" t="s">
        <v>140</v>
      </c>
      <c r="AG98" s="36" t="s">
        <v>141</v>
      </c>
      <c r="AH98" s="36" t="s">
        <v>141</v>
      </c>
      <c r="AI98" s="36" t="s">
        <v>140</v>
      </c>
      <c r="AJ98" s="36" t="s">
        <v>140</v>
      </c>
      <c r="AK98" s="117" t="s">
        <v>140</v>
      </c>
      <c r="AL98" s="36" t="s">
        <v>140</v>
      </c>
      <c r="AM98" s="36" t="s">
        <v>141</v>
      </c>
      <c r="AN98" s="36" t="s">
        <v>140</v>
      </c>
      <c r="AO98" s="36" t="s">
        <v>140</v>
      </c>
      <c r="AP98" s="36" t="s">
        <v>140</v>
      </c>
      <c r="AQ98" s="36" t="s">
        <v>140</v>
      </c>
      <c r="AR98" s="36" t="s">
        <v>140</v>
      </c>
      <c r="AS98" s="36" t="s">
        <v>141</v>
      </c>
      <c r="AT98" s="36" t="s">
        <v>140</v>
      </c>
      <c r="AU98" s="36" t="s">
        <v>140</v>
      </c>
      <c r="AV98" s="36" t="s">
        <v>140</v>
      </c>
      <c r="AW98" s="117" t="s">
        <v>141</v>
      </c>
      <c r="AX98" s="117" t="s">
        <v>141</v>
      </c>
      <c r="AY98" s="36" t="s">
        <v>140</v>
      </c>
      <c r="AZ98" s="36" t="s">
        <v>140</v>
      </c>
      <c r="BA98" s="117" t="s">
        <v>141</v>
      </c>
      <c r="BB98" s="117" t="s">
        <v>140</v>
      </c>
      <c r="BC98" s="117" t="s">
        <v>140</v>
      </c>
      <c r="BD98" s="117" t="s">
        <v>140</v>
      </c>
      <c r="BE98" s="117" t="s">
        <v>140</v>
      </c>
      <c r="BF98" s="117" t="s">
        <v>141</v>
      </c>
      <c r="BG98" s="117" t="s">
        <v>141</v>
      </c>
      <c r="BH98" s="117"/>
      <c r="BI98" s="117"/>
      <c r="BJ98" s="117"/>
      <c r="BK98" s="117"/>
      <c r="BL98" s="117"/>
      <c r="BM98" s="117">
        <f t="shared" si="12"/>
        <v>10</v>
      </c>
      <c r="BN98" s="117">
        <f t="shared" si="13"/>
        <v>3</v>
      </c>
      <c r="BO98" s="117">
        <f t="shared" si="14"/>
        <v>2</v>
      </c>
      <c r="BP98" s="153">
        <f t="shared" si="15"/>
        <v>7</v>
      </c>
      <c r="BQ98" s="74" t="s">
        <v>152</v>
      </c>
      <c r="BR98" s="74"/>
      <c r="BS98" s="74"/>
    </row>
    <row r="99" spans="1:71" hidden="1">
      <c r="A99">
        <v>85</v>
      </c>
      <c r="B99" s="75">
        <v>45702.779131944444</v>
      </c>
      <c r="C99" s="78">
        <v>0.30763888888888891</v>
      </c>
      <c r="D99" s="7">
        <v>45703</v>
      </c>
      <c r="E99" s="7">
        <v>45703</v>
      </c>
      <c r="F99">
        <v>641</v>
      </c>
      <c r="G99">
        <v>85</v>
      </c>
      <c r="H99" t="s">
        <v>646</v>
      </c>
      <c r="I99" s="10" t="s">
        <v>646</v>
      </c>
      <c r="J99" s="69">
        <v>45703</v>
      </c>
      <c r="K99" s="97">
        <f t="shared" si="19"/>
        <v>2</v>
      </c>
      <c r="L99" s="97">
        <v>99</v>
      </c>
      <c r="M99" s="7" t="s">
        <v>165</v>
      </c>
      <c r="N99" s="7" t="s">
        <v>156</v>
      </c>
      <c r="O99" s="7" t="s">
        <v>156</v>
      </c>
      <c r="P99" s="7" t="s">
        <v>647</v>
      </c>
      <c r="Q99" s="100">
        <v>2</v>
      </c>
      <c r="R99" s="7" t="s">
        <v>158</v>
      </c>
      <c r="S99" s="7" t="s">
        <v>648</v>
      </c>
      <c r="T99" t="s">
        <v>649</v>
      </c>
      <c r="U99" t="s">
        <v>439</v>
      </c>
      <c r="V99" t="s">
        <v>162</v>
      </c>
      <c r="W99" t="s">
        <v>170</v>
      </c>
      <c r="X99" s="36" t="s">
        <v>141</v>
      </c>
      <c r="Y99" s="36" t="s">
        <v>141</v>
      </c>
      <c r="Z99" s="36" t="s">
        <v>140</v>
      </c>
      <c r="AA99" s="36" t="s">
        <v>141</v>
      </c>
      <c r="AB99" s="36" t="s">
        <v>141</v>
      </c>
      <c r="AC99" s="36" t="s">
        <v>140</v>
      </c>
      <c r="AD99" s="36" t="s">
        <v>140</v>
      </c>
      <c r="AE99" s="36" t="s">
        <v>140</v>
      </c>
      <c r="AF99" s="36" t="s">
        <v>140</v>
      </c>
      <c r="AG99" s="36" t="s">
        <v>140</v>
      </c>
      <c r="AH99" s="36" t="s">
        <v>140</v>
      </c>
      <c r="AI99" s="36" t="s">
        <v>141</v>
      </c>
      <c r="AJ99" s="36" t="s">
        <v>140</v>
      </c>
      <c r="AK99" s="117" t="s">
        <v>141</v>
      </c>
      <c r="AL99" s="36" t="s">
        <v>141</v>
      </c>
      <c r="AM99" s="36" t="s">
        <v>141</v>
      </c>
      <c r="AN99" s="36" t="s">
        <v>140</v>
      </c>
      <c r="AO99" s="36" t="s">
        <v>140</v>
      </c>
      <c r="AP99" s="36" t="s">
        <v>141</v>
      </c>
      <c r="AQ99" s="36" t="s">
        <v>140</v>
      </c>
      <c r="AR99" s="36" t="s">
        <v>140</v>
      </c>
      <c r="AS99" s="36" t="s">
        <v>140</v>
      </c>
      <c r="AT99" s="36" t="s">
        <v>140</v>
      </c>
      <c r="AU99" s="36" t="s">
        <v>140</v>
      </c>
      <c r="AV99" s="36" t="s">
        <v>140</v>
      </c>
      <c r="AW99" s="117" t="s">
        <v>141</v>
      </c>
      <c r="AX99" s="117" t="s">
        <v>141</v>
      </c>
      <c r="AY99" s="36" t="s">
        <v>140</v>
      </c>
      <c r="AZ99" s="36" t="s">
        <v>140</v>
      </c>
      <c r="BA99" s="117" t="s">
        <v>141</v>
      </c>
      <c r="BB99" s="117" t="s">
        <v>140</v>
      </c>
      <c r="BC99" s="117" t="s">
        <v>140</v>
      </c>
      <c r="BD99" s="117" t="s">
        <v>140</v>
      </c>
      <c r="BE99" s="117" t="s">
        <v>141</v>
      </c>
      <c r="BF99" s="117" t="s">
        <v>140</v>
      </c>
      <c r="BG99" s="117" t="s">
        <v>140</v>
      </c>
      <c r="BH99" s="117"/>
      <c r="BI99" s="117"/>
      <c r="BJ99" s="117"/>
      <c r="BK99" s="117"/>
      <c r="BL99" s="117"/>
      <c r="BM99" s="117">
        <f t="shared" si="12"/>
        <v>13</v>
      </c>
      <c r="BN99" s="117">
        <f t="shared" si="13"/>
        <v>2</v>
      </c>
      <c r="BO99" s="117">
        <f t="shared" si="14"/>
        <v>4</v>
      </c>
      <c r="BP99" s="153">
        <f t="shared" si="15"/>
        <v>8</v>
      </c>
      <c r="BQ99" s="74" t="s">
        <v>650</v>
      </c>
      <c r="BR99" s="74" t="s">
        <v>640</v>
      </c>
      <c r="BS99" s="74"/>
    </row>
    <row r="100" spans="1:71" hidden="1">
      <c r="A100">
        <v>86</v>
      </c>
      <c r="B100" s="75">
        <v>45703.820625</v>
      </c>
      <c r="C100" s="78">
        <v>0.16041666666666668</v>
      </c>
      <c r="D100" s="7">
        <v>45704</v>
      </c>
      <c r="E100" s="7">
        <v>45704</v>
      </c>
      <c r="F100">
        <v>642</v>
      </c>
      <c r="G100">
        <v>86</v>
      </c>
      <c r="H100" t="s">
        <v>651</v>
      </c>
      <c r="I100" s="10" t="s">
        <v>651</v>
      </c>
      <c r="J100" s="69">
        <v>45704</v>
      </c>
      <c r="K100" s="97">
        <f t="shared" si="19"/>
        <v>2</v>
      </c>
      <c r="L100" s="97">
        <v>100</v>
      </c>
      <c r="M100" s="7" t="s">
        <v>165</v>
      </c>
      <c r="N100" s="7" t="s">
        <v>234</v>
      </c>
      <c r="O100" s="7" t="s">
        <v>234</v>
      </c>
      <c r="Q100" s="100">
        <v>3</v>
      </c>
      <c r="R100" s="7" t="s">
        <v>184</v>
      </c>
      <c r="S100" s="7" t="s">
        <v>652</v>
      </c>
      <c r="T100" t="s">
        <v>653</v>
      </c>
      <c r="U100" t="s">
        <v>654</v>
      </c>
      <c r="V100" t="s">
        <v>234</v>
      </c>
      <c r="W100" t="s">
        <v>139</v>
      </c>
      <c r="X100" s="36" t="s">
        <v>141</v>
      </c>
      <c r="Y100" s="36" t="s">
        <v>141</v>
      </c>
      <c r="Z100" s="36" t="s">
        <v>140</v>
      </c>
      <c r="AA100" s="36" t="s">
        <v>141</v>
      </c>
      <c r="AB100" s="36" t="s">
        <v>141</v>
      </c>
      <c r="AC100" s="36" t="s">
        <v>141</v>
      </c>
      <c r="AD100" s="36" t="s">
        <v>140</v>
      </c>
      <c r="AE100" s="36" t="s">
        <v>140</v>
      </c>
      <c r="AF100" s="36" t="s">
        <v>140</v>
      </c>
      <c r="AG100" s="36" t="s">
        <v>140</v>
      </c>
      <c r="AH100" s="36" t="s">
        <v>141</v>
      </c>
      <c r="AI100" s="36" t="s">
        <v>141</v>
      </c>
      <c r="AJ100" s="36" t="s">
        <v>140</v>
      </c>
      <c r="AK100" s="117" t="s">
        <v>141</v>
      </c>
      <c r="AL100" s="36" t="s">
        <v>140</v>
      </c>
      <c r="AM100" s="36" t="s">
        <v>140</v>
      </c>
      <c r="AN100" s="36" t="s">
        <v>140</v>
      </c>
      <c r="AO100" s="36" t="s">
        <v>141</v>
      </c>
      <c r="AP100" s="36" t="s">
        <v>140</v>
      </c>
      <c r="AQ100" s="36" t="s">
        <v>140</v>
      </c>
      <c r="AR100" s="36" t="s">
        <v>141</v>
      </c>
      <c r="AS100" s="36" t="s">
        <v>141</v>
      </c>
      <c r="AT100" s="36" t="s">
        <v>140</v>
      </c>
      <c r="AU100" s="36" t="s">
        <v>140</v>
      </c>
      <c r="AV100" s="36" t="s">
        <v>140</v>
      </c>
      <c r="AW100" s="117" t="s">
        <v>140</v>
      </c>
      <c r="AX100" s="117" t="s">
        <v>140</v>
      </c>
      <c r="AY100" s="36" t="s">
        <v>140</v>
      </c>
      <c r="AZ100" s="36" t="s">
        <v>140</v>
      </c>
      <c r="BA100" s="117" t="s">
        <v>140</v>
      </c>
      <c r="BB100" s="117" t="s">
        <v>140</v>
      </c>
      <c r="BC100" s="117" t="s">
        <v>140</v>
      </c>
      <c r="BD100" s="117" t="s">
        <v>140</v>
      </c>
      <c r="BE100" s="117" t="s">
        <v>140</v>
      </c>
      <c r="BF100" s="117" t="s">
        <v>140</v>
      </c>
      <c r="BG100" s="117" t="s">
        <v>140</v>
      </c>
      <c r="BH100" s="117"/>
      <c r="BI100" s="117"/>
      <c r="BJ100" s="117"/>
      <c r="BK100" s="117"/>
      <c r="BL100" s="117"/>
      <c r="BM100" s="117">
        <f t="shared" si="12"/>
        <v>11</v>
      </c>
      <c r="BN100" s="117">
        <f t="shared" si="13"/>
        <v>3</v>
      </c>
      <c r="BO100" s="117">
        <f t="shared" si="14"/>
        <v>5</v>
      </c>
      <c r="BP100" s="153">
        <f t="shared" si="15"/>
        <v>6</v>
      </c>
      <c r="BQ100" s="74" t="s">
        <v>208</v>
      </c>
      <c r="BR100" s="74" t="s">
        <v>655</v>
      </c>
      <c r="BS100" s="74"/>
    </row>
    <row r="101" spans="1:71" hidden="1">
      <c r="A101">
        <v>87</v>
      </c>
      <c r="B101" s="75">
        <v>45704.913518518515</v>
      </c>
      <c r="C101" s="78">
        <v>0.43611111111111112</v>
      </c>
      <c r="D101" s="7">
        <v>45705</v>
      </c>
      <c r="E101" s="7">
        <v>45702</v>
      </c>
      <c r="F101">
        <v>643</v>
      </c>
      <c r="G101">
        <v>87</v>
      </c>
      <c r="H101" t="s">
        <v>656</v>
      </c>
      <c r="I101" s="10" t="s">
        <v>656</v>
      </c>
      <c r="J101" s="69">
        <v>45705</v>
      </c>
      <c r="K101" s="97">
        <f t="shared" si="19"/>
        <v>2</v>
      </c>
      <c r="L101" s="97">
        <v>101</v>
      </c>
      <c r="M101" s="7" t="s">
        <v>181</v>
      </c>
      <c r="N101" s="7" t="s">
        <v>254</v>
      </c>
      <c r="O101" s="7" t="s">
        <v>370</v>
      </c>
      <c r="Q101" s="100">
        <v>1</v>
      </c>
      <c r="R101" s="7" t="s">
        <v>135</v>
      </c>
      <c r="S101" s="7" t="s">
        <v>657</v>
      </c>
      <c r="T101" t="s">
        <v>658</v>
      </c>
      <c r="U101" t="s">
        <v>659</v>
      </c>
      <c r="V101" t="s">
        <v>254</v>
      </c>
      <c r="W101" t="s">
        <v>207</v>
      </c>
      <c r="X101" s="36" t="s">
        <v>140</v>
      </c>
      <c r="Y101" s="36" t="s">
        <v>141</v>
      </c>
      <c r="Z101" s="36" t="s">
        <v>140</v>
      </c>
      <c r="AA101" s="36" t="s">
        <v>140</v>
      </c>
      <c r="AB101" s="36" t="s">
        <v>141</v>
      </c>
      <c r="AC101" s="36" t="s">
        <v>140</v>
      </c>
      <c r="AD101" s="36" t="s">
        <v>140</v>
      </c>
      <c r="AE101" s="36" t="s">
        <v>140</v>
      </c>
      <c r="AF101" s="36" t="s">
        <v>140</v>
      </c>
      <c r="AG101" s="36" t="s">
        <v>140</v>
      </c>
      <c r="AH101" s="36" t="s">
        <v>141</v>
      </c>
      <c r="AI101" s="36" t="s">
        <v>141</v>
      </c>
      <c r="AJ101" s="36" t="s">
        <v>141</v>
      </c>
      <c r="AK101" s="117" t="s">
        <v>141</v>
      </c>
      <c r="AL101" s="36" t="s">
        <v>140</v>
      </c>
      <c r="AM101" s="36" t="s">
        <v>141</v>
      </c>
      <c r="AN101" s="36" t="s">
        <v>140</v>
      </c>
      <c r="AO101" s="36" t="s">
        <v>141</v>
      </c>
      <c r="AP101" s="36" t="s">
        <v>140</v>
      </c>
      <c r="AQ101" s="36" t="s">
        <v>140</v>
      </c>
      <c r="AR101" s="36" t="s">
        <v>140</v>
      </c>
      <c r="AS101" s="36" t="s">
        <v>140</v>
      </c>
      <c r="AT101" s="36" t="s">
        <v>141</v>
      </c>
      <c r="AU101" s="36" t="s">
        <v>140</v>
      </c>
      <c r="AV101" s="36" t="s">
        <v>140</v>
      </c>
      <c r="AW101" s="117" t="s">
        <v>140</v>
      </c>
      <c r="AX101" s="117" t="s">
        <v>140</v>
      </c>
      <c r="AY101" s="36" t="s">
        <v>140</v>
      </c>
      <c r="AZ101" s="36" t="s">
        <v>140</v>
      </c>
      <c r="BA101" s="117" t="s">
        <v>140</v>
      </c>
      <c r="BB101" s="117" t="s">
        <v>140</v>
      </c>
      <c r="BC101" s="117" t="s">
        <v>140</v>
      </c>
      <c r="BD101" s="117" t="s">
        <v>140</v>
      </c>
      <c r="BE101" s="117" t="s">
        <v>140</v>
      </c>
      <c r="BF101" s="117" t="s">
        <v>141</v>
      </c>
      <c r="BG101" s="117" t="s">
        <v>140</v>
      </c>
      <c r="BH101" s="117"/>
      <c r="BI101" s="117"/>
      <c r="BJ101" s="117"/>
      <c r="BK101" s="117"/>
      <c r="BL101" s="117"/>
      <c r="BM101" s="117">
        <f t="shared" si="12"/>
        <v>10</v>
      </c>
      <c r="BN101" s="117">
        <f t="shared" si="13"/>
        <v>3</v>
      </c>
      <c r="BO101" s="117">
        <f t="shared" si="14"/>
        <v>2</v>
      </c>
      <c r="BP101" s="153">
        <f t="shared" si="15"/>
        <v>7</v>
      </c>
      <c r="BQ101" s="74" t="s">
        <v>337</v>
      </c>
      <c r="BR101" s="74" t="s">
        <v>391</v>
      </c>
      <c r="BS101" s="74"/>
    </row>
    <row r="102" spans="1:71" hidden="1">
      <c r="A102">
        <v>88</v>
      </c>
      <c r="B102" s="75">
        <v>45704.953009259261</v>
      </c>
      <c r="C102" s="78">
        <v>0.48819444444444443</v>
      </c>
      <c r="D102" s="7">
        <v>45705</v>
      </c>
      <c r="E102" s="7">
        <v>45702</v>
      </c>
      <c r="F102">
        <v>644</v>
      </c>
      <c r="G102">
        <v>88</v>
      </c>
      <c r="H102" t="s">
        <v>660</v>
      </c>
      <c r="I102" s="10" t="s">
        <v>660</v>
      </c>
      <c r="J102" s="69">
        <v>45705</v>
      </c>
      <c r="K102" s="97">
        <f t="shared" si="19"/>
        <v>2</v>
      </c>
      <c r="L102" s="97">
        <v>102</v>
      </c>
      <c r="M102" s="7" t="s">
        <v>145</v>
      </c>
      <c r="N102" s="7" t="s">
        <v>146</v>
      </c>
      <c r="O102" s="7" t="s">
        <v>146</v>
      </c>
      <c r="Q102" s="100">
        <v>1</v>
      </c>
      <c r="R102" s="7" t="s">
        <v>135</v>
      </c>
      <c r="S102" s="7" t="s">
        <v>661</v>
      </c>
      <c r="T102" t="s">
        <v>662</v>
      </c>
      <c r="U102" t="s">
        <v>663</v>
      </c>
      <c r="V102" t="s">
        <v>162</v>
      </c>
      <c r="W102" t="s">
        <v>207</v>
      </c>
      <c r="X102" s="36" t="s">
        <v>140</v>
      </c>
      <c r="Y102" s="36" t="s">
        <v>141</v>
      </c>
      <c r="Z102" s="36" t="s">
        <v>140</v>
      </c>
      <c r="AA102" s="36" t="s">
        <v>140</v>
      </c>
      <c r="AB102" s="36" t="s">
        <v>141</v>
      </c>
      <c r="AC102" s="36" t="s">
        <v>140</v>
      </c>
      <c r="AD102" s="36" t="s">
        <v>140</v>
      </c>
      <c r="AE102" s="36" t="s">
        <v>140</v>
      </c>
      <c r="AF102" s="36" t="s">
        <v>140</v>
      </c>
      <c r="AG102" s="36" t="s">
        <v>140</v>
      </c>
      <c r="AH102" s="36" t="s">
        <v>141</v>
      </c>
      <c r="AI102" s="36" t="s">
        <v>140</v>
      </c>
      <c r="AJ102" s="36" t="s">
        <v>141</v>
      </c>
      <c r="AK102" s="117" t="s">
        <v>141</v>
      </c>
      <c r="AL102" s="36" t="s">
        <v>140</v>
      </c>
      <c r="AM102" s="36" t="s">
        <v>141</v>
      </c>
      <c r="AN102" s="36" t="s">
        <v>140</v>
      </c>
      <c r="AO102" s="36" t="s">
        <v>141</v>
      </c>
      <c r="AP102" s="36" t="s">
        <v>140</v>
      </c>
      <c r="AQ102" s="36" t="s">
        <v>140</v>
      </c>
      <c r="AR102" s="36" t="s">
        <v>140</v>
      </c>
      <c r="AS102" s="36" t="s">
        <v>140</v>
      </c>
      <c r="AT102" s="36" t="s">
        <v>141</v>
      </c>
      <c r="AU102" s="36" t="s">
        <v>140</v>
      </c>
      <c r="AV102" s="36" t="s">
        <v>140</v>
      </c>
      <c r="AW102" s="117" t="s">
        <v>140</v>
      </c>
      <c r="AX102" s="117" t="s">
        <v>140</v>
      </c>
      <c r="AY102" s="36" t="s">
        <v>140</v>
      </c>
      <c r="AZ102" s="36" t="s">
        <v>140</v>
      </c>
      <c r="BA102" s="117" t="s">
        <v>140</v>
      </c>
      <c r="BB102" s="117" t="s">
        <v>140</v>
      </c>
      <c r="BC102" s="117" t="s">
        <v>140</v>
      </c>
      <c r="BD102" s="117" t="s">
        <v>140</v>
      </c>
      <c r="BE102" s="117" t="s">
        <v>140</v>
      </c>
      <c r="BF102" s="117" t="s">
        <v>141</v>
      </c>
      <c r="BG102" s="117" t="s">
        <v>140</v>
      </c>
      <c r="BH102" s="117"/>
      <c r="BI102" s="117"/>
      <c r="BJ102" s="117"/>
      <c r="BK102" s="117"/>
      <c r="BL102" s="117"/>
      <c r="BM102" s="117">
        <f t="shared" si="12"/>
        <v>9</v>
      </c>
      <c r="BN102" s="117">
        <f t="shared" si="13"/>
        <v>3</v>
      </c>
      <c r="BO102" s="117">
        <f t="shared" si="14"/>
        <v>2</v>
      </c>
      <c r="BP102" s="153">
        <f t="shared" si="15"/>
        <v>6</v>
      </c>
      <c r="BQ102" s="74" t="s">
        <v>337</v>
      </c>
      <c r="BR102" s="74" t="s">
        <v>664</v>
      </c>
      <c r="BS102" s="74"/>
    </row>
    <row r="103" spans="1:71" hidden="1">
      <c r="A103">
        <v>89</v>
      </c>
      <c r="B103" s="75">
        <v>45705.144328703704</v>
      </c>
      <c r="C103" s="78">
        <v>0.59583333333333333</v>
      </c>
      <c r="D103" s="7">
        <v>45705</v>
      </c>
      <c r="E103" s="7">
        <v>45705</v>
      </c>
      <c r="F103">
        <v>645</v>
      </c>
      <c r="G103">
        <v>89</v>
      </c>
      <c r="H103" t="s">
        <v>665</v>
      </c>
      <c r="I103" s="10" t="s">
        <v>665</v>
      </c>
      <c r="J103" s="69">
        <v>45705</v>
      </c>
      <c r="K103" s="97">
        <f t="shared" ref="K103:K108" si="20">MONTH($J103)</f>
        <v>2</v>
      </c>
      <c r="L103" s="97">
        <v>103</v>
      </c>
      <c r="M103" s="7" t="s">
        <v>145</v>
      </c>
      <c r="N103" s="7" t="s">
        <v>146</v>
      </c>
      <c r="O103" s="7" t="s">
        <v>146</v>
      </c>
      <c r="Q103" s="100">
        <v>1</v>
      </c>
      <c r="R103" s="7" t="s">
        <v>135</v>
      </c>
      <c r="S103" s="7" t="s">
        <v>666</v>
      </c>
      <c r="T103" t="s">
        <v>667</v>
      </c>
      <c r="U103" t="s">
        <v>668</v>
      </c>
      <c r="V103" t="s">
        <v>146</v>
      </c>
      <c r="W103" t="s">
        <v>669</v>
      </c>
      <c r="X103" s="36" t="s">
        <v>141</v>
      </c>
      <c r="Y103" s="36" t="s">
        <v>141</v>
      </c>
      <c r="Z103" s="36" t="s">
        <v>140</v>
      </c>
      <c r="AA103" s="36" t="s">
        <v>141</v>
      </c>
      <c r="AB103" s="36" t="s">
        <v>141</v>
      </c>
      <c r="AC103" s="36" t="s">
        <v>140</v>
      </c>
      <c r="AD103" s="36" t="s">
        <v>140</v>
      </c>
      <c r="AE103" s="36" t="s">
        <v>140</v>
      </c>
      <c r="AF103" s="36" t="s">
        <v>140</v>
      </c>
      <c r="AG103" s="36" t="s">
        <v>140</v>
      </c>
      <c r="AH103" s="36" t="s">
        <v>141</v>
      </c>
      <c r="AI103" s="36" t="s">
        <v>140</v>
      </c>
      <c r="AJ103" s="36" t="s">
        <v>141</v>
      </c>
      <c r="AK103" s="117" t="s">
        <v>141</v>
      </c>
      <c r="AL103" s="36" t="s">
        <v>140</v>
      </c>
      <c r="AM103" s="36" t="s">
        <v>141</v>
      </c>
      <c r="AN103" s="36" t="s">
        <v>140</v>
      </c>
      <c r="AO103" s="36" t="s">
        <v>141</v>
      </c>
      <c r="AP103" s="36" t="s">
        <v>140</v>
      </c>
      <c r="AQ103" s="36" t="s">
        <v>141</v>
      </c>
      <c r="AR103" s="36" t="s">
        <v>141</v>
      </c>
      <c r="AS103" s="36" t="s">
        <v>140</v>
      </c>
      <c r="AT103" s="36" t="s">
        <v>140</v>
      </c>
      <c r="AU103" s="36" t="s">
        <v>141</v>
      </c>
      <c r="AV103" s="36" t="s">
        <v>140</v>
      </c>
      <c r="AW103" s="117" t="s">
        <v>141</v>
      </c>
      <c r="AX103" s="117" t="s">
        <v>141</v>
      </c>
      <c r="AY103" s="36" t="s">
        <v>140</v>
      </c>
      <c r="AZ103" s="36" t="s">
        <v>141</v>
      </c>
      <c r="BA103" s="117" t="s">
        <v>140</v>
      </c>
      <c r="BB103" s="117" t="s">
        <v>140</v>
      </c>
      <c r="BC103" s="117" t="s">
        <v>140</v>
      </c>
      <c r="BD103" s="117" t="s">
        <v>141</v>
      </c>
      <c r="BE103" s="117" t="s">
        <v>140</v>
      </c>
      <c r="BF103" s="117" t="s">
        <v>141</v>
      </c>
      <c r="BG103" s="117" t="s">
        <v>141</v>
      </c>
      <c r="BH103" s="117"/>
      <c r="BI103" s="117"/>
      <c r="BJ103" s="117"/>
      <c r="BK103" s="117"/>
      <c r="BL103" s="117"/>
      <c r="BM103" s="117">
        <f t="shared" si="12"/>
        <v>17</v>
      </c>
      <c r="BN103" s="117">
        <f t="shared" si="13"/>
        <v>4</v>
      </c>
      <c r="BO103" s="117">
        <f t="shared" si="14"/>
        <v>4</v>
      </c>
      <c r="BP103" s="153">
        <f t="shared" si="15"/>
        <v>11</v>
      </c>
      <c r="BQ103" s="74" t="s">
        <v>208</v>
      </c>
      <c r="BR103" s="74" t="s">
        <v>670</v>
      </c>
      <c r="BS103" s="74"/>
    </row>
    <row r="104" spans="1:71" hidden="1">
      <c r="A104">
        <v>90</v>
      </c>
      <c r="B104" s="75">
        <v>45705.150578703702</v>
      </c>
      <c r="C104" s="78">
        <v>0.68194444444444446</v>
      </c>
      <c r="D104" s="7">
        <v>45705</v>
      </c>
      <c r="E104" s="7">
        <v>45705</v>
      </c>
      <c r="F104">
        <v>646</v>
      </c>
      <c r="G104">
        <v>90</v>
      </c>
      <c r="H104" t="s">
        <v>671</v>
      </c>
      <c r="I104" s="10" t="s">
        <v>671</v>
      </c>
      <c r="J104" s="69">
        <v>45705</v>
      </c>
      <c r="K104" s="97">
        <f t="shared" si="20"/>
        <v>2</v>
      </c>
      <c r="L104" s="97">
        <v>104</v>
      </c>
      <c r="M104" s="7" t="s">
        <v>268</v>
      </c>
      <c r="N104" s="7" t="s">
        <v>156</v>
      </c>
      <c r="O104" s="7" t="s">
        <v>156</v>
      </c>
      <c r="P104" s="7" t="s">
        <v>672</v>
      </c>
      <c r="Q104" s="100">
        <v>1</v>
      </c>
      <c r="R104" s="7" t="s">
        <v>135</v>
      </c>
      <c r="S104" s="7" t="s">
        <v>673</v>
      </c>
      <c r="T104" t="s">
        <v>672</v>
      </c>
      <c r="U104" t="s">
        <v>674</v>
      </c>
      <c r="V104" t="s">
        <v>162</v>
      </c>
      <c r="W104" t="s">
        <v>170</v>
      </c>
      <c r="X104" s="36" t="s">
        <v>141</v>
      </c>
      <c r="Y104" s="36" t="s">
        <v>141</v>
      </c>
      <c r="Z104" s="36" t="s">
        <v>140</v>
      </c>
      <c r="AA104" s="36" t="s">
        <v>141</v>
      </c>
      <c r="AB104" s="36" t="s">
        <v>141</v>
      </c>
      <c r="AC104" s="36" t="s">
        <v>140</v>
      </c>
      <c r="AD104" s="36" t="s">
        <v>140</v>
      </c>
      <c r="AE104" s="36" t="s">
        <v>140</v>
      </c>
      <c r="AF104" s="36" t="s">
        <v>140</v>
      </c>
      <c r="AG104" s="36" t="s">
        <v>140</v>
      </c>
      <c r="AH104" s="36" t="s">
        <v>141</v>
      </c>
      <c r="AI104" s="36" t="s">
        <v>140</v>
      </c>
      <c r="AJ104" s="36" t="s">
        <v>141</v>
      </c>
      <c r="AK104" s="117" t="s">
        <v>141</v>
      </c>
      <c r="AL104" s="36" t="s">
        <v>140</v>
      </c>
      <c r="AM104" s="36" t="s">
        <v>141</v>
      </c>
      <c r="AN104" s="36" t="s">
        <v>140</v>
      </c>
      <c r="AO104" s="36" t="s">
        <v>141</v>
      </c>
      <c r="AP104" s="36" t="s">
        <v>140</v>
      </c>
      <c r="AQ104" s="36" t="s">
        <v>141</v>
      </c>
      <c r="AR104" s="36" t="s">
        <v>141</v>
      </c>
      <c r="AS104" s="36" t="s">
        <v>140</v>
      </c>
      <c r="AT104" s="36" t="s">
        <v>140</v>
      </c>
      <c r="AU104" s="36" t="s">
        <v>141</v>
      </c>
      <c r="AV104" s="36" t="s">
        <v>140</v>
      </c>
      <c r="AW104" s="117" t="s">
        <v>141</v>
      </c>
      <c r="AX104" s="117" t="s">
        <v>141</v>
      </c>
      <c r="AY104" s="36" t="s">
        <v>140</v>
      </c>
      <c r="AZ104" s="36" t="s">
        <v>141</v>
      </c>
      <c r="BA104" s="117" t="s">
        <v>140</v>
      </c>
      <c r="BB104" s="117" t="s">
        <v>140</v>
      </c>
      <c r="BC104" s="117" t="s">
        <v>140</v>
      </c>
      <c r="BD104" s="117" t="s">
        <v>141</v>
      </c>
      <c r="BE104" s="117" t="s">
        <v>140</v>
      </c>
      <c r="BF104" s="117" t="s">
        <v>141</v>
      </c>
      <c r="BG104" s="117" t="s">
        <v>141</v>
      </c>
      <c r="BH104" s="117"/>
      <c r="BI104" s="117"/>
      <c r="BJ104" s="117"/>
      <c r="BK104" s="117"/>
      <c r="BL104" s="117"/>
      <c r="BM104" s="117">
        <f t="shared" si="12"/>
        <v>17</v>
      </c>
      <c r="BN104" s="117">
        <f t="shared" si="13"/>
        <v>4</v>
      </c>
      <c r="BO104" s="117">
        <f t="shared" si="14"/>
        <v>4</v>
      </c>
      <c r="BP104" s="153">
        <f t="shared" si="15"/>
        <v>11</v>
      </c>
      <c r="BQ104" s="74" t="s">
        <v>208</v>
      </c>
      <c r="BR104" s="74" t="s">
        <v>640</v>
      </c>
      <c r="BS104" s="74"/>
    </row>
    <row r="105" spans="1:71" hidden="1">
      <c r="A105">
        <v>91</v>
      </c>
      <c r="B105" s="75">
        <v>45706.839768518519</v>
      </c>
      <c r="C105" s="78">
        <v>0.34513888888888888</v>
      </c>
      <c r="D105" s="7">
        <v>45707</v>
      </c>
      <c r="E105" s="7">
        <v>45707</v>
      </c>
      <c r="F105">
        <v>647</v>
      </c>
      <c r="G105">
        <v>91</v>
      </c>
      <c r="H105" t="s">
        <v>675</v>
      </c>
      <c r="I105" s="10" t="s">
        <v>675</v>
      </c>
      <c r="J105" s="69">
        <v>45707</v>
      </c>
      <c r="K105" s="97">
        <f t="shared" si="20"/>
        <v>2</v>
      </c>
      <c r="L105" s="97">
        <v>105</v>
      </c>
      <c r="M105" s="7" t="s">
        <v>282</v>
      </c>
      <c r="N105" s="7" t="s">
        <v>197</v>
      </c>
      <c r="O105" s="7" t="s">
        <v>197</v>
      </c>
      <c r="Q105" s="100">
        <v>1</v>
      </c>
      <c r="R105" s="7" t="s">
        <v>135</v>
      </c>
      <c r="S105" s="7" t="s">
        <v>676</v>
      </c>
      <c r="T105" t="s">
        <v>677</v>
      </c>
      <c r="U105" t="s">
        <v>678</v>
      </c>
      <c r="V105" t="s">
        <v>200</v>
      </c>
      <c r="W105" t="s">
        <v>357</v>
      </c>
      <c r="X105" s="36" t="s">
        <v>140</v>
      </c>
      <c r="Y105" s="36" t="s">
        <v>141</v>
      </c>
      <c r="Z105" s="36" t="s">
        <v>140</v>
      </c>
      <c r="AA105" s="36" t="s">
        <v>140</v>
      </c>
      <c r="AB105" s="36" t="s">
        <v>140</v>
      </c>
      <c r="AC105" s="36" t="s">
        <v>140</v>
      </c>
      <c r="AD105" s="36" t="s">
        <v>140</v>
      </c>
      <c r="AE105" s="36" t="s">
        <v>140</v>
      </c>
      <c r="AF105" s="36" t="s">
        <v>140</v>
      </c>
      <c r="AG105" s="36" t="s">
        <v>140</v>
      </c>
      <c r="AH105" s="36" t="s">
        <v>141</v>
      </c>
      <c r="AI105" s="36" t="s">
        <v>140</v>
      </c>
      <c r="AJ105" s="36" t="s">
        <v>141</v>
      </c>
      <c r="AK105" s="117" t="s">
        <v>140</v>
      </c>
      <c r="AL105" s="36" t="s">
        <v>140</v>
      </c>
      <c r="AM105" s="36" t="s">
        <v>141</v>
      </c>
      <c r="AN105" s="36" t="s">
        <v>140</v>
      </c>
      <c r="AO105" s="36" t="s">
        <v>140</v>
      </c>
      <c r="AP105" s="36" t="s">
        <v>140</v>
      </c>
      <c r="AQ105" s="36" t="s">
        <v>140</v>
      </c>
      <c r="AR105" s="36" t="s">
        <v>140</v>
      </c>
      <c r="AS105" s="36" t="s">
        <v>140</v>
      </c>
      <c r="AT105" s="36" t="s">
        <v>141</v>
      </c>
      <c r="AU105" s="36" t="s">
        <v>140</v>
      </c>
      <c r="AV105" s="36" t="s">
        <v>140</v>
      </c>
      <c r="AW105" s="117" t="s">
        <v>141</v>
      </c>
      <c r="AX105" s="117" t="s">
        <v>140</v>
      </c>
      <c r="AY105" s="36" t="s">
        <v>140</v>
      </c>
      <c r="AZ105" s="36" t="s">
        <v>140</v>
      </c>
      <c r="BA105" s="117" t="s">
        <v>140</v>
      </c>
      <c r="BB105" s="117" t="s">
        <v>140</v>
      </c>
      <c r="BC105" s="117" t="s">
        <v>140</v>
      </c>
      <c r="BD105" s="117" t="s">
        <v>140</v>
      </c>
      <c r="BE105" s="117" t="s">
        <v>140</v>
      </c>
      <c r="BF105" s="117" t="s">
        <v>141</v>
      </c>
      <c r="BG105" s="117" t="s">
        <v>140</v>
      </c>
      <c r="BH105" s="117"/>
      <c r="BI105" s="117"/>
      <c r="BJ105" s="117"/>
      <c r="BK105" s="117"/>
      <c r="BL105" s="117"/>
      <c r="BM105" s="117">
        <f t="shared" si="12"/>
        <v>7</v>
      </c>
      <c r="BN105" s="117">
        <f t="shared" si="13"/>
        <v>2</v>
      </c>
      <c r="BO105" s="117">
        <f t="shared" si="14"/>
        <v>1</v>
      </c>
      <c r="BP105" s="153">
        <f t="shared" si="15"/>
        <v>5</v>
      </c>
      <c r="BQ105" s="74" t="s">
        <v>679</v>
      </c>
      <c r="BR105" s="74" t="s">
        <v>680</v>
      </c>
      <c r="BS105" s="74"/>
    </row>
    <row r="106" spans="1:71" hidden="1">
      <c r="A106">
        <v>92</v>
      </c>
      <c r="B106" s="75">
        <v>45706.876562500001</v>
      </c>
      <c r="C106" s="78">
        <v>0.38680555555555557</v>
      </c>
      <c r="D106" s="7">
        <v>45707</v>
      </c>
      <c r="E106" s="7">
        <v>45707</v>
      </c>
      <c r="F106">
        <v>648</v>
      </c>
      <c r="G106">
        <v>92</v>
      </c>
      <c r="H106" t="s">
        <v>681</v>
      </c>
      <c r="I106" s="10" t="s">
        <v>681</v>
      </c>
      <c r="J106" s="69">
        <v>45707</v>
      </c>
      <c r="K106" s="97">
        <f t="shared" si="20"/>
        <v>2</v>
      </c>
      <c r="L106" s="97">
        <v>106</v>
      </c>
      <c r="M106" s="7" t="s">
        <v>196</v>
      </c>
      <c r="N106" s="7" t="s">
        <v>197</v>
      </c>
      <c r="O106" s="7" t="s">
        <v>197</v>
      </c>
      <c r="Q106" s="100">
        <v>1</v>
      </c>
      <c r="R106" s="7" t="s">
        <v>135</v>
      </c>
      <c r="S106" s="7" t="s">
        <v>682</v>
      </c>
      <c r="T106" t="s">
        <v>683</v>
      </c>
      <c r="U106" t="s">
        <v>684</v>
      </c>
      <c r="V106" t="s">
        <v>300</v>
      </c>
      <c r="W106" t="s">
        <v>440</v>
      </c>
      <c r="X106" s="36" t="s">
        <v>140</v>
      </c>
      <c r="Y106" s="36" t="s">
        <v>141</v>
      </c>
      <c r="Z106" s="36" t="s">
        <v>140</v>
      </c>
      <c r="AA106" s="36" t="s">
        <v>140</v>
      </c>
      <c r="AB106" s="36" t="s">
        <v>140</v>
      </c>
      <c r="AC106" s="36" t="s">
        <v>140</v>
      </c>
      <c r="AD106" s="36" t="s">
        <v>140</v>
      </c>
      <c r="AE106" s="36" t="s">
        <v>140</v>
      </c>
      <c r="AF106" s="36" t="s">
        <v>140</v>
      </c>
      <c r="AG106" s="36" t="s">
        <v>140</v>
      </c>
      <c r="AH106" s="36" t="s">
        <v>141</v>
      </c>
      <c r="AI106" s="36" t="s">
        <v>140</v>
      </c>
      <c r="AJ106" s="36" t="s">
        <v>141</v>
      </c>
      <c r="AK106" s="117" t="s">
        <v>140</v>
      </c>
      <c r="AL106" s="36" t="s">
        <v>140</v>
      </c>
      <c r="AM106" s="36" t="s">
        <v>141</v>
      </c>
      <c r="AN106" s="36" t="s">
        <v>140</v>
      </c>
      <c r="AO106" s="36" t="s">
        <v>140</v>
      </c>
      <c r="AP106" s="36" t="s">
        <v>140</v>
      </c>
      <c r="AQ106" s="36" t="s">
        <v>140</v>
      </c>
      <c r="AR106" s="36" t="s">
        <v>140</v>
      </c>
      <c r="AS106" s="36" t="s">
        <v>140</v>
      </c>
      <c r="AT106" s="36" t="s">
        <v>141</v>
      </c>
      <c r="AU106" s="36" t="s">
        <v>140</v>
      </c>
      <c r="AV106" s="36" t="s">
        <v>140</v>
      </c>
      <c r="AW106" s="117" t="s">
        <v>141</v>
      </c>
      <c r="AX106" s="117" t="s">
        <v>140</v>
      </c>
      <c r="AY106" s="36" t="s">
        <v>140</v>
      </c>
      <c r="AZ106" s="36" t="s">
        <v>140</v>
      </c>
      <c r="BA106" s="117" t="s">
        <v>140</v>
      </c>
      <c r="BB106" s="117" t="s">
        <v>140</v>
      </c>
      <c r="BC106" s="117" t="s">
        <v>140</v>
      </c>
      <c r="BD106" s="117" t="s">
        <v>140</v>
      </c>
      <c r="BE106" s="117" t="s">
        <v>140</v>
      </c>
      <c r="BF106" s="117" t="s">
        <v>141</v>
      </c>
      <c r="BG106" s="117" t="s">
        <v>140</v>
      </c>
      <c r="BH106" s="117"/>
      <c r="BI106" s="117"/>
      <c r="BJ106" s="117"/>
      <c r="BK106" s="117"/>
      <c r="BL106" s="117"/>
      <c r="BM106" s="117">
        <f t="shared" si="12"/>
        <v>7</v>
      </c>
      <c r="BN106" s="117">
        <f t="shared" si="13"/>
        <v>2</v>
      </c>
      <c r="BO106" s="117">
        <f t="shared" si="14"/>
        <v>1</v>
      </c>
      <c r="BP106" s="153">
        <f t="shared" si="15"/>
        <v>5</v>
      </c>
      <c r="BQ106" s="74" t="s">
        <v>685</v>
      </c>
      <c r="BR106" s="74" t="s">
        <v>686</v>
      </c>
      <c r="BS106" s="74"/>
    </row>
    <row r="107" spans="1:71" hidden="1">
      <c r="A107">
        <v>93</v>
      </c>
      <c r="B107" s="75">
        <v>45708.187523148146</v>
      </c>
      <c r="C107" s="78">
        <v>0.71458333333333335</v>
      </c>
      <c r="D107" s="7">
        <v>45708</v>
      </c>
      <c r="E107" s="7">
        <v>45707</v>
      </c>
      <c r="F107">
        <v>649</v>
      </c>
      <c r="G107">
        <v>93</v>
      </c>
      <c r="H107" t="s">
        <v>687</v>
      </c>
      <c r="I107" s="10" t="s">
        <v>688</v>
      </c>
      <c r="J107" s="69">
        <v>45708</v>
      </c>
      <c r="K107" s="97">
        <f t="shared" si="20"/>
        <v>2</v>
      </c>
      <c r="L107" s="97">
        <v>107</v>
      </c>
      <c r="M107" s="7" t="s">
        <v>133</v>
      </c>
      <c r="N107" s="7" t="s">
        <v>134</v>
      </c>
      <c r="O107" s="7" t="s">
        <v>134</v>
      </c>
      <c r="Q107" s="100">
        <v>1</v>
      </c>
      <c r="R107" s="7" t="s">
        <v>135</v>
      </c>
      <c r="S107" s="7" t="s">
        <v>689</v>
      </c>
      <c r="T107" t="s">
        <v>690</v>
      </c>
      <c r="U107" t="s">
        <v>691</v>
      </c>
      <c r="V107" t="s">
        <v>194</v>
      </c>
      <c r="W107" t="s">
        <v>207</v>
      </c>
      <c r="X107" s="36" t="s">
        <v>140</v>
      </c>
      <c r="Y107" s="36" t="s">
        <v>141</v>
      </c>
      <c r="Z107" s="36" t="s">
        <v>140</v>
      </c>
      <c r="AA107" s="36" t="s">
        <v>140</v>
      </c>
      <c r="AB107" s="36" t="s">
        <v>141</v>
      </c>
      <c r="AC107" s="36" t="s">
        <v>140</v>
      </c>
      <c r="AD107" s="36" t="s">
        <v>141</v>
      </c>
      <c r="AE107" s="36" t="s">
        <v>140</v>
      </c>
      <c r="AF107" s="36" t="s">
        <v>140</v>
      </c>
      <c r="AG107" s="36" t="s">
        <v>140</v>
      </c>
      <c r="AH107" s="36" t="s">
        <v>140</v>
      </c>
      <c r="AI107" s="36" t="s">
        <v>141</v>
      </c>
      <c r="AJ107" s="36" t="s">
        <v>140</v>
      </c>
      <c r="AK107" s="117" t="s">
        <v>140</v>
      </c>
      <c r="AL107" s="36" t="s">
        <v>140</v>
      </c>
      <c r="AM107" s="36" t="s">
        <v>141</v>
      </c>
      <c r="AN107" s="36" t="s">
        <v>141</v>
      </c>
      <c r="AO107" s="36" t="s">
        <v>140</v>
      </c>
      <c r="AP107" s="36" t="s">
        <v>140</v>
      </c>
      <c r="AQ107" s="36" t="s">
        <v>140</v>
      </c>
      <c r="AR107" s="36" t="s">
        <v>140</v>
      </c>
      <c r="AS107" s="36" t="s">
        <v>140</v>
      </c>
      <c r="AT107" s="36" t="s">
        <v>140</v>
      </c>
      <c r="AU107" s="36" t="s">
        <v>140</v>
      </c>
      <c r="AV107" s="36" t="s">
        <v>140</v>
      </c>
      <c r="AW107" s="117" t="s">
        <v>140</v>
      </c>
      <c r="AX107" s="117" t="s">
        <v>141</v>
      </c>
      <c r="AY107" s="36" t="s">
        <v>140</v>
      </c>
      <c r="AZ107" s="36" t="s">
        <v>140</v>
      </c>
      <c r="BA107" s="117" t="s">
        <v>140</v>
      </c>
      <c r="BB107" s="117" t="s">
        <v>140</v>
      </c>
      <c r="BC107" s="117" t="s">
        <v>140</v>
      </c>
      <c r="BD107" s="117" t="s">
        <v>141</v>
      </c>
      <c r="BE107" s="117" t="s">
        <v>140</v>
      </c>
      <c r="BF107" s="117" t="s">
        <v>141</v>
      </c>
      <c r="BG107" s="117" t="s">
        <v>140</v>
      </c>
      <c r="BH107" s="117"/>
      <c r="BI107" s="117"/>
      <c r="BJ107" s="117"/>
      <c r="BK107" s="117"/>
      <c r="BL107" s="117"/>
      <c r="BM107" s="117">
        <f t="shared" si="12"/>
        <v>9</v>
      </c>
      <c r="BN107" s="117">
        <f t="shared" si="13"/>
        <v>2</v>
      </c>
      <c r="BO107" s="117">
        <f t="shared" si="14"/>
        <v>3</v>
      </c>
      <c r="BP107" s="153">
        <f t="shared" si="15"/>
        <v>4</v>
      </c>
      <c r="BQ107" s="74" t="s">
        <v>208</v>
      </c>
      <c r="BR107" s="74" t="s">
        <v>692</v>
      </c>
      <c r="BS107" s="74"/>
    </row>
    <row r="108" spans="1:71" hidden="1">
      <c r="A108">
        <v>94</v>
      </c>
      <c r="B108" s="75">
        <v>45709.957384259258</v>
      </c>
      <c r="C108" s="78">
        <v>0.47499999999999998</v>
      </c>
      <c r="D108" s="7">
        <v>45710</v>
      </c>
      <c r="E108" s="7">
        <v>45710</v>
      </c>
      <c r="F108">
        <v>650</v>
      </c>
      <c r="G108">
        <v>94</v>
      </c>
      <c r="H108" t="s">
        <v>693</v>
      </c>
      <c r="I108" s="10" t="s">
        <v>693</v>
      </c>
      <c r="J108" s="69">
        <v>45710</v>
      </c>
      <c r="K108" s="97">
        <f t="shared" si="20"/>
        <v>2</v>
      </c>
      <c r="L108" s="97">
        <v>108</v>
      </c>
      <c r="M108" s="7" t="s">
        <v>282</v>
      </c>
      <c r="N108" s="7" t="s">
        <v>197</v>
      </c>
      <c r="O108" s="7" t="s">
        <v>197</v>
      </c>
      <c r="Q108" s="100">
        <v>3</v>
      </c>
      <c r="R108" s="7" t="s">
        <v>694</v>
      </c>
      <c r="S108" s="7" t="s">
        <v>695</v>
      </c>
      <c r="T108" t="s">
        <v>696</v>
      </c>
      <c r="U108" t="s">
        <v>697</v>
      </c>
      <c r="V108" t="s">
        <v>200</v>
      </c>
      <c r="W108" t="s">
        <v>225</v>
      </c>
      <c r="X108" s="36" t="s">
        <v>141</v>
      </c>
      <c r="Y108" s="36" t="s">
        <v>141</v>
      </c>
      <c r="Z108" s="36" t="s">
        <v>141</v>
      </c>
      <c r="AA108" s="36" t="s">
        <v>141</v>
      </c>
      <c r="AB108" s="36" t="s">
        <v>140</v>
      </c>
      <c r="AC108" s="36" t="s">
        <v>140</v>
      </c>
      <c r="AD108" s="36" t="s">
        <v>141</v>
      </c>
      <c r="AE108" s="36" t="s">
        <v>140</v>
      </c>
      <c r="AF108" s="36" t="s">
        <v>141</v>
      </c>
      <c r="AG108" s="36" t="s">
        <v>141</v>
      </c>
      <c r="AH108" s="36" t="s">
        <v>141</v>
      </c>
      <c r="AI108" s="36" t="s">
        <v>141</v>
      </c>
      <c r="AJ108" s="36" t="s">
        <v>141</v>
      </c>
      <c r="AK108" s="117" t="s">
        <v>140</v>
      </c>
      <c r="AL108" s="36" t="s">
        <v>141</v>
      </c>
      <c r="AM108" s="36" t="s">
        <v>141</v>
      </c>
      <c r="AN108" s="36" t="s">
        <v>140</v>
      </c>
      <c r="AO108" s="36" t="s">
        <v>140</v>
      </c>
      <c r="AP108" s="36" t="s">
        <v>141</v>
      </c>
      <c r="AQ108" s="36" t="s">
        <v>141</v>
      </c>
      <c r="AR108" s="36" t="s">
        <v>141</v>
      </c>
      <c r="AS108" s="36" t="s">
        <v>141</v>
      </c>
      <c r="AT108" s="36" t="s">
        <v>140</v>
      </c>
      <c r="AU108" s="36" t="s">
        <v>141</v>
      </c>
      <c r="AV108" s="36" t="s">
        <v>140</v>
      </c>
      <c r="AW108" s="117" t="s">
        <v>140</v>
      </c>
      <c r="AX108" s="117" t="s">
        <v>140</v>
      </c>
      <c r="AY108" s="36" t="s">
        <v>140</v>
      </c>
      <c r="AZ108" s="36" t="s">
        <v>140</v>
      </c>
      <c r="BA108" s="117" t="s">
        <v>140</v>
      </c>
      <c r="BB108" s="117" t="s">
        <v>140</v>
      </c>
      <c r="BC108" s="117" t="s">
        <v>140</v>
      </c>
      <c r="BD108" s="117" t="s">
        <v>140</v>
      </c>
      <c r="BE108" s="117" t="s">
        <v>140</v>
      </c>
      <c r="BF108" s="117" t="s">
        <v>140</v>
      </c>
      <c r="BG108" s="117" t="s">
        <v>141</v>
      </c>
      <c r="BH108" s="117"/>
      <c r="BI108" s="117"/>
      <c r="BJ108" s="117"/>
      <c r="BK108" s="117"/>
      <c r="BL108" s="117"/>
      <c r="BM108" s="117">
        <f t="shared" si="12"/>
        <v>17</v>
      </c>
      <c r="BN108" s="117">
        <f t="shared" si="13"/>
        <v>5</v>
      </c>
      <c r="BO108" s="117">
        <f t="shared" si="14"/>
        <v>5</v>
      </c>
      <c r="BP108" s="153">
        <f t="shared" si="15"/>
        <v>12</v>
      </c>
      <c r="BQ108" s="74" t="s">
        <v>273</v>
      </c>
      <c r="BR108" s="74" t="s">
        <v>698</v>
      </c>
      <c r="BS108" s="74"/>
    </row>
    <row r="109" spans="1:71" hidden="1">
      <c r="A109">
        <v>95</v>
      </c>
      <c r="B109" s="75">
        <v>45710.756180555552</v>
      </c>
      <c r="C109" s="78">
        <v>0.28611111111111109</v>
      </c>
      <c r="D109" s="7">
        <v>45711</v>
      </c>
      <c r="E109" s="7">
        <v>45710</v>
      </c>
      <c r="F109">
        <v>651</v>
      </c>
      <c r="G109">
        <v>95</v>
      </c>
      <c r="H109" t="s">
        <v>699</v>
      </c>
      <c r="I109" s="10" t="s">
        <v>699</v>
      </c>
      <c r="J109" s="69">
        <v>45711</v>
      </c>
      <c r="K109" s="97">
        <f t="shared" ref="K109:K140" si="21">MONTH($J109)</f>
        <v>2</v>
      </c>
      <c r="L109" s="97">
        <v>109</v>
      </c>
      <c r="M109" s="7" t="s">
        <v>181</v>
      </c>
      <c r="N109" s="7" t="s">
        <v>134</v>
      </c>
      <c r="O109" s="7" t="s">
        <v>134</v>
      </c>
      <c r="Q109" s="100">
        <v>1</v>
      </c>
      <c r="R109" s="7" t="s">
        <v>135</v>
      </c>
      <c r="S109" s="7" t="s">
        <v>643</v>
      </c>
      <c r="T109" t="s">
        <v>700</v>
      </c>
      <c r="U109" t="s">
        <v>644</v>
      </c>
      <c r="V109" t="s">
        <v>645</v>
      </c>
      <c r="W109" t="s">
        <v>170</v>
      </c>
      <c r="X109" s="36" t="s">
        <v>141</v>
      </c>
      <c r="Y109" s="36" t="s">
        <v>140</v>
      </c>
      <c r="Z109" s="36" t="s">
        <v>141</v>
      </c>
      <c r="AA109" s="36" t="s">
        <v>140</v>
      </c>
      <c r="AB109" s="36" t="s">
        <v>140</v>
      </c>
      <c r="AC109" s="36" t="s">
        <v>140</v>
      </c>
      <c r="AD109" s="36" t="s">
        <v>141</v>
      </c>
      <c r="AE109" s="36" t="s">
        <v>140</v>
      </c>
      <c r="AF109" s="36" t="s">
        <v>140</v>
      </c>
      <c r="AG109" s="36" t="s">
        <v>140</v>
      </c>
      <c r="AH109" s="36" t="s">
        <v>141</v>
      </c>
      <c r="AI109" s="36" t="s">
        <v>140</v>
      </c>
      <c r="AJ109" s="36" t="s">
        <v>141</v>
      </c>
      <c r="AK109" s="117" t="s">
        <v>140</v>
      </c>
      <c r="AL109" s="36" t="s">
        <v>141</v>
      </c>
      <c r="AM109" s="36" t="s">
        <v>141</v>
      </c>
      <c r="AN109" s="36" t="s">
        <v>140</v>
      </c>
      <c r="AO109" s="36" t="s">
        <v>140</v>
      </c>
      <c r="AP109" s="36" t="s">
        <v>140</v>
      </c>
      <c r="AQ109" s="36" t="s">
        <v>141</v>
      </c>
      <c r="AR109" s="36" t="s">
        <v>140</v>
      </c>
      <c r="AS109" s="36" t="s">
        <v>141</v>
      </c>
      <c r="AT109" s="36" t="s">
        <v>140</v>
      </c>
      <c r="AU109" s="36" t="s">
        <v>140</v>
      </c>
      <c r="AV109" s="36" t="s">
        <v>140</v>
      </c>
      <c r="AW109" s="117" t="s">
        <v>140</v>
      </c>
      <c r="AX109" s="117" t="s">
        <v>140</v>
      </c>
      <c r="AY109" s="36" t="s">
        <v>140</v>
      </c>
      <c r="AZ109" s="36" t="s">
        <v>140</v>
      </c>
      <c r="BA109" s="117" t="s">
        <v>140</v>
      </c>
      <c r="BB109" s="117" t="s">
        <v>140</v>
      </c>
      <c r="BC109" s="117" t="s">
        <v>140</v>
      </c>
      <c r="BD109" s="117" t="s">
        <v>140</v>
      </c>
      <c r="BE109" s="117" t="s">
        <v>140</v>
      </c>
      <c r="BF109" s="117" t="s">
        <v>140</v>
      </c>
      <c r="BG109" s="117" t="s">
        <v>140</v>
      </c>
      <c r="BH109" s="117"/>
      <c r="BI109" s="117"/>
      <c r="BJ109" s="117"/>
      <c r="BK109" s="117"/>
      <c r="BL109" s="117"/>
      <c r="BM109" s="117">
        <f t="shared" si="12"/>
        <v>9</v>
      </c>
      <c r="BN109" s="117">
        <f t="shared" si="13"/>
        <v>3</v>
      </c>
      <c r="BO109" s="117">
        <f t="shared" si="14"/>
        <v>3</v>
      </c>
      <c r="BP109" s="153">
        <f t="shared" si="15"/>
        <v>6</v>
      </c>
      <c r="BQ109" s="74" t="s">
        <v>701</v>
      </c>
      <c r="BR109" s="74"/>
      <c r="BS109" s="74"/>
    </row>
    <row r="110" spans="1:71" hidden="1">
      <c r="A110">
        <v>96</v>
      </c>
      <c r="B110" s="75">
        <v>45711.799988425926</v>
      </c>
      <c r="C110" s="78">
        <v>0.33124999999999999</v>
      </c>
      <c r="D110" s="7">
        <v>45712</v>
      </c>
      <c r="E110" s="7">
        <v>45712</v>
      </c>
      <c r="F110">
        <v>652</v>
      </c>
      <c r="G110">
        <v>96</v>
      </c>
      <c r="H110" t="s">
        <v>702</v>
      </c>
      <c r="I110" s="10" t="s">
        <v>702</v>
      </c>
      <c r="J110" s="69">
        <v>45712</v>
      </c>
      <c r="K110" s="97">
        <f t="shared" si="21"/>
        <v>2</v>
      </c>
      <c r="L110" s="97">
        <v>110</v>
      </c>
      <c r="M110" s="7" t="s">
        <v>282</v>
      </c>
      <c r="N110" s="7" t="s">
        <v>197</v>
      </c>
      <c r="O110" s="7" t="s">
        <v>197</v>
      </c>
      <c r="P110" s="7" t="s">
        <v>703</v>
      </c>
      <c r="Q110" s="100">
        <v>1</v>
      </c>
      <c r="R110" s="7" t="s">
        <v>135</v>
      </c>
      <c r="S110" s="7" t="s">
        <v>704</v>
      </c>
      <c r="T110" t="s">
        <v>705</v>
      </c>
      <c r="U110" t="s">
        <v>706</v>
      </c>
      <c r="V110" t="s">
        <v>200</v>
      </c>
      <c r="W110" t="s">
        <v>291</v>
      </c>
      <c r="X110" s="36" t="s">
        <v>140</v>
      </c>
      <c r="Y110" s="36" t="s">
        <v>141</v>
      </c>
      <c r="Z110" s="36" t="s">
        <v>140</v>
      </c>
      <c r="AA110" s="36" t="s">
        <v>140</v>
      </c>
      <c r="AB110" s="36" t="s">
        <v>141</v>
      </c>
      <c r="AC110" s="36" t="s">
        <v>140</v>
      </c>
      <c r="AD110" s="36" t="s">
        <v>141</v>
      </c>
      <c r="AE110" s="36" t="s">
        <v>140</v>
      </c>
      <c r="AF110" s="36" t="s">
        <v>140</v>
      </c>
      <c r="AG110" s="36" t="s">
        <v>140</v>
      </c>
      <c r="AH110" s="36" t="s">
        <v>141</v>
      </c>
      <c r="AI110" s="36" t="s">
        <v>140</v>
      </c>
      <c r="AJ110" s="36" t="s">
        <v>141</v>
      </c>
      <c r="AK110" s="117" t="s">
        <v>140</v>
      </c>
      <c r="AL110" s="36" t="s">
        <v>140</v>
      </c>
      <c r="AM110" s="36" t="s">
        <v>140</v>
      </c>
      <c r="AN110" s="36" t="s">
        <v>140</v>
      </c>
      <c r="AO110" s="36" t="s">
        <v>141</v>
      </c>
      <c r="AP110" s="36" t="s">
        <v>141</v>
      </c>
      <c r="AQ110" s="36" t="s">
        <v>140</v>
      </c>
      <c r="AR110" s="36" t="s">
        <v>140</v>
      </c>
      <c r="AS110" s="36" t="s">
        <v>140</v>
      </c>
      <c r="AT110" s="36" t="s">
        <v>140</v>
      </c>
      <c r="AU110" s="36" t="s">
        <v>140</v>
      </c>
      <c r="AV110" s="36" t="s">
        <v>140</v>
      </c>
      <c r="AW110" s="117" t="s">
        <v>140</v>
      </c>
      <c r="AX110" s="117" t="s">
        <v>140</v>
      </c>
      <c r="AY110" s="36" t="s">
        <v>140</v>
      </c>
      <c r="AZ110" s="36" t="s">
        <v>140</v>
      </c>
      <c r="BA110" s="117" t="s">
        <v>140</v>
      </c>
      <c r="BB110" s="117" t="s">
        <v>140</v>
      </c>
      <c r="BC110" s="117" t="s">
        <v>140</v>
      </c>
      <c r="BD110" s="117" t="s">
        <v>141</v>
      </c>
      <c r="BE110" s="117" t="s">
        <v>141</v>
      </c>
      <c r="BF110" s="117" t="s">
        <v>140</v>
      </c>
      <c r="BG110" s="117" t="s">
        <v>140</v>
      </c>
      <c r="BH110" s="117"/>
      <c r="BI110" s="117"/>
      <c r="BJ110" s="117"/>
      <c r="BK110" s="117"/>
      <c r="BL110" s="117"/>
      <c r="BM110" s="117">
        <f t="shared" si="12"/>
        <v>9</v>
      </c>
      <c r="BN110" s="117">
        <f t="shared" si="13"/>
        <v>1</v>
      </c>
      <c r="BO110" s="117">
        <f t="shared" si="14"/>
        <v>3</v>
      </c>
      <c r="BP110" s="153">
        <f t="shared" si="15"/>
        <v>4</v>
      </c>
      <c r="BQ110" s="74" t="s">
        <v>208</v>
      </c>
      <c r="BR110" s="74" t="s">
        <v>707</v>
      </c>
      <c r="BS110" s="74"/>
    </row>
    <row r="111" spans="1:71" hidden="1">
      <c r="A111">
        <v>97</v>
      </c>
      <c r="B111" s="75">
        <v>45712.115532407406</v>
      </c>
      <c r="C111" s="78">
        <v>0.59444444444444444</v>
      </c>
      <c r="D111" s="7">
        <v>45712</v>
      </c>
      <c r="E111" s="7">
        <v>45712</v>
      </c>
      <c r="F111">
        <v>653</v>
      </c>
      <c r="G111">
        <v>98</v>
      </c>
      <c r="H111" t="s">
        <v>708</v>
      </c>
      <c r="I111" s="10" t="s">
        <v>709</v>
      </c>
      <c r="J111" s="69">
        <v>45712</v>
      </c>
      <c r="K111" s="97">
        <f t="shared" si="21"/>
        <v>2</v>
      </c>
      <c r="L111" s="97">
        <v>111</v>
      </c>
      <c r="M111" s="7" t="s">
        <v>710</v>
      </c>
      <c r="N111" s="7" t="s">
        <v>710</v>
      </c>
      <c r="O111" s="7" t="s">
        <v>710</v>
      </c>
      <c r="P111" s="7" t="s">
        <v>711</v>
      </c>
      <c r="Q111" s="100">
        <v>1</v>
      </c>
      <c r="R111" s="7" t="s">
        <v>316</v>
      </c>
      <c r="S111" s="7" t="s">
        <v>712</v>
      </c>
      <c r="T111" t="s">
        <v>713</v>
      </c>
      <c r="U111" t="s">
        <v>714</v>
      </c>
      <c r="V111" t="s">
        <v>710</v>
      </c>
      <c r="W111" t="s">
        <v>170</v>
      </c>
      <c r="X111" s="36" t="s">
        <v>141</v>
      </c>
      <c r="Y111" s="36" t="s">
        <v>141</v>
      </c>
      <c r="Z111" s="36" t="s">
        <v>140</v>
      </c>
      <c r="AA111" s="36" t="s">
        <v>141</v>
      </c>
      <c r="AB111" s="36" t="s">
        <v>141</v>
      </c>
      <c r="AC111" s="36" t="s">
        <v>140</v>
      </c>
      <c r="AD111" s="36" t="s">
        <v>141</v>
      </c>
      <c r="AE111" s="36" t="s">
        <v>140</v>
      </c>
      <c r="AF111" s="36" t="s">
        <v>140</v>
      </c>
      <c r="AG111" s="36" t="s">
        <v>140</v>
      </c>
      <c r="AH111" s="36" t="s">
        <v>140</v>
      </c>
      <c r="AI111" s="36" t="s">
        <v>140</v>
      </c>
      <c r="AJ111" s="36" t="s">
        <v>141</v>
      </c>
      <c r="AK111" s="117" t="s">
        <v>140</v>
      </c>
      <c r="AL111" s="36" t="s">
        <v>140</v>
      </c>
      <c r="AM111" s="36" t="s">
        <v>140</v>
      </c>
      <c r="AN111" s="36" t="s">
        <v>140</v>
      </c>
      <c r="AO111" s="36" t="s">
        <v>141</v>
      </c>
      <c r="AP111" s="36" t="s">
        <v>140</v>
      </c>
      <c r="AQ111" s="36" t="s">
        <v>140</v>
      </c>
      <c r="AR111" s="36" t="s">
        <v>140</v>
      </c>
      <c r="AS111" s="36" t="s">
        <v>140</v>
      </c>
      <c r="AT111" s="36" t="s">
        <v>140</v>
      </c>
      <c r="AU111" s="36" t="s">
        <v>140</v>
      </c>
      <c r="AV111" s="36" t="s">
        <v>140</v>
      </c>
      <c r="AW111" s="117" t="s">
        <v>140</v>
      </c>
      <c r="AX111" s="117" t="s">
        <v>140</v>
      </c>
      <c r="AY111" s="36" t="s">
        <v>140</v>
      </c>
      <c r="AZ111" s="36" t="s">
        <v>140</v>
      </c>
      <c r="BA111" s="117" t="s">
        <v>140</v>
      </c>
      <c r="BB111" s="117" t="s">
        <v>140</v>
      </c>
      <c r="BC111" s="117" t="s">
        <v>140</v>
      </c>
      <c r="BD111" s="117" t="s">
        <v>140</v>
      </c>
      <c r="BE111" s="117" t="s">
        <v>140</v>
      </c>
      <c r="BF111" s="117" t="s">
        <v>140</v>
      </c>
      <c r="BG111" s="117" t="s">
        <v>140</v>
      </c>
      <c r="BH111" s="117"/>
      <c r="BI111" s="117"/>
      <c r="BJ111" s="117"/>
      <c r="BK111" s="117"/>
      <c r="BL111" s="117"/>
      <c r="BM111" s="117">
        <f t="shared" si="12"/>
        <v>7</v>
      </c>
      <c r="BN111" s="117">
        <f t="shared" si="13"/>
        <v>1</v>
      </c>
      <c r="BO111" s="117">
        <f t="shared" si="14"/>
        <v>5</v>
      </c>
      <c r="BP111" s="153">
        <f t="shared" si="15"/>
        <v>2</v>
      </c>
      <c r="BQ111" s="74" t="s">
        <v>208</v>
      </c>
      <c r="BR111" s="74" t="s">
        <v>715</v>
      </c>
      <c r="BS111" s="74"/>
    </row>
    <row r="112" spans="1:71" hidden="1">
      <c r="A112">
        <v>98</v>
      </c>
      <c r="B112" s="75">
        <v>45714.172164351854</v>
      </c>
      <c r="C112" s="78">
        <v>0.68611111111111112</v>
      </c>
      <c r="D112" s="7">
        <v>45714</v>
      </c>
      <c r="E112" s="7">
        <v>45714</v>
      </c>
      <c r="F112">
        <v>654</v>
      </c>
      <c r="G112">
        <v>97</v>
      </c>
      <c r="H112" t="s">
        <v>716</v>
      </c>
      <c r="I112" s="10" t="s">
        <v>716</v>
      </c>
      <c r="J112" s="69">
        <v>45714</v>
      </c>
      <c r="K112" s="97">
        <f t="shared" si="21"/>
        <v>2</v>
      </c>
      <c r="L112" s="97">
        <v>112</v>
      </c>
      <c r="M112" s="7" t="s">
        <v>145</v>
      </c>
      <c r="N112" s="7" t="s">
        <v>146</v>
      </c>
      <c r="O112" s="7" t="s">
        <v>146</v>
      </c>
      <c r="Q112" s="100">
        <v>2</v>
      </c>
      <c r="R112" s="7" t="s">
        <v>399</v>
      </c>
      <c r="S112" s="7" t="s">
        <v>717</v>
      </c>
      <c r="T112" t="s">
        <v>718</v>
      </c>
      <c r="U112" t="s">
        <v>719</v>
      </c>
      <c r="V112" t="s">
        <v>146</v>
      </c>
      <c r="W112" t="s">
        <v>524</v>
      </c>
      <c r="X112" s="36" t="s">
        <v>141</v>
      </c>
      <c r="Y112" s="36" t="s">
        <v>141</v>
      </c>
      <c r="Z112" s="36" t="s">
        <v>140</v>
      </c>
      <c r="AA112" s="36" t="s">
        <v>141</v>
      </c>
      <c r="AB112" s="36" t="s">
        <v>140</v>
      </c>
      <c r="AC112" s="36" t="s">
        <v>140</v>
      </c>
      <c r="AD112" s="36" t="s">
        <v>140</v>
      </c>
      <c r="AE112" s="36" t="s">
        <v>140</v>
      </c>
      <c r="AF112" s="36" t="s">
        <v>140</v>
      </c>
      <c r="AG112" s="36" t="s">
        <v>140</v>
      </c>
      <c r="AH112" s="36" t="s">
        <v>141</v>
      </c>
      <c r="AI112" s="36" t="s">
        <v>141</v>
      </c>
      <c r="AJ112" s="36" t="s">
        <v>140</v>
      </c>
      <c r="AK112" s="117" t="s">
        <v>141</v>
      </c>
      <c r="AL112" s="36" t="s">
        <v>141</v>
      </c>
      <c r="AM112" s="36" t="s">
        <v>141</v>
      </c>
      <c r="AN112" s="36" t="s">
        <v>140</v>
      </c>
      <c r="AO112" s="36" t="s">
        <v>140</v>
      </c>
      <c r="AP112" s="36" t="s">
        <v>140</v>
      </c>
      <c r="AQ112" s="36" t="s">
        <v>140</v>
      </c>
      <c r="AR112" s="36" t="s">
        <v>140</v>
      </c>
      <c r="AS112" s="36" t="s">
        <v>141</v>
      </c>
      <c r="AT112" s="36" t="s">
        <v>140</v>
      </c>
      <c r="AU112" s="36" t="s">
        <v>140</v>
      </c>
      <c r="AV112" s="36" t="s">
        <v>140</v>
      </c>
      <c r="AW112" s="117" t="s">
        <v>140</v>
      </c>
      <c r="AX112" s="117" t="s">
        <v>141</v>
      </c>
      <c r="AY112" s="36" t="s">
        <v>140</v>
      </c>
      <c r="AZ112" s="36" t="s">
        <v>141</v>
      </c>
      <c r="BA112" s="117" t="s">
        <v>140</v>
      </c>
      <c r="BB112" s="117" t="s">
        <v>140</v>
      </c>
      <c r="BC112" s="117" t="s">
        <v>140</v>
      </c>
      <c r="BD112" s="117" t="s">
        <v>141</v>
      </c>
      <c r="BE112" s="117" t="s">
        <v>140</v>
      </c>
      <c r="BF112" s="117" t="s">
        <v>141</v>
      </c>
      <c r="BG112" s="117" t="s">
        <v>140</v>
      </c>
      <c r="BH112" s="117"/>
      <c r="BI112" s="117"/>
      <c r="BJ112" s="117"/>
      <c r="BK112" s="117"/>
      <c r="BL112" s="117"/>
      <c r="BM112" s="117">
        <f t="shared" si="12"/>
        <v>13</v>
      </c>
      <c r="BN112" s="117">
        <f t="shared" si="13"/>
        <v>3</v>
      </c>
      <c r="BO112" s="117">
        <f t="shared" si="14"/>
        <v>3</v>
      </c>
      <c r="BP112" s="153">
        <f t="shared" si="15"/>
        <v>8</v>
      </c>
      <c r="BQ112" s="74" t="s">
        <v>152</v>
      </c>
      <c r="BR112" s="74" t="s">
        <v>720</v>
      </c>
      <c r="BS112" s="74"/>
    </row>
    <row r="113" spans="1:71" hidden="1">
      <c r="A113">
        <v>99</v>
      </c>
      <c r="B113" s="75">
        <v>45714.699236111112</v>
      </c>
      <c r="C113" s="78">
        <v>0.69236111111111109</v>
      </c>
      <c r="D113" s="7">
        <v>45714</v>
      </c>
      <c r="E113" s="7">
        <v>45714</v>
      </c>
      <c r="F113">
        <v>655</v>
      </c>
      <c r="G113">
        <v>100</v>
      </c>
      <c r="H113" t="s">
        <v>721</v>
      </c>
      <c r="I113" s="10" t="s">
        <v>721</v>
      </c>
      <c r="J113" s="69">
        <v>45715</v>
      </c>
      <c r="K113" s="97">
        <f t="shared" si="21"/>
        <v>2</v>
      </c>
      <c r="L113" s="97">
        <v>113</v>
      </c>
      <c r="M113" s="7" t="s">
        <v>145</v>
      </c>
      <c r="N113" s="7" t="s">
        <v>146</v>
      </c>
      <c r="O113" s="7" t="s">
        <v>722</v>
      </c>
      <c r="Q113" s="100">
        <v>1</v>
      </c>
      <c r="R113" s="7" t="s">
        <v>316</v>
      </c>
      <c r="S113" s="7" t="s">
        <v>723</v>
      </c>
      <c r="T113" t="s">
        <v>723</v>
      </c>
      <c r="U113" t="s">
        <v>724</v>
      </c>
      <c r="V113" t="s">
        <v>146</v>
      </c>
      <c r="W113" t="s">
        <v>725</v>
      </c>
      <c r="X113" s="36" t="s">
        <v>141</v>
      </c>
      <c r="Y113" s="36" t="s">
        <v>141</v>
      </c>
      <c r="Z113" s="36" t="s">
        <v>140</v>
      </c>
      <c r="AA113" s="36" t="s">
        <v>141</v>
      </c>
      <c r="AB113" s="36" t="s">
        <v>140</v>
      </c>
      <c r="AC113" s="36" t="s">
        <v>140</v>
      </c>
      <c r="AD113" s="36" t="s">
        <v>140</v>
      </c>
      <c r="AE113" s="36" t="s">
        <v>140</v>
      </c>
      <c r="AF113" s="36" t="s">
        <v>140</v>
      </c>
      <c r="AG113" s="36" t="s">
        <v>140</v>
      </c>
      <c r="AH113" s="36" t="s">
        <v>141</v>
      </c>
      <c r="AI113" s="36" t="s">
        <v>141</v>
      </c>
      <c r="AJ113" s="36" t="s">
        <v>140</v>
      </c>
      <c r="AK113" s="117" t="s">
        <v>141</v>
      </c>
      <c r="AL113" s="36" t="s">
        <v>141</v>
      </c>
      <c r="AM113" s="36" t="s">
        <v>141</v>
      </c>
      <c r="AN113" s="36" t="s">
        <v>140</v>
      </c>
      <c r="AO113" s="36" t="s">
        <v>140</v>
      </c>
      <c r="AP113" s="36" t="s">
        <v>140</v>
      </c>
      <c r="AQ113" s="36" t="s">
        <v>140</v>
      </c>
      <c r="AR113" s="36" t="s">
        <v>140</v>
      </c>
      <c r="AS113" s="36" t="s">
        <v>141</v>
      </c>
      <c r="AT113" s="36" t="s">
        <v>140</v>
      </c>
      <c r="AU113" s="36" t="s">
        <v>141</v>
      </c>
      <c r="AV113" s="36" t="s">
        <v>140</v>
      </c>
      <c r="AW113" s="117" t="s">
        <v>140</v>
      </c>
      <c r="AX113" s="117" t="s">
        <v>141</v>
      </c>
      <c r="AY113" s="36" t="s">
        <v>140</v>
      </c>
      <c r="AZ113" s="36" t="s">
        <v>141</v>
      </c>
      <c r="BA113" s="117" t="s">
        <v>140</v>
      </c>
      <c r="BB113" s="117" t="s">
        <v>140</v>
      </c>
      <c r="BC113" s="117" t="s">
        <v>140</v>
      </c>
      <c r="BD113" s="117" t="s">
        <v>141</v>
      </c>
      <c r="BE113" s="117" t="s">
        <v>140</v>
      </c>
      <c r="BF113" s="117" t="s">
        <v>141</v>
      </c>
      <c r="BG113" s="117" t="s">
        <v>140</v>
      </c>
      <c r="BH113" s="117"/>
      <c r="BI113" s="117"/>
      <c r="BJ113" s="117"/>
      <c r="BK113" s="117"/>
      <c r="BL113" s="117"/>
      <c r="BM113" s="117">
        <f t="shared" si="12"/>
        <v>14</v>
      </c>
      <c r="BN113" s="117">
        <f t="shared" si="13"/>
        <v>3</v>
      </c>
      <c r="BO113" s="117">
        <f t="shared" si="14"/>
        <v>3</v>
      </c>
      <c r="BP113" s="153">
        <f t="shared" si="15"/>
        <v>9</v>
      </c>
      <c r="BQ113" s="74" t="s">
        <v>171</v>
      </c>
      <c r="BR113" s="74" t="s">
        <v>726</v>
      </c>
      <c r="BS113" s="74"/>
    </row>
    <row r="114" spans="1:71" hidden="1">
      <c r="A114">
        <v>100</v>
      </c>
      <c r="B114" s="75">
        <v>45714.73165509259</v>
      </c>
      <c r="C114" s="78">
        <v>0.23472222222222222</v>
      </c>
      <c r="D114" s="7">
        <v>45715</v>
      </c>
      <c r="E114" s="7">
        <v>45715</v>
      </c>
      <c r="F114">
        <v>656</v>
      </c>
      <c r="G114">
        <v>101</v>
      </c>
      <c r="H114" t="s">
        <v>727</v>
      </c>
      <c r="I114" s="10" t="s">
        <v>727</v>
      </c>
      <c r="J114" s="69">
        <v>45715</v>
      </c>
      <c r="K114" s="97">
        <f t="shared" si="21"/>
        <v>2</v>
      </c>
      <c r="L114" s="97">
        <v>114</v>
      </c>
      <c r="M114" s="7" t="s">
        <v>181</v>
      </c>
      <c r="N114" s="7" t="s">
        <v>456</v>
      </c>
      <c r="O114" s="7" t="s">
        <v>728</v>
      </c>
      <c r="P114" s="7" t="s">
        <v>729</v>
      </c>
      <c r="Q114" s="100">
        <v>1</v>
      </c>
      <c r="R114" s="7" t="s">
        <v>135</v>
      </c>
      <c r="S114" s="7" t="s">
        <v>730</v>
      </c>
      <c r="T114" t="s">
        <v>731</v>
      </c>
      <c r="U114" t="s">
        <v>732</v>
      </c>
      <c r="V114" t="s">
        <v>456</v>
      </c>
      <c r="W114" t="s">
        <v>207</v>
      </c>
      <c r="X114" s="36" t="s">
        <v>140</v>
      </c>
      <c r="Y114" s="36" t="s">
        <v>141</v>
      </c>
      <c r="Z114" s="36" t="s">
        <v>140</v>
      </c>
      <c r="AA114" s="36" t="s">
        <v>140</v>
      </c>
      <c r="AB114" s="36" t="s">
        <v>141</v>
      </c>
      <c r="AC114" s="36" t="s">
        <v>140</v>
      </c>
      <c r="AD114" s="36" t="s">
        <v>140</v>
      </c>
      <c r="AE114" s="36" t="s">
        <v>140</v>
      </c>
      <c r="AF114" s="36" t="s">
        <v>140</v>
      </c>
      <c r="AG114" s="36" t="s">
        <v>140</v>
      </c>
      <c r="AH114" s="36" t="s">
        <v>141</v>
      </c>
      <c r="AI114" s="36" t="s">
        <v>141</v>
      </c>
      <c r="AJ114" s="36" t="s">
        <v>141</v>
      </c>
      <c r="AK114" s="117" t="s">
        <v>140</v>
      </c>
      <c r="AL114" s="36" t="s">
        <v>141</v>
      </c>
      <c r="AM114" s="36" t="s">
        <v>140</v>
      </c>
      <c r="AN114" s="36" t="s">
        <v>140</v>
      </c>
      <c r="AO114" s="36" t="s">
        <v>140</v>
      </c>
      <c r="AP114" s="36" t="s">
        <v>140</v>
      </c>
      <c r="AQ114" s="36" t="s">
        <v>140</v>
      </c>
      <c r="AR114" s="36" t="s">
        <v>141</v>
      </c>
      <c r="AS114" s="36" t="s">
        <v>141</v>
      </c>
      <c r="AT114" s="36" t="s">
        <v>140</v>
      </c>
      <c r="AU114" s="36" t="s">
        <v>140</v>
      </c>
      <c r="AV114" s="36" t="s">
        <v>140</v>
      </c>
      <c r="AW114" s="117" t="s">
        <v>140</v>
      </c>
      <c r="AX114" s="117" t="s">
        <v>140</v>
      </c>
      <c r="AY114" s="36" t="s">
        <v>140</v>
      </c>
      <c r="AZ114" s="36" t="s">
        <v>140</v>
      </c>
      <c r="BA114" s="117" t="s">
        <v>140</v>
      </c>
      <c r="BB114" s="117" t="s">
        <v>140</v>
      </c>
      <c r="BC114" s="117" t="s">
        <v>140</v>
      </c>
      <c r="BD114" s="117" t="s">
        <v>140</v>
      </c>
      <c r="BE114" s="117" t="s">
        <v>141</v>
      </c>
      <c r="BF114" s="117" t="s">
        <v>141</v>
      </c>
      <c r="BG114" s="117" t="s">
        <v>140</v>
      </c>
      <c r="BH114" s="117"/>
      <c r="BI114" s="117"/>
      <c r="BJ114" s="117"/>
      <c r="BK114" s="117"/>
      <c r="BL114" s="117"/>
      <c r="BM114" s="117">
        <f t="shared" si="12"/>
        <v>10</v>
      </c>
      <c r="BN114" s="117">
        <f t="shared" si="13"/>
        <v>3</v>
      </c>
      <c r="BO114" s="117">
        <f t="shared" si="14"/>
        <v>2</v>
      </c>
      <c r="BP114" s="153">
        <f t="shared" si="15"/>
        <v>6</v>
      </c>
      <c r="BQ114" s="74" t="s">
        <v>308</v>
      </c>
      <c r="BR114" s="74" t="s">
        <v>733</v>
      </c>
      <c r="BS114" s="74"/>
    </row>
    <row r="115" spans="1:71" hidden="1">
      <c r="A115">
        <v>101</v>
      </c>
      <c r="B115" s="75">
        <v>45714.752187500002</v>
      </c>
      <c r="C115" s="78">
        <v>0.26805555555555555</v>
      </c>
      <c r="D115" s="7">
        <v>45715</v>
      </c>
      <c r="E115" s="7">
        <v>45715</v>
      </c>
      <c r="F115">
        <v>657</v>
      </c>
      <c r="G115">
        <v>102</v>
      </c>
      <c r="H115" t="s">
        <v>734</v>
      </c>
      <c r="I115" s="10" t="s">
        <v>734</v>
      </c>
      <c r="J115" s="69">
        <v>45715</v>
      </c>
      <c r="K115" s="97">
        <f t="shared" si="21"/>
        <v>2</v>
      </c>
      <c r="L115" s="97">
        <v>115</v>
      </c>
      <c r="M115" s="7" t="s">
        <v>196</v>
      </c>
      <c r="N115" s="7" t="s">
        <v>197</v>
      </c>
      <c r="O115" s="7" t="s">
        <v>197</v>
      </c>
      <c r="Q115" s="100">
        <v>1</v>
      </c>
      <c r="R115" s="7" t="s">
        <v>316</v>
      </c>
      <c r="S115" s="7" t="s">
        <v>317</v>
      </c>
      <c r="T115" t="s">
        <v>735</v>
      </c>
      <c r="U115" t="s">
        <v>736</v>
      </c>
      <c r="V115" t="s">
        <v>200</v>
      </c>
      <c r="W115" t="s">
        <v>239</v>
      </c>
      <c r="X115" s="36" t="s">
        <v>140</v>
      </c>
      <c r="Y115" s="36" t="s">
        <v>141</v>
      </c>
      <c r="Z115" s="36" t="s">
        <v>140</v>
      </c>
      <c r="AA115" s="36" t="s">
        <v>140</v>
      </c>
      <c r="AB115" s="36" t="s">
        <v>141</v>
      </c>
      <c r="AC115" s="36" t="s">
        <v>140</v>
      </c>
      <c r="AD115" s="36" t="s">
        <v>141</v>
      </c>
      <c r="AE115" s="36" t="s">
        <v>140</v>
      </c>
      <c r="AF115" s="36" t="s">
        <v>140</v>
      </c>
      <c r="AG115" s="36" t="s">
        <v>140</v>
      </c>
      <c r="AH115" s="36" t="s">
        <v>141</v>
      </c>
      <c r="AI115" s="36" t="s">
        <v>141</v>
      </c>
      <c r="AJ115" s="36" t="s">
        <v>141</v>
      </c>
      <c r="AK115" s="117" t="s">
        <v>140</v>
      </c>
      <c r="AL115" s="36" t="s">
        <v>140</v>
      </c>
      <c r="AM115" s="36" t="s">
        <v>140</v>
      </c>
      <c r="AN115" s="36" t="s">
        <v>140</v>
      </c>
      <c r="AO115" s="36" t="s">
        <v>140</v>
      </c>
      <c r="AP115" s="36" t="s">
        <v>140</v>
      </c>
      <c r="AQ115" s="36" t="s">
        <v>140</v>
      </c>
      <c r="AR115" s="36" t="s">
        <v>141</v>
      </c>
      <c r="AS115" s="36" t="s">
        <v>141</v>
      </c>
      <c r="AT115" s="36" t="s">
        <v>140</v>
      </c>
      <c r="AU115" s="36" t="s">
        <v>140</v>
      </c>
      <c r="AV115" s="36" t="s">
        <v>140</v>
      </c>
      <c r="AW115" s="117" t="s">
        <v>141</v>
      </c>
      <c r="AX115" s="117" t="s">
        <v>141</v>
      </c>
      <c r="AY115" s="36" t="s">
        <v>140</v>
      </c>
      <c r="AZ115" s="36" t="s">
        <v>140</v>
      </c>
      <c r="BA115" s="117" t="s">
        <v>140</v>
      </c>
      <c r="BB115" s="117" t="s">
        <v>140</v>
      </c>
      <c r="BC115" s="117" t="s">
        <v>140</v>
      </c>
      <c r="BD115" s="117" t="s">
        <v>141</v>
      </c>
      <c r="BE115" s="117" t="s">
        <v>141</v>
      </c>
      <c r="BF115" s="117" t="s">
        <v>140</v>
      </c>
      <c r="BG115" s="117" t="s">
        <v>140</v>
      </c>
      <c r="BH115" s="117"/>
      <c r="BI115" s="117"/>
      <c r="BJ115" s="117"/>
      <c r="BK115" s="117"/>
      <c r="BL115" s="117"/>
      <c r="BM115" s="117">
        <f t="shared" si="12"/>
        <v>12</v>
      </c>
      <c r="BN115" s="117">
        <f t="shared" si="13"/>
        <v>3</v>
      </c>
      <c r="BO115" s="117">
        <f t="shared" si="14"/>
        <v>3</v>
      </c>
      <c r="BP115" s="153">
        <f t="shared" si="15"/>
        <v>7</v>
      </c>
      <c r="BQ115" s="74" t="s">
        <v>208</v>
      </c>
      <c r="BR115" s="74" t="s">
        <v>737</v>
      </c>
      <c r="BS115" s="74"/>
    </row>
    <row r="116" spans="1:71" hidden="1">
      <c r="A116">
        <v>102</v>
      </c>
      <c r="B116" s="75">
        <v>45715.097766203704</v>
      </c>
      <c r="C116" s="78">
        <v>0.625</v>
      </c>
      <c r="D116" s="7">
        <v>45715</v>
      </c>
      <c r="E116" s="7">
        <v>45715</v>
      </c>
      <c r="F116">
        <v>658</v>
      </c>
      <c r="G116">
        <v>103</v>
      </c>
      <c r="H116" t="s">
        <v>738</v>
      </c>
      <c r="I116" s="10" t="s">
        <v>738</v>
      </c>
      <c r="J116" s="69">
        <v>45715</v>
      </c>
      <c r="K116" s="97">
        <f t="shared" si="21"/>
        <v>2</v>
      </c>
      <c r="L116" s="97">
        <v>116</v>
      </c>
      <c r="M116" s="7" t="s">
        <v>181</v>
      </c>
      <c r="N116" s="7" t="s">
        <v>739</v>
      </c>
      <c r="O116" s="7" t="s">
        <v>740</v>
      </c>
      <c r="Q116" s="100">
        <v>1</v>
      </c>
      <c r="R116" s="7" t="s">
        <v>135</v>
      </c>
      <c r="S116" s="7" t="s">
        <v>741</v>
      </c>
      <c r="T116" t="s">
        <v>742</v>
      </c>
      <c r="U116" t="s">
        <v>674</v>
      </c>
      <c r="V116" t="s">
        <v>194</v>
      </c>
      <c r="W116" t="s">
        <v>743</v>
      </c>
      <c r="X116" s="36" t="s">
        <v>140</v>
      </c>
      <c r="Y116" s="36" t="s">
        <v>140</v>
      </c>
      <c r="Z116" s="36" t="s">
        <v>140</v>
      </c>
      <c r="AA116" s="36" t="s">
        <v>141</v>
      </c>
      <c r="AB116" s="36" t="s">
        <v>140</v>
      </c>
      <c r="AC116" s="36" t="s">
        <v>140</v>
      </c>
      <c r="AD116" s="36" t="s">
        <v>140</v>
      </c>
      <c r="AE116" s="36" t="s">
        <v>140</v>
      </c>
      <c r="AF116" s="36" t="s">
        <v>140</v>
      </c>
      <c r="AG116" s="36" t="s">
        <v>140</v>
      </c>
      <c r="AH116" s="36" t="s">
        <v>141</v>
      </c>
      <c r="AI116" s="36" t="s">
        <v>140</v>
      </c>
      <c r="AJ116" s="36" t="s">
        <v>141</v>
      </c>
      <c r="AK116" s="117" t="s">
        <v>140</v>
      </c>
      <c r="AL116" s="36" t="s">
        <v>140</v>
      </c>
      <c r="AM116" s="36" t="s">
        <v>141</v>
      </c>
      <c r="AN116" s="36" t="s">
        <v>140</v>
      </c>
      <c r="AO116" s="36" t="s">
        <v>140</v>
      </c>
      <c r="AP116" s="36" t="s">
        <v>140</v>
      </c>
      <c r="AQ116" s="36" t="s">
        <v>140</v>
      </c>
      <c r="AR116" s="36" t="s">
        <v>140</v>
      </c>
      <c r="AS116" s="36" t="s">
        <v>140</v>
      </c>
      <c r="AT116" s="36" t="s">
        <v>140</v>
      </c>
      <c r="AU116" s="36" t="s">
        <v>140</v>
      </c>
      <c r="AV116" s="36" t="s">
        <v>140</v>
      </c>
      <c r="AW116" s="117" t="s">
        <v>140</v>
      </c>
      <c r="AX116" s="117" t="s">
        <v>140</v>
      </c>
      <c r="AY116" s="36" t="s">
        <v>140</v>
      </c>
      <c r="AZ116" s="36" t="s">
        <v>141</v>
      </c>
      <c r="BA116" s="117" t="s">
        <v>140</v>
      </c>
      <c r="BB116" s="117" t="s">
        <v>140</v>
      </c>
      <c r="BC116" s="117" t="s">
        <v>140</v>
      </c>
      <c r="BD116" s="117" t="s">
        <v>140</v>
      </c>
      <c r="BE116" s="117" t="s">
        <v>140</v>
      </c>
      <c r="BF116" s="117" t="s">
        <v>140</v>
      </c>
      <c r="BG116" s="117" t="s">
        <v>140</v>
      </c>
      <c r="BH116" s="117"/>
      <c r="BI116" s="117"/>
      <c r="BJ116" s="117"/>
      <c r="BK116" s="117"/>
      <c r="BL116" s="117"/>
      <c r="BM116" s="117">
        <f t="shared" si="12"/>
        <v>5</v>
      </c>
      <c r="BN116" s="117">
        <f t="shared" si="13"/>
        <v>2</v>
      </c>
      <c r="BO116" s="117">
        <f t="shared" si="14"/>
        <v>1</v>
      </c>
      <c r="BP116" s="153">
        <f t="shared" si="15"/>
        <v>4</v>
      </c>
      <c r="BQ116" s="74" t="s">
        <v>273</v>
      </c>
      <c r="BR116" s="74" t="s">
        <v>744</v>
      </c>
      <c r="BS116" s="74"/>
    </row>
    <row r="117" spans="1:71" hidden="1">
      <c r="A117">
        <v>103</v>
      </c>
      <c r="B117" s="75">
        <v>45715.978530092594</v>
      </c>
      <c r="C117" s="78">
        <v>0.48194444444444445</v>
      </c>
      <c r="D117" s="7">
        <v>45716</v>
      </c>
      <c r="E117" s="7">
        <v>45716</v>
      </c>
      <c r="F117">
        <v>659</v>
      </c>
      <c r="G117">
        <v>104</v>
      </c>
      <c r="H117" t="s">
        <v>745</v>
      </c>
      <c r="I117" s="10" t="s">
        <v>745</v>
      </c>
      <c r="J117" s="69">
        <v>45716</v>
      </c>
      <c r="K117" s="97">
        <f t="shared" si="21"/>
        <v>2</v>
      </c>
      <c r="L117" s="97">
        <v>117</v>
      </c>
      <c r="M117" s="7" t="s">
        <v>181</v>
      </c>
      <c r="N117" s="7" t="s">
        <v>254</v>
      </c>
      <c r="O117" s="7" t="s">
        <v>254</v>
      </c>
      <c r="Q117" s="100">
        <v>1</v>
      </c>
      <c r="R117" s="7" t="s">
        <v>135</v>
      </c>
      <c r="S117" s="7" t="s">
        <v>746</v>
      </c>
      <c r="T117" t="s">
        <v>747</v>
      </c>
      <c r="U117" t="s">
        <v>748</v>
      </c>
      <c r="V117" t="s">
        <v>258</v>
      </c>
      <c r="W117" t="s">
        <v>170</v>
      </c>
      <c r="X117" s="36" t="s">
        <v>141</v>
      </c>
      <c r="Y117" s="36" t="s">
        <v>140</v>
      </c>
      <c r="Z117" s="36" t="s">
        <v>140</v>
      </c>
      <c r="AA117" s="36" t="s">
        <v>141</v>
      </c>
      <c r="AB117" s="36" t="s">
        <v>140</v>
      </c>
      <c r="AC117" s="36" t="s">
        <v>141</v>
      </c>
      <c r="AD117" s="36" t="s">
        <v>140</v>
      </c>
      <c r="AE117" s="36" t="s">
        <v>140</v>
      </c>
      <c r="AF117" s="36" t="s">
        <v>140</v>
      </c>
      <c r="AG117" s="36" t="s">
        <v>140</v>
      </c>
      <c r="AH117" s="36" t="s">
        <v>140</v>
      </c>
      <c r="AI117" s="36" t="s">
        <v>140</v>
      </c>
      <c r="AJ117" s="36" t="s">
        <v>141</v>
      </c>
      <c r="AK117" s="117" t="s">
        <v>140</v>
      </c>
      <c r="AL117" s="36" t="s">
        <v>140</v>
      </c>
      <c r="AM117" s="36" t="s">
        <v>140</v>
      </c>
      <c r="AN117" s="36" t="s">
        <v>141</v>
      </c>
      <c r="AO117" s="36" t="s">
        <v>140</v>
      </c>
      <c r="AP117" s="36" t="s">
        <v>140</v>
      </c>
      <c r="AQ117" s="36" t="s">
        <v>141</v>
      </c>
      <c r="AR117" s="36" t="s">
        <v>140</v>
      </c>
      <c r="AS117" s="36" t="s">
        <v>140</v>
      </c>
      <c r="AT117" s="36" t="s">
        <v>141</v>
      </c>
      <c r="AU117" s="36" t="s">
        <v>140</v>
      </c>
      <c r="AV117" s="36" t="s">
        <v>140</v>
      </c>
      <c r="AW117" s="117" t="s">
        <v>141</v>
      </c>
      <c r="AX117" s="117" t="s">
        <v>140</v>
      </c>
      <c r="AY117" s="36" t="s">
        <v>140</v>
      </c>
      <c r="AZ117" s="36" t="s">
        <v>141</v>
      </c>
      <c r="BA117" s="117" t="s">
        <v>140</v>
      </c>
      <c r="BB117" s="117" t="s">
        <v>140</v>
      </c>
      <c r="BC117" s="117" t="s">
        <v>140</v>
      </c>
      <c r="BD117" s="117" t="s">
        <v>140</v>
      </c>
      <c r="BE117" s="117" t="s">
        <v>140</v>
      </c>
      <c r="BF117" s="117" t="s">
        <v>141</v>
      </c>
      <c r="BG117" s="117" t="s">
        <v>140</v>
      </c>
      <c r="BH117" s="117"/>
      <c r="BI117" s="117"/>
      <c r="BJ117" s="117"/>
      <c r="BK117" s="117"/>
      <c r="BL117" s="117"/>
      <c r="BM117" s="117">
        <f t="shared" si="12"/>
        <v>10</v>
      </c>
      <c r="BN117" s="117">
        <f t="shared" si="13"/>
        <v>2</v>
      </c>
      <c r="BO117" s="117">
        <f t="shared" si="14"/>
        <v>3</v>
      </c>
      <c r="BP117" s="153">
        <f t="shared" si="15"/>
        <v>6</v>
      </c>
      <c r="BQ117" s="74" t="s">
        <v>749</v>
      </c>
      <c r="BR117" s="74" t="s">
        <v>750</v>
      </c>
      <c r="BS117" s="74"/>
    </row>
    <row r="118" spans="1:71" hidden="1">
      <c r="A118">
        <v>104</v>
      </c>
      <c r="B118" s="75">
        <v>45716.049085648148</v>
      </c>
      <c r="C118" s="78">
        <v>0.56944444444444442</v>
      </c>
      <c r="D118" s="7">
        <v>45716</v>
      </c>
      <c r="E118" s="7">
        <v>45716</v>
      </c>
      <c r="F118">
        <v>660</v>
      </c>
      <c r="G118">
        <v>105</v>
      </c>
      <c r="H118" t="s">
        <v>751</v>
      </c>
      <c r="I118" s="10" t="s">
        <v>751</v>
      </c>
      <c r="J118" s="69">
        <v>45716</v>
      </c>
      <c r="K118" s="97">
        <f t="shared" si="21"/>
        <v>2</v>
      </c>
      <c r="L118" s="97">
        <v>118</v>
      </c>
      <c r="M118" s="7" t="s">
        <v>155</v>
      </c>
      <c r="N118" s="7" t="s">
        <v>156</v>
      </c>
      <c r="O118" s="7" t="s">
        <v>156</v>
      </c>
      <c r="P118" s="7" t="s">
        <v>752</v>
      </c>
      <c r="Q118" s="100">
        <v>2</v>
      </c>
      <c r="R118" s="7" t="s">
        <v>158</v>
      </c>
      <c r="S118" s="7" t="s">
        <v>753</v>
      </c>
      <c r="T118" t="s">
        <v>754</v>
      </c>
      <c r="U118" t="s">
        <v>755</v>
      </c>
      <c r="V118" t="s">
        <v>162</v>
      </c>
      <c r="W118" t="s">
        <v>139</v>
      </c>
      <c r="X118" s="36" t="s">
        <v>141</v>
      </c>
      <c r="Y118" s="36" t="s">
        <v>140</v>
      </c>
      <c r="Z118" s="36" t="s">
        <v>140</v>
      </c>
      <c r="AA118" s="36" t="s">
        <v>141</v>
      </c>
      <c r="AB118" s="36" t="s">
        <v>140</v>
      </c>
      <c r="AC118" s="36" t="s">
        <v>140</v>
      </c>
      <c r="AD118" s="36" t="s">
        <v>140</v>
      </c>
      <c r="AE118" s="36" t="s">
        <v>140</v>
      </c>
      <c r="AF118" s="36" t="s">
        <v>140</v>
      </c>
      <c r="AG118" s="36" t="s">
        <v>140</v>
      </c>
      <c r="AH118" s="36" t="s">
        <v>140</v>
      </c>
      <c r="AI118" s="36" t="s">
        <v>140</v>
      </c>
      <c r="AJ118" s="36" t="s">
        <v>141</v>
      </c>
      <c r="AK118" s="117" t="s">
        <v>140</v>
      </c>
      <c r="AL118" s="36" t="s">
        <v>141</v>
      </c>
      <c r="AM118" s="36" t="s">
        <v>141</v>
      </c>
      <c r="AN118" s="36" t="s">
        <v>141</v>
      </c>
      <c r="AO118" s="36" t="s">
        <v>140</v>
      </c>
      <c r="AP118" s="36" t="s">
        <v>140</v>
      </c>
      <c r="AQ118" s="36" t="s">
        <v>140</v>
      </c>
      <c r="AR118" s="36" t="s">
        <v>140</v>
      </c>
      <c r="AS118" s="36" t="s">
        <v>141</v>
      </c>
      <c r="AT118" s="36" t="s">
        <v>141</v>
      </c>
      <c r="AU118" s="36" t="s">
        <v>140</v>
      </c>
      <c r="AV118" s="36" t="s">
        <v>140</v>
      </c>
      <c r="AW118" s="117" t="s">
        <v>141</v>
      </c>
      <c r="AX118" s="117" t="s">
        <v>141</v>
      </c>
      <c r="AY118" s="36" t="s">
        <v>140</v>
      </c>
      <c r="AZ118" s="36" t="s">
        <v>141</v>
      </c>
      <c r="BA118" s="117" t="s">
        <v>140</v>
      </c>
      <c r="BB118" s="117" t="s">
        <v>140</v>
      </c>
      <c r="BC118" s="117" t="s">
        <v>140</v>
      </c>
      <c r="BD118" s="117" t="s">
        <v>140</v>
      </c>
      <c r="BE118" s="117" t="s">
        <v>140</v>
      </c>
      <c r="BF118" s="117" t="s">
        <v>141</v>
      </c>
      <c r="BG118" s="117" t="s">
        <v>140</v>
      </c>
      <c r="BH118" s="117"/>
      <c r="BI118" s="117"/>
      <c r="BJ118" s="117"/>
      <c r="BK118" s="117"/>
      <c r="BL118" s="117"/>
      <c r="BM118" s="117">
        <f t="shared" si="12"/>
        <v>12</v>
      </c>
      <c r="BN118" s="117">
        <f t="shared" si="13"/>
        <v>4</v>
      </c>
      <c r="BO118" s="117">
        <f t="shared" si="14"/>
        <v>2</v>
      </c>
      <c r="BP118" s="153">
        <f t="shared" si="15"/>
        <v>9</v>
      </c>
      <c r="BQ118" s="74" t="s">
        <v>171</v>
      </c>
      <c r="BR118" s="74" t="s">
        <v>756</v>
      </c>
      <c r="BS118" s="74"/>
    </row>
    <row r="119" spans="1:71" hidden="1">
      <c r="A119">
        <v>105</v>
      </c>
      <c r="B119" s="75">
        <v>45716.157048611109</v>
      </c>
      <c r="C119" s="78">
        <v>0.63402777777777775</v>
      </c>
      <c r="D119" s="7">
        <v>45716</v>
      </c>
      <c r="E119" s="7">
        <v>45716</v>
      </c>
      <c r="F119">
        <v>661</v>
      </c>
      <c r="G119">
        <v>106</v>
      </c>
      <c r="H119" t="s">
        <v>757</v>
      </c>
      <c r="I119" s="10" t="s">
        <v>757</v>
      </c>
      <c r="J119" s="69">
        <v>45716</v>
      </c>
      <c r="K119" s="97">
        <f t="shared" si="21"/>
        <v>2</v>
      </c>
      <c r="L119" s="97">
        <v>119</v>
      </c>
      <c r="M119" s="7" t="s">
        <v>145</v>
      </c>
      <c r="N119" s="7" t="s">
        <v>146</v>
      </c>
      <c r="O119" s="7" t="s">
        <v>146</v>
      </c>
      <c r="Q119" s="100">
        <v>2</v>
      </c>
      <c r="R119" s="7" t="s">
        <v>399</v>
      </c>
      <c r="S119" s="7" t="s">
        <v>758</v>
      </c>
      <c r="T119" t="s">
        <v>759</v>
      </c>
      <c r="U119" t="s">
        <v>760</v>
      </c>
      <c r="V119" t="s">
        <v>146</v>
      </c>
      <c r="W119" t="s">
        <v>761</v>
      </c>
      <c r="X119" s="36" t="s">
        <v>141</v>
      </c>
      <c r="Y119" s="36" t="s">
        <v>140</v>
      </c>
      <c r="Z119" s="36" t="s">
        <v>141</v>
      </c>
      <c r="AA119" s="36" t="s">
        <v>141</v>
      </c>
      <c r="AB119" s="36" t="s">
        <v>141</v>
      </c>
      <c r="AC119" s="36" t="s">
        <v>141</v>
      </c>
      <c r="AD119" s="36" t="s">
        <v>140</v>
      </c>
      <c r="AE119" s="36" t="s">
        <v>140</v>
      </c>
      <c r="AF119" s="36" t="s">
        <v>140</v>
      </c>
      <c r="AG119" s="36" t="s">
        <v>141</v>
      </c>
      <c r="AH119" s="36" t="s">
        <v>140</v>
      </c>
      <c r="AI119" s="36" t="s">
        <v>140</v>
      </c>
      <c r="AJ119" s="36" t="s">
        <v>140</v>
      </c>
      <c r="AK119" s="117" t="s">
        <v>140</v>
      </c>
      <c r="AL119" s="36" t="s">
        <v>141</v>
      </c>
      <c r="AM119" s="36" t="s">
        <v>141</v>
      </c>
      <c r="AN119" s="36" t="s">
        <v>140</v>
      </c>
      <c r="AO119" s="36" t="s">
        <v>140</v>
      </c>
      <c r="AP119" s="36" t="s">
        <v>140</v>
      </c>
      <c r="AQ119" s="36" t="s">
        <v>140</v>
      </c>
      <c r="AR119" s="36" t="s">
        <v>140</v>
      </c>
      <c r="AS119" s="36" t="s">
        <v>140</v>
      </c>
      <c r="AT119" s="36" t="s">
        <v>140</v>
      </c>
      <c r="AU119" s="36" t="s">
        <v>140</v>
      </c>
      <c r="AV119" s="36" t="s">
        <v>140</v>
      </c>
      <c r="AW119" s="117" t="s">
        <v>141</v>
      </c>
      <c r="AX119" s="117" t="s">
        <v>140</v>
      </c>
      <c r="AY119" s="36" t="s">
        <v>140</v>
      </c>
      <c r="AZ119" s="36" t="s">
        <v>141</v>
      </c>
      <c r="BA119" s="117" t="s">
        <v>140</v>
      </c>
      <c r="BB119" s="117" t="s">
        <v>140</v>
      </c>
      <c r="BC119" s="117" t="s">
        <v>140</v>
      </c>
      <c r="BD119" s="117" t="s">
        <v>140</v>
      </c>
      <c r="BE119" s="117" t="s">
        <v>140</v>
      </c>
      <c r="BF119" s="117" t="s">
        <v>141</v>
      </c>
      <c r="BG119" s="117" t="s">
        <v>141</v>
      </c>
      <c r="BH119" s="117"/>
      <c r="BI119" s="117"/>
      <c r="BJ119" s="117"/>
      <c r="BK119" s="117"/>
      <c r="BL119" s="117"/>
      <c r="BM119" s="117">
        <f t="shared" si="12"/>
        <v>11</v>
      </c>
      <c r="BN119" s="117">
        <f t="shared" si="13"/>
        <v>2</v>
      </c>
      <c r="BO119" s="117">
        <f t="shared" si="14"/>
        <v>5</v>
      </c>
      <c r="BP119" s="153">
        <f t="shared" si="15"/>
        <v>5</v>
      </c>
      <c r="BQ119" s="74" t="s">
        <v>208</v>
      </c>
      <c r="BR119" s="74" t="s">
        <v>762</v>
      </c>
      <c r="BS119" s="74"/>
    </row>
    <row r="120" spans="1:71" hidden="1">
      <c r="A120">
        <v>106</v>
      </c>
      <c r="B120" s="75">
        <v>45717.898182870369</v>
      </c>
      <c r="C120" s="78">
        <v>0.39583333333333331</v>
      </c>
      <c r="D120" s="7">
        <v>45718</v>
      </c>
      <c r="E120" s="7">
        <v>45718</v>
      </c>
      <c r="F120">
        <v>662</v>
      </c>
      <c r="G120">
        <v>107</v>
      </c>
      <c r="H120" t="s">
        <v>763</v>
      </c>
      <c r="I120" s="10" t="s">
        <v>763</v>
      </c>
      <c r="J120" s="69">
        <v>45718</v>
      </c>
      <c r="K120" s="97">
        <f t="shared" si="21"/>
        <v>3</v>
      </c>
      <c r="L120" s="97">
        <v>120</v>
      </c>
      <c r="M120" s="7" t="s">
        <v>764</v>
      </c>
      <c r="N120" s="7" t="s">
        <v>765</v>
      </c>
      <c r="O120" s="7" t="s">
        <v>766</v>
      </c>
      <c r="Q120" s="100">
        <v>1</v>
      </c>
      <c r="R120" s="7" t="s">
        <v>316</v>
      </c>
      <c r="S120" s="7" t="s">
        <v>767</v>
      </c>
      <c r="T120" t="s">
        <v>768</v>
      </c>
      <c r="U120" t="s">
        <v>769</v>
      </c>
      <c r="V120" t="s">
        <v>770</v>
      </c>
      <c r="W120" t="s">
        <v>239</v>
      </c>
      <c r="X120" s="36" t="s">
        <v>141</v>
      </c>
      <c r="Y120" s="36" t="s">
        <v>141</v>
      </c>
      <c r="Z120" s="36" t="s">
        <v>140</v>
      </c>
      <c r="AA120" s="36" t="s">
        <v>141</v>
      </c>
      <c r="AB120" s="36" t="s">
        <v>140</v>
      </c>
      <c r="AC120" s="36" t="s">
        <v>140</v>
      </c>
      <c r="AD120" s="36" t="s">
        <v>140</v>
      </c>
      <c r="AE120" s="36" t="s">
        <v>140</v>
      </c>
      <c r="AF120" s="36" t="s">
        <v>140</v>
      </c>
      <c r="AG120" s="36" t="s">
        <v>140</v>
      </c>
      <c r="AH120" s="36" t="s">
        <v>140</v>
      </c>
      <c r="AI120" s="36" t="s">
        <v>140</v>
      </c>
      <c r="AJ120" s="36" t="s">
        <v>140</v>
      </c>
      <c r="AK120" s="117" t="s">
        <v>141</v>
      </c>
      <c r="AL120" s="36" t="s">
        <v>140</v>
      </c>
      <c r="AM120" s="36" t="s">
        <v>141</v>
      </c>
      <c r="AN120" s="36" t="s">
        <v>140</v>
      </c>
      <c r="AO120" s="36" t="s">
        <v>141</v>
      </c>
      <c r="AP120" s="36" t="s">
        <v>140</v>
      </c>
      <c r="AQ120" s="36" t="s">
        <v>140</v>
      </c>
      <c r="AR120" s="36" t="s">
        <v>140</v>
      </c>
      <c r="AS120" s="36" t="s">
        <v>140</v>
      </c>
      <c r="AT120" s="36" t="s">
        <v>141</v>
      </c>
      <c r="AU120" s="36" t="s">
        <v>140</v>
      </c>
      <c r="AV120" s="36" t="s">
        <v>140</v>
      </c>
      <c r="AW120" s="117" t="s">
        <v>141</v>
      </c>
      <c r="AX120" s="117" t="s">
        <v>140</v>
      </c>
      <c r="AY120" s="36" t="s">
        <v>140</v>
      </c>
      <c r="AZ120" s="36" t="s">
        <v>140</v>
      </c>
      <c r="BA120" s="117" t="s">
        <v>141</v>
      </c>
      <c r="BB120" s="117" t="s">
        <v>140</v>
      </c>
      <c r="BC120" s="117" t="s">
        <v>140</v>
      </c>
      <c r="BD120" s="117" t="s">
        <v>140</v>
      </c>
      <c r="BE120" s="117" t="s">
        <v>140</v>
      </c>
      <c r="BF120" s="117" t="s">
        <v>140</v>
      </c>
      <c r="BG120" s="117" t="s">
        <v>141</v>
      </c>
      <c r="BH120" s="117"/>
      <c r="BI120" s="117"/>
      <c r="BJ120" s="117"/>
      <c r="BK120" s="117"/>
      <c r="BL120" s="117"/>
      <c r="BM120" s="117">
        <f t="shared" si="12"/>
        <v>9</v>
      </c>
      <c r="BN120" s="117">
        <f t="shared" si="13"/>
        <v>2</v>
      </c>
      <c r="BO120" s="117">
        <f t="shared" si="14"/>
        <v>3</v>
      </c>
      <c r="BP120" s="153">
        <f t="shared" si="15"/>
        <v>6</v>
      </c>
      <c r="BQ120" s="74" t="s">
        <v>771</v>
      </c>
      <c r="BR120" s="74" t="s">
        <v>772</v>
      </c>
      <c r="BS120" s="74"/>
    </row>
    <row r="121" spans="1:71" hidden="1">
      <c r="A121">
        <v>107</v>
      </c>
      <c r="B121" s="75">
        <v>45717.912951388891</v>
      </c>
      <c r="C121" s="78">
        <v>0.43541666666666667</v>
      </c>
      <c r="D121" s="7">
        <v>45718</v>
      </c>
      <c r="E121" s="7">
        <v>45718</v>
      </c>
      <c r="F121">
        <v>663</v>
      </c>
      <c r="G121">
        <v>108</v>
      </c>
      <c r="H121" t="s">
        <v>773</v>
      </c>
      <c r="I121" s="10" t="s">
        <v>773</v>
      </c>
      <c r="J121" s="69">
        <v>45718</v>
      </c>
      <c r="K121" s="97">
        <f t="shared" si="21"/>
        <v>3</v>
      </c>
      <c r="L121" s="97">
        <v>121</v>
      </c>
      <c r="M121" s="7" t="s">
        <v>165</v>
      </c>
      <c r="N121" s="7" t="s">
        <v>156</v>
      </c>
      <c r="O121" s="7" t="s">
        <v>156</v>
      </c>
      <c r="Q121" s="100">
        <v>2</v>
      </c>
      <c r="R121" s="7" t="s">
        <v>158</v>
      </c>
      <c r="S121" s="7" t="s">
        <v>774</v>
      </c>
      <c r="T121" t="s">
        <v>775</v>
      </c>
      <c r="U121" t="s">
        <v>776</v>
      </c>
      <c r="V121" t="s">
        <v>162</v>
      </c>
      <c r="W121" t="s">
        <v>139</v>
      </c>
      <c r="X121" s="36" t="s">
        <v>141</v>
      </c>
      <c r="Y121" s="36" t="s">
        <v>140</v>
      </c>
      <c r="Z121" s="36" t="s">
        <v>140</v>
      </c>
      <c r="AA121" s="36" t="s">
        <v>141</v>
      </c>
      <c r="AB121" s="36" t="s">
        <v>140</v>
      </c>
      <c r="AC121" s="36" t="s">
        <v>140</v>
      </c>
      <c r="AD121" s="36" t="s">
        <v>140</v>
      </c>
      <c r="AE121" s="36" t="s">
        <v>140</v>
      </c>
      <c r="AF121" s="36" t="s">
        <v>140</v>
      </c>
      <c r="AG121" s="36" t="s">
        <v>140</v>
      </c>
      <c r="AH121" s="36" t="s">
        <v>140</v>
      </c>
      <c r="AI121" s="36" t="s">
        <v>140</v>
      </c>
      <c r="AJ121" s="36" t="s">
        <v>140</v>
      </c>
      <c r="AK121" s="117" t="s">
        <v>141</v>
      </c>
      <c r="AL121" s="36" t="s">
        <v>140</v>
      </c>
      <c r="AM121" s="36" t="s">
        <v>141</v>
      </c>
      <c r="AN121" s="36" t="s">
        <v>140</v>
      </c>
      <c r="AO121" s="36" t="s">
        <v>141</v>
      </c>
      <c r="AP121" s="36" t="s">
        <v>140</v>
      </c>
      <c r="AQ121" s="36" t="s">
        <v>140</v>
      </c>
      <c r="AR121" s="36" t="s">
        <v>140</v>
      </c>
      <c r="AS121" s="36" t="s">
        <v>140</v>
      </c>
      <c r="AT121" s="36" t="s">
        <v>140</v>
      </c>
      <c r="AU121" s="36" t="s">
        <v>140</v>
      </c>
      <c r="AV121" s="36" t="s">
        <v>140</v>
      </c>
      <c r="AW121" s="117" t="s">
        <v>141</v>
      </c>
      <c r="AX121" s="117" t="s">
        <v>141</v>
      </c>
      <c r="AY121" s="36" t="s">
        <v>140</v>
      </c>
      <c r="AZ121" s="36" t="s">
        <v>140</v>
      </c>
      <c r="BA121" s="117" t="s">
        <v>141</v>
      </c>
      <c r="BB121" s="117" t="s">
        <v>140</v>
      </c>
      <c r="BC121" s="117" t="s">
        <v>140</v>
      </c>
      <c r="BD121" s="117" t="s">
        <v>140</v>
      </c>
      <c r="BE121" s="117" t="s">
        <v>140</v>
      </c>
      <c r="BF121" s="117" t="s">
        <v>140</v>
      </c>
      <c r="BG121" s="117" t="s">
        <v>140</v>
      </c>
      <c r="BH121" s="117"/>
      <c r="BI121" s="117"/>
      <c r="BJ121" s="117"/>
      <c r="BK121" s="117"/>
      <c r="BL121" s="117"/>
      <c r="BM121" s="117">
        <f t="shared" si="12"/>
        <v>8</v>
      </c>
      <c r="BN121" s="117">
        <f t="shared" si="13"/>
        <v>2</v>
      </c>
      <c r="BO121" s="117">
        <f t="shared" si="14"/>
        <v>2</v>
      </c>
      <c r="BP121" s="153">
        <f t="shared" si="15"/>
        <v>6</v>
      </c>
      <c r="BQ121" s="74" t="s">
        <v>178</v>
      </c>
      <c r="BR121" s="74" t="s">
        <v>777</v>
      </c>
      <c r="BS121" s="74"/>
    </row>
    <row r="122" spans="1:71" hidden="1">
      <c r="A122">
        <v>108</v>
      </c>
      <c r="B122" s="75">
        <v>45718.048622685186</v>
      </c>
      <c r="C122" s="78">
        <v>0.55763888888888891</v>
      </c>
      <c r="D122" s="7">
        <v>45718</v>
      </c>
      <c r="E122" s="7">
        <v>45718</v>
      </c>
      <c r="F122">
        <v>664</v>
      </c>
      <c r="G122">
        <v>109</v>
      </c>
      <c r="H122" t="s">
        <v>778</v>
      </c>
      <c r="I122" s="10" t="s">
        <v>778</v>
      </c>
      <c r="J122" s="69">
        <v>45718</v>
      </c>
      <c r="K122" s="97">
        <f t="shared" si="21"/>
        <v>3</v>
      </c>
      <c r="L122" s="97">
        <v>122</v>
      </c>
      <c r="M122" s="7" t="s">
        <v>165</v>
      </c>
      <c r="N122" s="7" t="s">
        <v>156</v>
      </c>
      <c r="O122" s="7" t="s">
        <v>156</v>
      </c>
      <c r="P122" s="7" t="s">
        <v>779</v>
      </c>
      <c r="Q122" s="100">
        <v>2</v>
      </c>
      <c r="R122" s="7" t="s">
        <v>158</v>
      </c>
      <c r="S122" s="7" t="s">
        <v>270</v>
      </c>
      <c r="T122" t="s">
        <v>780</v>
      </c>
      <c r="U122" t="s">
        <v>272</v>
      </c>
      <c r="V122" t="s">
        <v>162</v>
      </c>
      <c r="W122" t="s">
        <v>170</v>
      </c>
      <c r="X122" s="36" t="s">
        <v>141</v>
      </c>
      <c r="Y122" s="36" t="s">
        <v>141</v>
      </c>
      <c r="Z122" s="36" t="s">
        <v>140</v>
      </c>
      <c r="AA122" s="36" t="s">
        <v>141</v>
      </c>
      <c r="AB122" s="36" t="s">
        <v>140</v>
      </c>
      <c r="AC122" s="36" t="s">
        <v>140</v>
      </c>
      <c r="AD122" s="36" t="s">
        <v>140</v>
      </c>
      <c r="AE122" s="36" t="s">
        <v>140</v>
      </c>
      <c r="AF122" s="36" t="s">
        <v>140</v>
      </c>
      <c r="AG122" s="36" t="s">
        <v>140</v>
      </c>
      <c r="AH122" s="36" t="s">
        <v>140</v>
      </c>
      <c r="AI122" s="36" t="s">
        <v>140</v>
      </c>
      <c r="AJ122" s="36" t="s">
        <v>140</v>
      </c>
      <c r="AK122" s="117" t="s">
        <v>141</v>
      </c>
      <c r="AL122" s="36" t="s">
        <v>141</v>
      </c>
      <c r="AM122" s="36" t="s">
        <v>141</v>
      </c>
      <c r="AN122" s="36" t="s">
        <v>140</v>
      </c>
      <c r="AO122" s="36" t="s">
        <v>141</v>
      </c>
      <c r="AP122" s="36" t="s">
        <v>140</v>
      </c>
      <c r="AQ122" s="36" t="s">
        <v>140</v>
      </c>
      <c r="AR122" s="36" t="s">
        <v>140</v>
      </c>
      <c r="AS122" s="36" t="s">
        <v>140</v>
      </c>
      <c r="AT122" s="36" t="s">
        <v>140</v>
      </c>
      <c r="AU122" s="36" t="s">
        <v>140</v>
      </c>
      <c r="AV122" s="36" t="s">
        <v>140</v>
      </c>
      <c r="AW122" s="117" t="s">
        <v>140</v>
      </c>
      <c r="AX122" s="117" t="s">
        <v>141</v>
      </c>
      <c r="AY122" s="36" t="s">
        <v>140</v>
      </c>
      <c r="AZ122" s="36" t="s">
        <v>140</v>
      </c>
      <c r="BA122" s="117" t="s">
        <v>141</v>
      </c>
      <c r="BB122" s="117" t="s">
        <v>140</v>
      </c>
      <c r="BC122" s="117" t="s">
        <v>140</v>
      </c>
      <c r="BD122" s="117" t="s">
        <v>140</v>
      </c>
      <c r="BE122" s="117" t="s">
        <v>141</v>
      </c>
      <c r="BF122" s="117" t="s">
        <v>140</v>
      </c>
      <c r="BG122" s="117" t="s">
        <v>141</v>
      </c>
      <c r="BH122" s="117"/>
      <c r="BI122" s="117"/>
      <c r="BJ122" s="117"/>
      <c r="BK122" s="117"/>
      <c r="BL122" s="117"/>
      <c r="BM122" s="117">
        <f t="shared" si="12"/>
        <v>10</v>
      </c>
      <c r="BN122" s="117">
        <f t="shared" si="13"/>
        <v>2</v>
      </c>
      <c r="BO122" s="117">
        <f t="shared" si="14"/>
        <v>3</v>
      </c>
      <c r="BP122" s="153">
        <f t="shared" si="15"/>
        <v>6</v>
      </c>
      <c r="BQ122" s="74" t="s">
        <v>781</v>
      </c>
      <c r="BR122" s="74" t="s">
        <v>782</v>
      </c>
      <c r="BS122" s="74"/>
    </row>
    <row r="123" spans="1:71" hidden="1">
      <c r="A123">
        <v>109</v>
      </c>
      <c r="B123" s="75">
        <v>45718.102129629631</v>
      </c>
      <c r="C123" s="78">
        <v>0.62847222222222221</v>
      </c>
      <c r="D123" s="7">
        <v>45718</v>
      </c>
      <c r="E123" s="7">
        <v>45718</v>
      </c>
      <c r="F123">
        <v>665</v>
      </c>
      <c r="G123">
        <v>110</v>
      </c>
      <c r="H123" t="s">
        <v>783</v>
      </c>
      <c r="I123" s="10" t="s">
        <v>783</v>
      </c>
      <c r="J123" s="69">
        <v>45718</v>
      </c>
      <c r="K123" s="97">
        <f t="shared" si="21"/>
        <v>3</v>
      </c>
      <c r="L123" s="97">
        <v>123</v>
      </c>
      <c r="M123" s="7" t="s">
        <v>155</v>
      </c>
      <c r="N123" s="7" t="s">
        <v>156</v>
      </c>
      <c r="O123" s="7" t="s">
        <v>156</v>
      </c>
      <c r="P123" s="7" t="s">
        <v>784</v>
      </c>
      <c r="Q123" s="100">
        <v>2</v>
      </c>
      <c r="R123" s="7" t="s">
        <v>158</v>
      </c>
      <c r="S123" s="7" t="s">
        <v>785</v>
      </c>
      <c r="T123" t="s">
        <v>786</v>
      </c>
      <c r="U123" t="s">
        <v>787</v>
      </c>
      <c r="V123" t="s">
        <v>162</v>
      </c>
      <c r="W123" t="s">
        <v>225</v>
      </c>
      <c r="X123" s="36" t="s">
        <v>140</v>
      </c>
      <c r="Y123" s="36" t="s">
        <v>141</v>
      </c>
      <c r="Z123" s="36" t="s">
        <v>141</v>
      </c>
      <c r="AA123" s="36" t="s">
        <v>141</v>
      </c>
      <c r="AB123" s="36" t="s">
        <v>140</v>
      </c>
      <c r="AC123" s="36" t="s">
        <v>140</v>
      </c>
      <c r="AD123" s="36" t="s">
        <v>140</v>
      </c>
      <c r="AE123" s="36" t="s">
        <v>140</v>
      </c>
      <c r="AF123" s="36" t="s">
        <v>140</v>
      </c>
      <c r="AG123" s="36" t="s">
        <v>140</v>
      </c>
      <c r="AH123" s="36" t="s">
        <v>140</v>
      </c>
      <c r="AI123" s="36" t="s">
        <v>140</v>
      </c>
      <c r="AJ123" s="36" t="s">
        <v>140</v>
      </c>
      <c r="AK123" s="117" t="s">
        <v>140</v>
      </c>
      <c r="AL123" s="36" t="s">
        <v>141</v>
      </c>
      <c r="AM123" s="36" t="s">
        <v>141</v>
      </c>
      <c r="AN123" s="36" t="s">
        <v>140</v>
      </c>
      <c r="AO123" s="36" t="s">
        <v>141</v>
      </c>
      <c r="AP123" s="36" t="s">
        <v>140</v>
      </c>
      <c r="AQ123" s="36" t="s">
        <v>140</v>
      </c>
      <c r="AR123" s="36" t="s">
        <v>141</v>
      </c>
      <c r="AS123" s="36" t="s">
        <v>140</v>
      </c>
      <c r="AT123" s="36" t="s">
        <v>140</v>
      </c>
      <c r="AU123" s="36" t="s">
        <v>140</v>
      </c>
      <c r="AV123" s="36" t="s">
        <v>140</v>
      </c>
      <c r="AW123" s="117" t="s">
        <v>140</v>
      </c>
      <c r="AX123" s="117" t="s">
        <v>141</v>
      </c>
      <c r="AY123" s="36" t="s">
        <v>140</v>
      </c>
      <c r="AZ123" s="36" t="s">
        <v>140</v>
      </c>
      <c r="BA123" s="117" t="s">
        <v>141</v>
      </c>
      <c r="BB123" s="117" t="s">
        <v>140</v>
      </c>
      <c r="BC123" s="117" t="s">
        <v>140</v>
      </c>
      <c r="BD123" s="117" t="s">
        <v>140</v>
      </c>
      <c r="BE123" s="117" t="s">
        <v>141</v>
      </c>
      <c r="BF123" s="117" t="s">
        <v>141</v>
      </c>
      <c r="BG123" s="117" t="s">
        <v>141</v>
      </c>
      <c r="BH123" s="117"/>
      <c r="BI123" s="117"/>
      <c r="BJ123" s="117"/>
      <c r="BK123" s="117"/>
      <c r="BL123" s="117"/>
      <c r="BM123" s="117">
        <f t="shared" si="12"/>
        <v>11</v>
      </c>
      <c r="BN123" s="117">
        <f t="shared" si="13"/>
        <v>2</v>
      </c>
      <c r="BO123" s="117">
        <f t="shared" si="14"/>
        <v>3</v>
      </c>
      <c r="BP123" s="153">
        <f t="shared" si="15"/>
        <v>6</v>
      </c>
      <c r="BQ123" s="74" t="s">
        <v>178</v>
      </c>
      <c r="BR123" s="74" t="s">
        <v>788</v>
      </c>
      <c r="BS123" s="74"/>
    </row>
    <row r="124" spans="1:71" hidden="1">
      <c r="A124">
        <v>110</v>
      </c>
      <c r="B124" s="75">
        <v>45718.262974537036</v>
      </c>
      <c r="C124" s="78">
        <v>0.69027777777777777</v>
      </c>
      <c r="D124" s="7">
        <v>45718</v>
      </c>
      <c r="E124" s="7">
        <v>45718</v>
      </c>
      <c r="F124">
        <v>666</v>
      </c>
      <c r="G124">
        <v>111</v>
      </c>
      <c r="H124" t="s">
        <v>789</v>
      </c>
      <c r="I124" s="10" t="s">
        <v>789</v>
      </c>
      <c r="J124" s="69">
        <v>45718</v>
      </c>
      <c r="K124" s="97">
        <f t="shared" si="21"/>
        <v>3</v>
      </c>
      <c r="L124" s="97">
        <v>124</v>
      </c>
      <c r="M124" s="7" t="s">
        <v>165</v>
      </c>
      <c r="N124" s="7" t="s">
        <v>234</v>
      </c>
      <c r="O124" s="7" t="s">
        <v>234</v>
      </c>
      <c r="Q124" s="100">
        <v>3</v>
      </c>
      <c r="R124" s="7" t="s">
        <v>694</v>
      </c>
      <c r="S124" s="7" t="s">
        <v>790</v>
      </c>
      <c r="T124" t="s">
        <v>791</v>
      </c>
      <c r="U124" t="s">
        <v>792</v>
      </c>
      <c r="V124" t="s">
        <v>234</v>
      </c>
      <c r="W124" t="s">
        <v>225</v>
      </c>
      <c r="X124" s="36" t="s">
        <v>141</v>
      </c>
      <c r="Y124" s="36" t="s">
        <v>141</v>
      </c>
      <c r="Z124" s="36" t="s">
        <v>141</v>
      </c>
      <c r="AA124" s="36" t="s">
        <v>141</v>
      </c>
      <c r="AB124" s="36" t="s">
        <v>140</v>
      </c>
      <c r="AC124" s="36" t="s">
        <v>140</v>
      </c>
      <c r="AD124" s="36" t="s">
        <v>141</v>
      </c>
      <c r="AE124" s="36" t="s">
        <v>140</v>
      </c>
      <c r="AF124" s="36" t="s">
        <v>140</v>
      </c>
      <c r="AG124" s="36" t="s">
        <v>141</v>
      </c>
      <c r="AH124" s="36" t="s">
        <v>141</v>
      </c>
      <c r="AI124" s="36" t="s">
        <v>140</v>
      </c>
      <c r="AJ124" s="36" t="s">
        <v>140</v>
      </c>
      <c r="AK124" s="117" t="s">
        <v>140</v>
      </c>
      <c r="AL124" s="36" t="s">
        <v>141</v>
      </c>
      <c r="AM124" s="36" t="s">
        <v>141</v>
      </c>
      <c r="AN124" s="36" t="s">
        <v>140</v>
      </c>
      <c r="AO124" s="36" t="s">
        <v>141</v>
      </c>
      <c r="AP124" s="36" t="s">
        <v>140</v>
      </c>
      <c r="AQ124" s="36" t="s">
        <v>141</v>
      </c>
      <c r="AR124" s="36" t="s">
        <v>140</v>
      </c>
      <c r="AS124" s="36" t="s">
        <v>140</v>
      </c>
      <c r="AT124" s="36" t="s">
        <v>140</v>
      </c>
      <c r="AU124" s="36" t="s">
        <v>140</v>
      </c>
      <c r="AV124" s="36" t="s">
        <v>140</v>
      </c>
      <c r="AW124" s="117" t="s">
        <v>141</v>
      </c>
      <c r="AX124" s="117" t="s">
        <v>141</v>
      </c>
      <c r="AY124" s="36" t="s">
        <v>140</v>
      </c>
      <c r="AZ124" s="36" t="s">
        <v>140</v>
      </c>
      <c r="BA124" s="117" t="s">
        <v>141</v>
      </c>
      <c r="BB124" s="117" t="s">
        <v>140</v>
      </c>
      <c r="BC124" s="117" t="s">
        <v>141</v>
      </c>
      <c r="BD124" s="117" t="s">
        <v>140</v>
      </c>
      <c r="BE124" s="117" t="s">
        <v>141</v>
      </c>
      <c r="BF124" s="117" t="s">
        <v>140</v>
      </c>
      <c r="BG124" s="117" t="s">
        <v>141</v>
      </c>
      <c r="BH124" s="117"/>
      <c r="BI124" s="117"/>
      <c r="BJ124" s="117"/>
      <c r="BK124" s="117"/>
      <c r="BL124" s="117"/>
      <c r="BM124" s="117">
        <f t="shared" si="12"/>
        <v>16</v>
      </c>
      <c r="BN124" s="117">
        <f t="shared" si="13"/>
        <v>2</v>
      </c>
      <c r="BO124" s="117">
        <f t="shared" si="14"/>
        <v>5</v>
      </c>
      <c r="BP124" s="153">
        <f t="shared" si="15"/>
        <v>10</v>
      </c>
      <c r="BQ124" s="74" t="s">
        <v>793</v>
      </c>
      <c r="BR124" s="74" t="s">
        <v>794</v>
      </c>
      <c r="BS124" s="74"/>
    </row>
    <row r="125" spans="1:71" hidden="1">
      <c r="A125">
        <v>111</v>
      </c>
      <c r="B125" s="75">
        <v>45719.000358796293</v>
      </c>
      <c r="C125" s="78">
        <v>0.52430555555555558</v>
      </c>
      <c r="D125" s="7">
        <v>45719</v>
      </c>
      <c r="E125" s="7">
        <v>45719</v>
      </c>
      <c r="F125">
        <v>667</v>
      </c>
      <c r="G125">
        <v>112</v>
      </c>
      <c r="H125" t="s">
        <v>795</v>
      </c>
      <c r="I125" s="10" t="s">
        <v>795</v>
      </c>
      <c r="J125" s="69">
        <v>45719</v>
      </c>
      <c r="K125" s="97">
        <f t="shared" si="21"/>
        <v>3</v>
      </c>
      <c r="L125" s="97">
        <v>125</v>
      </c>
      <c r="M125" s="7" t="s">
        <v>268</v>
      </c>
      <c r="N125" s="7" t="s">
        <v>156</v>
      </c>
      <c r="O125" s="7" t="s">
        <v>156</v>
      </c>
      <c r="P125" s="7" t="s">
        <v>796</v>
      </c>
      <c r="Q125" s="100">
        <v>2</v>
      </c>
      <c r="R125" s="7" t="s">
        <v>158</v>
      </c>
      <c r="S125" s="7" t="s">
        <v>797</v>
      </c>
      <c r="T125" t="s">
        <v>798</v>
      </c>
      <c r="U125" t="s">
        <v>799</v>
      </c>
      <c r="V125" t="s">
        <v>162</v>
      </c>
      <c r="W125" t="s">
        <v>800</v>
      </c>
      <c r="X125" s="36" t="s">
        <v>140</v>
      </c>
      <c r="Y125" s="36" t="s">
        <v>140</v>
      </c>
      <c r="Z125" s="36" t="s">
        <v>140</v>
      </c>
      <c r="AA125" s="36" t="s">
        <v>141</v>
      </c>
      <c r="AB125" s="36" t="s">
        <v>140</v>
      </c>
      <c r="AC125" s="36" t="s">
        <v>140</v>
      </c>
      <c r="AD125" s="36" t="s">
        <v>141</v>
      </c>
      <c r="AE125" s="36" t="s">
        <v>140</v>
      </c>
      <c r="AF125" s="36" t="s">
        <v>141</v>
      </c>
      <c r="AG125" s="36" t="s">
        <v>140</v>
      </c>
      <c r="AH125" s="36" t="s">
        <v>140</v>
      </c>
      <c r="AI125" s="36" t="s">
        <v>140</v>
      </c>
      <c r="AJ125" s="36" t="s">
        <v>141</v>
      </c>
      <c r="AK125" s="117" t="s">
        <v>141</v>
      </c>
      <c r="AL125" s="36" t="s">
        <v>140</v>
      </c>
      <c r="AM125" s="36" t="s">
        <v>140</v>
      </c>
      <c r="AN125" s="36" t="s">
        <v>141</v>
      </c>
      <c r="AO125" s="36" t="s">
        <v>140</v>
      </c>
      <c r="AP125" s="36" t="s">
        <v>140</v>
      </c>
      <c r="AQ125" s="36" t="s">
        <v>141</v>
      </c>
      <c r="AR125" s="36" t="s">
        <v>140</v>
      </c>
      <c r="AS125" s="36" t="s">
        <v>140</v>
      </c>
      <c r="AT125" s="36" t="s">
        <v>141</v>
      </c>
      <c r="AU125" s="36" t="s">
        <v>141</v>
      </c>
      <c r="AV125" s="36" t="s">
        <v>140</v>
      </c>
      <c r="AW125" s="117" t="s">
        <v>141</v>
      </c>
      <c r="AX125" s="117" t="s">
        <v>140</v>
      </c>
      <c r="AY125" s="36" t="s">
        <v>140</v>
      </c>
      <c r="AZ125" s="36" t="s">
        <v>140</v>
      </c>
      <c r="BA125" s="117" t="s">
        <v>140</v>
      </c>
      <c r="BB125" s="117" t="s">
        <v>140</v>
      </c>
      <c r="BC125" s="117" t="s">
        <v>140</v>
      </c>
      <c r="BD125" s="117" t="s">
        <v>141</v>
      </c>
      <c r="BE125" s="117" t="s">
        <v>140</v>
      </c>
      <c r="BF125" s="117" t="s">
        <v>140</v>
      </c>
      <c r="BG125" s="117" t="s">
        <v>140</v>
      </c>
      <c r="BH125" s="117"/>
      <c r="BI125" s="117"/>
      <c r="BJ125" s="117"/>
      <c r="BK125" s="117"/>
      <c r="BL125" s="117"/>
      <c r="BM125" s="117">
        <f t="shared" si="12"/>
        <v>11</v>
      </c>
      <c r="BN125" s="117">
        <f t="shared" si="13"/>
        <v>3</v>
      </c>
      <c r="BO125" s="117">
        <f t="shared" si="14"/>
        <v>2</v>
      </c>
      <c r="BP125" s="153">
        <f t="shared" si="15"/>
        <v>8</v>
      </c>
      <c r="BQ125" s="74" t="s">
        <v>701</v>
      </c>
      <c r="BR125" s="74" t="s">
        <v>801</v>
      </c>
      <c r="BS125" s="74"/>
    </row>
    <row r="126" spans="1:71" hidden="1">
      <c r="A126">
        <v>112</v>
      </c>
      <c r="B126" s="75">
        <v>45719.228136574071</v>
      </c>
      <c r="C126" s="78">
        <v>0.70347222222222228</v>
      </c>
      <c r="D126" s="7">
        <v>45719</v>
      </c>
      <c r="E126" s="7">
        <v>45719</v>
      </c>
      <c r="F126">
        <v>668</v>
      </c>
      <c r="G126">
        <v>113</v>
      </c>
      <c r="H126" t="s">
        <v>802</v>
      </c>
      <c r="I126" s="10" t="s">
        <v>802</v>
      </c>
      <c r="J126" s="69">
        <v>45719</v>
      </c>
      <c r="K126" s="97">
        <f t="shared" si="21"/>
        <v>3</v>
      </c>
      <c r="L126" s="97">
        <v>126</v>
      </c>
      <c r="M126" s="7" t="s">
        <v>165</v>
      </c>
      <c r="N126" s="7" t="s">
        <v>146</v>
      </c>
      <c r="O126" s="7" t="s">
        <v>146</v>
      </c>
      <c r="P126" s="7" t="s">
        <v>803</v>
      </c>
      <c r="Q126" s="100">
        <v>3</v>
      </c>
      <c r="R126" s="7" t="s">
        <v>694</v>
      </c>
      <c r="S126" s="7" t="s">
        <v>804</v>
      </c>
      <c r="T126" t="s">
        <v>805</v>
      </c>
      <c r="U126" t="s">
        <v>806</v>
      </c>
      <c r="V126" t="s">
        <v>146</v>
      </c>
      <c r="W126" t="s">
        <v>170</v>
      </c>
      <c r="X126" s="36" t="s">
        <v>141</v>
      </c>
      <c r="Y126" s="36" t="s">
        <v>141</v>
      </c>
      <c r="Z126" s="36" t="s">
        <v>141</v>
      </c>
      <c r="AA126" s="36" t="s">
        <v>141</v>
      </c>
      <c r="AB126" s="36" t="s">
        <v>140</v>
      </c>
      <c r="AC126" s="36" t="s">
        <v>140</v>
      </c>
      <c r="AD126" s="36" t="s">
        <v>141</v>
      </c>
      <c r="AE126" s="36" t="s">
        <v>140</v>
      </c>
      <c r="AF126" s="36" t="s">
        <v>141</v>
      </c>
      <c r="AG126" s="36" t="s">
        <v>140</v>
      </c>
      <c r="AH126" s="36" t="s">
        <v>141</v>
      </c>
      <c r="AI126" s="36" t="s">
        <v>140</v>
      </c>
      <c r="AJ126" s="36" t="s">
        <v>141</v>
      </c>
      <c r="AK126" s="117" t="s">
        <v>141</v>
      </c>
      <c r="AL126" s="36" t="s">
        <v>141</v>
      </c>
      <c r="AM126" s="36" t="s">
        <v>140</v>
      </c>
      <c r="AN126" s="36" t="s">
        <v>140</v>
      </c>
      <c r="AO126" s="36" t="s">
        <v>141</v>
      </c>
      <c r="AP126" s="36" t="s">
        <v>140</v>
      </c>
      <c r="AQ126" s="36" t="s">
        <v>141</v>
      </c>
      <c r="AR126" s="36" t="s">
        <v>140</v>
      </c>
      <c r="AS126" s="36" t="s">
        <v>140</v>
      </c>
      <c r="AT126" s="36" t="s">
        <v>140</v>
      </c>
      <c r="AU126" s="36" t="s">
        <v>140</v>
      </c>
      <c r="AV126" s="36" t="s">
        <v>140</v>
      </c>
      <c r="AW126" s="117" t="s">
        <v>141</v>
      </c>
      <c r="AX126" s="117" t="s">
        <v>141</v>
      </c>
      <c r="AY126" s="36" t="s">
        <v>140</v>
      </c>
      <c r="AZ126" s="36" t="s">
        <v>140</v>
      </c>
      <c r="BA126" s="117" t="s">
        <v>140</v>
      </c>
      <c r="BB126" s="117" t="s">
        <v>140</v>
      </c>
      <c r="BC126" s="117" t="s">
        <v>140</v>
      </c>
      <c r="BD126" s="117" t="s">
        <v>140</v>
      </c>
      <c r="BE126" s="117" t="s">
        <v>140</v>
      </c>
      <c r="BF126" s="117" t="s">
        <v>141</v>
      </c>
      <c r="BG126" s="117" t="s">
        <v>140</v>
      </c>
      <c r="BH126" s="117"/>
      <c r="BI126" s="117"/>
      <c r="BJ126" s="117"/>
      <c r="BK126" s="117"/>
      <c r="BL126" s="117"/>
      <c r="BM126" s="117">
        <f t="shared" si="12"/>
        <v>15</v>
      </c>
      <c r="BN126" s="117">
        <f t="shared" si="13"/>
        <v>2</v>
      </c>
      <c r="BO126" s="117">
        <f t="shared" si="14"/>
        <v>5</v>
      </c>
      <c r="BP126" s="153">
        <f t="shared" si="15"/>
        <v>9</v>
      </c>
      <c r="BQ126" s="74" t="s">
        <v>525</v>
      </c>
      <c r="BR126" s="74" t="s">
        <v>807</v>
      </c>
      <c r="BS126" s="74"/>
    </row>
    <row r="127" spans="1:71" hidden="1">
      <c r="A127">
        <v>113</v>
      </c>
      <c r="B127" s="75">
        <v>45719.781342592592</v>
      </c>
      <c r="C127" s="78">
        <v>0.31111111111111112</v>
      </c>
      <c r="D127" s="7">
        <v>45720</v>
      </c>
      <c r="E127" s="7">
        <v>45720</v>
      </c>
      <c r="F127">
        <v>669</v>
      </c>
      <c r="G127">
        <v>114</v>
      </c>
      <c r="H127" t="s">
        <v>808</v>
      </c>
      <c r="I127" s="10" t="s">
        <v>808</v>
      </c>
      <c r="J127" s="69">
        <v>45720</v>
      </c>
      <c r="K127" s="97">
        <f t="shared" si="21"/>
        <v>3</v>
      </c>
      <c r="L127" s="97">
        <v>127</v>
      </c>
      <c r="M127" s="7" t="s">
        <v>268</v>
      </c>
      <c r="N127" s="7" t="s">
        <v>156</v>
      </c>
      <c r="O127" s="7" t="s">
        <v>156</v>
      </c>
      <c r="P127" s="7" t="s">
        <v>809</v>
      </c>
      <c r="Q127" s="100">
        <v>2</v>
      </c>
      <c r="R127" s="7" t="s">
        <v>158</v>
      </c>
      <c r="S127" s="7" t="s">
        <v>810</v>
      </c>
      <c r="T127" t="s">
        <v>811</v>
      </c>
      <c r="U127" t="s">
        <v>812</v>
      </c>
      <c r="V127" t="s">
        <v>162</v>
      </c>
      <c r="W127" t="s">
        <v>357</v>
      </c>
      <c r="X127" s="36" t="s">
        <v>140</v>
      </c>
      <c r="Y127" s="36" t="s">
        <v>141</v>
      </c>
      <c r="Z127" s="36" t="s">
        <v>140</v>
      </c>
      <c r="AA127" s="36" t="s">
        <v>141</v>
      </c>
      <c r="AB127" s="36" t="s">
        <v>141</v>
      </c>
      <c r="AC127" s="36" t="s">
        <v>140</v>
      </c>
      <c r="AD127" s="36" t="s">
        <v>141</v>
      </c>
      <c r="AE127" s="36" t="s">
        <v>140</v>
      </c>
      <c r="AF127" s="36" t="s">
        <v>140</v>
      </c>
      <c r="AG127" s="36" t="s">
        <v>140</v>
      </c>
      <c r="AH127" s="36" t="s">
        <v>140</v>
      </c>
      <c r="AI127" s="36" t="s">
        <v>140</v>
      </c>
      <c r="AJ127" s="36" t="s">
        <v>140</v>
      </c>
      <c r="AK127" s="117" t="s">
        <v>141</v>
      </c>
      <c r="AL127" s="36" t="s">
        <v>140</v>
      </c>
      <c r="AM127" s="36" t="s">
        <v>140</v>
      </c>
      <c r="AN127" s="36" t="s">
        <v>141</v>
      </c>
      <c r="AO127" s="36" t="s">
        <v>140</v>
      </c>
      <c r="AP127" s="36" t="s">
        <v>140</v>
      </c>
      <c r="AQ127" s="36" t="s">
        <v>140</v>
      </c>
      <c r="AR127" s="36" t="s">
        <v>141</v>
      </c>
      <c r="AS127" s="36" t="s">
        <v>140</v>
      </c>
      <c r="AT127" s="36" t="s">
        <v>141</v>
      </c>
      <c r="AU127" s="36" t="s">
        <v>140</v>
      </c>
      <c r="AV127" s="36" t="s">
        <v>140</v>
      </c>
      <c r="AW127" s="117" t="s">
        <v>141</v>
      </c>
      <c r="AX127" s="117" t="s">
        <v>140</v>
      </c>
      <c r="AY127" s="36" t="s">
        <v>140</v>
      </c>
      <c r="AZ127" s="36" t="s">
        <v>140</v>
      </c>
      <c r="BA127" s="117" t="s">
        <v>140</v>
      </c>
      <c r="BB127" s="117" t="s">
        <v>140</v>
      </c>
      <c r="BC127" s="117" t="s">
        <v>140</v>
      </c>
      <c r="BD127" s="117" t="s">
        <v>140</v>
      </c>
      <c r="BE127" s="117" t="s">
        <v>140</v>
      </c>
      <c r="BF127" s="117" t="s">
        <v>140</v>
      </c>
      <c r="BG127" s="117" t="s">
        <v>140</v>
      </c>
      <c r="BH127" s="117"/>
      <c r="BI127" s="117"/>
      <c r="BJ127" s="117"/>
      <c r="BK127" s="117"/>
      <c r="BL127" s="117"/>
      <c r="BM127" s="117">
        <f t="shared" si="12"/>
        <v>9</v>
      </c>
      <c r="BN127" s="117">
        <f t="shared" si="13"/>
        <v>3</v>
      </c>
      <c r="BO127" s="117">
        <f t="shared" si="14"/>
        <v>4</v>
      </c>
      <c r="BP127" s="153">
        <f t="shared" si="15"/>
        <v>5</v>
      </c>
      <c r="BQ127" s="74" t="s">
        <v>178</v>
      </c>
      <c r="BR127" s="74" t="s">
        <v>813</v>
      </c>
      <c r="BS127" s="74"/>
    </row>
    <row r="128" spans="1:71" hidden="1">
      <c r="A128">
        <v>114</v>
      </c>
      <c r="B128" s="75">
        <v>45719.782789351855</v>
      </c>
      <c r="C128" s="78">
        <v>0.31180555555555556</v>
      </c>
      <c r="D128" s="7">
        <v>45720</v>
      </c>
      <c r="E128" s="7">
        <v>45720</v>
      </c>
      <c r="F128">
        <v>670</v>
      </c>
      <c r="G128">
        <v>115</v>
      </c>
      <c r="H128" t="s">
        <v>814</v>
      </c>
      <c r="I128" s="10" t="s">
        <v>814</v>
      </c>
      <c r="J128" s="69">
        <v>45720</v>
      </c>
      <c r="K128" s="97">
        <f t="shared" si="21"/>
        <v>3</v>
      </c>
      <c r="L128" s="97">
        <v>128</v>
      </c>
      <c r="M128" s="7" t="s">
        <v>133</v>
      </c>
      <c r="N128" s="7" t="s">
        <v>134</v>
      </c>
      <c r="O128" s="7" t="s">
        <v>134</v>
      </c>
      <c r="Q128" s="100">
        <v>1</v>
      </c>
      <c r="R128" s="7" t="s">
        <v>135</v>
      </c>
      <c r="S128" s="7" t="s">
        <v>815</v>
      </c>
      <c r="T128" t="s">
        <v>816</v>
      </c>
      <c r="U128" t="s">
        <v>817</v>
      </c>
      <c r="V128" t="s">
        <v>138</v>
      </c>
      <c r="W128" t="s">
        <v>207</v>
      </c>
      <c r="X128" s="36" t="s">
        <v>140</v>
      </c>
      <c r="Y128" s="36" t="s">
        <v>141</v>
      </c>
      <c r="Z128" s="36" t="s">
        <v>140</v>
      </c>
      <c r="AA128" s="36" t="s">
        <v>141</v>
      </c>
      <c r="AB128" s="36" t="s">
        <v>141</v>
      </c>
      <c r="AC128" s="36" t="s">
        <v>140</v>
      </c>
      <c r="AD128" s="36" t="s">
        <v>141</v>
      </c>
      <c r="AE128" s="36" t="s">
        <v>140</v>
      </c>
      <c r="AF128" s="36" t="s">
        <v>140</v>
      </c>
      <c r="AG128" s="36" t="s">
        <v>140</v>
      </c>
      <c r="AH128" s="36" t="s">
        <v>140</v>
      </c>
      <c r="AI128" s="36" t="s">
        <v>140</v>
      </c>
      <c r="AJ128" s="36" t="s">
        <v>140</v>
      </c>
      <c r="AK128" s="117" t="s">
        <v>141</v>
      </c>
      <c r="AL128" s="36" t="s">
        <v>140</v>
      </c>
      <c r="AM128" s="36" t="s">
        <v>140</v>
      </c>
      <c r="AN128" s="36" t="s">
        <v>141</v>
      </c>
      <c r="AO128" s="36" t="s">
        <v>140</v>
      </c>
      <c r="AP128" s="36" t="s">
        <v>140</v>
      </c>
      <c r="AQ128" s="36" t="s">
        <v>140</v>
      </c>
      <c r="AR128" s="36" t="s">
        <v>141</v>
      </c>
      <c r="AS128" s="36" t="s">
        <v>140</v>
      </c>
      <c r="AT128" s="36" t="s">
        <v>141</v>
      </c>
      <c r="AU128" s="36" t="s">
        <v>140</v>
      </c>
      <c r="AV128" s="36" t="s">
        <v>140</v>
      </c>
      <c r="AW128" s="117" t="s">
        <v>141</v>
      </c>
      <c r="AX128" s="117" t="s">
        <v>140</v>
      </c>
      <c r="AY128" s="36" t="s">
        <v>140</v>
      </c>
      <c r="AZ128" s="36" t="s">
        <v>140</v>
      </c>
      <c r="BA128" s="117" t="s">
        <v>140</v>
      </c>
      <c r="BB128" s="117" t="s">
        <v>140</v>
      </c>
      <c r="BC128" s="117" t="s">
        <v>140</v>
      </c>
      <c r="BD128" s="117" t="s">
        <v>140</v>
      </c>
      <c r="BE128" s="117" t="s">
        <v>140</v>
      </c>
      <c r="BF128" s="117" t="s">
        <v>140</v>
      </c>
      <c r="BG128" s="117" t="s">
        <v>140</v>
      </c>
      <c r="BH128" s="117"/>
      <c r="BI128" s="117"/>
      <c r="BJ128" s="117"/>
      <c r="BK128" s="117"/>
      <c r="BL128" s="117"/>
      <c r="BM128" s="117">
        <f t="shared" si="12"/>
        <v>9</v>
      </c>
      <c r="BN128" s="117">
        <f t="shared" si="13"/>
        <v>3</v>
      </c>
      <c r="BO128" s="117">
        <f t="shared" si="14"/>
        <v>4</v>
      </c>
      <c r="BP128" s="153">
        <f t="shared" si="15"/>
        <v>5</v>
      </c>
      <c r="BQ128" s="74" t="s">
        <v>178</v>
      </c>
      <c r="BR128" s="74"/>
      <c r="BS128" s="74"/>
    </row>
    <row r="129" spans="1:71" hidden="1">
      <c r="A129">
        <v>115</v>
      </c>
      <c r="B129" s="75">
        <v>45719.868344907409</v>
      </c>
      <c r="C129" s="78">
        <v>0.3972222222222222</v>
      </c>
      <c r="D129" s="7">
        <v>45720</v>
      </c>
      <c r="E129" s="7">
        <v>45720</v>
      </c>
      <c r="F129">
        <v>671</v>
      </c>
      <c r="G129">
        <v>116</v>
      </c>
      <c r="H129" t="s">
        <v>818</v>
      </c>
      <c r="I129" s="10" t="s">
        <v>818</v>
      </c>
      <c r="J129" s="69">
        <v>45720</v>
      </c>
      <c r="K129" s="97">
        <f t="shared" si="21"/>
        <v>3</v>
      </c>
      <c r="L129" s="97">
        <v>129</v>
      </c>
      <c r="M129" s="7" t="s">
        <v>155</v>
      </c>
      <c r="N129" s="7" t="s">
        <v>156</v>
      </c>
      <c r="O129" s="7" t="s">
        <v>156</v>
      </c>
      <c r="P129" s="7" t="s">
        <v>819</v>
      </c>
      <c r="Q129" s="100">
        <v>2</v>
      </c>
      <c r="R129" s="7" t="s">
        <v>158</v>
      </c>
      <c r="S129" s="7" t="s">
        <v>820</v>
      </c>
      <c r="T129" t="s">
        <v>821</v>
      </c>
      <c r="U129" t="s">
        <v>822</v>
      </c>
      <c r="V129" t="s">
        <v>162</v>
      </c>
      <c r="W129" t="s">
        <v>207</v>
      </c>
      <c r="X129" s="36" t="s">
        <v>140</v>
      </c>
      <c r="Y129" s="36" t="s">
        <v>141</v>
      </c>
      <c r="Z129" s="36" t="s">
        <v>140</v>
      </c>
      <c r="AA129" s="36" t="s">
        <v>141</v>
      </c>
      <c r="AB129" s="36" t="s">
        <v>141</v>
      </c>
      <c r="AC129" s="36" t="s">
        <v>140</v>
      </c>
      <c r="AD129" s="36" t="s">
        <v>141</v>
      </c>
      <c r="AE129" s="36" t="s">
        <v>140</v>
      </c>
      <c r="AF129" s="36" t="s">
        <v>141</v>
      </c>
      <c r="AG129" s="36" t="s">
        <v>140</v>
      </c>
      <c r="AH129" s="36" t="s">
        <v>140</v>
      </c>
      <c r="AI129" s="36" t="s">
        <v>140</v>
      </c>
      <c r="AJ129" s="36" t="s">
        <v>141</v>
      </c>
      <c r="AK129" s="117" t="s">
        <v>141</v>
      </c>
      <c r="AL129" s="36" t="s">
        <v>140</v>
      </c>
      <c r="AM129" s="36" t="s">
        <v>140</v>
      </c>
      <c r="AN129" s="36" t="s">
        <v>140</v>
      </c>
      <c r="AO129" s="36" t="s">
        <v>140</v>
      </c>
      <c r="AP129" s="36" t="s">
        <v>140</v>
      </c>
      <c r="AQ129" s="36" t="s">
        <v>140</v>
      </c>
      <c r="AR129" s="36" t="s">
        <v>141</v>
      </c>
      <c r="AS129" s="36" t="s">
        <v>140</v>
      </c>
      <c r="AT129" s="36" t="s">
        <v>141</v>
      </c>
      <c r="AU129" s="36" t="s">
        <v>140</v>
      </c>
      <c r="AV129" s="36" t="s">
        <v>140</v>
      </c>
      <c r="AW129" s="117" t="s">
        <v>141</v>
      </c>
      <c r="AX129" s="117" t="s">
        <v>140</v>
      </c>
      <c r="AY129" s="36" t="s">
        <v>140</v>
      </c>
      <c r="AZ129" s="36" t="s">
        <v>141</v>
      </c>
      <c r="BA129" s="117" t="s">
        <v>140</v>
      </c>
      <c r="BB129" s="117" t="s">
        <v>140</v>
      </c>
      <c r="BC129" s="117" t="s">
        <v>140</v>
      </c>
      <c r="BD129" s="117" t="s">
        <v>140</v>
      </c>
      <c r="BE129" s="117" t="s">
        <v>140</v>
      </c>
      <c r="BF129" s="117" t="s">
        <v>140</v>
      </c>
      <c r="BG129" s="117" t="s">
        <v>140</v>
      </c>
      <c r="BH129" s="117"/>
      <c r="BI129" s="117"/>
      <c r="BJ129" s="117"/>
      <c r="BK129" s="117"/>
      <c r="BL129" s="117"/>
      <c r="BM129" s="117">
        <f t="shared" si="12"/>
        <v>11</v>
      </c>
      <c r="BN129" s="117">
        <f t="shared" si="13"/>
        <v>3</v>
      </c>
      <c r="BO129" s="117">
        <f t="shared" si="14"/>
        <v>4</v>
      </c>
      <c r="BP129" s="153">
        <f t="shared" si="15"/>
        <v>7</v>
      </c>
      <c r="BQ129" s="74" t="s">
        <v>823</v>
      </c>
      <c r="BR129" s="74" t="s">
        <v>824</v>
      </c>
      <c r="BS129" s="74"/>
    </row>
    <row r="130" spans="1:71" hidden="1">
      <c r="A130">
        <v>116</v>
      </c>
      <c r="B130" s="75">
        <v>45719.902268518519</v>
      </c>
      <c r="C130" s="78">
        <v>0.42916666666666664</v>
      </c>
      <c r="D130" s="7">
        <v>45720</v>
      </c>
      <c r="E130" s="7">
        <v>45720</v>
      </c>
      <c r="F130">
        <v>672</v>
      </c>
      <c r="G130">
        <v>117</v>
      </c>
      <c r="H130" t="s">
        <v>825</v>
      </c>
      <c r="I130" s="10" t="s">
        <v>825</v>
      </c>
      <c r="J130" s="69">
        <v>45720</v>
      </c>
      <c r="K130" s="97">
        <f t="shared" si="21"/>
        <v>3</v>
      </c>
      <c r="L130" s="97">
        <v>130</v>
      </c>
      <c r="M130" s="7" t="s">
        <v>155</v>
      </c>
      <c r="N130" s="7" t="s">
        <v>156</v>
      </c>
      <c r="O130" s="7" t="s">
        <v>156</v>
      </c>
      <c r="P130" s="7" t="s">
        <v>826</v>
      </c>
      <c r="Q130" s="100">
        <v>2</v>
      </c>
      <c r="R130" s="7" t="s">
        <v>158</v>
      </c>
      <c r="S130" s="7" t="s">
        <v>827</v>
      </c>
      <c r="T130" t="s">
        <v>828</v>
      </c>
      <c r="U130" t="s">
        <v>368</v>
      </c>
      <c r="V130" t="s">
        <v>162</v>
      </c>
      <c r="W130" t="s">
        <v>800</v>
      </c>
      <c r="X130" s="36" t="s">
        <v>140</v>
      </c>
      <c r="Y130" s="36" t="s">
        <v>141</v>
      </c>
      <c r="Z130" s="36" t="s">
        <v>140</v>
      </c>
      <c r="AA130" s="36" t="s">
        <v>141</v>
      </c>
      <c r="AB130" s="36" t="s">
        <v>141</v>
      </c>
      <c r="AC130" s="36" t="s">
        <v>140</v>
      </c>
      <c r="AD130" s="36" t="s">
        <v>141</v>
      </c>
      <c r="AE130" s="36" t="s">
        <v>140</v>
      </c>
      <c r="AF130" s="36" t="s">
        <v>141</v>
      </c>
      <c r="AG130" s="36" t="s">
        <v>140</v>
      </c>
      <c r="AH130" s="36" t="s">
        <v>140</v>
      </c>
      <c r="AI130" s="36" t="s">
        <v>140</v>
      </c>
      <c r="AJ130" s="36" t="s">
        <v>141</v>
      </c>
      <c r="AK130" s="117" t="s">
        <v>141</v>
      </c>
      <c r="AL130" s="36" t="s">
        <v>140</v>
      </c>
      <c r="AM130" s="36" t="s">
        <v>140</v>
      </c>
      <c r="AN130" s="36" t="s">
        <v>140</v>
      </c>
      <c r="AO130" s="36" t="s">
        <v>140</v>
      </c>
      <c r="AP130" s="36" t="s">
        <v>140</v>
      </c>
      <c r="AQ130" s="36" t="s">
        <v>140</v>
      </c>
      <c r="AR130" s="36" t="s">
        <v>140</v>
      </c>
      <c r="AS130" s="36" t="s">
        <v>140</v>
      </c>
      <c r="AT130" s="36" t="s">
        <v>141</v>
      </c>
      <c r="AU130" s="36" t="s">
        <v>140</v>
      </c>
      <c r="AV130" s="36" t="s">
        <v>140</v>
      </c>
      <c r="AW130" s="117" t="s">
        <v>141</v>
      </c>
      <c r="AX130" s="117" t="s">
        <v>140</v>
      </c>
      <c r="AY130" s="36" t="s">
        <v>140</v>
      </c>
      <c r="AZ130" s="36" t="s">
        <v>141</v>
      </c>
      <c r="BA130" s="117" t="s">
        <v>140</v>
      </c>
      <c r="BB130" s="117" t="s">
        <v>140</v>
      </c>
      <c r="BC130" s="117" t="s">
        <v>140</v>
      </c>
      <c r="BD130" s="117" t="s">
        <v>140</v>
      </c>
      <c r="BE130" s="117" t="s">
        <v>140</v>
      </c>
      <c r="BF130" s="117" t="s">
        <v>140</v>
      </c>
      <c r="BG130" s="117" t="s">
        <v>140</v>
      </c>
      <c r="BH130" s="117"/>
      <c r="BI130" s="117"/>
      <c r="BJ130" s="117"/>
      <c r="BK130" s="117"/>
      <c r="BL130" s="117"/>
      <c r="BM130" s="117">
        <f t="shared" ref="BM130:BM195" si="22">COUNTIF($X130:$BF130, "I")</f>
        <v>10</v>
      </c>
      <c r="BN130" s="117">
        <f t="shared" ref="BN130:BN195" si="23">COUNTIFS($X130:$BF130, "I",$X$2:$BF$2, "DR" )</f>
        <v>2</v>
      </c>
      <c r="BO130" s="117">
        <f t="shared" ref="BO130:BO195" si="24">COUNTIFS($X130:$BF130, "I",$X$5:$BF$5, "OF" )</f>
        <v>4</v>
      </c>
      <c r="BP130" s="153">
        <f t="shared" ref="BP130:BP195" si="25">COUNTIFS($X130:$BF130, "I",$X$5:$BF$5, "FF" )</f>
        <v>6</v>
      </c>
      <c r="BQ130" s="74" t="s">
        <v>208</v>
      </c>
      <c r="BR130" s="74" t="s">
        <v>829</v>
      </c>
      <c r="BS130" s="74"/>
    </row>
    <row r="131" spans="1:71" hidden="1">
      <c r="A131">
        <v>117</v>
      </c>
      <c r="B131" s="75">
        <v>45720.830543981479</v>
      </c>
      <c r="C131" s="78">
        <v>0.34930555555555554</v>
      </c>
      <c r="D131" s="7">
        <v>45721</v>
      </c>
      <c r="E131" s="7">
        <v>45721</v>
      </c>
      <c r="F131">
        <v>673</v>
      </c>
      <c r="G131">
        <v>118</v>
      </c>
      <c r="H131" t="s">
        <v>830</v>
      </c>
      <c r="I131" s="10" t="s">
        <v>830</v>
      </c>
      <c r="J131" s="69">
        <v>45721</v>
      </c>
      <c r="K131" s="97">
        <f t="shared" si="21"/>
        <v>3</v>
      </c>
      <c r="L131" s="97">
        <v>131</v>
      </c>
      <c r="M131" s="7" t="s">
        <v>268</v>
      </c>
      <c r="N131" s="7" t="s">
        <v>156</v>
      </c>
      <c r="O131" s="7" t="s">
        <v>156</v>
      </c>
      <c r="P131" s="7" t="s">
        <v>831</v>
      </c>
      <c r="Q131" s="100">
        <v>2</v>
      </c>
      <c r="R131" s="7" t="s">
        <v>158</v>
      </c>
      <c r="S131" s="7" t="s">
        <v>832</v>
      </c>
      <c r="T131" t="s">
        <v>833</v>
      </c>
      <c r="U131" t="s">
        <v>834</v>
      </c>
      <c r="V131" t="s">
        <v>162</v>
      </c>
      <c r="W131" t="s">
        <v>207</v>
      </c>
      <c r="X131" s="36" t="s">
        <v>140</v>
      </c>
      <c r="Y131" s="36" t="s">
        <v>141</v>
      </c>
      <c r="Z131" s="36" t="s">
        <v>140</v>
      </c>
      <c r="AA131" s="36" t="s">
        <v>141</v>
      </c>
      <c r="AB131" s="36" t="s">
        <v>141</v>
      </c>
      <c r="AC131" s="36" t="s">
        <v>140</v>
      </c>
      <c r="AD131" s="36" t="s">
        <v>141</v>
      </c>
      <c r="AE131" s="36" t="s">
        <v>140</v>
      </c>
      <c r="AF131" s="36" t="s">
        <v>140</v>
      </c>
      <c r="AG131" s="36" t="s">
        <v>140</v>
      </c>
      <c r="AH131" s="36" t="s">
        <v>141</v>
      </c>
      <c r="AI131" s="36" t="s">
        <v>140</v>
      </c>
      <c r="AJ131" s="36" t="s">
        <v>141</v>
      </c>
      <c r="AK131" s="117" t="s">
        <v>140</v>
      </c>
      <c r="AL131" s="36" t="s">
        <v>140</v>
      </c>
      <c r="AM131" s="36" t="s">
        <v>141</v>
      </c>
      <c r="AN131" s="36" t="s">
        <v>140</v>
      </c>
      <c r="AO131" s="36" t="s">
        <v>140</v>
      </c>
      <c r="AP131" s="36" t="s">
        <v>140</v>
      </c>
      <c r="AQ131" s="36" t="s">
        <v>141</v>
      </c>
      <c r="AR131" s="36" t="s">
        <v>140</v>
      </c>
      <c r="AS131" s="36" t="s">
        <v>140</v>
      </c>
      <c r="AT131" s="36" t="s">
        <v>140</v>
      </c>
      <c r="AU131" s="36" t="s">
        <v>140</v>
      </c>
      <c r="AV131" s="36" t="s">
        <v>140</v>
      </c>
      <c r="AW131" s="117" t="s">
        <v>141</v>
      </c>
      <c r="AX131" s="117" t="s">
        <v>140</v>
      </c>
      <c r="AY131" s="36" t="s">
        <v>140</v>
      </c>
      <c r="AZ131" s="36" t="s">
        <v>140</v>
      </c>
      <c r="BA131" s="117" t="s">
        <v>140</v>
      </c>
      <c r="BB131" s="117" t="s">
        <v>140</v>
      </c>
      <c r="BC131" s="117" t="s">
        <v>140</v>
      </c>
      <c r="BD131" s="117" t="s">
        <v>140</v>
      </c>
      <c r="BE131" s="117" t="s">
        <v>140</v>
      </c>
      <c r="BF131" s="117" t="s">
        <v>140</v>
      </c>
      <c r="BG131" s="117" t="s">
        <v>140</v>
      </c>
      <c r="BH131" s="117"/>
      <c r="BI131" s="117"/>
      <c r="BJ131" s="117"/>
      <c r="BK131" s="117"/>
      <c r="BL131" s="117"/>
      <c r="BM131" s="117">
        <f t="shared" si="22"/>
        <v>9</v>
      </c>
      <c r="BN131" s="117">
        <f t="shared" si="23"/>
        <v>2</v>
      </c>
      <c r="BO131" s="117">
        <f t="shared" si="24"/>
        <v>4</v>
      </c>
      <c r="BP131" s="153">
        <f t="shared" si="25"/>
        <v>5</v>
      </c>
      <c r="BQ131" s="74" t="s">
        <v>178</v>
      </c>
      <c r="BR131" s="74" t="s">
        <v>835</v>
      </c>
      <c r="BS131" s="74"/>
    </row>
    <row r="132" spans="1:71" hidden="1">
      <c r="A132">
        <v>118</v>
      </c>
      <c r="B132" s="75">
        <v>45721.123969907407</v>
      </c>
      <c r="C132" s="78">
        <v>0.63124999999999998</v>
      </c>
      <c r="D132" s="7">
        <v>45721</v>
      </c>
      <c r="E132" s="7">
        <v>45721</v>
      </c>
      <c r="F132">
        <v>674</v>
      </c>
      <c r="G132">
        <v>119</v>
      </c>
      <c r="H132" t="s">
        <v>836</v>
      </c>
      <c r="I132" s="10" t="s">
        <v>836</v>
      </c>
      <c r="J132" s="69">
        <v>45721</v>
      </c>
      <c r="K132" s="97">
        <f t="shared" si="21"/>
        <v>3</v>
      </c>
      <c r="L132" s="97">
        <v>132</v>
      </c>
      <c r="M132" s="7" t="s">
        <v>196</v>
      </c>
      <c r="N132" s="7" t="s">
        <v>197</v>
      </c>
      <c r="O132" s="7" t="s">
        <v>197</v>
      </c>
      <c r="Q132" s="100">
        <v>3</v>
      </c>
      <c r="R132" s="7" t="s">
        <v>184</v>
      </c>
      <c r="S132" s="7" t="s">
        <v>837</v>
      </c>
      <c r="T132" t="s">
        <v>838</v>
      </c>
      <c r="U132" t="s">
        <v>839</v>
      </c>
      <c r="V132" t="s">
        <v>200</v>
      </c>
      <c r="W132" t="s">
        <v>225</v>
      </c>
      <c r="X132" s="36" t="s">
        <v>141</v>
      </c>
      <c r="Y132" s="36" t="s">
        <v>141</v>
      </c>
      <c r="Z132" s="36" t="s">
        <v>140</v>
      </c>
      <c r="AA132" s="36" t="s">
        <v>141</v>
      </c>
      <c r="AB132" s="36" t="s">
        <v>141</v>
      </c>
      <c r="AC132" s="36" t="s">
        <v>141</v>
      </c>
      <c r="AD132" s="36" t="s">
        <v>140</v>
      </c>
      <c r="AE132" s="36" t="s">
        <v>140</v>
      </c>
      <c r="AF132" s="36" t="s">
        <v>140</v>
      </c>
      <c r="AG132" s="36" t="s">
        <v>141</v>
      </c>
      <c r="AH132" s="36" t="s">
        <v>141</v>
      </c>
      <c r="AI132" s="36" t="s">
        <v>140</v>
      </c>
      <c r="AJ132" s="36" t="s">
        <v>141</v>
      </c>
      <c r="AK132" s="117" t="s">
        <v>140</v>
      </c>
      <c r="AL132" s="36" t="s">
        <v>140</v>
      </c>
      <c r="AM132" s="36" t="s">
        <v>141</v>
      </c>
      <c r="AN132" s="36" t="s">
        <v>140</v>
      </c>
      <c r="AO132" s="36" t="s">
        <v>140</v>
      </c>
      <c r="AP132" s="36" t="s">
        <v>140</v>
      </c>
      <c r="AQ132" s="36" t="s">
        <v>141</v>
      </c>
      <c r="AR132" s="36" t="s">
        <v>140</v>
      </c>
      <c r="AS132" s="36" t="s">
        <v>140</v>
      </c>
      <c r="AT132" s="36" t="s">
        <v>140</v>
      </c>
      <c r="AU132" s="36" t="s">
        <v>140</v>
      </c>
      <c r="AV132" s="36" t="s">
        <v>140</v>
      </c>
      <c r="AW132" s="117" t="s">
        <v>141</v>
      </c>
      <c r="AX132" s="117" t="s">
        <v>140</v>
      </c>
      <c r="AY132" s="36" t="s">
        <v>141</v>
      </c>
      <c r="AZ132" s="36" t="s">
        <v>141</v>
      </c>
      <c r="BA132" s="117" t="s">
        <v>140</v>
      </c>
      <c r="BB132" s="117" t="s">
        <v>140</v>
      </c>
      <c r="BC132" s="117" t="s">
        <v>140</v>
      </c>
      <c r="BD132" s="117" t="s">
        <v>140</v>
      </c>
      <c r="BE132" s="117" t="s">
        <v>140</v>
      </c>
      <c r="BF132" s="117" t="s">
        <v>140</v>
      </c>
      <c r="BG132" s="117" t="s">
        <v>140</v>
      </c>
      <c r="BH132" s="117"/>
      <c r="BI132" s="117"/>
      <c r="BJ132" s="117"/>
      <c r="BK132" s="117"/>
      <c r="BL132" s="117"/>
      <c r="BM132" s="117">
        <f t="shared" si="22"/>
        <v>13</v>
      </c>
      <c r="BN132" s="117">
        <f t="shared" si="23"/>
        <v>3</v>
      </c>
      <c r="BO132" s="117">
        <f t="shared" si="24"/>
        <v>5</v>
      </c>
      <c r="BP132" s="153">
        <f t="shared" si="25"/>
        <v>8</v>
      </c>
      <c r="BQ132" s="74" t="s">
        <v>840</v>
      </c>
      <c r="BR132" s="74" t="s">
        <v>841</v>
      </c>
      <c r="BS132" s="74"/>
    </row>
    <row r="133" spans="1:71" hidden="1">
      <c r="A133">
        <v>119</v>
      </c>
      <c r="B133" s="75">
        <v>45721.171527777777</v>
      </c>
      <c r="C133" s="78">
        <v>0.69513888888888886</v>
      </c>
      <c r="D133" s="7">
        <v>45721</v>
      </c>
      <c r="E133" s="7">
        <v>45720</v>
      </c>
      <c r="F133">
        <v>675</v>
      </c>
      <c r="G133">
        <v>120</v>
      </c>
      <c r="H133" t="s">
        <v>842</v>
      </c>
      <c r="I133" s="10" t="s">
        <v>842</v>
      </c>
      <c r="J133" s="69">
        <v>45721</v>
      </c>
      <c r="K133" s="97">
        <f t="shared" si="21"/>
        <v>3</v>
      </c>
      <c r="L133" s="97">
        <v>133</v>
      </c>
      <c r="M133" s="7" t="s">
        <v>155</v>
      </c>
      <c r="N133" s="7" t="s">
        <v>156</v>
      </c>
      <c r="O133" s="7" t="s">
        <v>156</v>
      </c>
      <c r="P133" s="7" t="s">
        <v>843</v>
      </c>
      <c r="Q133" s="100">
        <v>2</v>
      </c>
      <c r="R133" s="7" t="s">
        <v>158</v>
      </c>
      <c r="S133" s="7" t="s">
        <v>844</v>
      </c>
      <c r="T133" t="s">
        <v>845</v>
      </c>
      <c r="U133" t="s">
        <v>846</v>
      </c>
      <c r="V133" t="s">
        <v>162</v>
      </c>
      <c r="W133" t="s">
        <v>139</v>
      </c>
      <c r="X133" s="36" t="s">
        <v>141</v>
      </c>
      <c r="Y133" s="36" t="s">
        <v>141</v>
      </c>
      <c r="Z133" s="36" t="s">
        <v>140</v>
      </c>
      <c r="AA133" s="36" t="s">
        <v>141</v>
      </c>
      <c r="AB133" s="36" t="s">
        <v>140</v>
      </c>
      <c r="AC133" s="36" t="s">
        <v>141</v>
      </c>
      <c r="AD133" s="36" t="s">
        <v>140</v>
      </c>
      <c r="AE133" s="36" t="s">
        <v>140</v>
      </c>
      <c r="AF133" s="36" t="s">
        <v>140</v>
      </c>
      <c r="AG133" s="36" t="s">
        <v>140</v>
      </c>
      <c r="AH133" s="36" t="s">
        <v>140</v>
      </c>
      <c r="AI133" s="36" t="s">
        <v>140</v>
      </c>
      <c r="AJ133" s="36" t="s">
        <v>141</v>
      </c>
      <c r="AK133" s="117" t="s">
        <v>140</v>
      </c>
      <c r="AL133" s="36" t="s">
        <v>140</v>
      </c>
      <c r="AM133" s="36" t="s">
        <v>141</v>
      </c>
      <c r="AN133" s="36" t="s">
        <v>140</v>
      </c>
      <c r="AO133" s="36" t="s">
        <v>140</v>
      </c>
      <c r="AP133" s="36" t="s">
        <v>140</v>
      </c>
      <c r="AQ133" s="36" t="s">
        <v>141</v>
      </c>
      <c r="AR133" s="36" t="s">
        <v>140</v>
      </c>
      <c r="AS133" s="36" t="s">
        <v>140</v>
      </c>
      <c r="AT133" s="36" t="s">
        <v>140</v>
      </c>
      <c r="AU133" s="36" t="s">
        <v>140</v>
      </c>
      <c r="AV133" s="36" t="s">
        <v>140</v>
      </c>
      <c r="AW133" s="117" t="s">
        <v>140</v>
      </c>
      <c r="AX133" s="117" t="s">
        <v>141</v>
      </c>
      <c r="AY133" s="36" t="s">
        <v>140</v>
      </c>
      <c r="AZ133" s="36" t="s">
        <v>141</v>
      </c>
      <c r="BA133" s="117" t="s">
        <v>140</v>
      </c>
      <c r="BB133" s="117" t="s">
        <v>140</v>
      </c>
      <c r="BC133" s="117" t="s">
        <v>140</v>
      </c>
      <c r="BD133" s="117" t="s">
        <v>140</v>
      </c>
      <c r="BE133" s="117" t="s">
        <v>140</v>
      </c>
      <c r="BF133" s="117" t="s">
        <v>141</v>
      </c>
      <c r="BG133" s="117" t="s">
        <v>140</v>
      </c>
      <c r="BH133" s="117"/>
      <c r="BI133" s="117"/>
      <c r="BJ133" s="117"/>
      <c r="BK133" s="117"/>
      <c r="BL133" s="117"/>
      <c r="BM133" s="117">
        <f t="shared" si="22"/>
        <v>10</v>
      </c>
      <c r="BN133" s="117">
        <f t="shared" si="23"/>
        <v>2</v>
      </c>
      <c r="BO133" s="117">
        <f t="shared" si="24"/>
        <v>4</v>
      </c>
      <c r="BP133" s="153">
        <f t="shared" si="25"/>
        <v>5</v>
      </c>
      <c r="BQ133" s="74" t="s">
        <v>502</v>
      </c>
      <c r="BR133" s="74" t="s">
        <v>847</v>
      </c>
      <c r="BS133" s="74"/>
    </row>
    <row r="134" spans="1:71" hidden="1">
      <c r="A134">
        <v>120</v>
      </c>
      <c r="B134" s="75">
        <v>45721.356238425928</v>
      </c>
      <c r="C134" s="78">
        <v>0.70833333333333337</v>
      </c>
      <c r="D134" s="7">
        <v>45721</v>
      </c>
      <c r="E134" s="7">
        <v>45720</v>
      </c>
      <c r="F134">
        <v>676</v>
      </c>
      <c r="G134">
        <v>121</v>
      </c>
      <c r="H134" t="s">
        <v>848</v>
      </c>
      <c r="I134" s="10" t="s">
        <v>848</v>
      </c>
      <c r="J134" s="69">
        <v>45721</v>
      </c>
      <c r="K134" s="97">
        <f t="shared" si="21"/>
        <v>3</v>
      </c>
      <c r="L134" s="97">
        <v>134</v>
      </c>
      <c r="M134" s="7" t="s">
        <v>165</v>
      </c>
      <c r="N134" s="7" t="s">
        <v>254</v>
      </c>
      <c r="O134" s="7" t="s">
        <v>234</v>
      </c>
      <c r="P134" s="7" t="s">
        <v>849</v>
      </c>
      <c r="Q134" s="100">
        <v>2</v>
      </c>
      <c r="R134" s="7" t="s">
        <v>158</v>
      </c>
      <c r="S134" s="7" t="s">
        <v>850</v>
      </c>
      <c r="T134" t="s">
        <v>851</v>
      </c>
      <c r="U134" t="s">
        <v>852</v>
      </c>
      <c r="V134" t="s">
        <v>254</v>
      </c>
      <c r="W134" t="s">
        <v>440</v>
      </c>
      <c r="X134" s="36" t="s">
        <v>141</v>
      </c>
      <c r="Y134" s="36" t="s">
        <v>141</v>
      </c>
      <c r="Z134" s="36" t="s">
        <v>141</v>
      </c>
      <c r="AA134" s="36" t="s">
        <v>141</v>
      </c>
      <c r="AB134" s="36" t="s">
        <v>141</v>
      </c>
      <c r="AC134" s="36" t="s">
        <v>140</v>
      </c>
      <c r="AD134" s="36" t="s">
        <v>140</v>
      </c>
      <c r="AE134" s="36" t="s">
        <v>140</v>
      </c>
      <c r="AF134" s="36" t="s">
        <v>140</v>
      </c>
      <c r="AG134" s="36" t="s">
        <v>140</v>
      </c>
      <c r="AH134" s="36" t="s">
        <v>140</v>
      </c>
      <c r="AI134" s="36" t="s">
        <v>140</v>
      </c>
      <c r="AJ134" s="36" t="s">
        <v>141</v>
      </c>
      <c r="AK134" s="117" t="s">
        <v>140</v>
      </c>
      <c r="AL134" s="36" t="s">
        <v>141</v>
      </c>
      <c r="AM134" s="36" t="s">
        <v>141</v>
      </c>
      <c r="AN134" s="36" t="s">
        <v>140</v>
      </c>
      <c r="AO134" s="36" t="s">
        <v>141</v>
      </c>
      <c r="AP134" s="36" t="s">
        <v>140</v>
      </c>
      <c r="AQ134" s="36" t="s">
        <v>140</v>
      </c>
      <c r="AR134" s="36" t="s">
        <v>141</v>
      </c>
      <c r="AS134" s="36" t="s">
        <v>140</v>
      </c>
      <c r="AT134" s="36" t="s">
        <v>140</v>
      </c>
      <c r="AU134" s="36" t="s">
        <v>140</v>
      </c>
      <c r="AV134" s="36" t="s">
        <v>140</v>
      </c>
      <c r="AW134" s="117" t="s">
        <v>141</v>
      </c>
      <c r="AX134" s="117" t="s">
        <v>141</v>
      </c>
      <c r="AY134" s="36" t="s">
        <v>140</v>
      </c>
      <c r="AZ134" s="36" t="s">
        <v>141</v>
      </c>
      <c r="BA134" s="117" t="s">
        <v>140</v>
      </c>
      <c r="BB134" s="117" t="s">
        <v>140</v>
      </c>
      <c r="BC134" s="117" t="s">
        <v>140</v>
      </c>
      <c r="BD134" s="117" t="s">
        <v>140</v>
      </c>
      <c r="BE134" s="117" t="s">
        <v>140</v>
      </c>
      <c r="BF134" s="117" t="s">
        <v>141</v>
      </c>
      <c r="BG134" s="117" t="s">
        <v>140</v>
      </c>
      <c r="BH134" s="117"/>
      <c r="BI134" s="117"/>
      <c r="BJ134" s="117"/>
      <c r="BK134" s="117"/>
      <c r="BL134" s="117"/>
      <c r="BM134" s="117">
        <f t="shared" si="22"/>
        <v>14</v>
      </c>
      <c r="BN134" s="117">
        <f t="shared" si="23"/>
        <v>3</v>
      </c>
      <c r="BO134" s="117">
        <f t="shared" si="24"/>
        <v>5</v>
      </c>
      <c r="BP134" s="153">
        <f t="shared" si="25"/>
        <v>8</v>
      </c>
      <c r="BQ134" s="74" t="s">
        <v>208</v>
      </c>
      <c r="BR134" s="74" t="s">
        <v>853</v>
      </c>
      <c r="BS134" s="74"/>
    </row>
    <row r="135" spans="1:71" hidden="1">
      <c r="A135">
        <v>121</v>
      </c>
      <c r="B135" s="75">
        <v>45721.35765046296</v>
      </c>
      <c r="C135" s="78">
        <v>0.68888888888888888</v>
      </c>
      <c r="D135" s="7">
        <v>45721</v>
      </c>
      <c r="E135" s="7">
        <v>45721</v>
      </c>
      <c r="F135">
        <v>677</v>
      </c>
      <c r="G135">
        <v>99</v>
      </c>
      <c r="H135" t="s">
        <v>848</v>
      </c>
      <c r="I135" s="10" t="s">
        <v>854</v>
      </c>
      <c r="J135" s="69">
        <v>45721</v>
      </c>
      <c r="K135" s="97">
        <f t="shared" si="21"/>
        <v>3</v>
      </c>
      <c r="L135" s="97">
        <v>135</v>
      </c>
      <c r="M135" s="7" t="s">
        <v>710</v>
      </c>
      <c r="N135" s="7" t="s">
        <v>710</v>
      </c>
      <c r="O135" s="7" t="s">
        <v>710</v>
      </c>
      <c r="P135" s="7" t="s">
        <v>855</v>
      </c>
      <c r="Q135" s="100">
        <v>1</v>
      </c>
      <c r="R135" s="7" t="s">
        <v>316</v>
      </c>
      <c r="S135" s="7" t="s">
        <v>856</v>
      </c>
      <c r="T135" t="s">
        <v>857</v>
      </c>
      <c r="U135" t="s">
        <v>858</v>
      </c>
      <c r="V135" t="s">
        <v>710</v>
      </c>
      <c r="W135" t="s">
        <v>170</v>
      </c>
      <c r="X135" s="36" t="s">
        <v>141</v>
      </c>
      <c r="Y135" s="36" t="s">
        <v>141</v>
      </c>
      <c r="Z135" s="36" t="s">
        <v>141</v>
      </c>
      <c r="AA135" s="36" t="s">
        <v>141</v>
      </c>
      <c r="AB135" s="36" t="s">
        <v>141</v>
      </c>
      <c r="AC135" s="36" t="s">
        <v>140</v>
      </c>
      <c r="AD135" s="36" t="s">
        <v>140</v>
      </c>
      <c r="AE135" s="36" t="s">
        <v>140</v>
      </c>
      <c r="AF135" s="36" t="s">
        <v>140</v>
      </c>
      <c r="AG135" s="36" t="s">
        <v>140</v>
      </c>
      <c r="AH135" s="36" t="s">
        <v>140</v>
      </c>
      <c r="AI135" s="36" t="s">
        <v>140</v>
      </c>
      <c r="AJ135" s="36" t="s">
        <v>141</v>
      </c>
      <c r="AK135" s="117" t="s">
        <v>140</v>
      </c>
      <c r="AL135" s="36" t="s">
        <v>141</v>
      </c>
      <c r="AM135" s="36" t="s">
        <v>140</v>
      </c>
      <c r="AN135" s="36" t="s">
        <v>140</v>
      </c>
      <c r="AO135" s="36" t="s">
        <v>141</v>
      </c>
      <c r="AP135" s="36" t="s">
        <v>140</v>
      </c>
      <c r="AQ135" s="36" t="s">
        <v>140</v>
      </c>
      <c r="AR135" s="36" t="s">
        <v>141</v>
      </c>
      <c r="AS135" s="36" t="s">
        <v>140</v>
      </c>
      <c r="AT135" s="36" t="s">
        <v>140</v>
      </c>
      <c r="AU135" s="36" t="s">
        <v>140</v>
      </c>
      <c r="AV135" s="36" t="s">
        <v>140</v>
      </c>
      <c r="AW135" s="117" t="s">
        <v>141</v>
      </c>
      <c r="AX135" s="117" t="s">
        <v>141</v>
      </c>
      <c r="AY135" s="36" t="s">
        <v>140</v>
      </c>
      <c r="AZ135" s="36" t="s">
        <v>141</v>
      </c>
      <c r="BA135" s="117" t="s">
        <v>140</v>
      </c>
      <c r="BB135" s="117" t="s">
        <v>140</v>
      </c>
      <c r="BC135" s="117" t="s">
        <v>140</v>
      </c>
      <c r="BD135" s="117" t="s">
        <v>140</v>
      </c>
      <c r="BE135" s="117" t="s">
        <v>140</v>
      </c>
      <c r="BF135" s="117" t="s">
        <v>141</v>
      </c>
      <c r="BG135" s="117" t="s">
        <v>140</v>
      </c>
      <c r="BH135" s="117"/>
      <c r="BI135" s="117"/>
      <c r="BJ135" s="117"/>
      <c r="BK135" s="117"/>
      <c r="BL135" s="117"/>
      <c r="BM135" s="117">
        <f t="shared" si="22"/>
        <v>13</v>
      </c>
      <c r="BN135" s="117">
        <f t="shared" si="23"/>
        <v>2</v>
      </c>
      <c r="BO135" s="117">
        <f t="shared" si="24"/>
        <v>5</v>
      </c>
      <c r="BP135" s="153">
        <f t="shared" si="25"/>
        <v>7</v>
      </c>
      <c r="BQ135" s="74" t="s">
        <v>208</v>
      </c>
      <c r="BR135" s="74" t="s">
        <v>859</v>
      </c>
      <c r="BS135" s="74"/>
    </row>
    <row r="136" spans="1:71" s="122" customFormat="1" hidden="1">
      <c r="A136" s="122">
        <v>122</v>
      </c>
      <c r="B136" s="178" t="s">
        <v>57</v>
      </c>
      <c r="C136" s="179">
        <v>0.69513888888888886</v>
      </c>
      <c r="D136" s="35">
        <v>45780</v>
      </c>
      <c r="E136" s="35"/>
      <c r="F136" s="122">
        <f>(A136+1)</f>
        <v>123</v>
      </c>
      <c r="G136" s="122">
        <v>137</v>
      </c>
      <c r="H136" s="123" t="s">
        <v>842</v>
      </c>
      <c r="I136" s="123"/>
      <c r="J136" s="180" t="s">
        <v>18</v>
      </c>
      <c r="K136" s="181">
        <v>3</v>
      </c>
      <c r="L136" s="181"/>
      <c r="M136" s="35" t="s">
        <v>155</v>
      </c>
      <c r="N136" s="35" t="s">
        <v>156</v>
      </c>
      <c r="O136" s="35"/>
      <c r="P136" s="35" t="s">
        <v>843</v>
      </c>
      <c r="Q136" s="182">
        <v>2</v>
      </c>
      <c r="R136" s="35" t="s">
        <v>158</v>
      </c>
      <c r="S136" s="35" t="s">
        <v>860</v>
      </c>
      <c r="U136" s="122" t="s">
        <v>861</v>
      </c>
      <c r="V136" s="122" t="s">
        <v>162</v>
      </c>
      <c r="W136" s="122" t="s">
        <v>139</v>
      </c>
      <c r="X136" s="124" t="s">
        <v>140</v>
      </c>
      <c r="Y136" s="124" t="s">
        <v>140</v>
      </c>
      <c r="Z136" s="124" t="s">
        <v>140</v>
      </c>
      <c r="AA136" s="124" t="s">
        <v>140</v>
      </c>
      <c r="AB136" s="124" t="s">
        <v>140</v>
      </c>
      <c r="AC136" s="124" t="s">
        <v>140</v>
      </c>
      <c r="AD136" s="124" t="s">
        <v>140</v>
      </c>
      <c r="AE136" s="124"/>
      <c r="AF136" s="124" t="s">
        <v>140</v>
      </c>
      <c r="AG136" s="124" t="s">
        <v>140</v>
      </c>
      <c r="AH136" s="124" t="s">
        <v>140</v>
      </c>
      <c r="AI136" s="124" t="s">
        <v>140</v>
      </c>
      <c r="AJ136" s="124" t="s">
        <v>140</v>
      </c>
      <c r="AK136" s="125"/>
      <c r="AL136" s="124" t="s">
        <v>140</v>
      </c>
      <c r="AM136" s="124" t="s">
        <v>140</v>
      </c>
      <c r="AN136" s="124" t="s">
        <v>140</v>
      </c>
      <c r="AO136" s="124" t="s">
        <v>140</v>
      </c>
      <c r="AP136" s="124" t="s">
        <v>140</v>
      </c>
      <c r="AQ136" s="124" t="s">
        <v>140</v>
      </c>
      <c r="AR136" s="124" t="s">
        <v>140</v>
      </c>
      <c r="AS136" s="124" t="s">
        <v>140</v>
      </c>
      <c r="AT136" s="124"/>
      <c r="AU136" s="124"/>
      <c r="AV136" s="124"/>
      <c r="AW136" s="125"/>
      <c r="AX136" s="125"/>
      <c r="AY136" s="124" t="s">
        <v>140</v>
      </c>
      <c r="AZ136" s="124" t="s">
        <v>140</v>
      </c>
      <c r="BA136" s="125" t="s">
        <v>140</v>
      </c>
      <c r="BB136" s="125" t="s">
        <v>140</v>
      </c>
      <c r="BC136" s="125" t="s">
        <v>140</v>
      </c>
      <c r="BD136" s="125"/>
      <c r="BE136" s="125"/>
      <c r="BF136" s="125"/>
      <c r="BG136" s="125" t="s">
        <v>140</v>
      </c>
      <c r="BH136" s="125" t="s">
        <v>140</v>
      </c>
      <c r="BI136" s="125"/>
      <c r="BJ136" s="125"/>
      <c r="BK136" s="125"/>
      <c r="BL136" s="125"/>
      <c r="BM136" s="125">
        <f>COUNTIF($X136:$BF136, "I")</f>
        <v>0</v>
      </c>
      <c r="BN136" s="125">
        <f>COUNTIFS($X136:$BF136, "I",$X$2:$BF$2, "DR" )</f>
        <v>0</v>
      </c>
      <c r="BO136" s="125">
        <f>COUNTIFS($X136:$BF136, "I",$X$5:$BF$5, "OF" )</f>
        <v>0</v>
      </c>
      <c r="BP136" s="183">
        <f>COUNTIFS($X136:$BF136, "I",$X$5:$BF$5, "FF" )</f>
        <v>0</v>
      </c>
      <c r="BQ136" s="184"/>
      <c r="BR136" s="184" t="s">
        <v>429</v>
      </c>
      <c r="BS136" s="184"/>
    </row>
    <row r="137" spans="1:71" s="122" customFormat="1" hidden="1">
      <c r="A137" s="122">
        <v>123</v>
      </c>
      <c r="B137" s="178" t="s">
        <v>57</v>
      </c>
      <c r="C137" s="179">
        <v>0.71527777777777779</v>
      </c>
      <c r="D137" s="35">
        <v>45721</v>
      </c>
      <c r="E137" s="35"/>
      <c r="F137" s="122">
        <f>(A137+1)</f>
        <v>124</v>
      </c>
      <c r="G137" s="122">
        <v>138</v>
      </c>
      <c r="H137" s="123" t="s">
        <v>862</v>
      </c>
      <c r="I137" s="123"/>
      <c r="J137" s="180" t="s">
        <v>18</v>
      </c>
      <c r="K137" s="181">
        <v>3</v>
      </c>
      <c r="L137" s="181"/>
      <c r="M137" s="35" t="s">
        <v>155</v>
      </c>
      <c r="N137" s="35" t="s">
        <v>156</v>
      </c>
      <c r="O137" s="35"/>
      <c r="P137" s="35" t="s">
        <v>863</v>
      </c>
      <c r="Q137" s="182">
        <v>1</v>
      </c>
      <c r="R137" s="35" t="s">
        <v>316</v>
      </c>
      <c r="S137" s="35" t="s">
        <v>864</v>
      </c>
      <c r="U137" s="122" t="s">
        <v>865</v>
      </c>
      <c r="V137" s="122" t="s">
        <v>162</v>
      </c>
      <c r="W137" s="122" t="s">
        <v>170</v>
      </c>
      <c r="X137" s="124" t="s">
        <v>140</v>
      </c>
      <c r="Y137" s="124" t="s">
        <v>140</v>
      </c>
      <c r="Z137" s="124" t="s">
        <v>140</v>
      </c>
      <c r="AA137" s="124" t="s">
        <v>140</v>
      </c>
      <c r="AB137" s="124" t="s">
        <v>140</v>
      </c>
      <c r="AC137" s="124" t="s">
        <v>140</v>
      </c>
      <c r="AD137" s="124" t="s">
        <v>140</v>
      </c>
      <c r="AE137" s="124"/>
      <c r="AF137" s="124" t="s">
        <v>140</v>
      </c>
      <c r="AG137" s="124" t="s">
        <v>140</v>
      </c>
      <c r="AH137" s="124" t="s">
        <v>140</v>
      </c>
      <c r="AI137" s="124" t="s">
        <v>140</v>
      </c>
      <c r="AJ137" s="124" t="s">
        <v>140</v>
      </c>
      <c r="AK137" s="125"/>
      <c r="AL137" s="124" t="s">
        <v>140</v>
      </c>
      <c r="AM137" s="124" t="s">
        <v>140</v>
      </c>
      <c r="AN137" s="124" t="s">
        <v>140</v>
      </c>
      <c r="AO137" s="124" t="s">
        <v>140</v>
      </c>
      <c r="AP137" s="124" t="s">
        <v>140</v>
      </c>
      <c r="AQ137" s="124" t="s">
        <v>140</v>
      </c>
      <c r="AR137" s="124" t="s">
        <v>140</v>
      </c>
      <c r="AS137" s="124" t="s">
        <v>140</v>
      </c>
      <c r="AT137" s="124"/>
      <c r="AU137" s="124"/>
      <c r="AV137" s="124"/>
      <c r="AW137" s="125"/>
      <c r="AX137" s="125"/>
      <c r="AY137" s="124" t="s">
        <v>140</v>
      </c>
      <c r="AZ137" s="124" t="s">
        <v>140</v>
      </c>
      <c r="BA137" s="125" t="s">
        <v>140</v>
      </c>
      <c r="BB137" s="125" t="s">
        <v>140</v>
      </c>
      <c r="BC137" s="125" t="s">
        <v>140</v>
      </c>
      <c r="BD137" s="125"/>
      <c r="BE137" s="125"/>
      <c r="BF137" s="125"/>
      <c r="BG137" s="125" t="s">
        <v>140</v>
      </c>
      <c r="BH137" s="125" t="s">
        <v>140</v>
      </c>
      <c r="BI137" s="125"/>
      <c r="BJ137" s="125"/>
      <c r="BK137" s="125"/>
      <c r="BL137" s="125"/>
      <c r="BM137" s="125">
        <f>COUNTIF($X137:$BF137, "I")</f>
        <v>0</v>
      </c>
      <c r="BN137" s="125">
        <f>COUNTIFS($X137:$BF137, "I",$X$2:$BF$2, "DR" )</f>
        <v>0</v>
      </c>
      <c r="BO137" s="125">
        <f>COUNTIFS($X137:$BF137, "I",$X$5:$BF$5, "OF" )</f>
        <v>0</v>
      </c>
      <c r="BP137" s="183">
        <f>COUNTIFS($X137:$BF137, "I",$X$5:$BF$5, "FF" )</f>
        <v>0</v>
      </c>
      <c r="BQ137" s="184"/>
      <c r="BR137" s="184" t="s">
        <v>866</v>
      </c>
      <c r="BS137" s="184"/>
    </row>
    <row r="138" spans="1:71" hidden="1">
      <c r="A138">
        <v>124</v>
      </c>
      <c r="B138" s="75">
        <v>45721.856527777774</v>
      </c>
      <c r="C138" s="78">
        <v>0.37291666666666667</v>
      </c>
      <c r="D138" s="7">
        <v>45722</v>
      </c>
      <c r="E138" s="7">
        <v>45722</v>
      </c>
      <c r="F138">
        <v>678</v>
      </c>
      <c r="G138">
        <v>122</v>
      </c>
      <c r="H138" t="s">
        <v>867</v>
      </c>
      <c r="I138" s="10" t="s">
        <v>867</v>
      </c>
      <c r="J138" s="69">
        <v>45722</v>
      </c>
      <c r="K138" s="97">
        <f t="shared" si="21"/>
        <v>3</v>
      </c>
      <c r="L138" s="97">
        <v>136</v>
      </c>
      <c r="M138" s="7" t="s">
        <v>196</v>
      </c>
      <c r="N138" s="7" t="s">
        <v>197</v>
      </c>
      <c r="O138" s="7" t="s">
        <v>197</v>
      </c>
      <c r="Q138" s="100">
        <v>2</v>
      </c>
      <c r="R138" s="7" t="s">
        <v>868</v>
      </c>
      <c r="S138" s="7" t="s">
        <v>869</v>
      </c>
      <c r="T138" t="s">
        <v>870</v>
      </c>
      <c r="U138" t="s">
        <v>871</v>
      </c>
      <c r="V138" t="s">
        <v>200</v>
      </c>
      <c r="W138" t="s">
        <v>357</v>
      </c>
      <c r="X138" s="36" t="s">
        <v>140</v>
      </c>
      <c r="Y138" s="36" t="s">
        <v>141</v>
      </c>
      <c r="Z138" s="36" t="s">
        <v>140</v>
      </c>
      <c r="AA138" s="36" t="s">
        <v>141</v>
      </c>
      <c r="AB138" s="36" t="s">
        <v>140</v>
      </c>
      <c r="AC138" s="36" t="s">
        <v>140</v>
      </c>
      <c r="AD138" s="36" t="s">
        <v>140</v>
      </c>
      <c r="AE138" s="36" t="s">
        <v>140</v>
      </c>
      <c r="AF138" s="36" t="s">
        <v>140</v>
      </c>
      <c r="AG138" s="36" t="s">
        <v>140</v>
      </c>
      <c r="AH138" s="36" t="s">
        <v>141</v>
      </c>
      <c r="AI138" s="36" t="s">
        <v>141</v>
      </c>
      <c r="AJ138" s="36" t="s">
        <v>141</v>
      </c>
      <c r="AK138" s="117" t="s">
        <v>140</v>
      </c>
      <c r="AL138" s="36" t="s">
        <v>140</v>
      </c>
      <c r="AM138" s="36" t="s">
        <v>140</v>
      </c>
      <c r="AN138" s="36" t="s">
        <v>140</v>
      </c>
      <c r="AO138" s="36" t="s">
        <v>141</v>
      </c>
      <c r="AP138" s="36" t="s">
        <v>140</v>
      </c>
      <c r="AQ138" s="36" t="s">
        <v>141</v>
      </c>
      <c r="AR138" s="36" t="s">
        <v>140</v>
      </c>
      <c r="AS138" s="36" t="s">
        <v>140</v>
      </c>
      <c r="AT138" s="36" t="s">
        <v>140</v>
      </c>
      <c r="AU138" s="36" t="s">
        <v>140</v>
      </c>
      <c r="AV138" s="36" t="s">
        <v>140</v>
      </c>
      <c r="AW138" s="117" t="s">
        <v>141</v>
      </c>
      <c r="AX138" s="117" t="s">
        <v>140</v>
      </c>
      <c r="AY138" s="36" t="s">
        <v>140</v>
      </c>
      <c r="AZ138" s="36" t="s">
        <v>140</v>
      </c>
      <c r="BA138" s="117" t="s">
        <v>140</v>
      </c>
      <c r="BB138" s="117" t="s">
        <v>140</v>
      </c>
      <c r="BC138" s="117" t="s">
        <v>140</v>
      </c>
      <c r="BD138" s="117" t="s">
        <v>140</v>
      </c>
      <c r="BE138" s="117" t="s">
        <v>140</v>
      </c>
      <c r="BF138" s="117" t="s">
        <v>140</v>
      </c>
      <c r="BG138" s="117" t="s">
        <v>140</v>
      </c>
      <c r="BH138" s="117"/>
      <c r="BI138" s="117"/>
      <c r="BJ138" s="117"/>
      <c r="BK138" s="117"/>
      <c r="BL138" s="117"/>
      <c r="BM138" s="117">
        <f t="shared" si="22"/>
        <v>8</v>
      </c>
      <c r="BN138" s="117">
        <f t="shared" si="23"/>
        <v>1</v>
      </c>
      <c r="BO138" s="117">
        <f t="shared" si="24"/>
        <v>2</v>
      </c>
      <c r="BP138" s="153">
        <f t="shared" si="25"/>
        <v>6</v>
      </c>
      <c r="BQ138" s="74" t="s">
        <v>502</v>
      </c>
      <c r="BR138" s="74" t="s">
        <v>872</v>
      </c>
      <c r="BS138" s="74"/>
    </row>
    <row r="139" spans="1:71" hidden="1">
      <c r="A139">
        <v>125</v>
      </c>
      <c r="B139" s="75">
        <v>45722.198495370372</v>
      </c>
      <c r="C139" s="78">
        <v>0.72152777777777777</v>
      </c>
      <c r="D139" s="7">
        <v>45722</v>
      </c>
      <c r="E139" s="7">
        <v>45720</v>
      </c>
      <c r="F139">
        <v>679</v>
      </c>
      <c r="G139">
        <v>123</v>
      </c>
      <c r="H139" t="s">
        <v>873</v>
      </c>
      <c r="I139" s="10" t="s">
        <v>873</v>
      </c>
      <c r="J139" s="69">
        <v>45722</v>
      </c>
      <c r="K139" s="97">
        <f t="shared" si="21"/>
        <v>3</v>
      </c>
      <c r="L139" s="97">
        <v>137</v>
      </c>
      <c r="M139" s="7" t="s">
        <v>145</v>
      </c>
      <c r="N139" s="7" t="s">
        <v>146</v>
      </c>
      <c r="O139" s="7" t="s">
        <v>146</v>
      </c>
      <c r="Q139" s="100">
        <v>1</v>
      </c>
      <c r="R139" s="7" t="s">
        <v>135</v>
      </c>
      <c r="S139" s="7" t="s">
        <v>874</v>
      </c>
      <c r="T139" t="s">
        <v>875</v>
      </c>
      <c r="U139" t="s">
        <v>876</v>
      </c>
      <c r="V139" t="s">
        <v>146</v>
      </c>
      <c r="W139" t="s">
        <v>524</v>
      </c>
      <c r="X139" s="36" t="s">
        <v>141</v>
      </c>
      <c r="Y139" s="36" t="s">
        <v>141</v>
      </c>
      <c r="Z139" s="36" t="s">
        <v>140</v>
      </c>
      <c r="AA139" s="36" t="s">
        <v>141</v>
      </c>
      <c r="AB139" s="36" t="s">
        <v>141</v>
      </c>
      <c r="AC139" s="36" t="s">
        <v>140</v>
      </c>
      <c r="AD139" s="36" t="s">
        <v>141</v>
      </c>
      <c r="AE139" s="36" t="s">
        <v>140</v>
      </c>
      <c r="AF139" s="36" t="s">
        <v>140</v>
      </c>
      <c r="AG139" s="36" t="s">
        <v>140</v>
      </c>
      <c r="AH139" s="36" t="s">
        <v>140</v>
      </c>
      <c r="AI139" s="36" t="s">
        <v>140</v>
      </c>
      <c r="AJ139" s="36" t="s">
        <v>140</v>
      </c>
      <c r="AK139" s="117" t="s">
        <v>140</v>
      </c>
      <c r="AL139" s="36" t="s">
        <v>140</v>
      </c>
      <c r="AM139" s="36" t="s">
        <v>140</v>
      </c>
      <c r="AN139" s="36" t="s">
        <v>140</v>
      </c>
      <c r="AO139" s="36" t="s">
        <v>140</v>
      </c>
      <c r="AP139" s="36" t="s">
        <v>140</v>
      </c>
      <c r="AQ139" s="36" t="s">
        <v>140</v>
      </c>
      <c r="AR139" s="36" t="s">
        <v>140</v>
      </c>
      <c r="AS139" s="36" t="s">
        <v>140</v>
      </c>
      <c r="AT139" s="36" t="s">
        <v>141</v>
      </c>
      <c r="AU139" s="36" t="s">
        <v>140</v>
      </c>
      <c r="AV139" s="36" t="s">
        <v>140</v>
      </c>
      <c r="AW139" s="117" t="s">
        <v>141</v>
      </c>
      <c r="AX139" s="117" t="s">
        <v>140</v>
      </c>
      <c r="AY139" s="36" t="s">
        <v>141</v>
      </c>
      <c r="AZ139" s="36" t="s">
        <v>140</v>
      </c>
      <c r="BA139" s="117" t="s">
        <v>140</v>
      </c>
      <c r="BB139" s="117" t="s">
        <v>140</v>
      </c>
      <c r="BC139" s="117" t="s">
        <v>140</v>
      </c>
      <c r="BD139" s="117" t="s">
        <v>140</v>
      </c>
      <c r="BE139" s="117" t="s">
        <v>140</v>
      </c>
      <c r="BF139" s="117" t="s">
        <v>141</v>
      </c>
      <c r="BG139" s="117" t="s">
        <v>140</v>
      </c>
      <c r="BH139" s="117"/>
      <c r="BI139" s="117"/>
      <c r="BJ139" s="117"/>
      <c r="BK139" s="117"/>
      <c r="BL139" s="117"/>
      <c r="BM139" s="117">
        <f t="shared" si="22"/>
        <v>9</v>
      </c>
      <c r="BN139" s="117">
        <f t="shared" si="23"/>
        <v>0</v>
      </c>
      <c r="BO139" s="117">
        <f t="shared" si="24"/>
        <v>5</v>
      </c>
      <c r="BP139" s="153">
        <f t="shared" si="25"/>
        <v>3</v>
      </c>
      <c r="BQ139" s="74" t="s">
        <v>502</v>
      </c>
      <c r="BR139" s="74" t="s">
        <v>877</v>
      </c>
      <c r="BS139" s="74"/>
    </row>
    <row r="140" spans="1:71" hidden="1">
      <c r="A140">
        <v>126</v>
      </c>
      <c r="B140" s="75">
        <v>45722.644641203704</v>
      </c>
      <c r="C140" s="78">
        <v>0.17083333333333334</v>
      </c>
      <c r="D140" s="7">
        <v>45723</v>
      </c>
      <c r="E140" s="7">
        <v>45723</v>
      </c>
      <c r="F140">
        <v>680</v>
      </c>
      <c r="G140">
        <v>124</v>
      </c>
      <c r="H140" t="s">
        <v>878</v>
      </c>
      <c r="I140" s="10" t="s">
        <v>878</v>
      </c>
      <c r="J140" s="69">
        <v>45723</v>
      </c>
      <c r="K140" s="97">
        <f t="shared" si="21"/>
        <v>3</v>
      </c>
      <c r="L140" s="97">
        <v>138</v>
      </c>
      <c r="M140" s="7" t="s">
        <v>165</v>
      </c>
      <c r="N140" s="7" t="s">
        <v>156</v>
      </c>
      <c r="O140" s="7" t="s">
        <v>156</v>
      </c>
      <c r="P140" s="7" t="s">
        <v>879</v>
      </c>
      <c r="Q140" s="100">
        <v>2</v>
      </c>
      <c r="R140" s="7" t="s">
        <v>158</v>
      </c>
      <c r="S140" s="7" t="s">
        <v>880</v>
      </c>
      <c r="T140" t="s">
        <v>881</v>
      </c>
      <c r="U140" t="s">
        <v>882</v>
      </c>
      <c r="V140" t="s">
        <v>162</v>
      </c>
      <c r="W140" t="s">
        <v>207</v>
      </c>
      <c r="X140" s="36" t="s">
        <v>140</v>
      </c>
      <c r="Y140" s="36" t="s">
        <v>141</v>
      </c>
      <c r="Z140" s="36" t="s">
        <v>140</v>
      </c>
      <c r="AA140" s="36" t="s">
        <v>140</v>
      </c>
      <c r="AB140" s="36" t="s">
        <v>141</v>
      </c>
      <c r="AC140" s="36" t="s">
        <v>140</v>
      </c>
      <c r="AD140" s="36" t="s">
        <v>140</v>
      </c>
      <c r="AE140" s="36" t="s">
        <v>140</v>
      </c>
      <c r="AF140" s="36" t="s">
        <v>140</v>
      </c>
      <c r="AG140" s="36" t="s">
        <v>140</v>
      </c>
      <c r="AH140" s="36" t="s">
        <v>141</v>
      </c>
      <c r="AI140" s="36" t="s">
        <v>141</v>
      </c>
      <c r="AJ140" s="36" t="s">
        <v>140</v>
      </c>
      <c r="AK140" s="117" t="s">
        <v>141</v>
      </c>
      <c r="AL140" s="36" t="s">
        <v>140</v>
      </c>
      <c r="AM140" s="36" t="s">
        <v>140</v>
      </c>
      <c r="AN140" s="36" t="s">
        <v>140</v>
      </c>
      <c r="AO140" s="36" t="s">
        <v>140</v>
      </c>
      <c r="AP140" s="36" t="s">
        <v>140</v>
      </c>
      <c r="AQ140" s="36" t="s">
        <v>140</v>
      </c>
      <c r="AR140" s="36" t="s">
        <v>141</v>
      </c>
      <c r="AS140" s="36" t="s">
        <v>140</v>
      </c>
      <c r="AT140" s="36" t="s">
        <v>141</v>
      </c>
      <c r="AU140" s="36" t="s">
        <v>140</v>
      </c>
      <c r="AV140" s="36" t="s">
        <v>140</v>
      </c>
      <c r="AW140" s="117" t="s">
        <v>141</v>
      </c>
      <c r="AX140" s="117" t="s">
        <v>140</v>
      </c>
      <c r="AY140" s="36" t="s">
        <v>140</v>
      </c>
      <c r="AZ140" s="36" t="s">
        <v>140</v>
      </c>
      <c r="BA140" s="117" t="s">
        <v>140</v>
      </c>
      <c r="BB140" s="117" t="s">
        <v>140</v>
      </c>
      <c r="BC140" s="117" t="s">
        <v>140</v>
      </c>
      <c r="BD140" s="117" t="s">
        <v>140</v>
      </c>
      <c r="BE140" s="117" t="s">
        <v>140</v>
      </c>
      <c r="BF140" s="117" t="s">
        <v>140</v>
      </c>
      <c r="BG140" s="117" t="s">
        <v>140</v>
      </c>
      <c r="BH140" s="117"/>
      <c r="BI140" s="117"/>
      <c r="BJ140" s="117"/>
      <c r="BK140" s="117"/>
      <c r="BL140" s="117"/>
      <c r="BM140" s="117">
        <f t="shared" si="22"/>
        <v>8</v>
      </c>
      <c r="BN140" s="117">
        <f t="shared" si="23"/>
        <v>2</v>
      </c>
      <c r="BO140" s="117">
        <f t="shared" si="24"/>
        <v>2</v>
      </c>
      <c r="BP140" s="153">
        <f t="shared" si="25"/>
        <v>6</v>
      </c>
      <c r="BQ140" s="74" t="s">
        <v>883</v>
      </c>
      <c r="BR140" s="74" t="s">
        <v>884</v>
      </c>
      <c r="BS140" s="74"/>
    </row>
    <row r="141" spans="1:71" hidden="1">
      <c r="A141">
        <v>127</v>
      </c>
      <c r="B141" s="75">
        <v>45723.067569444444</v>
      </c>
      <c r="C141" s="78">
        <v>0.56527777777777777</v>
      </c>
      <c r="D141" s="7">
        <v>45723</v>
      </c>
      <c r="E141" s="7">
        <v>45723</v>
      </c>
      <c r="F141">
        <v>681</v>
      </c>
      <c r="G141">
        <v>125</v>
      </c>
      <c r="H141" t="s">
        <v>885</v>
      </c>
      <c r="I141" s="10" t="s">
        <v>885</v>
      </c>
      <c r="J141" s="69">
        <v>45723</v>
      </c>
      <c r="K141" s="97">
        <f t="shared" ref="K141:K150" si="26">MONTH($J141)</f>
        <v>3</v>
      </c>
      <c r="L141" s="97">
        <v>139</v>
      </c>
      <c r="M141" s="7" t="s">
        <v>145</v>
      </c>
      <c r="N141" s="7" t="s">
        <v>146</v>
      </c>
      <c r="O141" s="7" t="s">
        <v>146</v>
      </c>
      <c r="Q141" s="100">
        <v>1</v>
      </c>
      <c r="R141" s="7" t="s">
        <v>135</v>
      </c>
      <c r="S141" s="7" t="s">
        <v>886</v>
      </c>
      <c r="T141" t="s">
        <v>887</v>
      </c>
      <c r="U141" t="s">
        <v>888</v>
      </c>
      <c r="V141" t="s">
        <v>146</v>
      </c>
      <c r="W141" t="s">
        <v>889</v>
      </c>
      <c r="X141" s="36" t="s">
        <v>141</v>
      </c>
      <c r="Y141" s="36" t="s">
        <v>141</v>
      </c>
      <c r="Z141" s="36" t="s">
        <v>140</v>
      </c>
      <c r="AA141" s="36" t="s">
        <v>140</v>
      </c>
      <c r="AB141" s="36" t="s">
        <v>140</v>
      </c>
      <c r="AC141" s="36" t="s">
        <v>140</v>
      </c>
      <c r="AD141" s="36" t="s">
        <v>141</v>
      </c>
      <c r="AE141" s="36" t="s">
        <v>140</v>
      </c>
      <c r="AF141" s="36" t="s">
        <v>140</v>
      </c>
      <c r="AG141" s="36" t="s">
        <v>140</v>
      </c>
      <c r="AH141" s="36" t="s">
        <v>141</v>
      </c>
      <c r="AI141" s="36" t="s">
        <v>140</v>
      </c>
      <c r="AJ141" s="36" t="s">
        <v>141</v>
      </c>
      <c r="AK141" s="117" t="s">
        <v>140</v>
      </c>
      <c r="AL141" s="36" t="s">
        <v>140</v>
      </c>
      <c r="AM141" s="36" t="s">
        <v>141</v>
      </c>
      <c r="AN141" s="36" t="s">
        <v>140</v>
      </c>
      <c r="AO141" s="36" t="s">
        <v>140</v>
      </c>
      <c r="AP141" s="36" t="s">
        <v>140</v>
      </c>
      <c r="AQ141" s="36" t="s">
        <v>141</v>
      </c>
      <c r="AR141" s="36" t="s">
        <v>140</v>
      </c>
      <c r="AS141" s="36" t="s">
        <v>140</v>
      </c>
      <c r="AT141" s="36" t="s">
        <v>140</v>
      </c>
      <c r="AU141" s="36" t="s">
        <v>140</v>
      </c>
      <c r="AV141" s="36" t="s">
        <v>140</v>
      </c>
      <c r="AW141" s="117" t="s">
        <v>141</v>
      </c>
      <c r="AX141" s="117" t="s">
        <v>140</v>
      </c>
      <c r="AY141" s="36" t="s">
        <v>140</v>
      </c>
      <c r="AZ141" s="36" t="s">
        <v>140</v>
      </c>
      <c r="BA141" s="117" t="s">
        <v>140</v>
      </c>
      <c r="BB141" s="117" t="s">
        <v>140</v>
      </c>
      <c r="BC141" s="117" t="s">
        <v>140</v>
      </c>
      <c r="BD141" s="117" t="s">
        <v>140</v>
      </c>
      <c r="BE141" s="117" t="s">
        <v>140</v>
      </c>
      <c r="BF141" s="117" t="s">
        <v>140</v>
      </c>
      <c r="BG141" s="117" t="s">
        <v>140</v>
      </c>
      <c r="BH141" s="117"/>
      <c r="BI141" s="117"/>
      <c r="BJ141" s="117"/>
      <c r="BK141" s="117"/>
      <c r="BL141" s="117"/>
      <c r="BM141" s="117">
        <f t="shared" si="22"/>
        <v>8</v>
      </c>
      <c r="BN141" s="117">
        <f t="shared" si="23"/>
        <v>2</v>
      </c>
      <c r="BO141" s="117">
        <f t="shared" si="24"/>
        <v>3</v>
      </c>
      <c r="BP141" s="153">
        <f t="shared" si="25"/>
        <v>5</v>
      </c>
      <c r="BQ141" s="74" t="s">
        <v>240</v>
      </c>
      <c r="BR141" s="74" t="s">
        <v>890</v>
      </c>
      <c r="BS141" s="74"/>
    </row>
    <row r="142" spans="1:71" hidden="1">
      <c r="A142">
        <v>128</v>
      </c>
      <c r="B142" s="75">
        <v>45723.888831018521</v>
      </c>
      <c r="C142" s="78">
        <v>0.3888888888888889</v>
      </c>
      <c r="D142" s="7">
        <v>45724</v>
      </c>
      <c r="E142" s="7">
        <v>45723</v>
      </c>
      <c r="F142">
        <v>682</v>
      </c>
      <c r="G142">
        <v>126</v>
      </c>
      <c r="H142" t="s">
        <v>891</v>
      </c>
      <c r="I142" s="10" t="s">
        <v>891</v>
      </c>
      <c r="J142" s="69">
        <v>45724</v>
      </c>
      <c r="K142" s="97">
        <f t="shared" si="26"/>
        <v>3</v>
      </c>
      <c r="L142" s="97">
        <v>140</v>
      </c>
      <c r="M142" s="7" t="s">
        <v>181</v>
      </c>
      <c r="N142" s="7" t="s">
        <v>254</v>
      </c>
      <c r="O142" s="7" t="s">
        <v>254</v>
      </c>
      <c r="Q142" s="100">
        <v>1</v>
      </c>
      <c r="R142" s="7" t="s">
        <v>135</v>
      </c>
      <c r="S142" s="7" t="s">
        <v>892</v>
      </c>
      <c r="T142" t="s">
        <v>255</v>
      </c>
      <c r="U142" t="s">
        <v>893</v>
      </c>
      <c r="V142" t="s">
        <v>254</v>
      </c>
      <c r="W142" t="s">
        <v>357</v>
      </c>
      <c r="X142" s="36" t="s">
        <v>141</v>
      </c>
      <c r="Y142" s="36" t="s">
        <v>141</v>
      </c>
      <c r="Z142" s="36" t="s">
        <v>140</v>
      </c>
      <c r="AA142" s="36" t="s">
        <v>140</v>
      </c>
      <c r="AB142" s="36" t="s">
        <v>141</v>
      </c>
      <c r="AC142" s="36" t="s">
        <v>140</v>
      </c>
      <c r="AD142" s="36" t="s">
        <v>141</v>
      </c>
      <c r="AE142" s="36" t="s">
        <v>140</v>
      </c>
      <c r="AF142" s="36" t="s">
        <v>141</v>
      </c>
      <c r="AG142" s="36" t="s">
        <v>140</v>
      </c>
      <c r="AH142" s="36" t="s">
        <v>141</v>
      </c>
      <c r="AI142" s="36" t="s">
        <v>140</v>
      </c>
      <c r="AJ142" s="36" t="s">
        <v>141</v>
      </c>
      <c r="AK142" s="117" t="s">
        <v>140</v>
      </c>
      <c r="AL142" s="36" t="s">
        <v>141</v>
      </c>
      <c r="AM142" s="36" t="s">
        <v>141</v>
      </c>
      <c r="AN142" s="36" t="s">
        <v>141</v>
      </c>
      <c r="AO142" s="36" t="s">
        <v>140</v>
      </c>
      <c r="AP142" s="36" t="s">
        <v>141</v>
      </c>
      <c r="AQ142" s="36" t="s">
        <v>141</v>
      </c>
      <c r="AR142" s="36" t="s">
        <v>140</v>
      </c>
      <c r="AS142" s="36" t="s">
        <v>140</v>
      </c>
      <c r="AT142" s="36" t="s">
        <v>141</v>
      </c>
      <c r="AU142" s="36" t="s">
        <v>141</v>
      </c>
      <c r="AV142" s="36" t="s">
        <v>140</v>
      </c>
      <c r="AW142" s="117" t="s">
        <v>141</v>
      </c>
      <c r="AX142" s="117" t="s">
        <v>141</v>
      </c>
      <c r="AY142" s="36" t="s">
        <v>141</v>
      </c>
      <c r="AZ142" s="36" t="s">
        <v>140</v>
      </c>
      <c r="BA142" s="117" t="s">
        <v>140</v>
      </c>
      <c r="BB142" s="117" t="s">
        <v>140</v>
      </c>
      <c r="BC142" s="117" t="s">
        <v>140</v>
      </c>
      <c r="BD142" s="117" t="s">
        <v>141</v>
      </c>
      <c r="BE142" s="117" t="s">
        <v>140</v>
      </c>
      <c r="BF142" s="117" t="s">
        <v>141</v>
      </c>
      <c r="BG142" s="117" t="s">
        <v>141</v>
      </c>
      <c r="BH142" s="117"/>
      <c r="BI142" s="117"/>
      <c r="BJ142" s="117"/>
      <c r="BK142" s="117"/>
      <c r="BL142" s="117"/>
      <c r="BM142" s="117">
        <f t="shared" si="22"/>
        <v>19</v>
      </c>
      <c r="BN142" s="117">
        <f t="shared" si="23"/>
        <v>3</v>
      </c>
      <c r="BO142" s="117">
        <f t="shared" si="24"/>
        <v>4</v>
      </c>
      <c r="BP142" s="153">
        <f t="shared" si="25"/>
        <v>13</v>
      </c>
      <c r="BQ142" s="74" t="s">
        <v>308</v>
      </c>
      <c r="BR142" s="74" t="s">
        <v>391</v>
      </c>
      <c r="BS142" s="74"/>
    </row>
    <row r="143" spans="1:71" hidden="1">
      <c r="A143">
        <v>129</v>
      </c>
      <c r="B143" s="75">
        <v>45723.924895833334</v>
      </c>
      <c r="C143" s="78">
        <v>0.44444444444444442</v>
      </c>
      <c r="D143" s="7">
        <v>45724</v>
      </c>
      <c r="E143" s="7">
        <v>45724</v>
      </c>
      <c r="F143">
        <v>683</v>
      </c>
      <c r="G143">
        <v>127</v>
      </c>
      <c r="H143" t="s">
        <v>894</v>
      </c>
      <c r="I143" s="10" t="s">
        <v>894</v>
      </c>
      <c r="J143" s="69">
        <v>45724</v>
      </c>
      <c r="K143" s="97">
        <f t="shared" si="26"/>
        <v>3</v>
      </c>
      <c r="L143" s="97">
        <v>141</v>
      </c>
      <c r="M143" s="7" t="s">
        <v>764</v>
      </c>
      <c r="N143" s="7" t="s">
        <v>765</v>
      </c>
      <c r="O143" s="7" t="s">
        <v>895</v>
      </c>
      <c r="Q143" s="100">
        <v>1</v>
      </c>
      <c r="R143" s="7" t="s">
        <v>316</v>
      </c>
      <c r="S143" s="7" t="s">
        <v>896</v>
      </c>
      <c r="T143" t="s">
        <v>897</v>
      </c>
      <c r="U143" t="s">
        <v>898</v>
      </c>
      <c r="V143" t="s">
        <v>770</v>
      </c>
      <c r="W143" t="s">
        <v>239</v>
      </c>
      <c r="X143" s="36" t="s">
        <v>141</v>
      </c>
      <c r="Y143" s="36" t="s">
        <v>141</v>
      </c>
      <c r="Z143" s="36" t="s">
        <v>140</v>
      </c>
      <c r="AA143" s="36" t="s">
        <v>140</v>
      </c>
      <c r="AB143" s="36" t="s">
        <v>141</v>
      </c>
      <c r="AC143" s="36" t="s">
        <v>140</v>
      </c>
      <c r="AD143" s="36" t="s">
        <v>141</v>
      </c>
      <c r="AE143" s="36" t="s">
        <v>140</v>
      </c>
      <c r="AF143" s="36" t="s">
        <v>141</v>
      </c>
      <c r="AG143" s="36" t="s">
        <v>140</v>
      </c>
      <c r="AH143" s="36" t="s">
        <v>141</v>
      </c>
      <c r="AI143" s="36" t="s">
        <v>141</v>
      </c>
      <c r="AJ143" s="36" t="s">
        <v>141</v>
      </c>
      <c r="AK143" s="117" t="s">
        <v>140</v>
      </c>
      <c r="AL143" s="36" t="s">
        <v>141</v>
      </c>
      <c r="AM143" s="36" t="s">
        <v>141</v>
      </c>
      <c r="AN143" s="36" t="s">
        <v>141</v>
      </c>
      <c r="AO143" s="36" t="s">
        <v>140</v>
      </c>
      <c r="AP143" s="36" t="s">
        <v>141</v>
      </c>
      <c r="AQ143" s="36" t="s">
        <v>141</v>
      </c>
      <c r="AR143" s="36" t="s">
        <v>140</v>
      </c>
      <c r="AS143" s="36" t="s">
        <v>140</v>
      </c>
      <c r="AT143" s="36" t="s">
        <v>141</v>
      </c>
      <c r="AU143" s="36" t="s">
        <v>141</v>
      </c>
      <c r="AV143" s="36" t="s">
        <v>140</v>
      </c>
      <c r="AW143" s="117" t="s">
        <v>141</v>
      </c>
      <c r="AX143" s="117" t="s">
        <v>141</v>
      </c>
      <c r="AY143" s="36" t="s">
        <v>141</v>
      </c>
      <c r="AZ143" s="36" t="s">
        <v>140</v>
      </c>
      <c r="BA143" s="117" t="s">
        <v>141</v>
      </c>
      <c r="BB143" s="117" t="s">
        <v>140</v>
      </c>
      <c r="BC143" s="117" t="s">
        <v>140</v>
      </c>
      <c r="BD143" s="117" t="s">
        <v>141</v>
      </c>
      <c r="BE143" s="117" t="s">
        <v>140</v>
      </c>
      <c r="BF143" s="117" t="s">
        <v>141</v>
      </c>
      <c r="BG143" s="117" t="s">
        <v>140</v>
      </c>
      <c r="BH143" s="117"/>
      <c r="BI143" s="117"/>
      <c r="BJ143" s="117"/>
      <c r="BK143" s="117"/>
      <c r="BL143" s="117"/>
      <c r="BM143" s="117">
        <f t="shared" si="22"/>
        <v>21</v>
      </c>
      <c r="BN143" s="117">
        <f t="shared" si="23"/>
        <v>3</v>
      </c>
      <c r="BO143" s="117">
        <f t="shared" si="24"/>
        <v>4</v>
      </c>
      <c r="BP143" s="153">
        <f t="shared" si="25"/>
        <v>15</v>
      </c>
      <c r="BQ143" s="74" t="s">
        <v>208</v>
      </c>
      <c r="BR143" s="74" t="s">
        <v>899</v>
      </c>
      <c r="BS143" s="74"/>
    </row>
    <row r="144" spans="1:71" hidden="1">
      <c r="A144">
        <v>130</v>
      </c>
      <c r="B144" s="75">
        <v>45723.985856481479</v>
      </c>
      <c r="C144" s="78">
        <v>0.49791666666666667</v>
      </c>
      <c r="D144" s="7">
        <v>45724</v>
      </c>
      <c r="E144" s="7">
        <v>45724</v>
      </c>
      <c r="F144">
        <v>684</v>
      </c>
      <c r="G144">
        <v>128</v>
      </c>
      <c r="H144" t="s">
        <v>900</v>
      </c>
      <c r="I144" s="10" t="s">
        <v>900</v>
      </c>
      <c r="J144" s="69">
        <v>45724</v>
      </c>
      <c r="K144" s="97">
        <f t="shared" si="26"/>
        <v>3</v>
      </c>
      <c r="L144" s="97">
        <v>142</v>
      </c>
      <c r="M144" s="7" t="s">
        <v>197</v>
      </c>
      <c r="N144" s="7" t="s">
        <v>197</v>
      </c>
      <c r="O144" s="7" t="s">
        <v>197</v>
      </c>
      <c r="Q144" s="100">
        <v>1</v>
      </c>
      <c r="R144" s="7" t="s">
        <v>316</v>
      </c>
      <c r="S144" s="7" t="s">
        <v>901</v>
      </c>
      <c r="T144" t="s">
        <v>902</v>
      </c>
      <c r="U144" t="s">
        <v>903</v>
      </c>
      <c r="V144" t="s">
        <v>200</v>
      </c>
      <c r="W144" t="s">
        <v>800</v>
      </c>
      <c r="X144" s="36" t="s">
        <v>141</v>
      </c>
      <c r="Y144" s="36" t="s">
        <v>141</v>
      </c>
      <c r="Z144" s="36" t="s">
        <v>140</v>
      </c>
      <c r="AA144" s="36" t="s">
        <v>140</v>
      </c>
      <c r="AB144" s="36" t="s">
        <v>141</v>
      </c>
      <c r="AC144" s="36" t="s">
        <v>140</v>
      </c>
      <c r="AD144" s="36" t="s">
        <v>141</v>
      </c>
      <c r="AE144" s="36" t="s">
        <v>140</v>
      </c>
      <c r="AF144" s="36" t="s">
        <v>141</v>
      </c>
      <c r="AG144" s="36" t="s">
        <v>140</v>
      </c>
      <c r="AH144" s="36" t="s">
        <v>140</v>
      </c>
      <c r="AI144" s="36" t="s">
        <v>141</v>
      </c>
      <c r="AJ144" s="36" t="s">
        <v>140</v>
      </c>
      <c r="AK144" s="117" t="s">
        <v>140</v>
      </c>
      <c r="AL144" s="36" t="s">
        <v>141</v>
      </c>
      <c r="AM144" s="36" t="s">
        <v>141</v>
      </c>
      <c r="AN144" s="36" t="s">
        <v>140</v>
      </c>
      <c r="AO144" s="36" t="s">
        <v>141</v>
      </c>
      <c r="AP144" s="36" t="s">
        <v>141</v>
      </c>
      <c r="AQ144" s="36" t="s">
        <v>141</v>
      </c>
      <c r="AR144" s="36" t="s">
        <v>140</v>
      </c>
      <c r="AS144" s="36" t="s">
        <v>140</v>
      </c>
      <c r="AT144" s="36" t="s">
        <v>141</v>
      </c>
      <c r="AU144" s="36" t="s">
        <v>141</v>
      </c>
      <c r="AV144" s="36" t="s">
        <v>140</v>
      </c>
      <c r="AW144" s="117" t="s">
        <v>141</v>
      </c>
      <c r="AX144" s="117" t="s">
        <v>141</v>
      </c>
      <c r="AY144" s="36" t="s">
        <v>141</v>
      </c>
      <c r="AZ144" s="36" t="s">
        <v>140</v>
      </c>
      <c r="BA144" s="117" t="s">
        <v>140</v>
      </c>
      <c r="BB144" s="117" t="s">
        <v>140</v>
      </c>
      <c r="BC144" s="117" t="s">
        <v>141</v>
      </c>
      <c r="BD144" s="117" t="s">
        <v>141</v>
      </c>
      <c r="BE144" s="117" t="s">
        <v>141</v>
      </c>
      <c r="BF144" s="117" t="s">
        <v>141</v>
      </c>
      <c r="BG144" s="117" t="s">
        <v>140</v>
      </c>
      <c r="BH144" s="117"/>
      <c r="BI144" s="117"/>
      <c r="BJ144" s="117"/>
      <c r="BK144" s="117"/>
      <c r="BL144" s="117"/>
      <c r="BM144" s="117">
        <f t="shared" si="22"/>
        <v>20</v>
      </c>
      <c r="BN144" s="117">
        <f t="shared" si="23"/>
        <v>1</v>
      </c>
      <c r="BO144" s="117">
        <f t="shared" si="24"/>
        <v>4</v>
      </c>
      <c r="BP144" s="153">
        <f t="shared" si="25"/>
        <v>13</v>
      </c>
      <c r="BQ144" s="74" t="s">
        <v>701</v>
      </c>
      <c r="BR144" s="74" t="s">
        <v>904</v>
      </c>
      <c r="BS144" s="74"/>
    </row>
    <row r="145" spans="1:71" hidden="1">
      <c r="A145">
        <v>131</v>
      </c>
      <c r="B145" s="75">
        <v>45725.164444444446</v>
      </c>
      <c r="C145" s="78">
        <v>0.58402777777777781</v>
      </c>
      <c r="D145" s="7">
        <v>45725</v>
      </c>
      <c r="E145" s="7">
        <v>45725</v>
      </c>
      <c r="F145">
        <v>685</v>
      </c>
      <c r="G145">
        <v>129</v>
      </c>
      <c r="H145" t="s">
        <v>905</v>
      </c>
      <c r="I145" s="10" t="s">
        <v>905</v>
      </c>
      <c r="J145" s="69">
        <v>45725</v>
      </c>
      <c r="K145" s="97">
        <f t="shared" si="26"/>
        <v>3</v>
      </c>
      <c r="L145" s="97">
        <v>143</v>
      </c>
      <c r="M145" s="7" t="s">
        <v>145</v>
      </c>
      <c r="N145" s="7" t="s">
        <v>146</v>
      </c>
      <c r="O145" s="7" t="s">
        <v>146</v>
      </c>
      <c r="Q145" s="100">
        <v>2</v>
      </c>
      <c r="R145" s="7" t="s">
        <v>158</v>
      </c>
      <c r="S145" s="7" t="s">
        <v>906</v>
      </c>
      <c r="T145" t="s">
        <v>907</v>
      </c>
      <c r="U145" t="s">
        <v>908</v>
      </c>
      <c r="V145" t="s">
        <v>146</v>
      </c>
      <c r="W145" t="s">
        <v>524</v>
      </c>
      <c r="X145" s="36" t="s">
        <v>141</v>
      </c>
      <c r="Y145" s="36" t="s">
        <v>141</v>
      </c>
      <c r="Z145" s="36" t="s">
        <v>141</v>
      </c>
      <c r="AA145" s="36" t="s">
        <v>140</v>
      </c>
      <c r="AB145" s="36" t="s">
        <v>140</v>
      </c>
      <c r="AC145" s="36" t="s">
        <v>140</v>
      </c>
      <c r="AD145" s="36" t="s">
        <v>141</v>
      </c>
      <c r="AE145" s="36" t="s">
        <v>140</v>
      </c>
      <c r="AF145" s="36" t="s">
        <v>140</v>
      </c>
      <c r="AG145" s="36" t="s">
        <v>141</v>
      </c>
      <c r="AH145" s="36" t="s">
        <v>140</v>
      </c>
      <c r="AI145" s="36" t="s">
        <v>140</v>
      </c>
      <c r="AJ145" s="36" t="s">
        <v>141</v>
      </c>
      <c r="AK145" s="117" t="s">
        <v>141</v>
      </c>
      <c r="AL145" s="36" t="s">
        <v>141</v>
      </c>
      <c r="AM145" s="36" t="s">
        <v>141</v>
      </c>
      <c r="AN145" s="36" t="s">
        <v>141</v>
      </c>
      <c r="AO145" s="36" t="s">
        <v>140</v>
      </c>
      <c r="AP145" s="36" t="s">
        <v>140</v>
      </c>
      <c r="AQ145" s="36" t="s">
        <v>141</v>
      </c>
      <c r="AR145" s="36" t="s">
        <v>140</v>
      </c>
      <c r="AS145" s="36" t="s">
        <v>140</v>
      </c>
      <c r="AT145" s="36" t="s">
        <v>140</v>
      </c>
      <c r="AU145" s="36" t="s">
        <v>141</v>
      </c>
      <c r="AV145" s="36" t="s">
        <v>140</v>
      </c>
      <c r="AW145" s="117" t="s">
        <v>140</v>
      </c>
      <c r="AX145" s="117" t="s">
        <v>140</v>
      </c>
      <c r="AY145" s="36" t="s">
        <v>141</v>
      </c>
      <c r="AZ145" s="36" t="s">
        <v>140</v>
      </c>
      <c r="BA145" s="117" t="s">
        <v>140</v>
      </c>
      <c r="BB145" s="117" t="s">
        <v>140</v>
      </c>
      <c r="BC145" s="117" t="s">
        <v>140</v>
      </c>
      <c r="BD145" s="117" t="s">
        <v>140</v>
      </c>
      <c r="BE145" s="117" t="s">
        <v>140</v>
      </c>
      <c r="BF145" s="117" t="s">
        <v>140</v>
      </c>
      <c r="BG145" s="117" t="s">
        <v>140</v>
      </c>
      <c r="BH145" s="117"/>
      <c r="BI145" s="117"/>
      <c r="BJ145" s="117"/>
      <c r="BK145" s="117"/>
      <c r="BL145" s="117"/>
      <c r="BM145" s="117">
        <f t="shared" si="22"/>
        <v>13</v>
      </c>
      <c r="BN145" s="117">
        <f t="shared" si="23"/>
        <v>5</v>
      </c>
      <c r="BO145" s="117">
        <f t="shared" si="24"/>
        <v>4</v>
      </c>
      <c r="BP145" s="153">
        <f t="shared" si="25"/>
        <v>9</v>
      </c>
      <c r="BQ145" s="74" t="s">
        <v>627</v>
      </c>
      <c r="BR145" s="74" t="s">
        <v>909</v>
      </c>
      <c r="BS145" s="74"/>
    </row>
    <row r="146" spans="1:71" hidden="1">
      <c r="A146">
        <v>132</v>
      </c>
      <c r="B146" s="75">
        <v>45725.47247685185</v>
      </c>
      <c r="C146" s="78">
        <v>4.8611111111111112E-3</v>
      </c>
      <c r="D146" s="7">
        <v>45726</v>
      </c>
      <c r="E146" s="7">
        <v>45726</v>
      </c>
      <c r="F146">
        <v>686</v>
      </c>
      <c r="G146">
        <v>130</v>
      </c>
      <c r="H146" t="s">
        <v>910</v>
      </c>
      <c r="I146" s="10" t="s">
        <v>910</v>
      </c>
      <c r="J146" s="69">
        <v>45726</v>
      </c>
      <c r="K146" s="97">
        <f t="shared" si="26"/>
        <v>3</v>
      </c>
      <c r="L146" s="97">
        <v>144</v>
      </c>
      <c r="M146" s="7" t="s">
        <v>181</v>
      </c>
      <c r="N146" s="7" t="s">
        <v>134</v>
      </c>
      <c r="O146" s="7" t="s">
        <v>134</v>
      </c>
      <c r="Q146" s="100">
        <v>1</v>
      </c>
      <c r="R146" s="7" t="s">
        <v>135</v>
      </c>
      <c r="S146" s="7" t="s">
        <v>911</v>
      </c>
      <c r="T146" t="s">
        <v>912</v>
      </c>
      <c r="U146" t="s">
        <v>913</v>
      </c>
      <c r="V146" t="s">
        <v>194</v>
      </c>
      <c r="W146" t="s">
        <v>914</v>
      </c>
      <c r="X146" s="36" t="s">
        <v>141</v>
      </c>
      <c r="Y146" s="36" t="s">
        <v>140</v>
      </c>
      <c r="Z146" s="36" t="s">
        <v>140</v>
      </c>
      <c r="AA146" s="36" t="s">
        <v>140</v>
      </c>
      <c r="AB146" s="36" t="s">
        <v>140</v>
      </c>
      <c r="AC146" s="36" t="s">
        <v>140</v>
      </c>
      <c r="AD146" s="36" t="s">
        <v>140</v>
      </c>
      <c r="AE146" s="36" t="s">
        <v>140</v>
      </c>
      <c r="AF146" s="36" t="s">
        <v>140</v>
      </c>
      <c r="AG146" s="36" t="s">
        <v>140</v>
      </c>
      <c r="AH146" s="36" t="s">
        <v>141</v>
      </c>
      <c r="AI146" s="36" t="s">
        <v>140</v>
      </c>
      <c r="AJ146" s="36" t="s">
        <v>140</v>
      </c>
      <c r="AK146" s="117" t="s">
        <v>140</v>
      </c>
      <c r="AL146" s="36" t="s">
        <v>140</v>
      </c>
      <c r="AM146" s="36" t="s">
        <v>140</v>
      </c>
      <c r="AN146" s="36" t="s">
        <v>141</v>
      </c>
      <c r="AO146" s="36" t="s">
        <v>141</v>
      </c>
      <c r="AP146" s="36" t="s">
        <v>140</v>
      </c>
      <c r="AQ146" s="36" t="s">
        <v>141</v>
      </c>
      <c r="AR146" s="36" t="s">
        <v>140</v>
      </c>
      <c r="AS146" s="36" t="s">
        <v>140</v>
      </c>
      <c r="AT146" s="36" t="s">
        <v>140</v>
      </c>
      <c r="AU146" s="36" t="s">
        <v>140</v>
      </c>
      <c r="AV146" s="36" t="s">
        <v>140</v>
      </c>
      <c r="AW146" s="117" t="s">
        <v>141</v>
      </c>
      <c r="AX146" s="117" t="s">
        <v>140</v>
      </c>
      <c r="AY146" s="36" t="s">
        <v>140</v>
      </c>
      <c r="AZ146" s="36" t="s">
        <v>140</v>
      </c>
      <c r="BA146" s="117" t="s">
        <v>141</v>
      </c>
      <c r="BB146" s="117" t="s">
        <v>140</v>
      </c>
      <c r="BC146" s="117" t="s">
        <v>140</v>
      </c>
      <c r="BD146" s="117" t="s">
        <v>140</v>
      </c>
      <c r="BE146" s="117" t="s">
        <v>140</v>
      </c>
      <c r="BF146" s="117" t="s">
        <v>141</v>
      </c>
      <c r="BG146" s="117" t="s">
        <v>140</v>
      </c>
      <c r="BH146" s="117"/>
      <c r="BI146" s="117"/>
      <c r="BJ146" s="117"/>
      <c r="BK146" s="117"/>
      <c r="BL146" s="117"/>
      <c r="BM146" s="117">
        <f t="shared" si="22"/>
        <v>8</v>
      </c>
      <c r="BN146" s="117">
        <f t="shared" si="23"/>
        <v>1</v>
      </c>
      <c r="BO146" s="117">
        <f t="shared" si="24"/>
        <v>1</v>
      </c>
      <c r="BP146" s="153">
        <f t="shared" si="25"/>
        <v>6</v>
      </c>
      <c r="BQ146" s="74" t="s">
        <v>915</v>
      </c>
      <c r="BR146" s="74" t="s">
        <v>916</v>
      </c>
      <c r="BS146" s="74"/>
    </row>
    <row r="147" spans="1:71" hidden="1">
      <c r="A147">
        <v>133</v>
      </c>
      <c r="B147" s="75">
        <v>45725.510416666664</v>
      </c>
      <c r="C147" s="78">
        <v>4.2361111111111113E-2</v>
      </c>
      <c r="D147" s="7">
        <v>45726</v>
      </c>
      <c r="E147" s="7">
        <v>45726</v>
      </c>
      <c r="F147">
        <v>687</v>
      </c>
      <c r="G147">
        <v>131</v>
      </c>
      <c r="H147" t="s">
        <v>917</v>
      </c>
      <c r="I147" s="10" t="s">
        <v>917</v>
      </c>
      <c r="J147" s="69">
        <v>45726</v>
      </c>
      <c r="K147" s="97">
        <f t="shared" si="26"/>
        <v>3</v>
      </c>
      <c r="L147" s="97">
        <v>145</v>
      </c>
      <c r="M147" s="7" t="s">
        <v>155</v>
      </c>
      <c r="N147" s="7" t="s">
        <v>156</v>
      </c>
      <c r="O147" s="7" t="s">
        <v>156</v>
      </c>
      <c r="P147" s="7" t="s">
        <v>918</v>
      </c>
      <c r="Q147" s="100">
        <v>2</v>
      </c>
      <c r="R147" s="7" t="s">
        <v>158</v>
      </c>
      <c r="S147" s="7" t="s">
        <v>919</v>
      </c>
      <c r="T147" t="s">
        <v>920</v>
      </c>
      <c r="U147" t="s">
        <v>921</v>
      </c>
      <c r="V147" t="s">
        <v>162</v>
      </c>
      <c r="W147" t="s">
        <v>170</v>
      </c>
      <c r="X147" s="36" t="s">
        <v>141</v>
      </c>
      <c r="Y147" s="36" t="s">
        <v>140</v>
      </c>
      <c r="Z147" s="36" t="s">
        <v>140</v>
      </c>
      <c r="AA147" s="36" t="s">
        <v>140</v>
      </c>
      <c r="AB147" s="36" t="s">
        <v>140</v>
      </c>
      <c r="AC147" s="36" t="s">
        <v>140</v>
      </c>
      <c r="AD147" s="36" t="s">
        <v>141</v>
      </c>
      <c r="AE147" s="36" t="s">
        <v>140</v>
      </c>
      <c r="AF147" s="36" t="s">
        <v>140</v>
      </c>
      <c r="AG147" s="36" t="s">
        <v>140</v>
      </c>
      <c r="AH147" s="36" t="s">
        <v>141</v>
      </c>
      <c r="AI147" s="36" t="s">
        <v>141</v>
      </c>
      <c r="AJ147" s="36" t="s">
        <v>140</v>
      </c>
      <c r="AK147" s="117" t="s">
        <v>140</v>
      </c>
      <c r="AL147" s="36" t="s">
        <v>140</v>
      </c>
      <c r="AM147" s="36" t="s">
        <v>140</v>
      </c>
      <c r="AN147" s="36" t="s">
        <v>140</v>
      </c>
      <c r="AO147" s="36" t="s">
        <v>141</v>
      </c>
      <c r="AP147" s="36" t="s">
        <v>140</v>
      </c>
      <c r="AQ147" s="36" t="s">
        <v>141</v>
      </c>
      <c r="AR147" s="36" t="s">
        <v>140</v>
      </c>
      <c r="AS147" s="36" t="s">
        <v>141</v>
      </c>
      <c r="AT147" s="36" t="s">
        <v>140</v>
      </c>
      <c r="AU147" s="36" t="s">
        <v>140</v>
      </c>
      <c r="AV147" s="36" t="s">
        <v>140</v>
      </c>
      <c r="AW147" s="117" t="s">
        <v>141</v>
      </c>
      <c r="AX147" s="117" t="s">
        <v>140</v>
      </c>
      <c r="AY147" s="36" t="s">
        <v>140</v>
      </c>
      <c r="AZ147" s="36" t="s">
        <v>140</v>
      </c>
      <c r="BA147" s="117" t="s">
        <v>141</v>
      </c>
      <c r="BB147" s="117" t="s">
        <v>140</v>
      </c>
      <c r="BC147" s="117" t="s">
        <v>140</v>
      </c>
      <c r="BD147" s="117" t="s">
        <v>140</v>
      </c>
      <c r="BE147" s="117" t="s">
        <v>140</v>
      </c>
      <c r="BF147" s="117" t="s">
        <v>140</v>
      </c>
      <c r="BG147" s="117" t="s">
        <v>140</v>
      </c>
      <c r="BH147" s="117"/>
      <c r="BI147" s="117"/>
      <c r="BJ147" s="117"/>
      <c r="BK147" s="117"/>
      <c r="BL147" s="117"/>
      <c r="BM147" s="117">
        <f t="shared" si="22"/>
        <v>9</v>
      </c>
      <c r="BN147" s="117">
        <f t="shared" si="23"/>
        <v>1</v>
      </c>
      <c r="BO147" s="117">
        <f t="shared" si="24"/>
        <v>2</v>
      </c>
      <c r="BP147" s="153">
        <f t="shared" si="25"/>
        <v>7</v>
      </c>
      <c r="BQ147" s="74" t="s">
        <v>701</v>
      </c>
      <c r="BR147" s="74" t="s">
        <v>922</v>
      </c>
      <c r="BS147" s="74"/>
    </row>
    <row r="148" spans="1:71" hidden="1">
      <c r="A148">
        <v>134</v>
      </c>
      <c r="B148" s="75">
        <v>45725.553136574075</v>
      </c>
      <c r="C148" s="78">
        <v>7.013888888888889E-2</v>
      </c>
      <c r="D148" s="7">
        <v>45726</v>
      </c>
      <c r="E148" s="7">
        <v>45726</v>
      </c>
      <c r="F148">
        <v>688</v>
      </c>
      <c r="G148">
        <v>132</v>
      </c>
      <c r="H148" t="s">
        <v>923</v>
      </c>
      <c r="I148" s="10" t="s">
        <v>923</v>
      </c>
      <c r="J148" s="69">
        <v>45726</v>
      </c>
      <c r="K148" s="97">
        <f t="shared" si="26"/>
        <v>3</v>
      </c>
      <c r="L148" s="97">
        <v>146</v>
      </c>
      <c r="M148" s="7" t="s">
        <v>155</v>
      </c>
      <c r="N148" s="7" t="s">
        <v>156</v>
      </c>
      <c r="O148" s="7" t="s">
        <v>156</v>
      </c>
      <c r="P148" s="7" t="s">
        <v>924</v>
      </c>
      <c r="Q148" s="100">
        <v>2</v>
      </c>
      <c r="R148" s="7" t="s">
        <v>158</v>
      </c>
      <c r="S148" s="7" t="s">
        <v>925</v>
      </c>
      <c r="T148" t="s">
        <v>926</v>
      </c>
      <c r="U148" t="s">
        <v>822</v>
      </c>
      <c r="V148" t="s">
        <v>162</v>
      </c>
      <c r="W148" t="s">
        <v>170</v>
      </c>
      <c r="X148" s="36" t="s">
        <v>141</v>
      </c>
      <c r="Y148" s="36" t="s">
        <v>140</v>
      </c>
      <c r="Z148" s="36" t="s">
        <v>140</v>
      </c>
      <c r="AA148" s="36" t="s">
        <v>140</v>
      </c>
      <c r="AB148" s="36" t="s">
        <v>140</v>
      </c>
      <c r="AC148" s="36" t="s">
        <v>140</v>
      </c>
      <c r="AD148" s="36" t="s">
        <v>140</v>
      </c>
      <c r="AE148" s="36" t="s">
        <v>140</v>
      </c>
      <c r="AF148" s="36" t="s">
        <v>140</v>
      </c>
      <c r="AG148" s="36" t="s">
        <v>140</v>
      </c>
      <c r="AH148" s="36" t="s">
        <v>141</v>
      </c>
      <c r="AI148" s="36" t="s">
        <v>141</v>
      </c>
      <c r="AJ148" s="36" t="s">
        <v>140</v>
      </c>
      <c r="AK148" s="117" t="s">
        <v>140</v>
      </c>
      <c r="AL148" s="36" t="s">
        <v>140</v>
      </c>
      <c r="AM148" s="36" t="s">
        <v>140</v>
      </c>
      <c r="AN148" s="36" t="s">
        <v>140</v>
      </c>
      <c r="AO148" s="36" t="s">
        <v>141</v>
      </c>
      <c r="AP148" s="36" t="s">
        <v>140</v>
      </c>
      <c r="AQ148" s="36" t="s">
        <v>141</v>
      </c>
      <c r="AR148" s="36" t="s">
        <v>141</v>
      </c>
      <c r="AS148" s="36" t="s">
        <v>141</v>
      </c>
      <c r="AT148" s="36" t="s">
        <v>140</v>
      </c>
      <c r="AU148" s="36" t="s">
        <v>140</v>
      </c>
      <c r="AV148" s="36" t="s">
        <v>140</v>
      </c>
      <c r="AW148" s="117" t="s">
        <v>141</v>
      </c>
      <c r="AX148" s="117" t="s">
        <v>140</v>
      </c>
      <c r="AY148" s="36" t="s">
        <v>140</v>
      </c>
      <c r="AZ148" s="36" t="s">
        <v>140</v>
      </c>
      <c r="BA148" s="117" t="s">
        <v>141</v>
      </c>
      <c r="BB148" s="117" t="s">
        <v>140</v>
      </c>
      <c r="BC148" s="117" t="s">
        <v>140</v>
      </c>
      <c r="BD148" s="117" t="s">
        <v>140</v>
      </c>
      <c r="BE148" s="117" t="s">
        <v>140</v>
      </c>
      <c r="BF148" s="117" t="s">
        <v>140</v>
      </c>
      <c r="BG148" s="117" t="s">
        <v>140</v>
      </c>
      <c r="BH148" s="117"/>
      <c r="BI148" s="117"/>
      <c r="BJ148" s="117"/>
      <c r="BK148" s="117"/>
      <c r="BL148" s="117"/>
      <c r="BM148" s="117">
        <f t="shared" si="22"/>
        <v>9</v>
      </c>
      <c r="BN148" s="117">
        <f t="shared" si="23"/>
        <v>2</v>
      </c>
      <c r="BO148" s="117">
        <f t="shared" si="24"/>
        <v>1</v>
      </c>
      <c r="BP148" s="153">
        <f t="shared" si="25"/>
        <v>8</v>
      </c>
      <c r="BQ148" s="74" t="s">
        <v>915</v>
      </c>
      <c r="BR148" s="74" t="s">
        <v>927</v>
      </c>
      <c r="BS148" s="74"/>
    </row>
    <row r="149" spans="1:71" hidden="1">
      <c r="A149">
        <v>135</v>
      </c>
      <c r="B149" s="75">
        <v>45726.136076388888</v>
      </c>
      <c r="C149" s="78">
        <v>0.62777777777777777</v>
      </c>
      <c r="D149" s="7">
        <v>45726</v>
      </c>
      <c r="E149" s="7">
        <v>45726</v>
      </c>
      <c r="F149">
        <v>689</v>
      </c>
      <c r="G149">
        <v>133</v>
      </c>
      <c r="H149" t="s">
        <v>928</v>
      </c>
      <c r="I149" s="10" t="s">
        <v>928</v>
      </c>
      <c r="J149" s="69">
        <v>45726</v>
      </c>
      <c r="K149" s="97">
        <f t="shared" si="26"/>
        <v>3</v>
      </c>
      <c r="L149" s="97">
        <v>147</v>
      </c>
      <c r="M149" s="7" t="s">
        <v>181</v>
      </c>
      <c r="N149" s="7" t="s">
        <v>134</v>
      </c>
      <c r="O149" s="7" t="s">
        <v>929</v>
      </c>
      <c r="P149" s="7" t="s">
        <v>930</v>
      </c>
      <c r="Q149" s="100">
        <v>2</v>
      </c>
      <c r="R149" s="7" t="s">
        <v>158</v>
      </c>
      <c r="S149" s="7" t="s">
        <v>931</v>
      </c>
      <c r="T149" t="s">
        <v>932</v>
      </c>
      <c r="U149" t="s">
        <v>481</v>
      </c>
      <c r="V149" t="s">
        <v>933</v>
      </c>
      <c r="W149" t="s">
        <v>357</v>
      </c>
      <c r="X149" s="36" t="s">
        <v>141</v>
      </c>
      <c r="Y149" s="36" t="s">
        <v>141</v>
      </c>
      <c r="Z149" s="36" t="s">
        <v>140</v>
      </c>
      <c r="AA149" s="36" t="s">
        <v>140</v>
      </c>
      <c r="AB149" s="36" t="s">
        <v>140</v>
      </c>
      <c r="AC149" s="36" t="s">
        <v>140</v>
      </c>
      <c r="AD149" s="36" t="s">
        <v>141</v>
      </c>
      <c r="AE149" s="36" t="s">
        <v>140</v>
      </c>
      <c r="AF149" s="36" t="s">
        <v>140</v>
      </c>
      <c r="AG149" s="36" t="s">
        <v>140</v>
      </c>
      <c r="AH149" s="36" t="s">
        <v>141</v>
      </c>
      <c r="AI149" s="36" t="s">
        <v>141</v>
      </c>
      <c r="AJ149" s="36" t="s">
        <v>141</v>
      </c>
      <c r="AK149" s="117" t="s">
        <v>141</v>
      </c>
      <c r="AL149" s="36" t="s">
        <v>140</v>
      </c>
      <c r="AM149" s="36" t="s">
        <v>141</v>
      </c>
      <c r="AN149" s="36" t="s">
        <v>140</v>
      </c>
      <c r="AO149" s="36" t="s">
        <v>141</v>
      </c>
      <c r="AP149" s="36" t="s">
        <v>140</v>
      </c>
      <c r="AQ149" s="36" t="s">
        <v>141</v>
      </c>
      <c r="AR149" s="36" t="s">
        <v>140</v>
      </c>
      <c r="AS149" s="36" t="s">
        <v>140</v>
      </c>
      <c r="AT149" s="36" t="s">
        <v>140</v>
      </c>
      <c r="AU149" s="36" t="s">
        <v>141</v>
      </c>
      <c r="AV149" s="36" t="s">
        <v>140</v>
      </c>
      <c r="AW149" s="117" t="s">
        <v>141</v>
      </c>
      <c r="AX149" s="117" t="s">
        <v>140</v>
      </c>
      <c r="AY149" s="36" t="s">
        <v>140</v>
      </c>
      <c r="AZ149" s="36" t="s">
        <v>140</v>
      </c>
      <c r="BA149" s="117" t="s">
        <v>140</v>
      </c>
      <c r="BB149" s="117" t="s">
        <v>140</v>
      </c>
      <c r="BC149" s="117" t="s">
        <v>140</v>
      </c>
      <c r="BD149" s="117" t="s">
        <v>140</v>
      </c>
      <c r="BE149" s="117" t="s">
        <v>140</v>
      </c>
      <c r="BF149" s="117" t="s">
        <v>141</v>
      </c>
      <c r="BG149" s="117" t="s">
        <v>140</v>
      </c>
      <c r="BH149" s="117"/>
      <c r="BI149" s="117"/>
      <c r="BJ149" s="117"/>
      <c r="BK149" s="117"/>
      <c r="BL149" s="117"/>
      <c r="BM149" s="117">
        <f t="shared" si="22"/>
        <v>13</v>
      </c>
      <c r="BN149" s="117">
        <f t="shared" si="23"/>
        <v>3</v>
      </c>
      <c r="BO149" s="117">
        <f t="shared" si="24"/>
        <v>3</v>
      </c>
      <c r="BP149" s="153">
        <f t="shared" si="25"/>
        <v>9</v>
      </c>
      <c r="BQ149" s="74" t="s">
        <v>701</v>
      </c>
      <c r="BR149" s="74"/>
      <c r="BS149" s="74"/>
    </row>
    <row r="150" spans="1:71" hidden="1">
      <c r="A150">
        <v>136</v>
      </c>
      <c r="B150" s="75">
        <v>45726.184791666667</v>
      </c>
      <c r="C150" s="78">
        <v>0.7104166666666667</v>
      </c>
      <c r="D150" s="7">
        <v>45726</v>
      </c>
      <c r="E150" s="7">
        <v>45726</v>
      </c>
      <c r="F150">
        <v>690</v>
      </c>
      <c r="G150">
        <v>134</v>
      </c>
      <c r="H150" t="s">
        <v>934</v>
      </c>
      <c r="I150" s="10" t="s">
        <v>934</v>
      </c>
      <c r="J150" s="69">
        <v>45726</v>
      </c>
      <c r="K150" s="97">
        <f t="shared" si="26"/>
        <v>3</v>
      </c>
      <c r="L150" s="97">
        <v>148</v>
      </c>
      <c r="M150" s="7" t="s">
        <v>155</v>
      </c>
      <c r="N150" s="7" t="s">
        <v>156</v>
      </c>
      <c r="O150" s="7" t="s">
        <v>156</v>
      </c>
      <c r="P150" s="7" t="s">
        <v>784</v>
      </c>
      <c r="Q150" s="100">
        <v>2</v>
      </c>
      <c r="R150" s="7" t="s">
        <v>158</v>
      </c>
      <c r="S150" s="7" t="s">
        <v>935</v>
      </c>
      <c r="T150" t="s">
        <v>936</v>
      </c>
      <c r="U150" t="s">
        <v>787</v>
      </c>
      <c r="V150" t="s">
        <v>162</v>
      </c>
      <c r="W150" t="s">
        <v>170</v>
      </c>
      <c r="X150" s="36" t="s">
        <v>141</v>
      </c>
      <c r="Y150" s="36" t="s">
        <v>141</v>
      </c>
      <c r="Z150" s="36" t="s">
        <v>140</v>
      </c>
      <c r="AA150" s="36" t="s">
        <v>140</v>
      </c>
      <c r="AB150" s="36" t="s">
        <v>140</v>
      </c>
      <c r="AC150" s="36" t="s">
        <v>140</v>
      </c>
      <c r="AD150" s="36" t="s">
        <v>141</v>
      </c>
      <c r="AE150" s="36" t="s">
        <v>140</v>
      </c>
      <c r="AF150" s="36" t="s">
        <v>140</v>
      </c>
      <c r="AG150" s="36" t="s">
        <v>140</v>
      </c>
      <c r="AH150" s="36" t="s">
        <v>141</v>
      </c>
      <c r="AI150" s="36" t="s">
        <v>140</v>
      </c>
      <c r="AJ150" s="36" t="s">
        <v>141</v>
      </c>
      <c r="AK150" s="117" t="s">
        <v>140</v>
      </c>
      <c r="AL150" s="36" t="s">
        <v>140</v>
      </c>
      <c r="AM150" s="36" t="s">
        <v>141</v>
      </c>
      <c r="AN150" s="36" t="s">
        <v>140</v>
      </c>
      <c r="AO150" s="36" t="s">
        <v>141</v>
      </c>
      <c r="AP150" s="36" t="s">
        <v>141</v>
      </c>
      <c r="AQ150" s="36" t="s">
        <v>141</v>
      </c>
      <c r="AR150" s="36" t="s">
        <v>141</v>
      </c>
      <c r="AS150" s="36" t="s">
        <v>140</v>
      </c>
      <c r="AT150" s="36" t="s">
        <v>140</v>
      </c>
      <c r="AU150" s="36" t="s">
        <v>140</v>
      </c>
      <c r="AV150" s="36" t="s">
        <v>140</v>
      </c>
      <c r="AW150" s="117" t="s">
        <v>141</v>
      </c>
      <c r="AX150" s="117" t="s">
        <v>140</v>
      </c>
      <c r="AY150" s="36" t="s">
        <v>140</v>
      </c>
      <c r="AZ150" s="36" t="s">
        <v>140</v>
      </c>
      <c r="BA150" s="117" t="s">
        <v>140</v>
      </c>
      <c r="BB150" s="117" t="s">
        <v>140</v>
      </c>
      <c r="BC150" s="117" t="s">
        <v>140</v>
      </c>
      <c r="BD150" s="117" t="s">
        <v>140</v>
      </c>
      <c r="BE150" s="117" t="s">
        <v>140</v>
      </c>
      <c r="BF150" s="117" t="s">
        <v>141</v>
      </c>
      <c r="BG150" s="117" t="s">
        <v>141</v>
      </c>
      <c r="BH150" s="117"/>
      <c r="BI150" s="117"/>
      <c r="BJ150" s="117"/>
      <c r="BK150" s="117"/>
      <c r="BL150" s="117"/>
      <c r="BM150" s="117">
        <f t="shared" si="22"/>
        <v>12</v>
      </c>
      <c r="BN150" s="117">
        <f t="shared" si="23"/>
        <v>3</v>
      </c>
      <c r="BO150" s="117">
        <f t="shared" si="24"/>
        <v>3</v>
      </c>
      <c r="BP150" s="153">
        <f t="shared" si="25"/>
        <v>8</v>
      </c>
      <c r="BQ150" s="74" t="s">
        <v>589</v>
      </c>
      <c r="BR150" s="74" t="s">
        <v>937</v>
      </c>
      <c r="BS150" s="74"/>
    </row>
    <row r="151" spans="1:71" hidden="1">
      <c r="A151">
        <v>137</v>
      </c>
      <c r="B151" s="75">
        <v>45728.243483796294</v>
      </c>
      <c r="C151" s="78">
        <v>0.77083333333333337</v>
      </c>
      <c r="D151" s="7">
        <v>45728</v>
      </c>
      <c r="E151" s="7">
        <v>45728</v>
      </c>
      <c r="F151">
        <v>691</v>
      </c>
      <c r="G151">
        <v>135</v>
      </c>
      <c r="H151" t="s">
        <v>938</v>
      </c>
      <c r="I151" s="10" t="s">
        <v>938</v>
      </c>
      <c r="J151" s="69">
        <v>45728</v>
      </c>
      <c r="K151" s="97">
        <f t="shared" ref="K151:K158" si="27">MONTH($J151)</f>
        <v>3</v>
      </c>
      <c r="L151" s="97">
        <v>149</v>
      </c>
      <c r="M151" s="7" t="s">
        <v>133</v>
      </c>
      <c r="N151" s="7" t="s">
        <v>134</v>
      </c>
      <c r="O151" s="7" t="s">
        <v>134</v>
      </c>
      <c r="P151" s="7" t="s">
        <v>939</v>
      </c>
      <c r="Q151" s="100">
        <v>1</v>
      </c>
      <c r="R151" s="7" t="s">
        <v>135</v>
      </c>
      <c r="S151" s="7" t="s">
        <v>940</v>
      </c>
      <c r="T151" t="s">
        <v>941</v>
      </c>
      <c r="U151" t="s">
        <v>942</v>
      </c>
      <c r="V151" t="s">
        <v>194</v>
      </c>
      <c r="W151" t="s">
        <v>139</v>
      </c>
      <c r="X151" s="36" t="s">
        <v>140</v>
      </c>
      <c r="Y151" s="36" t="s">
        <v>140</v>
      </c>
      <c r="Z151" s="36" t="s">
        <v>140</v>
      </c>
      <c r="AA151" s="36" t="s">
        <v>141</v>
      </c>
      <c r="AB151" s="36" t="s">
        <v>140</v>
      </c>
      <c r="AC151" s="36" t="s">
        <v>140</v>
      </c>
      <c r="AD151" s="36" t="s">
        <v>140</v>
      </c>
      <c r="AE151" s="36" t="s">
        <v>140</v>
      </c>
      <c r="AF151" s="36" t="s">
        <v>140</v>
      </c>
      <c r="AG151" s="36" t="s">
        <v>140</v>
      </c>
      <c r="AH151" s="36" t="s">
        <v>141</v>
      </c>
      <c r="AI151" s="36" t="s">
        <v>140</v>
      </c>
      <c r="AJ151" s="36" t="s">
        <v>140</v>
      </c>
      <c r="AK151" s="117" t="s">
        <v>140</v>
      </c>
      <c r="AL151" s="36" t="s">
        <v>140</v>
      </c>
      <c r="AM151" s="36" t="s">
        <v>140</v>
      </c>
      <c r="AN151" s="36" t="s">
        <v>141</v>
      </c>
      <c r="AO151" s="36" t="s">
        <v>141</v>
      </c>
      <c r="AP151" s="36" t="s">
        <v>140</v>
      </c>
      <c r="AQ151" s="36" t="s">
        <v>140</v>
      </c>
      <c r="AR151" s="36" t="s">
        <v>140</v>
      </c>
      <c r="AS151" s="36" t="s">
        <v>140</v>
      </c>
      <c r="AT151" s="36" t="s">
        <v>141</v>
      </c>
      <c r="AU151" s="36" t="s">
        <v>140</v>
      </c>
      <c r="AV151" s="36" t="s">
        <v>140</v>
      </c>
      <c r="AW151" s="117" t="s">
        <v>140</v>
      </c>
      <c r="AX151" s="117" t="s">
        <v>140</v>
      </c>
      <c r="AY151" s="36" t="s">
        <v>140</v>
      </c>
      <c r="AZ151" s="36" t="s">
        <v>140</v>
      </c>
      <c r="BA151" s="117" t="s">
        <v>140</v>
      </c>
      <c r="BB151" s="117" t="s">
        <v>140</v>
      </c>
      <c r="BC151" s="117" t="s">
        <v>140</v>
      </c>
      <c r="BD151" s="117" t="s">
        <v>141</v>
      </c>
      <c r="BE151" s="117" t="s">
        <v>140</v>
      </c>
      <c r="BF151" s="117" t="s">
        <v>140</v>
      </c>
      <c r="BG151" s="117" t="s">
        <v>140</v>
      </c>
      <c r="BH151" s="117"/>
      <c r="BI151" s="117"/>
      <c r="BJ151" s="117"/>
      <c r="BK151" s="117"/>
      <c r="BL151" s="117"/>
      <c r="BM151" s="117">
        <f t="shared" si="22"/>
        <v>6</v>
      </c>
      <c r="BN151" s="117">
        <f t="shared" si="23"/>
        <v>1</v>
      </c>
      <c r="BO151" s="117">
        <f t="shared" si="24"/>
        <v>1</v>
      </c>
      <c r="BP151" s="153">
        <f t="shared" si="25"/>
        <v>4</v>
      </c>
      <c r="BQ151" s="74" t="s">
        <v>178</v>
      </c>
      <c r="BR151" s="74" t="s">
        <v>943</v>
      </c>
      <c r="BS151" s="74"/>
    </row>
    <row r="152" spans="1:71" hidden="1">
      <c r="A152">
        <v>138</v>
      </c>
      <c r="B152" s="75">
        <v>45728.293807870374</v>
      </c>
      <c r="C152" s="78">
        <v>0.8256944444444444</v>
      </c>
      <c r="D152" s="7">
        <v>45728</v>
      </c>
      <c r="E152" s="7">
        <v>45728</v>
      </c>
      <c r="F152">
        <v>692</v>
      </c>
      <c r="G152">
        <v>136</v>
      </c>
      <c r="H152" t="s">
        <v>944</v>
      </c>
      <c r="I152" s="10" t="s">
        <v>944</v>
      </c>
      <c r="J152" s="69">
        <v>45728</v>
      </c>
      <c r="K152" s="97">
        <f t="shared" si="27"/>
        <v>3</v>
      </c>
      <c r="L152" s="97">
        <v>150</v>
      </c>
      <c r="M152" s="7" t="s">
        <v>133</v>
      </c>
      <c r="N152" s="7" t="s">
        <v>134</v>
      </c>
      <c r="O152" s="7" t="s">
        <v>134</v>
      </c>
      <c r="Q152" s="100">
        <v>1</v>
      </c>
      <c r="R152" s="7" t="s">
        <v>135</v>
      </c>
      <c r="S152" s="7" t="s">
        <v>945</v>
      </c>
      <c r="T152" t="s">
        <v>946</v>
      </c>
      <c r="U152" t="s">
        <v>947</v>
      </c>
      <c r="V152" t="s">
        <v>194</v>
      </c>
      <c r="W152" t="s">
        <v>139</v>
      </c>
      <c r="X152" s="36" t="s">
        <v>140</v>
      </c>
      <c r="Y152" s="36" t="s">
        <v>140</v>
      </c>
      <c r="Z152" s="36" t="s">
        <v>140</v>
      </c>
      <c r="AA152" s="36" t="s">
        <v>141</v>
      </c>
      <c r="AB152" s="36" t="s">
        <v>140</v>
      </c>
      <c r="AC152" s="36" t="s">
        <v>140</v>
      </c>
      <c r="AD152" s="36" t="s">
        <v>140</v>
      </c>
      <c r="AE152" s="36"/>
      <c r="AF152" s="36" t="s">
        <v>140</v>
      </c>
      <c r="AG152" s="36" t="s">
        <v>140</v>
      </c>
      <c r="AH152" s="36" t="s">
        <v>141</v>
      </c>
      <c r="AI152" s="36" t="s">
        <v>140</v>
      </c>
      <c r="AJ152" s="36" t="s">
        <v>140</v>
      </c>
      <c r="AK152" s="117"/>
      <c r="AL152" s="36" t="s">
        <v>140</v>
      </c>
      <c r="AM152" s="36" t="s">
        <v>140</v>
      </c>
      <c r="AN152" s="36" t="s">
        <v>141</v>
      </c>
      <c r="AO152" s="36" t="s">
        <v>140</v>
      </c>
      <c r="AP152" s="36" t="s">
        <v>140</v>
      </c>
      <c r="AQ152" s="36" t="s">
        <v>140</v>
      </c>
      <c r="AR152" s="36" t="s">
        <v>140</v>
      </c>
      <c r="AS152" s="36" t="s">
        <v>140</v>
      </c>
      <c r="AT152" s="36" t="s">
        <v>141</v>
      </c>
      <c r="AU152" s="36"/>
      <c r="AV152" s="36"/>
      <c r="AW152" s="117"/>
      <c r="AX152" s="117" t="s">
        <v>141</v>
      </c>
      <c r="AY152" s="36" t="s">
        <v>140</v>
      </c>
      <c r="AZ152" s="36" t="s">
        <v>140</v>
      </c>
      <c r="BA152" s="117" t="s">
        <v>140</v>
      </c>
      <c r="BB152" s="117" t="s">
        <v>140</v>
      </c>
      <c r="BC152" s="117" t="s">
        <v>140</v>
      </c>
      <c r="BD152" s="117" t="s">
        <v>141</v>
      </c>
      <c r="BE152" s="117"/>
      <c r="BF152" s="117"/>
      <c r="BG152" s="117" t="s">
        <v>140</v>
      </c>
      <c r="BH152" s="117" t="s">
        <v>140</v>
      </c>
      <c r="BI152" s="117"/>
      <c r="BJ152" s="117"/>
      <c r="BK152" s="117"/>
      <c r="BL152" s="117"/>
      <c r="BM152" s="117">
        <f t="shared" si="22"/>
        <v>6</v>
      </c>
      <c r="BN152" s="117">
        <f t="shared" si="23"/>
        <v>1</v>
      </c>
      <c r="BO152" s="117">
        <f t="shared" si="24"/>
        <v>1</v>
      </c>
      <c r="BP152" s="153">
        <f t="shared" si="25"/>
        <v>4</v>
      </c>
      <c r="BQ152" s="74" t="s">
        <v>883</v>
      </c>
      <c r="BR152" s="74"/>
      <c r="BS152" s="74"/>
    </row>
    <row r="153" spans="1:71" hidden="1">
      <c r="A153">
        <v>139</v>
      </c>
      <c r="B153" s="75">
        <v>45729.165150462963</v>
      </c>
      <c r="C153" s="78">
        <v>0.6791666666666667</v>
      </c>
      <c r="D153" s="7">
        <v>45729</v>
      </c>
      <c r="E153" s="7">
        <v>45729</v>
      </c>
      <c r="F153">
        <v>693</v>
      </c>
      <c r="G153">
        <v>139</v>
      </c>
      <c r="H153" t="s">
        <v>948</v>
      </c>
      <c r="I153" s="10" t="s">
        <v>948</v>
      </c>
      <c r="J153" s="69">
        <v>45729</v>
      </c>
      <c r="K153" s="97">
        <f t="shared" si="27"/>
        <v>3</v>
      </c>
      <c r="L153" s="97">
        <v>151</v>
      </c>
      <c r="M153" s="7" t="s">
        <v>145</v>
      </c>
      <c r="N153" s="7" t="s">
        <v>146</v>
      </c>
      <c r="O153" s="7" t="s">
        <v>146</v>
      </c>
      <c r="Q153" s="100">
        <v>1</v>
      </c>
      <c r="R153" s="7" t="s">
        <v>135</v>
      </c>
      <c r="S153" s="7" t="s">
        <v>949</v>
      </c>
      <c r="T153" t="s">
        <v>950</v>
      </c>
      <c r="U153" t="s">
        <v>951</v>
      </c>
      <c r="V153" t="s">
        <v>146</v>
      </c>
      <c r="W153" t="s">
        <v>357</v>
      </c>
      <c r="X153" s="36" t="s">
        <v>140</v>
      </c>
      <c r="Y153" s="36" t="s">
        <v>141</v>
      </c>
      <c r="Z153" s="36" t="s">
        <v>140</v>
      </c>
      <c r="AA153" s="36" t="s">
        <v>141</v>
      </c>
      <c r="AB153" s="36" t="s">
        <v>140</v>
      </c>
      <c r="AC153" s="36" t="s">
        <v>140</v>
      </c>
      <c r="AD153" s="36" t="s">
        <v>140</v>
      </c>
      <c r="AE153" s="36"/>
      <c r="AF153" s="36" t="s">
        <v>141</v>
      </c>
      <c r="AG153" s="36" t="s">
        <v>140</v>
      </c>
      <c r="AH153" s="36" t="s">
        <v>141</v>
      </c>
      <c r="AI153" s="36" t="s">
        <v>140</v>
      </c>
      <c r="AJ153" s="36" t="s">
        <v>140</v>
      </c>
      <c r="AK153" s="117" t="s">
        <v>141</v>
      </c>
      <c r="AL153" s="36" t="s">
        <v>140</v>
      </c>
      <c r="AM153" s="36" t="s">
        <v>141</v>
      </c>
      <c r="AN153" s="36" t="s">
        <v>140</v>
      </c>
      <c r="AO153" s="36" t="s">
        <v>140</v>
      </c>
      <c r="AP153" s="36" t="s">
        <v>140</v>
      </c>
      <c r="AQ153" s="36" t="s">
        <v>140</v>
      </c>
      <c r="AR153" s="36" t="s">
        <v>140</v>
      </c>
      <c r="AS153" s="36" t="s">
        <v>140</v>
      </c>
      <c r="AT153" s="36" t="s">
        <v>141</v>
      </c>
      <c r="AU153" s="36"/>
      <c r="AV153" s="36"/>
      <c r="AW153" s="117" t="s">
        <v>141</v>
      </c>
      <c r="AX153" s="117"/>
      <c r="AY153" s="36" t="s">
        <v>140</v>
      </c>
      <c r="AZ153" s="36" t="s">
        <v>141</v>
      </c>
      <c r="BA153" s="117" t="s">
        <v>140</v>
      </c>
      <c r="BB153" s="117" t="s">
        <v>140</v>
      </c>
      <c r="BC153" s="117" t="s">
        <v>140</v>
      </c>
      <c r="BD153" s="117" t="s">
        <v>141</v>
      </c>
      <c r="BE153" s="117"/>
      <c r="BF153" s="117" t="s">
        <v>141</v>
      </c>
      <c r="BG153" s="117" t="s">
        <v>140</v>
      </c>
      <c r="BH153" s="117" t="s">
        <v>140</v>
      </c>
      <c r="BI153" s="117"/>
      <c r="BJ153" s="117"/>
      <c r="BK153" s="117"/>
      <c r="BL153" s="117"/>
      <c r="BM153" s="117">
        <f t="shared" si="22"/>
        <v>11</v>
      </c>
      <c r="BN153" s="117">
        <f t="shared" si="23"/>
        <v>2</v>
      </c>
      <c r="BO153" s="117">
        <f t="shared" si="24"/>
        <v>2</v>
      </c>
      <c r="BP153" s="153">
        <f t="shared" si="25"/>
        <v>7</v>
      </c>
      <c r="BQ153" s="74" t="s">
        <v>840</v>
      </c>
      <c r="BR153" s="74" t="s">
        <v>952</v>
      </c>
      <c r="BS153" s="74"/>
    </row>
    <row r="154" spans="1:71" hidden="1">
      <c r="A154">
        <v>140</v>
      </c>
      <c r="B154" s="75">
        <v>45729.239236111112</v>
      </c>
      <c r="C154" s="78">
        <v>0.77430555555555558</v>
      </c>
      <c r="D154" s="7">
        <v>45729</v>
      </c>
      <c r="E154" s="7">
        <v>45729</v>
      </c>
      <c r="F154">
        <v>694</v>
      </c>
      <c r="G154">
        <v>140</v>
      </c>
      <c r="H154" t="s">
        <v>953</v>
      </c>
      <c r="I154" s="10" t="s">
        <v>953</v>
      </c>
      <c r="J154" s="69">
        <v>45729</v>
      </c>
      <c r="K154" s="97">
        <f t="shared" si="27"/>
        <v>3</v>
      </c>
      <c r="L154" s="97">
        <v>152</v>
      </c>
      <c r="M154" s="7" t="s">
        <v>133</v>
      </c>
      <c r="N154" s="7" t="s">
        <v>134</v>
      </c>
      <c r="O154" s="7" t="s">
        <v>134</v>
      </c>
      <c r="Q154" s="100">
        <v>1</v>
      </c>
      <c r="R154" s="7" t="s">
        <v>135</v>
      </c>
      <c r="S154" s="7" t="s">
        <v>954</v>
      </c>
      <c r="T154" t="s">
        <v>955</v>
      </c>
      <c r="U154" t="s">
        <v>956</v>
      </c>
      <c r="V154" t="s">
        <v>194</v>
      </c>
      <c r="W154" t="s">
        <v>957</v>
      </c>
      <c r="X154" s="36" t="s">
        <v>140</v>
      </c>
      <c r="Y154" s="36" t="s">
        <v>141</v>
      </c>
      <c r="Z154" s="36" t="s">
        <v>140</v>
      </c>
      <c r="AA154" s="36" t="s">
        <v>141</v>
      </c>
      <c r="AB154" s="36" t="s">
        <v>140</v>
      </c>
      <c r="AC154" s="36" t="s">
        <v>140</v>
      </c>
      <c r="AD154" s="36" t="s">
        <v>140</v>
      </c>
      <c r="AE154" s="36"/>
      <c r="AF154" s="36" t="s">
        <v>141</v>
      </c>
      <c r="AG154" s="36" t="s">
        <v>140</v>
      </c>
      <c r="AH154" s="36" t="s">
        <v>140</v>
      </c>
      <c r="AI154" s="36" t="s">
        <v>140</v>
      </c>
      <c r="AJ154" s="36" t="s">
        <v>140</v>
      </c>
      <c r="AK154" s="117" t="s">
        <v>141</v>
      </c>
      <c r="AL154" s="36" t="s">
        <v>140</v>
      </c>
      <c r="AM154" s="36" t="s">
        <v>140</v>
      </c>
      <c r="AN154" s="36" t="s">
        <v>140</v>
      </c>
      <c r="AO154" s="36" t="s">
        <v>140</v>
      </c>
      <c r="AP154" s="36" t="s">
        <v>140</v>
      </c>
      <c r="AQ154" s="36" t="s">
        <v>140</v>
      </c>
      <c r="AR154" s="36" t="s">
        <v>140</v>
      </c>
      <c r="AS154" s="36" t="s">
        <v>140</v>
      </c>
      <c r="AT154" s="36" t="s">
        <v>141</v>
      </c>
      <c r="AU154" s="36"/>
      <c r="AV154" s="36"/>
      <c r="AW154" s="117"/>
      <c r="AX154" s="117" t="s">
        <v>141</v>
      </c>
      <c r="AY154" s="36" t="s">
        <v>140</v>
      </c>
      <c r="AZ154" s="36" t="s">
        <v>140</v>
      </c>
      <c r="BA154" s="117" t="s">
        <v>140</v>
      </c>
      <c r="BB154" s="117" t="s">
        <v>140</v>
      </c>
      <c r="BC154" s="117" t="s">
        <v>141</v>
      </c>
      <c r="BD154" s="117" t="s">
        <v>141</v>
      </c>
      <c r="BE154" s="117" t="s">
        <v>141</v>
      </c>
      <c r="BF154" s="117" t="s">
        <v>141</v>
      </c>
      <c r="BG154" s="117" t="s">
        <v>140</v>
      </c>
      <c r="BH154" s="117" t="s">
        <v>140</v>
      </c>
      <c r="BI154" s="117"/>
      <c r="BJ154" s="117"/>
      <c r="BK154" s="117"/>
      <c r="BL154" s="117"/>
      <c r="BM154" s="117">
        <f t="shared" si="22"/>
        <v>10</v>
      </c>
      <c r="BN154" s="117">
        <f t="shared" si="23"/>
        <v>1</v>
      </c>
      <c r="BO154" s="117">
        <f t="shared" si="24"/>
        <v>2</v>
      </c>
      <c r="BP154" s="153">
        <f t="shared" si="25"/>
        <v>5</v>
      </c>
      <c r="BQ154" s="74" t="s">
        <v>178</v>
      </c>
      <c r="BR154" s="74" t="s">
        <v>958</v>
      </c>
      <c r="BS154" s="74"/>
    </row>
    <row r="155" spans="1:71" hidden="1">
      <c r="A155">
        <v>141</v>
      </c>
      <c r="B155" s="75">
        <v>45730.155844907407</v>
      </c>
      <c r="C155" s="78">
        <v>0.68125000000000002</v>
      </c>
      <c r="D155" s="7">
        <v>45730</v>
      </c>
      <c r="E155" s="7">
        <v>45730</v>
      </c>
      <c r="F155">
        <v>695</v>
      </c>
      <c r="G155">
        <v>141</v>
      </c>
      <c r="H155" t="s">
        <v>959</v>
      </c>
      <c r="I155" s="10" t="s">
        <v>959</v>
      </c>
      <c r="J155" s="69">
        <v>45730</v>
      </c>
      <c r="K155" s="97">
        <f t="shared" si="27"/>
        <v>3</v>
      </c>
      <c r="L155" s="97">
        <v>153</v>
      </c>
      <c r="M155" s="7" t="s">
        <v>181</v>
      </c>
      <c r="N155" s="7" t="s">
        <v>254</v>
      </c>
      <c r="O155" s="7" t="s">
        <v>960</v>
      </c>
      <c r="Q155" s="100">
        <v>1</v>
      </c>
      <c r="R155" s="7" t="s">
        <v>135</v>
      </c>
      <c r="S155" s="7" t="s">
        <v>961</v>
      </c>
      <c r="T155" t="s">
        <v>962</v>
      </c>
      <c r="U155" t="s">
        <v>963</v>
      </c>
      <c r="V155" t="s">
        <v>254</v>
      </c>
      <c r="W155" t="s">
        <v>170</v>
      </c>
      <c r="X155" s="36" t="s">
        <v>141</v>
      </c>
      <c r="Y155" s="36" t="s">
        <v>140</v>
      </c>
      <c r="Z155" s="36" t="s">
        <v>140</v>
      </c>
      <c r="AA155" s="36" t="s">
        <v>140</v>
      </c>
      <c r="AB155" s="36" t="s">
        <v>141</v>
      </c>
      <c r="AC155" s="36" t="s">
        <v>140</v>
      </c>
      <c r="AD155" s="36" t="s">
        <v>140</v>
      </c>
      <c r="AE155" s="36"/>
      <c r="AF155" s="36" t="s">
        <v>140</v>
      </c>
      <c r="AG155" s="36" t="s">
        <v>140</v>
      </c>
      <c r="AH155" s="36" t="s">
        <v>141</v>
      </c>
      <c r="AI155" s="36" t="s">
        <v>140</v>
      </c>
      <c r="AJ155" s="36" t="s">
        <v>140</v>
      </c>
      <c r="AK155" s="117"/>
      <c r="AL155" s="36" t="s">
        <v>140</v>
      </c>
      <c r="AM155" s="36" t="s">
        <v>141</v>
      </c>
      <c r="AN155" s="36" t="s">
        <v>140</v>
      </c>
      <c r="AO155" s="36" t="s">
        <v>140</v>
      </c>
      <c r="AP155" s="36" t="s">
        <v>140</v>
      </c>
      <c r="AQ155" s="36" t="s">
        <v>140</v>
      </c>
      <c r="AR155" s="36" t="s">
        <v>140</v>
      </c>
      <c r="AS155" s="36" t="s">
        <v>141</v>
      </c>
      <c r="AT155" s="36"/>
      <c r="AU155" s="36"/>
      <c r="AV155" s="36"/>
      <c r="AW155" s="117"/>
      <c r="AX155" s="117"/>
      <c r="AY155" s="36" t="s">
        <v>140</v>
      </c>
      <c r="AZ155" s="36" t="s">
        <v>141</v>
      </c>
      <c r="BA155" s="117" t="s">
        <v>140</v>
      </c>
      <c r="BB155" s="117" t="s">
        <v>140</v>
      </c>
      <c r="BC155" s="117" t="s">
        <v>140</v>
      </c>
      <c r="BD155" s="117"/>
      <c r="BE155" s="117"/>
      <c r="BF155" s="117"/>
      <c r="BG155" s="117" t="s">
        <v>140</v>
      </c>
      <c r="BH155" s="117" t="s">
        <v>140</v>
      </c>
      <c r="BI155" s="117"/>
      <c r="BJ155" s="117"/>
      <c r="BK155" s="117"/>
      <c r="BL155" s="117"/>
      <c r="BM155" s="117">
        <f t="shared" si="22"/>
        <v>6</v>
      </c>
      <c r="BN155" s="117">
        <f t="shared" si="23"/>
        <v>2</v>
      </c>
      <c r="BO155" s="117">
        <f t="shared" si="24"/>
        <v>2</v>
      </c>
      <c r="BP155" s="153">
        <f t="shared" si="25"/>
        <v>4</v>
      </c>
      <c r="BQ155" s="74" t="s">
        <v>208</v>
      </c>
      <c r="BR155" s="74" t="s">
        <v>964</v>
      </c>
      <c r="BS155" s="74"/>
    </row>
    <row r="156" spans="1:71" hidden="1">
      <c r="A156">
        <v>142</v>
      </c>
      <c r="B156" s="75">
        <v>45730.731053240743</v>
      </c>
      <c r="C156" s="78">
        <v>0.25486111111111109</v>
      </c>
      <c r="D156" s="7">
        <v>45731</v>
      </c>
      <c r="E156" s="7">
        <v>45731</v>
      </c>
      <c r="F156">
        <v>696</v>
      </c>
      <c r="G156">
        <v>142</v>
      </c>
      <c r="H156" t="s">
        <v>965</v>
      </c>
      <c r="I156" s="10" t="s">
        <v>965</v>
      </c>
      <c r="J156" s="69">
        <v>45731</v>
      </c>
      <c r="K156" s="97">
        <f t="shared" si="27"/>
        <v>3</v>
      </c>
      <c r="L156" s="97">
        <v>154</v>
      </c>
      <c r="M156" s="7" t="s">
        <v>196</v>
      </c>
      <c r="N156" s="7" t="s">
        <v>197</v>
      </c>
      <c r="O156" s="7" t="s">
        <v>197</v>
      </c>
      <c r="Q156" s="100">
        <v>2</v>
      </c>
      <c r="R156" s="7" t="s">
        <v>158</v>
      </c>
      <c r="S156" s="7" t="s">
        <v>966</v>
      </c>
      <c r="T156" t="s">
        <v>967</v>
      </c>
      <c r="U156" t="s">
        <v>968</v>
      </c>
      <c r="V156" t="s">
        <v>200</v>
      </c>
      <c r="W156" t="s">
        <v>170</v>
      </c>
      <c r="X156" s="36" t="s">
        <v>141</v>
      </c>
      <c r="Y156" s="36" t="s">
        <v>141</v>
      </c>
      <c r="Z156" s="36" t="s">
        <v>140</v>
      </c>
      <c r="AA156" s="36" t="s">
        <v>140</v>
      </c>
      <c r="AB156" s="36" t="s">
        <v>141</v>
      </c>
      <c r="AC156" s="36" t="s">
        <v>140</v>
      </c>
      <c r="AD156" s="36" t="s">
        <v>140</v>
      </c>
      <c r="AE156" s="36"/>
      <c r="AF156" s="36" t="s">
        <v>140</v>
      </c>
      <c r="AG156" s="36" t="s">
        <v>140</v>
      </c>
      <c r="AH156" s="36" t="s">
        <v>140</v>
      </c>
      <c r="AI156" s="36" t="s">
        <v>140</v>
      </c>
      <c r="AJ156" s="36" t="s">
        <v>141</v>
      </c>
      <c r="AK156" s="117"/>
      <c r="AL156" s="36" t="s">
        <v>140</v>
      </c>
      <c r="AM156" s="36" t="s">
        <v>140</v>
      </c>
      <c r="AN156" s="36" t="s">
        <v>140</v>
      </c>
      <c r="AO156" s="36" t="s">
        <v>140</v>
      </c>
      <c r="AP156" s="36" t="s">
        <v>140</v>
      </c>
      <c r="AQ156" s="36" t="s">
        <v>140</v>
      </c>
      <c r="AR156" s="36" t="s">
        <v>141</v>
      </c>
      <c r="AS156" s="36" t="s">
        <v>141</v>
      </c>
      <c r="AT156" s="36"/>
      <c r="AU156" s="36" t="s">
        <v>141</v>
      </c>
      <c r="AV156" s="36"/>
      <c r="AW156" s="117"/>
      <c r="AX156" s="117" t="s">
        <v>141</v>
      </c>
      <c r="AY156" s="36" t="s">
        <v>140</v>
      </c>
      <c r="AZ156" s="36" t="s">
        <v>140</v>
      </c>
      <c r="BA156" s="117" t="s">
        <v>141</v>
      </c>
      <c r="BB156" s="117" t="s">
        <v>140</v>
      </c>
      <c r="BC156" s="117" t="s">
        <v>141</v>
      </c>
      <c r="BD156" s="117"/>
      <c r="BE156" s="117"/>
      <c r="BF156" s="117"/>
      <c r="BG156" s="117" t="s">
        <v>141</v>
      </c>
      <c r="BH156" s="117" t="s">
        <v>140</v>
      </c>
      <c r="BI156" s="117"/>
      <c r="BJ156" s="117"/>
      <c r="BK156" s="117"/>
      <c r="BL156" s="117"/>
      <c r="BM156" s="117">
        <f t="shared" si="22"/>
        <v>10</v>
      </c>
      <c r="BN156" s="117">
        <f t="shared" si="23"/>
        <v>3</v>
      </c>
      <c r="BO156" s="117">
        <f t="shared" si="24"/>
        <v>3</v>
      </c>
      <c r="BP156" s="153">
        <f t="shared" si="25"/>
        <v>7</v>
      </c>
      <c r="BQ156" s="74" t="s">
        <v>208</v>
      </c>
      <c r="BR156" s="74" t="s">
        <v>486</v>
      </c>
      <c r="BS156" s="74"/>
    </row>
    <row r="157" spans="1:71" hidden="1">
      <c r="A157">
        <v>143</v>
      </c>
      <c r="B157" s="75">
        <v>45730.864201388889</v>
      </c>
      <c r="C157" s="78">
        <v>0.37291666666666667</v>
      </c>
      <c r="D157" s="7">
        <v>45731</v>
      </c>
      <c r="E157" s="7">
        <v>45728</v>
      </c>
      <c r="F157">
        <v>697</v>
      </c>
      <c r="G157">
        <v>143</v>
      </c>
      <c r="H157" t="s">
        <v>969</v>
      </c>
      <c r="I157" s="10" t="s">
        <v>969</v>
      </c>
      <c r="J157" s="69">
        <v>45731</v>
      </c>
      <c r="K157" s="97">
        <f t="shared" si="27"/>
        <v>3</v>
      </c>
      <c r="L157" s="97">
        <v>155</v>
      </c>
      <c r="M157" s="7" t="s">
        <v>181</v>
      </c>
      <c r="N157" s="7" t="s">
        <v>254</v>
      </c>
      <c r="O157" s="7" t="s">
        <v>970</v>
      </c>
      <c r="Q157" s="100">
        <v>1</v>
      </c>
      <c r="R157" s="7" t="s">
        <v>135</v>
      </c>
      <c r="S157" s="7" t="s">
        <v>971</v>
      </c>
      <c r="T157" t="s">
        <v>972</v>
      </c>
      <c r="U157" t="s">
        <v>973</v>
      </c>
      <c r="V157" t="s">
        <v>254</v>
      </c>
      <c r="W157" t="s">
        <v>239</v>
      </c>
      <c r="X157" s="36" t="s">
        <v>141</v>
      </c>
      <c r="Y157" s="36" t="s">
        <v>140</v>
      </c>
      <c r="Z157" s="36" t="s">
        <v>140</v>
      </c>
      <c r="AA157" s="36" t="s">
        <v>140</v>
      </c>
      <c r="AB157" s="36" t="s">
        <v>140</v>
      </c>
      <c r="AC157" s="36" t="s">
        <v>140</v>
      </c>
      <c r="AD157" s="36" t="s">
        <v>140</v>
      </c>
      <c r="AE157" s="36"/>
      <c r="AF157" s="36" t="s">
        <v>140</v>
      </c>
      <c r="AG157" s="36" t="s">
        <v>140</v>
      </c>
      <c r="AH157" s="36" t="s">
        <v>140</v>
      </c>
      <c r="AI157" s="36" t="s">
        <v>140</v>
      </c>
      <c r="AJ157" s="36" t="s">
        <v>141</v>
      </c>
      <c r="AK157" s="117"/>
      <c r="AL157" s="36" t="s">
        <v>140</v>
      </c>
      <c r="AM157" s="36" t="s">
        <v>141</v>
      </c>
      <c r="AN157" s="36" t="s">
        <v>140</v>
      </c>
      <c r="AO157" s="36" t="s">
        <v>140</v>
      </c>
      <c r="AP157" s="36" t="s">
        <v>140</v>
      </c>
      <c r="AQ157" s="36" t="s">
        <v>140</v>
      </c>
      <c r="AR157" s="36" t="s">
        <v>141</v>
      </c>
      <c r="AS157" s="36" t="s">
        <v>141</v>
      </c>
      <c r="AT157" s="36"/>
      <c r="AU157" s="36"/>
      <c r="AV157" s="36"/>
      <c r="AW157" s="117"/>
      <c r="AX157" s="117" t="s">
        <v>141</v>
      </c>
      <c r="AY157" s="36" t="s">
        <v>141</v>
      </c>
      <c r="AZ157" s="36" t="s">
        <v>141</v>
      </c>
      <c r="BA157" s="117" t="s">
        <v>141</v>
      </c>
      <c r="BB157" s="117" t="s">
        <v>140</v>
      </c>
      <c r="BC157" s="117" t="s">
        <v>141</v>
      </c>
      <c r="BD157" s="117"/>
      <c r="BE157" s="117"/>
      <c r="BF157" s="117" t="s">
        <v>141</v>
      </c>
      <c r="BG157" s="117" t="s">
        <v>141</v>
      </c>
      <c r="BH157" s="117" t="s">
        <v>140</v>
      </c>
      <c r="BI157" s="117"/>
      <c r="BJ157" s="117"/>
      <c r="BK157" s="117"/>
      <c r="BL157" s="117"/>
      <c r="BM157" s="117">
        <f t="shared" si="22"/>
        <v>11</v>
      </c>
      <c r="BN157" s="117">
        <f t="shared" si="23"/>
        <v>4</v>
      </c>
      <c r="BO157" s="117">
        <f t="shared" si="24"/>
        <v>1</v>
      </c>
      <c r="BP157" s="153">
        <f t="shared" si="25"/>
        <v>9</v>
      </c>
      <c r="BQ157" s="74" t="s">
        <v>974</v>
      </c>
      <c r="BR157" s="74" t="s">
        <v>975</v>
      </c>
      <c r="BS157" s="74"/>
    </row>
    <row r="158" spans="1:71" hidden="1">
      <c r="A158">
        <v>144</v>
      </c>
      <c r="B158" s="75">
        <v>45730.870300925926</v>
      </c>
      <c r="C158" s="78">
        <v>0.38611111111111113</v>
      </c>
      <c r="D158" s="7">
        <v>45731</v>
      </c>
      <c r="E158" s="7">
        <v>45731</v>
      </c>
      <c r="F158">
        <v>698</v>
      </c>
      <c r="G158">
        <v>144</v>
      </c>
      <c r="H158" t="s">
        <v>976</v>
      </c>
      <c r="I158" s="10" t="s">
        <v>976</v>
      </c>
      <c r="J158" s="69">
        <v>45731</v>
      </c>
      <c r="K158" s="97">
        <f t="shared" si="27"/>
        <v>3</v>
      </c>
      <c r="L158" s="97">
        <v>156</v>
      </c>
      <c r="M158" s="7" t="s">
        <v>165</v>
      </c>
      <c r="N158" s="7" t="s">
        <v>156</v>
      </c>
      <c r="O158" s="7" t="s">
        <v>156</v>
      </c>
      <c r="Q158" s="100">
        <v>1</v>
      </c>
      <c r="R158" s="7" t="s">
        <v>316</v>
      </c>
      <c r="S158" s="7" t="s">
        <v>977</v>
      </c>
      <c r="T158" t="s">
        <v>978</v>
      </c>
      <c r="U158" t="s">
        <v>979</v>
      </c>
      <c r="V158" t="s">
        <v>162</v>
      </c>
      <c r="W158" t="s">
        <v>207</v>
      </c>
      <c r="X158" s="36" t="s">
        <v>141</v>
      </c>
      <c r="Y158" s="36" t="s">
        <v>140</v>
      </c>
      <c r="Z158" s="36" t="s">
        <v>140</v>
      </c>
      <c r="AA158" s="36" t="s">
        <v>140</v>
      </c>
      <c r="AB158" s="36" t="s">
        <v>141</v>
      </c>
      <c r="AC158" s="36" t="s">
        <v>140</v>
      </c>
      <c r="AD158" s="36" t="s">
        <v>140</v>
      </c>
      <c r="AE158" s="36"/>
      <c r="AF158" s="36" t="s">
        <v>140</v>
      </c>
      <c r="AG158" s="36" t="s">
        <v>140</v>
      </c>
      <c r="AH158" s="36" t="s">
        <v>140</v>
      </c>
      <c r="AI158" s="36" t="s">
        <v>140</v>
      </c>
      <c r="AJ158" s="36" t="s">
        <v>141</v>
      </c>
      <c r="AK158" s="117"/>
      <c r="AL158" s="36" t="s">
        <v>140</v>
      </c>
      <c r="AM158" s="36" t="s">
        <v>141</v>
      </c>
      <c r="AN158" s="36" t="s">
        <v>140</v>
      </c>
      <c r="AO158" s="36" t="s">
        <v>140</v>
      </c>
      <c r="AP158" s="36" t="s">
        <v>140</v>
      </c>
      <c r="AQ158" s="36" t="s">
        <v>140</v>
      </c>
      <c r="AR158" s="36" t="s">
        <v>141</v>
      </c>
      <c r="AS158" s="36" t="s">
        <v>141</v>
      </c>
      <c r="AT158" s="36"/>
      <c r="AU158" s="36"/>
      <c r="AV158" s="36"/>
      <c r="AW158" s="117"/>
      <c r="AX158" s="117" t="s">
        <v>141</v>
      </c>
      <c r="AY158" s="36" t="s">
        <v>141</v>
      </c>
      <c r="AZ158" s="36" t="s">
        <v>141</v>
      </c>
      <c r="BA158" s="117" t="s">
        <v>141</v>
      </c>
      <c r="BB158" s="117" t="s">
        <v>140</v>
      </c>
      <c r="BC158" s="117" t="s">
        <v>141</v>
      </c>
      <c r="BD158" s="117"/>
      <c r="BE158" s="117"/>
      <c r="BF158" s="117" t="s">
        <v>141</v>
      </c>
      <c r="BG158" s="117" t="s">
        <v>141</v>
      </c>
      <c r="BH158" s="117" t="s">
        <v>140</v>
      </c>
      <c r="BI158" s="117"/>
      <c r="BJ158" s="117"/>
      <c r="BK158" s="117"/>
      <c r="BL158" s="117"/>
      <c r="BM158" s="117">
        <f t="shared" si="22"/>
        <v>12</v>
      </c>
      <c r="BN158" s="117">
        <f t="shared" si="23"/>
        <v>4</v>
      </c>
      <c r="BO158" s="117">
        <f t="shared" si="24"/>
        <v>2</v>
      </c>
      <c r="BP158" s="153">
        <f t="shared" si="25"/>
        <v>9</v>
      </c>
      <c r="BQ158" s="74" t="s">
        <v>208</v>
      </c>
      <c r="BR158" s="74" t="s">
        <v>980</v>
      </c>
      <c r="BS158" s="74"/>
    </row>
    <row r="159" spans="1:71" hidden="1">
      <c r="A159">
        <v>145</v>
      </c>
      <c r="B159" s="75">
        <v>45731.445844907408</v>
      </c>
      <c r="C159" s="78">
        <v>0.95486111111111116</v>
      </c>
      <c r="D159" s="7">
        <v>45731</v>
      </c>
      <c r="E159" s="7">
        <v>45731</v>
      </c>
      <c r="F159">
        <v>699</v>
      </c>
      <c r="G159">
        <v>145</v>
      </c>
      <c r="H159" t="s">
        <v>981</v>
      </c>
      <c r="I159" s="10" t="s">
        <v>981</v>
      </c>
      <c r="J159" s="69">
        <v>45731</v>
      </c>
      <c r="K159" s="97">
        <f t="shared" ref="K159:K171" si="28">MONTH($J159)</f>
        <v>3</v>
      </c>
      <c r="L159" s="97">
        <v>157</v>
      </c>
      <c r="M159" s="7" t="s">
        <v>145</v>
      </c>
      <c r="N159" s="7" t="s">
        <v>146</v>
      </c>
      <c r="O159" s="7" t="s">
        <v>982</v>
      </c>
      <c r="P159" s="7" t="s">
        <v>983</v>
      </c>
      <c r="Q159" s="100">
        <v>1</v>
      </c>
      <c r="R159" s="7" t="s">
        <v>135</v>
      </c>
      <c r="S159" s="7" t="s">
        <v>984</v>
      </c>
      <c r="T159" t="s">
        <v>985</v>
      </c>
      <c r="U159" t="s">
        <v>963</v>
      </c>
      <c r="V159" t="s">
        <v>146</v>
      </c>
      <c r="W159" t="s">
        <v>279</v>
      </c>
      <c r="X159" s="36" t="s">
        <v>141</v>
      </c>
      <c r="Y159" s="36" t="s">
        <v>140</v>
      </c>
      <c r="Z159" s="36" t="s">
        <v>140</v>
      </c>
      <c r="AA159" s="36" t="s">
        <v>140</v>
      </c>
      <c r="AB159" s="36" t="s">
        <v>140</v>
      </c>
      <c r="AC159" s="36" t="s">
        <v>141</v>
      </c>
      <c r="AD159" s="36" t="s">
        <v>140</v>
      </c>
      <c r="AE159" s="36"/>
      <c r="AF159" s="36" t="s">
        <v>140</v>
      </c>
      <c r="AG159" s="36" t="s">
        <v>140</v>
      </c>
      <c r="AH159" s="36" t="s">
        <v>140</v>
      </c>
      <c r="AI159" s="36" t="s">
        <v>141</v>
      </c>
      <c r="AJ159" s="36" t="s">
        <v>140</v>
      </c>
      <c r="AK159" s="117"/>
      <c r="AL159" s="36" t="s">
        <v>140</v>
      </c>
      <c r="AM159" s="36" t="s">
        <v>141</v>
      </c>
      <c r="AN159" s="36" t="s">
        <v>140</v>
      </c>
      <c r="AO159" s="36" t="s">
        <v>140</v>
      </c>
      <c r="AP159" s="36" t="s">
        <v>140</v>
      </c>
      <c r="AQ159" s="36" t="s">
        <v>140</v>
      </c>
      <c r="AR159" s="36" t="s">
        <v>140</v>
      </c>
      <c r="AS159" s="36" t="s">
        <v>141</v>
      </c>
      <c r="AT159" s="36"/>
      <c r="AU159" s="36"/>
      <c r="AV159" s="36"/>
      <c r="AW159" s="117"/>
      <c r="AX159" s="117"/>
      <c r="AY159" s="36" t="s">
        <v>140</v>
      </c>
      <c r="AZ159" s="36" t="s">
        <v>141</v>
      </c>
      <c r="BA159" s="117" t="s">
        <v>141</v>
      </c>
      <c r="BB159" s="117" t="s">
        <v>140</v>
      </c>
      <c r="BC159" s="117" t="s">
        <v>141</v>
      </c>
      <c r="BD159" s="117"/>
      <c r="BE159" s="117"/>
      <c r="BF159" s="117"/>
      <c r="BG159" s="117" t="s">
        <v>140</v>
      </c>
      <c r="BH159" s="117" t="s">
        <v>140</v>
      </c>
      <c r="BI159" s="117"/>
      <c r="BJ159" s="117"/>
      <c r="BK159" s="117"/>
      <c r="BL159" s="117"/>
      <c r="BM159" s="117">
        <f t="shared" si="22"/>
        <v>8</v>
      </c>
      <c r="BN159" s="117">
        <f t="shared" si="23"/>
        <v>2</v>
      </c>
      <c r="BO159" s="117">
        <f t="shared" si="24"/>
        <v>2</v>
      </c>
      <c r="BP159" s="153">
        <f t="shared" si="25"/>
        <v>6</v>
      </c>
      <c r="BQ159" s="74" t="s">
        <v>840</v>
      </c>
      <c r="BR159" s="74" t="s">
        <v>986</v>
      </c>
      <c r="BS159" s="74"/>
    </row>
    <row r="160" spans="1:71" hidden="1">
      <c r="A160">
        <v>146</v>
      </c>
      <c r="B160" s="75">
        <v>45731.959699074076</v>
      </c>
      <c r="C160" s="78">
        <v>0.47916666666666669</v>
      </c>
      <c r="D160" s="7">
        <v>45732</v>
      </c>
      <c r="E160" s="7">
        <v>45731</v>
      </c>
      <c r="F160">
        <v>700</v>
      </c>
      <c r="G160">
        <v>146</v>
      </c>
      <c r="H160" t="s">
        <v>987</v>
      </c>
      <c r="I160" s="10" t="s">
        <v>987</v>
      </c>
      <c r="J160" s="69">
        <v>45732</v>
      </c>
      <c r="K160" s="97">
        <f t="shared" si="28"/>
        <v>3</v>
      </c>
      <c r="L160" s="97">
        <v>158</v>
      </c>
      <c r="M160" s="7" t="s">
        <v>181</v>
      </c>
      <c r="N160" s="7" t="s">
        <v>134</v>
      </c>
      <c r="O160" s="7" t="s">
        <v>134</v>
      </c>
      <c r="P160" s="7" t="s">
        <v>988</v>
      </c>
      <c r="Q160" s="100">
        <v>1</v>
      </c>
      <c r="R160" s="7" t="s">
        <v>135</v>
      </c>
      <c r="S160" s="7" t="s">
        <v>989</v>
      </c>
      <c r="T160" t="s">
        <v>990</v>
      </c>
      <c r="U160" t="s">
        <v>991</v>
      </c>
      <c r="V160" t="s">
        <v>645</v>
      </c>
      <c r="W160" t="s">
        <v>151</v>
      </c>
      <c r="X160" s="36" t="s">
        <v>140</v>
      </c>
      <c r="Y160" s="36" t="s">
        <v>140</v>
      </c>
      <c r="Z160" s="36" t="s">
        <v>140</v>
      </c>
      <c r="AA160" s="36" t="s">
        <v>140</v>
      </c>
      <c r="AB160" s="36" t="s">
        <v>140</v>
      </c>
      <c r="AC160" s="36" t="s">
        <v>140</v>
      </c>
      <c r="AD160" s="36" t="s">
        <v>140</v>
      </c>
      <c r="AE160" s="36"/>
      <c r="AF160" s="36" t="s">
        <v>140</v>
      </c>
      <c r="AG160" s="36" t="s">
        <v>140</v>
      </c>
      <c r="AH160" s="36" t="s">
        <v>141</v>
      </c>
      <c r="AI160" s="36" t="s">
        <v>140</v>
      </c>
      <c r="AJ160" s="36" t="s">
        <v>140</v>
      </c>
      <c r="AK160" s="117"/>
      <c r="AL160" s="36" t="s">
        <v>140</v>
      </c>
      <c r="AM160" s="36" t="s">
        <v>140</v>
      </c>
      <c r="AN160" s="36" t="s">
        <v>140</v>
      </c>
      <c r="AO160" s="36" t="s">
        <v>140</v>
      </c>
      <c r="AP160" s="36" t="s">
        <v>140</v>
      </c>
      <c r="AQ160" s="36" t="s">
        <v>140</v>
      </c>
      <c r="AR160" s="36" t="s">
        <v>140</v>
      </c>
      <c r="AS160" s="36" t="s">
        <v>140</v>
      </c>
      <c r="AT160" s="36" t="s">
        <v>141</v>
      </c>
      <c r="AU160" s="36" t="s">
        <v>141</v>
      </c>
      <c r="AV160" s="36"/>
      <c r="AW160" s="117"/>
      <c r="AX160" s="117" t="s">
        <v>141</v>
      </c>
      <c r="AY160" s="36" t="s">
        <v>140</v>
      </c>
      <c r="AZ160" s="36" t="s">
        <v>141</v>
      </c>
      <c r="BA160" s="117" t="s">
        <v>140</v>
      </c>
      <c r="BB160" s="117" t="s">
        <v>140</v>
      </c>
      <c r="BC160" s="117" t="s">
        <v>141</v>
      </c>
      <c r="BD160" s="117"/>
      <c r="BE160" s="117"/>
      <c r="BF160" s="117" t="s">
        <v>141</v>
      </c>
      <c r="BG160" s="117" t="s">
        <v>140</v>
      </c>
      <c r="BH160" s="117" t="s">
        <v>140</v>
      </c>
      <c r="BI160" s="117"/>
      <c r="BJ160" s="117"/>
      <c r="BK160" s="117"/>
      <c r="BL160" s="117"/>
      <c r="BM160" s="117">
        <f t="shared" si="22"/>
        <v>7</v>
      </c>
      <c r="BN160" s="117">
        <f t="shared" si="23"/>
        <v>0</v>
      </c>
      <c r="BO160" s="117">
        <f t="shared" si="24"/>
        <v>0</v>
      </c>
      <c r="BP160" s="153">
        <f t="shared" si="25"/>
        <v>6</v>
      </c>
      <c r="BQ160" s="74" t="s">
        <v>201</v>
      </c>
      <c r="BR160" s="74"/>
      <c r="BS160" s="74"/>
    </row>
    <row r="161" spans="1:71" hidden="1">
      <c r="A161">
        <v>147</v>
      </c>
      <c r="B161" s="75">
        <v>45732.372928240744</v>
      </c>
      <c r="C161" s="78">
        <v>0.90138888888888891</v>
      </c>
      <c r="D161" s="7">
        <v>45732</v>
      </c>
      <c r="E161" s="7">
        <v>45732</v>
      </c>
      <c r="F161">
        <v>701</v>
      </c>
      <c r="G161">
        <v>147</v>
      </c>
      <c r="H161" t="s">
        <v>992</v>
      </c>
      <c r="I161" s="10" t="s">
        <v>992</v>
      </c>
      <c r="J161" s="69">
        <v>45732</v>
      </c>
      <c r="K161" s="97">
        <f t="shared" si="28"/>
        <v>3</v>
      </c>
      <c r="L161" s="97">
        <v>159</v>
      </c>
      <c r="M161" s="7" t="s">
        <v>181</v>
      </c>
      <c r="N161" s="7" t="s">
        <v>254</v>
      </c>
      <c r="O161" s="7" t="s">
        <v>146</v>
      </c>
      <c r="Q161" s="100">
        <v>1</v>
      </c>
      <c r="R161" s="7" t="s">
        <v>135</v>
      </c>
      <c r="S161" s="7" t="s">
        <v>993</v>
      </c>
      <c r="T161" t="s">
        <v>994</v>
      </c>
      <c r="U161" t="s">
        <v>995</v>
      </c>
      <c r="V161" t="s">
        <v>254</v>
      </c>
      <c r="W161" t="s">
        <v>225</v>
      </c>
      <c r="X161" s="36" t="s">
        <v>140</v>
      </c>
      <c r="Y161" s="36" t="s">
        <v>140</v>
      </c>
      <c r="Z161" s="36" t="s">
        <v>141</v>
      </c>
      <c r="AA161" s="36" t="s">
        <v>140</v>
      </c>
      <c r="AB161" s="36" t="s">
        <v>141</v>
      </c>
      <c r="AC161" s="36" t="s">
        <v>141</v>
      </c>
      <c r="AD161" s="36" t="s">
        <v>140</v>
      </c>
      <c r="AE161" s="36"/>
      <c r="AF161" s="36" t="s">
        <v>140</v>
      </c>
      <c r="AG161" s="36" t="s">
        <v>140</v>
      </c>
      <c r="AH161" s="36" t="s">
        <v>140</v>
      </c>
      <c r="AI161" s="36" t="s">
        <v>141</v>
      </c>
      <c r="AJ161" s="36" t="s">
        <v>141</v>
      </c>
      <c r="AK161" s="117"/>
      <c r="AL161" s="36" t="s">
        <v>140</v>
      </c>
      <c r="AM161" s="36" t="s">
        <v>141</v>
      </c>
      <c r="AN161" s="36" t="s">
        <v>140</v>
      </c>
      <c r="AO161" s="36" t="s">
        <v>140</v>
      </c>
      <c r="AP161" s="36" t="s">
        <v>140</v>
      </c>
      <c r="AQ161" s="36" t="s">
        <v>140</v>
      </c>
      <c r="AR161" s="36" t="s">
        <v>140</v>
      </c>
      <c r="AS161" s="36" t="s">
        <v>141</v>
      </c>
      <c r="AT161" s="36"/>
      <c r="AU161" s="36"/>
      <c r="AV161" s="36"/>
      <c r="AW161" s="117"/>
      <c r="AX161" s="117"/>
      <c r="AY161" s="36" t="s">
        <v>140</v>
      </c>
      <c r="AZ161" s="36" t="s">
        <v>141</v>
      </c>
      <c r="BA161" s="117" t="s">
        <v>140</v>
      </c>
      <c r="BB161" s="117" t="s">
        <v>140</v>
      </c>
      <c r="BC161" s="117" t="s">
        <v>140</v>
      </c>
      <c r="BD161" s="117"/>
      <c r="BE161" s="117"/>
      <c r="BF161" s="117" t="s">
        <v>141</v>
      </c>
      <c r="BG161" s="117" t="s">
        <v>140</v>
      </c>
      <c r="BH161" s="117" t="s">
        <v>140</v>
      </c>
      <c r="BI161" s="117"/>
      <c r="BJ161" s="117"/>
      <c r="BK161" s="117"/>
      <c r="BL161" s="117"/>
      <c r="BM161" s="117">
        <f t="shared" si="22"/>
        <v>9</v>
      </c>
      <c r="BN161" s="117">
        <f t="shared" si="23"/>
        <v>3</v>
      </c>
      <c r="BO161" s="117">
        <f t="shared" si="24"/>
        <v>3</v>
      </c>
      <c r="BP161" s="153">
        <f t="shared" si="25"/>
        <v>5</v>
      </c>
      <c r="BQ161" s="74" t="s">
        <v>996</v>
      </c>
      <c r="BR161" s="74" t="s">
        <v>997</v>
      </c>
      <c r="BS161" s="74"/>
    </row>
    <row r="162" spans="1:71" hidden="1">
      <c r="A162">
        <v>148</v>
      </c>
      <c r="B162" s="75">
        <v>45732.959583333337</v>
      </c>
      <c r="C162" s="78">
        <v>0.48402777777777778</v>
      </c>
      <c r="D162" s="7">
        <v>45733</v>
      </c>
      <c r="E162" s="7">
        <v>45733</v>
      </c>
      <c r="F162">
        <v>702</v>
      </c>
      <c r="G162">
        <v>148</v>
      </c>
      <c r="H162" t="s">
        <v>998</v>
      </c>
      <c r="I162" s="10" t="s">
        <v>998</v>
      </c>
      <c r="J162" s="69">
        <v>45733</v>
      </c>
      <c r="K162" s="97">
        <f t="shared" si="28"/>
        <v>3</v>
      </c>
      <c r="L162" s="97">
        <v>160</v>
      </c>
      <c r="M162" s="7" t="s">
        <v>268</v>
      </c>
      <c r="N162" s="7" t="s">
        <v>156</v>
      </c>
      <c r="O162" s="7" t="s">
        <v>156</v>
      </c>
      <c r="P162" s="7" t="s">
        <v>809</v>
      </c>
      <c r="Q162" s="100">
        <v>2</v>
      </c>
      <c r="R162" s="7" t="s">
        <v>158</v>
      </c>
      <c r="S162" s="7" t="s">
        <v>810</v>
      </c>
      <c r="T162" t="s">
        <v>810</v>
      </c>
      <c r="U162" t="s">
        <v>999</v>
      </c>
      <c r="V162" t="s">
        <v>162</v>
      </c>
      <c r="W162" t="s">
        <v>139</v>
      </c>
      <c r="X162" s="36" t="s">
        <v>140</v>
      </c>
      <c r="Y162" s="36" t="s">
        <v>140</v>
      </c>
      <c r="Z162" s="36" t="s">
        <v>140</v>
      </c>
      <c r="AA162" s="36" t="s">
        <v>141</v>
      </c>
      <c r="AB162" s="36" t="s">
        <v>140</v>
      </c>
      <c r="AC162" s="36" t="s">
        <v>140</v>
      </c>
      <c r="AD162" s="36" t="s">
        <v>140</v>
      </c>
      <c r="AE162" s="36"/>
      <c r="AF162" s="36" t="s">
        <v>141</v>
      </c>
      <c r="AG162" s="36" t="s">
        <v>140</v>
      </c>
      <c r="AH162" s="36" t="s">
        <v>141</v>
      </c>
      <c r="AI162" s="36" t="s">
        <v>140</v>
      </c>
      <c r="AJ162" s="36" t="s">
        <v>141</v>
      </c>
      <c r="AK162" s="117"/>
      <c r="AL162" s="36" t="s">
        <v>140</v>
      </c>
      <c r="AM162" s="36" t="s">
        <v>141</v>
      </c>
      <c r="AN162" s="36" t="s">
        <v>140</v>
      </c>
      <c r="AO162" s="36" t="s">
        <v>140</v>
      </c>
      <c r="AP162" s="36" t="s">
        <v>140</v>
      </c>
      <c r="AQ162" s="36" t="s">
        <v>140</v>
      </c>
      <c r="AR162" s="36" t="s">
        <v>141</v>
      </c>
      <c r="AS162" s="36" t="s">
        <v>140</v>
      </c>
      <c r="AT162" s="36"/>
      <c r="AU162" s="36"/>
      <c r="AV162" s="36"/>
      <c r="AW162" s="117" t="s">
        <v>141</v>
      </c>
      <c r="AX162" s="117" t="s">
        <v>141</v>
      </c>
      <c r="AY162" s="36" t="s">
        <v>140</v>
      </c>
      <c r="AZ162" s="36" t="s">
        <v>141</v>
      </c>
      <c r="BA162" s="117" t="s">
        <v>140</v>
      </c>
      <c r="BB162" s="117" t="s">
        <v>140</v>
      </c>
      <c r="BC162" s="117" t="s">
        <v>140</v>
      </c>
      <c r="BD162" s="117" t="s">
        <v>141</v>
      </c>
      <c r="BE162" s="117"/>
      <c r="BF162" s="117"/>
      <c r="BG162" s="117" t="s">
        <v>140</v>
      </c>
      <c r="BH162" s="117" t="s">
        <v>140</v>
      </c>
      <c r="BI162" s="117"/>
      <c r="BJ162" s="117"/>
      <c r="BK162" s="117"/>
      <c r="BL162" s="117"/>
      <c r="BM162" s="117">
        <f t="shared" si="22"/>
        <v>10</v>
      </c>
      <c r="BN162" s="117">
        <f t="shared" si="23"/>
        <v>3</v>
      </c>
      <c r="BO162" s="117">
        <f t="shared" si="24"/>
        <v>1</v>
      </c>
      <c r="BP162" s="153">
        <f t="shared" si="25"/>
        <v>8</v>
      </c>
      <c r="BQ162" s="74" t="s">
        <v>178</v>
      </c>
      <c r="BR162" s="74" t="s">
        <v>1000</v>
      </c>
      <c r="BS162" s="74"/>
    </row>
    <row r="163" spans="1:71" hidden="1">
      <c r="A163">
        <v>149</v>
      </c>
      <c r="B163" s="75">
        <v>45733.132939814815</v>
      </c>
      <c r="C163" s="78">
        <v>0.57499999999999996</v>
      </c>
      <c r="D163" s="7">
        <v>45733</v>
      </c>
      <c r="E163" s="7">
        <v>45733</v>
      </c>
      <c r="F163">
        <v>703</v>
      </c>
      <c r="G163">
        <v>149</v>
      </c>
      <c r="H163" t="s">
        <v>1001</v>
      </c>
      <c r="I163" s="10" t="s">
        <v>1001</v>
      </c>
      <c r="J163" s="69">
        <v>45733</v>
      </c>
      <c r="K163" s="97">
        <f t="shared" si="28"/>
        <v>3</v>
      </c>
      <c r="L163" s="97">
        <v>161</v>
      </c>
      <c r="M163" s="7" t="s">
        <v>165</v>
      </c>
      <c r="N163" s="7" t="s">
        <v>234</v>
      </c>
      <c r="O163" s="7" t="s">
        <v>234</v>
      </c>
      <c r="P163" s="7" t="s">
        <v>1002</v>
      </c>
      <c r="Q163" s="100">
        <v>3</v>
      </c>
      <c r="R163" s="7" t="s">
        <v>184</v>
      </c>
      <c r="S163" s="7" t="s">
        <v>1003</v>
      </c>
      <c r="T163" t="s">
        <v>1004</v>
      </c>
      <c r="U163" t="s">
        <v>1005</v>
      </c>
      <c r="V163" t="s">
        <v>234</v>
      </c>
      <c r="W163" t="s">
        <v>800</v>
      </c>
      <c r="X163" s="36" t="s">
        <v>140</v>
      </c>
      <c r="Y163" s="36" t="s">
        <v>141</v>
      </c>
      <c r="Z163" s="36" t="s">
        <v>140</v>
      </c>
      <c r="AA163" s="36" t="s">
        <v>140</v>
      </c>
      <c r="AB163" s="36" t="s">
        <v>140</v>
      </c>
      <c r="AC163" s="36" t="s">
        <v>141</v>
      </c>
      <c r="AD163" s="36" t="s">
        <v>141</v>
      </c>
      <c r="AE163" s="36"/>
      <c r="AF163" s="36" t="s">
        <v>141</v>
      </c>
      <c r="AG163" s="36" t="s">
        <v>140</v>
      </c>
      <c r="AH163" s="36" t="s">
        <v>141</v>
      </c>
      <c r="AI163" s="36" t="s">
        <v>140</v>
      </c>
      <c r="AJ163" s="36" t="s">
        <v>141</v>
      </c>
      <c r="AK163" s="117"/>
      <c r="AL163" s="36" t="s">
        <v>141</v>
      </c>
      <c r="AM163" s="36" t="s">
        <v>141</v>
      </c>
      <c r="AN163" s="36" t="s">
        <v>140</v>
      </c>
      <c r="AO163" s="36" t="s">
        <v>141</v>
      </c>
      <c r="AP163" s="36" t="s">
        <v>140</v>
      </c>
      <c r="AQ163" s="36" t="s">
        <v>140</v>
      </c>
      <c r="AR163" s="36" t="s">
        <v>140</v>
      </c>
      <c r="AS163" s="36" t="s">
        <v>140</v>
      </c>
      <c r="AT163" s="36"/>
      <c r="AU163" s="36"/>
      <c r="AV163" s="36"/>
      <c r="AW163" s="117" t="s">
        <v>141</v>
      </c>
      <c r="AX163" s="117"/>
      <c r="AY163" s="36" t="s">
        <v>141</v>
      </c>
      <c r="AZ163" s="36" t="s">
        <v>141</v>
      </c>
      <c r="BA163" s="117" t="s">
        <v>140</v>
      </c>
      <c r="BB163" s="117" t="s">
        <v>140</v>
      </c>
      <c r="BC163" s="117" t="s">
        <v>140</v>
      </c>
      <c r="BD163" s="117" t="s">
        <v>141</v>
      </c>
      <c r="BE163" s="117"/>
      <c r="BF163" s="117" t="s">
        <v>141</v>
      </c>
      <c r="BG163" s="117" t="s">
        <v>140</v>
      </c>
      <c r="BH163" s="117" t="s">
        <v>140</v>
      </c>
      <c r="BI163" s="117"/>
      <c r="BJ163" s="117"/>
      <c r="BK163" s="117"/>
      <c r="BL163" s="117"/>
      <c r="BM163" s="117">
        <f t="shared" si="22"/>
        <v>14</v>
      </c>
      <c r="BN163" s="117">
        <f t="shared" si="23"/>
        <v>2</v>
      </c>
      <c r="BO163" s="117">
        <f t="shared" si="24"/>
        <v>3</v>
      </c>
      <c r="BP163" s="153">
        <f t="shared" si="25"/>
        <v>9</v>
      </c>
      <c r="BQ163" s="74" t="s">
        <v>273</v>
      </c>
      <c r="BR163" s="74"/>
      <c r="BS163" s="74"/>
    </row>
    <row r="164" spans="1:71" hidden="1">
      <c r="A164">
        <v>150</v>
      </c>
      <c r="B164" s="75">
        <v>45734.282152777778</v>
      </c>
      <c r="C164" s="78">
        <v>0.81041666666666667</v>
      </c>
      <c r="D164" s="7">
        <v>45734</v>
      </c>
      <c r="E164" s="7">
        <v>45734</v>
      </c>
      <c r="F164">
        <v>704</v>
      </c>
      <c r="G164">
        <v>150</v>
      </c>
      <c r="H164" t="s">
        <v>1006</v>
      </c>
      <c r="I164" s="10" t="s">
        <v>1006</v>
      </c>
      <c r="J164" s="69">
        <v>45734</v>
      </c>
      <c r="K164" s="97">
        <f t="shared" si="28"/>
        <v>3</v>
      </c>
      <c r="L164" s="97">
        <v>162</v>
      </c>
      <c r="M164" s="7" t="s">
        <v>181</v>
      </c>
      <c r="N164" s="7" t="s">
        <v>156</v>
      </c>
      <c r="O164" s="7" t="s">
        <v>156</v>
      </c>
      <c r="Q164" s="100">
        <v>1</v>
      </c>
      <c r="R164" s="7" t="s">
        <v>135</v>
      </c>
      <c r="S164" s="7" t="s">
        <v>1007</v>
      </c>
      <c r="T164" t="s">
        <v>1008</v>
      </c>
      <c r="U164" t="s">
        <v>1009</v>
      </c>
      <c r="V164" t="s">
        <v>162</v>
      </c>
      <c r="W164" t="s">
        <v>1010</v>
      </c>
      <c r="X164" s="36" t="s">
        <v>141</v>
      </c>
      <c r="Y164" s="36" t="s">
        <v>140</v>
      </c>
      <c r="Z164" s="36" t="s">
        <v>141</v>
      </c>
      <c r="AA164" s="36" t="s">
        <v>140</v>
      </c>
      <c r="AB164" s="36" t="s">
        <v>140</v>
      </c>
      <c r="AC164" s="36" t="s">
        <v>140</v>
      </c>
      <c r="AD164" s="36" t="s">
        <v>141</v>
      </c>
      <c r="AE164" s="36"/>
      <c r="AF164" s="36" t="s">
        <v>140</v>
      </c>
      <c r="AG164" s="36" t="s">
        <v>140</v>
      </c>
      <c r="AH164" s="36" t="s">
        <v>140</v>
      </c>
      <c r="AI164" s="36" t="s">
        <v>141</v>
      </c>
      <c r="AJ164" s="36" t="s">
        <v>140</v>
      </c>
      <c r="AK164" s="117"/>
      <c r="AL164" s="36" t="s">
        <v>140</v>
      </c>
      <c r="AM164" s="36" t="s">
        <v>141</v>
      </c>
      <c r="AN164" s="36" t="s">
        <v>141</v>
      </c>
      <c r="AO164" s="36" t="s">
        <v>141</v>
      </c>
      <c r="AP164" s="36" t="s">
        <v>140</v>
      </c>
      <c r="AQ164" s="36" t="s">
        <v>141</v>
      </c>
      <c r="AR164" s="36" t="s">
        <v>140</v>
      </c>
      <c r="AS164" s="36" t="s">
        <v>140</v>
      </c>
      <c r="AT164" s="36"/>
      <c r="AU164" s="36"/>
      <c r="AV164" s="36"/>
      <c r="AW164" s="117"/>
      <c r="AX164" s="117"/>
      <c r="AY164" s="36" t="s">
        <v>140</v>
      </c>
      <c r="AZ164" s="36" t="s">
        <v>141</v>
      </c>
      <c r="BA164" s="117" t="s">
        <v>140</v>
      </c>
      <c r="BB164" s="117" t="s">
        <v>140</v>
      </c>
      <c r="BC164" s="117" t="s">
        <v>140</v>
      </c>
      <c r="BD164" s="117" t="s">
        <v>141</v>
      </c>
      <c r="BE164" s="117"/>
      <c r="BF164" s="117"/>
      <c r="BG164" s="117" t="s">
        <v>140</v>
      </c>
      <c r="BH164" s="117" t="s">
        <v>140</v>
      </c>
      <c r="BI164" s="117"/>
      <c r="BJ164" s="117"/>
      <c r="BK164" s="117"/>
      <c r="BL164" s="117"/>
      <c r="BM164" s="117">
        <f t="shared" si="22"/>
        <v>10</v>
      </c>
      <c r="BN164" s="117">
        <f t="shared" si="23"/>
        <v>2</v>
      </c>
      <c r="BO164" s="117">
        <f t="shared" si="24"/>
        <v>3</v>
      </c>
      <c r="BP164" s="153">
        <f t="shared" si="25"/>
        <v>6</v>
      </c>
      <c r="BQ164" s="74" t="s">
        <v>840</v>
      </c>
      <c r="BR164" s="74" t="s">
        <v>1011</v>
      </c>
      <c r="BS164" s="74"/>
    </row>
    <row r="165" spans="1:71">
      <c r="A165">
        <v>151</v>
      </c>
      <c r="B165" s="75">
        <v>45734.842245370368</v>
      </c>
      <c r="C165" s="78">
        <v>0.37361111111111112</v>
      </c>
      <c r="D165" s="7">
        <v>45735</v>
      </c>
      <c r="E165" s="7">
        <v>45735</v>
      </c>
      <c r="F165">
        <v>705</v>
      </c>
      <c r="G165">
        <v>151</v>
      </c>
      <c r="H165" t="s">
        <v>1012</v>
      </c>
      <c r="I165" s="10" t="s">
        <v>1012</v>
      </c>
      <c r="J165" s="69">
        <v>45735</v>
      </c>
      <c r="K165" s="97">
        <f t="shared" si="28"/>
        <v>3</v>
      </c>
      <c r="L165" s="97">
        <v>163</v>
      </c>
      <c r="M165" s="7" t="s">
        <v>181</v>
      </c>
      <c r="N165" s="7" t="s">
        <v>1013</v>
      </c>
      <c r="O165" s="7" t="s">
        <v>1013</v>
      </c>
      <c r="Q165" s="100">
        <v>1</v>
      </c>
      <c r="R165" s="7" t="s">
        <v>135</v>
      </c>
      <c r="S165" s="7" t="s">
        <v>1014</v>
      </c>
      <c r="T165" t="s">
        <v>1015</v>
      </c>
      <c r="U165" t="s">
        <v>1016</v>
      </c>
      <c r="V165" t="s">
        <v>1017</v>
      </c>
      <c r="W165" t="s">
        <v>279</v>
      </c>
      <c r="X165" s="36" t="s">
        <v>140</v>
      </c>
      <c r="Y165" s="36" t="s">
        <v>140</v>
      </c>
      <c r="Z165" s="36" t="s">
        <v>140</v>
      </c>
      <c r="AA165" s="36" t="s">
        <v>140</v>
      </c>
      <c r="AB165" s="36" t="s">
        <v>141</v>
      </c>
      <c r="AC165" s="36" t="s">
        <v>141</v>
      </c>
      <c r="AD165" s="36" t="s">
        <v>141</v>
      </c>
      <c r="AE165" s="36"/>
      <c r="AF165" s="36" t="s">
        <v>140</v>
      </c>
      <c r="AG165" s="36" t="s">
        <v>140</v>
      </c>
      <c r="AH165" s="36" t="s">
        <v>141</v>
      </c>
      <c r="AI165" s="36" t="s">
        <v>140</v>
      </c>
      <c r="AJ165" s="36" t="s">
        <v>141</v>
      </c>
      <c r="AK165" s="117"/>
      <c r="AL165" s="36" t="s">
        <v>140</v>
      </c>
      <c r="AM165" s="36" t="s">
        <v>140</v>
      </c>
      <c r="AN165" s="36" t="s">
        <v>141</v>
      </c>
      <c r="AO165" s="36" t="s">
        <v>140</v>
      </c>
      <c r="AP165" s="36" t="s">
        <v>140</v>
      </c>
      <c r="AQ165" s="36" t="s">
        <v>140</v>
      </c>
      <c r="AR165" s="36" t="s">
        <v>141</v>
      </c>
      <c r="AS165" s="36" t="s">
        <v>141</v>
      </c>
      <c r="AT165" s="36" t="s">
        <v>141</v>
      </c>
      <c r="AU165" s="36"/>
      <c r="AV165" s="36"/>
      <c r="AW165" s="117"/>
      <c r="AX165" s="117"/>
      <c r="AY165" s="36" t="s">
        <v>140</v>
      </c>
      <c r="AZ165" s="36" t="s">
        <v>140</v>
      </c>
      <c r="BA165" s="117" t="s">
        <v>140</v>
      </c>
      <c r="BB165" s="117" t="s">
        <v>140</v>
      </c>
      <c r="BC165" s="117" t="s">
        <v>140</v>
      </c>
      <c r="BD165" s="117"/>
      <c r="BE165" s="117"/>
      <c r="BF165" s="117"/>
      <c r="BG165" s="117" t="s">
        <v>140</v>
      </c>
      <c r="BH165" s="117" t="s">
        <v>140</v>
      </c>
      <c r="BI165" s="117"/>
      <c r="BJ165" s="117"/>
      <c r="BK165" s="117"/>
      <c r="BL165" s="117"/>
      <c r="BM165" s="117">
        <f t="shared" si="22"/>
        <v>9</v>
      </c>
      <c r="BN165" s="117">
        <f t="shared" si="23"/>
        <v>4</v>
      </c>
      <c r="BO165" s="117">
        <f t="shared" si="24"/>
        <v>3</v>
      </c>
      <c r="BP165" s="153">
        <f t="shared" si="25"/>
        <v>6</v>
      </c>
      <c r="BQ165" s="74" t="s">
        <v>208</v>
      </c>
      <c r="BR165" s="74"/>
      <c r="BS165" s="74"/>
    </row>
    <row r="166" spans="1:71" hidden="1">
      <c r="A166">
        <v>152</v>
      </c>
      <c r="B166" s="75">
        <v>45735.111909722225</v>
      </c>
      <c r="C166" s="78">
        <v>0.63194444444444442</v>
      </c>
      <c r="D166" s="7">
        <v>45735</v>
      </c>
      <c r="E166" s="7">
        <v>45735</v>
      </c>
      <c r="F166">
        <v>706</v>
      </c>
      <c r="G166">
        <v>152</v>
      </c>
      <c r="H166" t="s">
        <v>1018</v>
      </c>
      <c r="I166" s="10" t="s">
        <v>1018</v>
      </c>
      <c r="J166" s="69">
        <v>45735</v>
      </c>
      <c r="K166" s="97">
        <f t="shared" si="28"/>
        <v>3</v>
      </c>
      <c r="L166" s="97">
        <v>164</v>
      </c>
      <c r="M166" s="7" t="s">
        <v>268</v>
      </c>
      <c r="N166" s="7" t="s">
        <v>156</v>
      </c>
      <c r="O166" s="7" t="s">
        <v>156</v>
      </c>
      <c r="P166" s="7" t="s">
        <v>796</v>
      </c>
      <c r="Q166" s="100">
        <v>2</v>
      </c>
      <c r="R166" s="7" t="s">
        <v>158</v>
      </c>
      <c r="S166" s="7" t="s">
        <v>797</v>
      </c>
      <c r="T166" t="s">
        <v>1019</v>
      </c>
      <c r="U166" t="s">
        <v>1020</v>
      </c>
      <c r="V166" t="s">
        <v>162</v>
      </c>
      <c r="W166" t="s">
        <v>170</v>
      </c>
      <c r="X166" s="36" t="s">
        <v>141</v>
      </c>
      <c r="Y166" s="36" t="s">
        <v>141</v>
      </c>
      <c r="Z166" s="36" t="s">
        <v>140</v>
      </c>
      <c r="AA166" s="36" t="s">
        <v>141</v>
      </c>
      <c r="AB166" s="36" t="s">
        <v>140</v>
      </c>
      <c r="AC166" s="36" t="s">
        <v>140</v>
      </c>
      <c r="AD166" s="36" t="s">
        <v>140</v>
      </c>
      <c r="AE166" s="36"/>
      <c r="AF166" s="36" t="s">
        <v>140</v>
      </c>
      <c r="AG166" s="36" t="s">
        <v>141</v>
      </c>
      <c r="AH166" s="36" t="s">
        <v>141</v>
      </c>
      <c r="AI166" s="36" t="s">
        <v>140</v>
      </c>
      <c r="AJ166" s="36" t="s">
        <v>141</v>
      </c>
      <c r="AK166" s="117"/>
      <c r="AL166" s="36" t="s">
        <v>140</v>
      </c>
      <c r="AM166" s="36" t="s">
        <v>140</v>
      </c>
      <c r="AN166" s="36" t="s">
        <v>141</v>
      </c>
      <c r="AO166" s="36" t="s">
        <v>140</v>
      </c>
      <c r="AP166" s="36" t="s">
        <v>140</v>
      </c>
      <c r="AQ166" s="36" t="s">
        <v>140</v>
      </c>
      <c r="AR166" s="36" t="s">
        <v>141</v>
      </c>
      <c r="AS166" s="36" t="s">
        <v>140</v>
      </c>
      <c r="AT166" s="36"/>
      <c r="AU166" s="36"/>
      <c r="AV166" s="36"/>
      <c r="AW166" s="117"/>
      <c r="AX166" s="117"/>
      <c r="AY166" s="36" t="s">
        <v>140</v>
      </c>
      <c r="AZ166" s="36" t="s">
        <v>141</v>
      </c>
      <c r="BA166" s="117" t="s">
        <v>140</v>
      </c>
      <c r="BB166" s="117" t="s">
        <v>140</v>
      </c>
      <c r="BC166" s="117" t="s">
        <v>140</v>
      </c>
      <c r="BD166" s="117"/>
      <c r="BE166" s="117"/>
      <c r="BF166" s="117" t="s">
        <v>141</v>
      </c>
      <c r="BG166" s="117" t="s">
        <v>140</v>
      </c>
      <c r="BH166" s="117" t="s">
        <v>140</v>
      </c>
      <c r="BI166" s="117"/>
      <c r="BJ166" s="117"/>
      <c r="BK166" s="117"/>
      <c r="BL166" s="117"/>
      <c r="BM166" s="117">
        <f t="shared" si="22"/>
        <v>10</v>
      </c>
      <c r="BN166" s="117">
        <f t="shared" si="23"/>
        <v>4</v>
      </c>
      <c r="BO166" s="117">
        <f t="shared" si="24"/>
        <v>3</v>
      </c>
      <c r="BP166" s="153">
        <f t="shared" si="25"/>
        <v>6</v>
      </c>
      <c r="BQ166" s="74" t="s">
        <v>840</v>
      </c>
      <c r="BR166" s="74" t="s">
        <v>1021</v>
      </c>
      <c r="BS166" s="74"/>
    </row>
    <row r="167" spans="1:71" hidden="1">
      <c r="A167">
        <v>153</v>
      </c>
      <c r="B167" s="75">
        <v>45735.409421296295</v>
      </c>
      <c r="E167" s="7">
        <v>45735</v>
      </c>
      <c r="F167">
        <v>707</v>
      </c>
      <c r="I167" s="10" t="s">
        <v>1022</v>
      </c>
      <c r="J167" s="69">
        <v>45735</v>
      </c>
      <c r="K167" s="97">
        <f t="shared" si="28"/>
        <v>3</v>
      </c>
      <c r="L167" s="97">
        <v>165</v>
      </c>
      <c r="O167" s="7" t="s">
        <v>740</v>
      </c>
      <c r="T167" t="s">
        <v>1023</v>
      </c>
      <c r="X167" s="36" t="s">
        <v>141</v>
      </c>
      <c r="Y167" s="36" t="s">
        <v>141</v>
      </c>
      <c r="Z167" s="36"/>
      <c r="AA167" s="36" t="s">
        <v>141</v>
      </c>
      <c r="AB167" s="36" t="s">
        <v>141</v>
      </c>
      <c r="AC167" s="36" t="s">
        <v>141</v>
      </c>
      <c r="AD167" s="36"/>
      <c r="AE167" s="36"/>
      <c r="AF167" s="36"/>
      <c r="AG167" s="36"/>
      <c r="AH167" s="36"/>
      <c r="AI167" s="36"/>
      <c r="AJ167" s="36" t="s">
        <v>141</v>
      </c>
      <c r="AK167" s="117"/>
      <c r="AL167" s="36" t="s">
        <v>141</v>
      </c>
      <c r="AM167" s="36" t="s">
        <v>141</v>
      </c>
      <c r="AN167" s="36"/>
      <c r="AO167" s="36" t="s">
        <v>141</v>
      </c>
      <c r="AP167" s="36"/>
      <c r="AQ167" s="36"/>
      <c r="AR167" s="36" t="s">
        <v>141</v>
      </c>
      <c r="AS167" s="36" t="s">
        <v>141</v>
      </c>
      <c r="AT167" s="36" t="s">
        <v>141</v>
      </c>
      <c r="AU167" s="36" t="s">
        <v>141</v>
      </c>
      <c r="AV167" s="36"/>
      <c r="AW167" s="117"/>
      <c r="AX167" s="117"/>
      <c r="AY167" s="36"/>
      <c r="AZ167" s="36"/>
      <c r="BA167" s="117" t="s">
        <v>141</v>
      </c>
      <c r="BB167" s="117"/>
      <c r="BC167" s="117"/>
      <c r="BD167" s="117"/>
      <c r="BE167" s="117" t="s">
        <v>141</v>
      </c>
      <c r="BF167" s="117" t="s">
        <v>141</v>
      </c>
      <c r="BG167" s="117"/>
      <c r="BH167" s="117"/>
      <c r="BI167" s="117"/>
      <c r="BJ167" s="117"/>
      <c r="BK167" s="117"/>
      <c r="BL167" s="117"/>
      <c r="BM167" s="117">
        <f t="shared" si="22"/>
        <v>16</v>
      </c>
      <c r="BN167" s="117">
        <f t="shared" si="23"/>
        <v>4</v>
      </c>
      <c r="BO167" s="117">
        <f t="shared" si="24"/>
        <v>5</v>
      </c>
      <c r="BP167" s="153">
        <f t="shared" si="25"/>
        <v>9</v>
      </c>
      <c r="BQ167" s="74" t="s">
        <v>358</v>
      </c>
      <c r="BR167" s="74"/>
      <c r="BS167" s="74"/>
    </row>
    <row r="168" spans="1:71" hidden="1">
      <c r="A168">
        <v>154</v>
      </c>
      <c r="B168" s="75">
        <v>45735.582592592589</v>
      </c>
      <c r="E168" s="7">
        <v>45736</v>
      </c>
      <c r="F168">
        <v>708</v>
      </c>
      <c r="I168" s="10" t="s">
        <v>1024</v>
      </c>
      <c r="J168" s="69">
        <v>45736</v>
      </c>
      <c r="K168" s="97">
        <f t="shared" si="28"/>
        <v>3</v>
      </c>
      <c r="L168" s="97">
        <v>166</v>
      </c>
      <c r="O168" s="7" t="s">
        <v>156</v>
      </c>
      <c r="T168" t="s">
        <v>1025</v>
      </c>
      <c r="X168" s="36"/>
      <c r="Y168" s="36" t="s">
        <v>141</v>
      </c>
      <c r="Z168" s="36"/>
      <c r="AA168" s="36" t="s">
        <v>141</v>
      </c>
      <c r="AB168" s="36"/>
      <c r="AC168" s="36"/>
      <c r="AD168" s="36"/>
      <c r="AE168" s="36"/>
      <c r="AF168" s="36"/>
      <c r="AG168" s="36"/>
      <c r="AH168" s="36" t="s">
        <v>141</v>
      </c>
      <c r="AI168" s="36" t="s">
        <v>141</v>
      </c>
      <c r="AJ168" s="36" t="s">
        <v>141</v>
      </c>
      <c r="AK168" s="117"/>
      <c r="AL168" s="36"/>
      <c r="AM168" s="36"/>
      <c r="AN168" s="36"/>
      <c r="AO168" s="36" t="s">
        <v>141</v>
      </c>
      <c r="AP168" s="36"/>
      <c r="AQ168" s="36"/>
      <c r="AR168" s="36"/>
      <c r="AS168" s="36" t="s">
        <v>141</v>
      </c>
      <c r="AT168" s="36" t="s">
        <v>141</v>
      </c>
      <c r="AU168" s="36"/>
      <c r="AV168" s="36"/>
      <c r="AW168" s="117"/>
      <c r="AX168" s="117"/>
      <c r="AY168" s="36"/>
      <c r="AZ168" s="36"/>
      <c r="BA168" s="117"/>
      <c r="BB168" s="117"/>
      <c r="BC168" s="117"/>
      <c r="BD168" s="117"/>
      <c r="BE168" s="117" t="s">
        <v>141</v>
      </c>
      <c r="BF168" s="117"/>
      <c r="BG168" s="117"/>
      <c r="BH168" s="117"/>
      <c r="BI168" s="117"/>
      <c r="BJ168" s="117"/>
      <c r="BK168" s="117"/>
      <c r="BL168" s="117"/>
      <c r="BM168" s="117">
        <f t="shared" si="22"/>
        <v>9</v>
      </c>
      <c r="BN168" s="117">
        <f t="shared" si="23"/>
        <v>2</v>
      </c>
      <c r="BO168" s="117">
        <f t="shared" si="24"/>
        <v>2</v>
      </c>
      <c r="BP168" s="153">
        <f t="shared" si="25"/>
        <v>6</v>
      </c>
      <c r="BQ168" s="74" t="s">
        <v>502</v>
      </c>
      <c r="BR168" s="74"/>
      <c r="BS168" s="74"/>
    </row>
    <row r="169" spans="1:71" hidden="1">
      <c r="A169">
        <v>155</v>
      </c>
      <c r="B169" s="75">
        <v>45735.900937500002</v>
      </c>
      <c r="E169" s="7">
        <v>45736</v>
      </c>
      <c r="F169">
        <v>709</v>
      </c>
      <c r="I169" s="10" t="s">
        <v>1026</v>
      </c>
      <c r="J169" s="69">
        <v>45736</v>
      </c>
      <c r="K169" s="97">
        <f t="shared" si="28"/>
        <v>3</v>
      </c>
      <c r="L169" s="97">
        <v>167</v>
      </c>
      <c r="O169" s="7" t="s">
        <v>156</v>
      </c>
      <c r="T169" t="s">
        <v>1027</v>
      </c>
      <c r="X169" s="36"/>
      <c r="Y169" s="36"/>
      <c r="Z169" s="36"/>
      <c r="AA169" s="36" t="s">
        <v>141</v>
      </c>
      <c r="AB169" s="36" t="s">
        <v>141</v>
      </c>
      <c r="AC169" s="36"/>
      <c r="AD169" s="36" t="s">
        <v>141</v>
      </c>
      <c r="AE169" s="36"/>
      <c r="AF169" s="36" t="s">
        <v>141</v>
      </c>
      <c r="AG169" s="36"/>
      <c r="AH169" s="36" t="s">
        <v>141</v>
      </c>
      <c r="AI169" s="36" t="s">
        <v>141</v>
      </c>
      <c r="AJ169" s="36" t="s">
        <v>141</v>
      </c>
      <c r="AK169" s="117"/>
      <c r="AL169" s="36"/>
      <c r="AM169" s="36"/>
      <c r="AN169" s="36"/>
      <c r="AO169" s="36" t="s">
        <v>141</v>
      </c>
      <c r="AP169" s="36"/>
      <c r="AQ169" s="36"/>
      <c r="AR169" s="36"/>
      <c r="AS169" s="36" t="s">
        <v>141</v>
      </c>
      <c r="AT169" s="36" t="s">
        <v>141</v>
      </c>
      <c r="AU169" s="36"/>
      <c r="AV169" s="36"/>
      <c r="AW169" s="117"/>
      <c r="AX169" s="117"/>
      <c r="AY169" s="36"/>
      <c r="AZ169" s="36" t="s">
        <v>141</v>
      </c>
      <c r="BA169" s="117"/>
      <c r="BB169" s="117"/>
      <c r="BC169" s="117"/>
      <c r="BD169" s="117"/>
      <c r="BE169" s="117"/>
      <c r="BF169" s="117"/>
      <c r="BG169" s="117"/>
      <c r="BH169" s="117"/>
      <c r="BI169" s="117"/>
      <c r="BJ169" s="117"/>
      <c r="BK169" s="117"/>
      <c r="BL169" s="117"/>
      <c r="BM169" s="117">
        <f t="shared" si="22"/>
        <v>11</v>
      </c>
      <c r="BN169" s="117">
        <f t="shared" si="23"/>
        <v>2</v>
      </c>
      <c r="BO169" s="117">
        <f t="shared" si="24"/>
        <v>3</v>
      </c>
      <c r="BP169" s="153">
        <f t="shared" si="25"/>
        <v>8</v>
      </c>
      <c r="BQ169" s="74" t="s">
        <v>208</v>
      </c>
      <c r="BR169" s="74"/>
      <c r="BS169" s="74"/>
    </row>
    <row r="170" spans="1:71" hidden="1">
      <c r="A170">
        <v>156</v>
      </c>
      <c r="B170" s="75">
        <v>45736.880173611113</v>
      </c>
      <c r="E170" s="7">
        <v>45737</v>
      </c>
      <c r="F170">
        <v>710</v>
      </c>
      <c r="I170" s="10" t="s">
        <v>1028</v>
      </c>
      <c r="J170" s="69">
        <v>45737</v>
      </c>
      <c r="K170" s="97">
        <f t="shared" si="28"/>
        <v>3</v>
      </c>
      <c r="L170" s="97">
        <v>168</v>
      </c>
      <c r="O170" s="7" t="s">
        <v>1029</v>
      </c>
      <c r="T170" t="s">
        <v>1030</v>
      </c>
      <c r="X170" s="36" t="s">
        <v>141</v>
      </c>
      <c r="Y170" s="36"/>
      <c r="Z170" s="36"/>
      <c r="AA170" s="36" t="s">
        <v>141</v>
      </c>
      <c r="AB170" s="36" t="s">
        <v>141</v>
      </c>
      <c r="AC170" s="36" t="s">
        <v>141</v>
      </c>
      <c r="AD170" s="36" t="s">
        <v>141</v>
      </c>
      <c r="AE170" s="36"/>
      <c r="AF170" s="36" t="s">
        <v>141</v>
      </c>
      <c r="AG170" s="36"/>
      <c r="AH170" s="36"/>
      <c r="AI170" s="36"/>
      <c r="AJ170" s="36" t="s">
        <v>141</v>
      </c>
      <c r="AK170" s="117" t="s">
        <v>141</v>
      </c>
      <c r="AL170" s="36"/>
      <c r="AM170" s="36"/>
      <c r="AN170" s="36"/>
      <c r="AO170" s="36"/>
      <c r="AP170" s="36"/>
      <c r="AQ170" s="36"/>
      <c r="AR170" s="36"/>
      <c r="AS170" s="36" t="s">
        <v>141</v>
      </c>
      <c r="AT170" s="36" t="s">
        <v>141</v>
      </c>
      <c r="AU170" s="36"/>
      <c r="AV170" s="36"/>
      <c r="AW170" s="117"/>
      <c r="AX170" s="117"/>
      <c r="AY170" s="36"/>
      <c r="AZ170" s="36"/>
      <c r="BA170" s="117"/>
      <c r="BB170" s="117"/>
      <c r="BC170" s="117"/>
      <c r="BD170" s="117"/>
      <c r="BE170" s="117"/>
      <c r="BF170" s="117"/>
      <c r="BG170" s="117"/>
      <c r="BH170" s="117"/>
      <c r="BI170" s="117"/>
      <c r="BJ170" s="117"/>
      <c r="BK170" s="117"/>
      <c r="BL170" s="117"/>
      <c r="BM170" s="117">
        <f t="shared" si="22"/>
        <v>10</v>
      </c>
      <c r="BN170" s="117">
        <f t="shared" si="23"/>
        <v>3</v>
      </c>
      <c r="BO170" s="117">
        <f t="shared" si="24"/>
        <v>5</v>
      </c>
      <c r="BP170" s="153">
        <f t="shared" si="25"/>
        <v>5</v>
      </c>
      <c r="BQ170" s="74" t="s">
        <v>152</v>
      </c>
      <c r="BR170" s="74"/>
      <c r="BS170" s="74"/>
    </row>
    <row r="171" spans="1:71" hidden="1">
      <c r="A171">
        <v>157</v>
      </c>
      <c r="B171" s="75">
        <v>45737.039456018516</v>
      </c>
      <c r="E171" s="7">
        <v>45737</v>
      </c>
      <c r="F171">
        <v>711</v>
      </c>
      <c r="I171" s="10" t="s">
        <v>1031</v>
      </c>
      <c r="J171" s="69">
        <v>45737</v>
      </c>
      <c r="K171" s="97">
        <f t="shared" si="28"/>
        <v>3</v>
      </c>
      <c r="L171" s="97">
        <v>169</v>
      </c>
      <c r="O171" s="7" t="s">
        <v>197</v>
      </c>
      <c r="T171" t="s">
        <v>1032</v>
      </c>
      <c r="X171" s="36" t="s">
        <v>141</v>
      </c>
      <c r="Y171" s="36"/>
      <c r="Z171" s="36"/>
      <c r="AA171" s="36"/>
      <c r="AB171" s="36"/>
      <c r="AC171" s="36"/>
      <c r="AD171" s="36" t="s">
        <v>141</v>
      </c>
      <c r="AE171" s="36" t="s">
        <v>141</v>
      </c>
      <c r="AF171" s="36" t="s">
        <v>141</v>
      </c>
      <c r="AG171" s="36"/>
      <c r="AH171" s="36"/>
      <c r="AI171" s="36"/>
      <c r="AJ171" s="36" t="s">
        <v>141</v>
      </c>
      <c r="AK171" s="117"/>
      <c r="AL171" s="36"/>
      <c r="AM171" s="36"/>
      <c r="AN171" s="36" t="s">
        <v>141</v>
      </c>
      <c r="AO171" s="36"/>
      <c r="AP171" s="36" t="s">
        <v>141</v>
      </c>
      <c r="AQ171" s="36"/>
      <c r="AR171" s="36" t="s">
        <v>141</v>
      </c>
      <c r="AS171" s="36"/>
      <c r="AT171" s="36" t="s">
        <v>141</v>
      </c>
      <c r="AU171" s="36"/>
      <c r="AV171" s="36"/>
      <c r="AW171" s="117"/>
      <c r="AX171" s="117"/>
      <c r="AY171" s="36"/>
      <c r="AZ171" s="36"/>
      <c r="BA171" s="117"/>
      <c r="BB171" s="117" t="s">
        <v>141</v>
      </c>
      <c r="BC171" s="117"/>
      <c r="BD171" s="117"/>
      <c r="BE171" s="117"/>
      <c r="BF171" s="117" t="s">
        <v>141</v>
      </c>
      <c r="BG171" s="117"/>
      <c r="BH171" s="117"/>
      <c r="BI171" s="117"/>
      <c r="BJ171" s="117"/>
      <c r="BK171" s="117"/>
      <c r="BL171" s="117"/>
      <c r="BM171" s="117">
        <f t="shared" si="22"/>
        <v>11</v>
      </c>
      <c r="BN171" s="117">
        <f t="shared" si="23"/>
        <v>3</v>
      </c>
      <c r="BO171" s="117">
        <f t="shared" si="24"/>
        <v>2</v>
      </c>
      <c r="BP171" s="153">
        <f t="shared" si="25"/>
        <v>8</v>
      </c>
      <c r="BQ171" s="74" t="s">
        <v>1033</v>
      </c>
      <c r="BR171" s="74"/>
      <c r="BS171" s="74"/>
    </row>
    <row r="172" spans="1:71" hidden="1">
      <c r="A172">
        <v>158</v>
      </c>
      <c r="B172" s="75">
        <v>45737.880682870367</v>
      </c>
      <c r="E172" s="7">
        <v>45738</v>
      </c>
      <c r="F172">
        <v>712</v>
      </c>
      <c r="I172" s="10" t="s">
        <v>1034</v>
      </c>
      <c r="J172" s="69">
        <v>45738</v>
      </c>
      <c r="K172" s="97">
        <f t="shared" ref="K172:K178" si="29">MONTH($J172)</f>
        <v>3</v>
      </c>
      <c r="L172" s="97">
        <v>170</v>
      </c>
      <c r="O172" s="7" t="s">
        <v>234</v>
      </c>
      <c r="T172" t="s">
        <v>1035</v>
      </c>
      <c r="X172" s="36"/>
      <c r="Y172" s="36"/>
      <c r="Z172" s="36"/>
      <c r="AA172" s="36" t="s">
        <v>141</v>
      </c>
      <c r="AB172" s="36" t="s">
        <v>141</v>
      </c>
      <c r="AC172" s="36"/>
      <c r="AD172" s="36" t="s">
        <v>141</v>
      </c>
      <c r="AE172" s="36"/>
      <c r="AF172" s="36"/>
      <c r="AG172" s="36"/>
      <c r="AH172" s="36"/>
      <c r="AI172" s="36" t="s">
        <v>141</v>
      </c>
      <c r="AJ172" s="36" t="s">
        <v>141</v>
      </c>
      <c r="AK172" s="117" t="s">
        <v>141</v>
      </c>
      <c r="AL172" s="36" t="s">
        <v>141</v>
      </c>
      <c r="AM172" s="36"/>
      <c r="AN172" s="36"/>
      <c r="AO172" s="36"/>
      <c r="AP172" s="36" t="s">
        <v>141</v>
      </c>
      <c r="AQ172" s="36"/>
      <c r="AR172" s="36" t="s">
        <v>141</v>
      </c>
      <c r="AS172" s="36"/>
      <c r="AT172" s="36" t="s">
        <v>141</v>
      </c>
      <c r="AU172" s="36"/>
      <c r="AV172" s="36"/>
      <c r="AW172" s="117"/>
      <c r="AX172" s="117"/>
      <c r="AY172" s="36"/>
      <c r="AZ172" s="36"/>
      <c r="BA172" s="117" t="s">
        <v>141</v>
      </c>
      <c r="BB172" s="117"/>
      <c r="BC172" s="117"/>
      <c r="BD172" s="117"/>
      <c r="BE172" s="117"/>
      <c r="BF172" s="117" t="s">
        <v>141</v>
      </c>
      <c r="BG172" s="117"/>
      <c r="BH172" s="117"/>
      <c r="BI172" s="117"/>
      <c r="BJ172" s="117"/>
      <c r="BK172" s="117"/>
      <c r="BL172" s="117"/>
      <c r="BM172" s="117">
        <f t="shared" si="22"/>
        <v>12</v>
      </c>
      <c r="BN172" s="117">
        <f t="shared" si="23"/>
        <v>3</v>
      </c>
      <c r="BO172" s="117">
        <f t="shared" si="24"/>
        <v>3</v>
      </c>
      <c r="BP172" s="153">
        <f t="shared" si="25"/>
        <v>8</v>
      </c>
      <c r="BQ172" s="74" t="s">
        <v>308</v>
      </c>
      <c r="BR172" s="74"/>
      <c r="BS172" s="74"/>
    </row>
    <row r="173" spans="1:71" hidden="1">
      <c r="A173">
        <v>159</v>
      </c>
      <c r="B173" s="75">
        <v>45738.280729166669</v>
      </c>
      <c r="E173" s="7">
        <v>45738</v>
      </c>
      <c r="F173">
        <v>713</v>
      </c>
      <c r="I173" s="10" t="s">
        <v>1036</v>
      </c>
      <c r="J173" s="69">
        <v>45738</v>
      </c>
      <c r="K173" s="97">
        <f t="shared" si="29"/>
        <v>3</v>
      </c>
      <c r="L173" s="97">
        <v>171</v>
      </c>
      <c r="O173" s="7" t="s">
        <v>254</v>
      </c>
      <c r="T173" t="s">
        <v>1037</v>
      </c>
      <c r="X173" s="36"/>
      <c r="Y173" s="36" t="s">
        <v>141</v>
      </c>
      <c r="Z173" s="36" t="s">
        <v>141</v>
      </c>
      <c r="AA173" s="36" t="s">
        <v>141</v>
      </c>
      <c r="AB173" s="36" t="s">
        <v>141</v>
      </c>
      <c r="AC173" s="36"/>
      <c r="AD173" s="36" t="s">
        <v>141</v>
      </c>
      <c r="AE173" s="36"/>
      <c r="AF173" s="36"/>
      <c r="AG173" s="36"/>
      <c r="AH173" s="36"/>
      <c r="AI173" s="36"/>
      <c r="AJ173" s="36"/>
      <c r="AK173" s="117" t="s">
        <v>141</v>
      </c>
      <c r="AL173" s="36"/>
      <c r="AM173" s="36"/>
      <c r="AN173" s="36"/>
      <c r="AO173" s="36"/>
      <c r="AP173" s="36" t="s">
        <v>141</v>
      </c>
      <c r="AQ173" s="36"/>
      <c r="AR173" s="36" t="s">
        <v>141</v>
      </c>
      <c r="AS173" s="36" t="s">
        <v>141</v>
      </c>
      <c r="AT173" s="36"/>
      <c r="AU173" s="36"/>
      <c r="AV173" s="36"/>
      <c r="AW173" s="117"/>
      <c r="AX173" s="117"/>
      <c r="AY173" s="36"/>
      <c r="AZ173" s="36"/>
      <c r="BA173" s="117"/>
      <c r="BB173" s="117"/>
      <c r="BC173" s="117"/>
      <c r="BD173" s="117"/>
      <c r="BE173" s="117"/>
      <c r="BF173" s="117"/>
      <c r="BG173" s="117"/>
      <c r="BH173" s="117"/>
      <c r="BI173" s="117"/>
      <c r="BJ173" s="117"/>
      <c r="BK173" s="117"/>
      <c r="BL173" s="117"/>
      <c r="BM173" s="117">
        <f t="shared" si="22"/>
        <v>9</v>
      </c>
      <c r="BN173" s="117">
        <f t="shared" si="23"/>
        <v>3</v>
      </c>
      <c r="BO173" s="117">
        <f t="shared" si="24"/>
        <v>5</v>
      </c>
      <c r="BP173" s="153">
        <f t="shared" si="25"/>
        <v>4</v>
      </c>
      <c r="BQ173" s="74" t="s">
        <v>208</v>
      </c>
      <c r="BR173" s="74"/>
      <c r="BS173" s="74"/>
    </row>
    <row r="174" spans="1:71" hidden="1">
      <c r="A174">
        <v>160</v>
      </c>
      <c r="B174" s="75">
        <v>45738.308842592596</v>
      </c>
      <c r="E174" s="7">
        <v>45738</v>
      </c>
      <c r="F174">
        <v>714</v>
      </c>
      <c r="I174" s="10" t="s">
        <v>1038</v>
      </c>
      <c r="J174" s="69">
        <v>45738</v>
      </c>
      <c r="K174" s="97">
        <f t="shared" si="29"/>
        <v>3</v>
      </c>
      <c r="L174" s="97">
        <v>172</v>
      </c>
      <c r="O174" s="7" t="s">
        <v>254</v>
      </c>
      <c r="T174" t="s">
        <v>1039</v>
      </c>
      <c r="X174" s="36"/>
      <c r="Y174" s="36" t="s">
        <v>141</v>
      </c>
      <c r="Z174" s="36"/>
      <c r="AA174" s="36" t="s">
        <v>141</v>
      </c>
      <c r="AB174" s="36" t="s">
        <v>141</v>
      </c>
      <c r="AC174" s="36"/>
      <c r="AD174" s="36" t="s">
        <v>141</v>
      </c>
      <c r="AE174" s="36"/>
      <c r="AF174" s="36"/>
      <c r="AG174" s="36"/>
      <c r="AH174" s="36"/>
      <c r="AI174" s="36"/>
      <c r="AJ174" s="36"/>
      <c r="AK174" s="117" t="s">
        <v>141</v>
      </c>
      <c r="AL174" s="36"/>
      <c r="AM174" s="36"/>
      <c r="AN174" s="36"/>
      <c r="AO174" s="36"/>
      <c r="AP174" s="36" t="s">
        <v>141</v>
      </c>
      <c r="AQ174" s="36"/>
      <c r="AR174" s="36" t="s">
        <v>141</v>
      </c>
      <c r="AS174" s="36" t="s">
        <v>141</v>
      </c>
      <c r="AT174" s="36"/>
      <c r="AU174" s="36" t="s">
        <v>141</v>
      </c>
      <c r="AV174" s="36"/>
      <c r="AW174" s="117"/>
      <c r="AX174" s="117"/>
      <c r="AY174" s="36"/>
      <c r="AZ174" s="36"/>
      <c r="BA174" s="117"/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>
        <f t="shared" si="22"/>
        <v>9</v>
      </c>
      <c r="BN174" s="117">
        <f t="shared" si="23"/>
        <v>3</v>
      </c>
      <c r="BO174" s="117">
        <f t="shared" si="24"/>
        <v>4</v>
      </c>
      <c r="BP174" s="153">
        <f t="shared" si="25"/>
        <v>5</v>
      </c>
      <c r="BQ174" s="74" t="s">
        <v>208</v>
      </c>
      <c r="BR174" s="74"/>
      <c r="BS174" s="74"/>
    </row>
    <row r="175" spans="1:71" hidden="1">
      <c r="A175">
        <v>161</v>
      </c>
      <c r="B175" s="75">
        <v>45738.397453703707</v>
      </c>
      <c r="E175" s="7">
        <v>45738</v>
      </c>
      <c r="F175">
        <v>715</v>
      </c>
      <c r="I175" s="10" t="s">
        <v>1040</v>
      </c>
      <c r="J175" s="69">
        <v>45738</v>
      </c>
      <c r="K175" s="97">
        <f t="shared" si="29"/>
        <v>3</v>
      </c>
      <c r="L175" s="97">
        <v>173</v>
      </c>
      <c r="O175" s="7" t="s">
        <v>197</v>
      </c>
      <c r="T175" t="s">
        <v>1041</v>
      </c>
      <c r="X175" s="36"/>
      <c r="Y175" s="36" t="s">
        <v>141</v>
      </c>
      <c r="Z175" s="36"/>
      <c r="AA175" s="36" t="s">
        <v>141</v>
      </c>
      <c r="AB175" s="36" t="s">
        <v>141</v>
      </c>
      <c r="AC175" s="36"/>
      <c r="AD175" s="36"/>
      <c r="AE175" s="36"/>
      <c r="AF175" s="36"/>
      <c r="AG175" s="36"/>
      <c r="AH175" s="36"/>
      <c r="AI175" s="36"/>
      <c r="AJ175" s="36"/>
      <c r="AK175" s="117" t="s">
        <v>141</v>
      </c>
      <c r="AL175" s="36" t="s">
        <v>141</v>
      </c>
      <c r="AM175" s="36"/>
      <c r="AN175" s="36"/>
      <c r="AO175" s="36" t="s">
        <v>141</v>
      </c>
      <c r="AP175" s="36" t="s">
        <v>141</v>
      </c>
      <c r="AQ175" s="36"/>
      <c r="AR175" s="36" t="s">
        <v>141</v>
      </c>
      <c r="AS175" s="36" t="s">
        <v>141</v>
      </c>
      <c r="AT175" s="36"/>
      <c r="AU175" s="36"/>
      <c r="AV175" s="36"/>
      <c r="AW175" s="117"/>
      <c r="AX175" s="117"/>
      <c r="AY175" s="36"/>
      <c r="AZ175" s="36"/>
      <c r="BA175" s="117"/>
      <c r="BB175" s="117"/>
      <c r="BC175" s="117"/>
      <c r="BD175" s="117"/>
      <c r="BE175" s="117"/>
      <c r="BF175" s="117"/>
      <c r="BG175" s="117" t="s">
        <v>141</v>
      </c>
      <c r="BH175" s="117"/>
      <c r="BI175" s="117"/>
      <c r="BJ175" s="117"/>
      <c r="BK175" s="117"/>
      <c r="BL175" s="117"/>
      <c r="BM175" s="117">
        <f t="shared" si="22"/>
        <v>9</v>
      </c>
      <c r="BN175" s="117">
        <f t="shared" si="23"/>
        <v>3</v>
      </c>
      <c r="BO175" s="117">
        <f t="shared" si="24"/>
        <v>3</v>
      </c>
      <c r="BP175" s="153">
        <f t="shared" si="25"/>
        <v>6</v>
      </c>
      <c r="BQ175" s="74" t="s">
        <v>208</v>
      </c>
      <c r="BR175" s="74"/>
      <c r="BS175" s="74"/>
    </row>
    <row r="176" spans="1:71" hidden="1">
      <c r="A176">
        <v>162</v>
      </c>
      <c r="B176" s="75">
        <v>45739.057280092595</v>
      </c>
      <c r="E176" s="7">
        <v>45737</v>
      </c>
      <c r="F176">
        <v>716</v>
      </c>
      <c r="I176" s="10" t="s">
        <v>1042</v>
      </c>
      <c r="J176" s="69">
        <v>45739</v>
      </c>
      <c r="K176" s="97">
        <f t="shared" si="29"/>
        <v>3</v>
      </c>
      <c r="L176" s="97">
        <v>174</v>
      </c>
      <c r="O176" s="7" t="s">
        <v>134</v>
      </c>
      <c r="T176" t="s">
        <v>1043</v>
      </c>
      <c r="X176" s="36" t="s">
        <v>141</v>
      </c>
      <c r="Y176" s="36"/>
      <c r="Z176" s="36"/>
      <c r="AA176" s="36"/>
      <c r="AB176" s="36"/>
      <c r="AC176" s="36"/>
      <c r="AD176" s="36"/>
      <c r="AE176" s="36" t="s">
        <v>141</v>
      </c>
      <c r="AF176" s="36" t="s">
        <v>141</v>
      </c>
      <c r="AG176" s="36" t="s">
        <v>141</v>
      </c>
      <c r="AH176" s="36" t="s">
        <v>141</v>
      </c>
      <c r="AI176" s="36" t="s">
        <v>141</v>
      </c>
      <c r="AJ176" s="36" t="s">
        <v>141</v>
      </c>
      <c r="AK176" s="117"/>
      <c r="AL176" s="36"/>
      <c r="AM176" s="36"/>
      <c r="AN176" s="36"/>
      <c r="AO176" s="36"/>
      <c r="AP176" s="36" t="s">
        <v>141</v>
      </c>
      <c r="AQ176" s="36"/>
      <c r="AR176" s="36"/>
      <c r="AS176" s="36"/>
      <c r="AT176" s="36" t="s">
        <v>141</v>
      </c>
      <c r="AU176" s="36"/>
      <c r="AV176" s="36"/>
      <c r="AW176" s="117"/>
      <c r="AX176" s="117" t="s">
        <v>141</v>
      </c>
      <c r="AY176" s="36"/>
      <c r="AZ176" s="36" t="s">
        <v>141</v>
      </c>
      <c r="BA176" s="117" t="s">
        <v>141</v>
      </c>
      <c r="BB176" s="117" t="s">
        <v>141</v>
      </c>
      <c r="BC176" s="117" t="s">
        <v>141</v>
      </c>
      <c r="BD176" s="117"/>
      <c r="BE176" s="117" t="s">
        <v>141</v>
      </c>
      <c r="BF176" s="117" t="s">
        <v>141</v>
      </c>
      <c r="BG176" s="117" t="s">
        <v>141</v>
      </c>
      <c r="BH176" s="117"/>
      <c r="BI176" s="117"/>
      <c r="BJ176" s="117"/>
      <c r="BK176" s="117"/>
      <c r="BL176" s="117"/>
      <c r="BM176" s="117">
        <f t="shared" si="22"/>
        <v>16</v>
      </c>
      <c r="BN176" s="117">
        <f t="shared" si="23"/>
        <v>2</v>
      </c>
      <c r="BO176" s="117">
        <f t="shared" si="24"/>
        <v>1</v>
      </c>
      <c r="BP176" s="153">
        <f t="shared" si="25"/>
        <v>13</v>
      </c>
      <c r="BQ176" s="74" t="s">
        <v>1044</v>
      </c>
      <c r="BR176" s="74"/>
      <c r="BS176" s="74"/>
    </row>
    <row r="177" spans="1:71" hidden="1">
      <c r="A177">
        <v>163</v>
      </c>
      <c r="B177" s="75">
        <v>45739.220127314817</v>
      </c>
      <c r="E177" s="7">
        <v>45739</v>
      </c>
      <c r="F177">
        <v>717</v>
      </c>
      <c r="I177" s="10" t="s">
        <v>1045</v>
      </c>
      <c r="J177" s="69">
        <v>45739</v>
      </c>
      <c r="K177" s="97">
        <f t="shared" si="29"/>
        <v>3</v>
      </c>
      <c r="L177" s="97">
        <v>175</v>
      </c>
      <c r="O177" s="7" t="s">
        <v>197</v>
      </c>
      <c r="T177" t="s">
        <v>1046</v>
      </c>
      <c r="X177" s="36"/>
      <c r="Y177" s="36" t="s">
        <v>141</v>
      </c>
      <c r="Z177" s="36" t="s">
        <v>141</v>
      </c>
      <c r="AA177" s="36" t="s">
        <v>141</v>
      </c>
      <c r="AB177" s="36"/>
      <c r="AC177" s="36" t="s">
        <v>141</v>
      </c>
      <c r="AD177" s="36"/>
      <c r="AE177" s="36"/>
      <c r="AF177" s="36"/>
      <c r="AG177" s="36" t="s">
        <v>141</v>
      </c>
      <c r="AH177" s="36"/>
      <c r="AI177" s="36"/>
      <c r="AJ177" s="36"/>
      <c r="AK177" s="117" t="s">
        <v>141</v>
      </c>
      <c r="AL177" s="36"/>
      <c r="AM177" s="36"/>
      <c r="AN177" s="36"/>
      <c r="AO177" s="36"/>
      <c r="AP177" s="36" t="s">
        <v>141</v>
      </c>
      <c r="AQ177" s="36" t="s">
        <v>141</v>
      </c>
      <c r="AR177" s="36"/>
      <c r="AS177" s="36"/>
      <c r="AT177" s="36"/>
      <c r="AU177" s="36"/>
      <c r="AV177" s="36"/>
      <c r="AW177" s="117"/>
      <c r="AX177" s="117"/>
      <c r="AY177" s="36"/>
      <c r="AZ177" s="36"/>
      <c r="BA177" s="117"/>
      <c r="BB177" s="117"/>
      <c r="BC177" s="117"/>
      <c r="BD177" s="117" t="s">
        <v>141</v>
      </c>
      <c r="BE177" s="117"/>
      <c r="BF177" s="117"/>
      <c r="BG177" s="117"/>
      <c r="BH177" s="117"/>
      <c r="BI177" s="117"/>
      <c r="BJ177" s="117"/>
      <c r="BK177" s="117"/>
      <c r="BL177" s="117"/>
      <c r="BM177" s="117">
        <f t="shared" si="22"/>
        <v>9</v>
      </c>
      <c r="BN177" s="117">
        <f t="shared" si="23"/>
        <v>2</v>
      </c>
      <c r="BO177" s="117">
        <f t="shared" si="24"/>
        <v>4</v>
      </c>
      <c r="BP177" s="153">
        <f t="shared" si="25"/>
        <v>4</v>
      </c>
      <c r="BQ177" s="74" t="s">
        <v>178</v>
      </c>
      <c r="BR177" s="74"/>
      <c r="BS177" s="74"/>
    </row>
    <row r="178" spans="1:71" hidden="1">
      <c r="A178">
        <v>164</v>
      </c>
      <c r="B178" s="75">
        <v>45739.261458333334</v>
      </c>
      <c r="E178" s="7">
        <v>45739</v>
      </c>
      <c r="F178">
        <v>718</v>
      </c>
      <c r="I178" s="10" t="s">
        <v>1047</v>
      </c>
      <c r="J178" s="69">
        <v>45739</v>
      </c>
      <c r="K178" s="97">
        <f t="shared" si="29"/>
        <v>3</v>
      </c>
      <c r="L178" s="97">
        <v>176</v>
      </c>
      <c r="O178" s="7" t="s">
        <v>1048</v>
      </c>
      <c r="T178" t="s">
        <v>1049</v>
      </c>
      <c r="X178" s="36"/>
      <c r="Y178" s="36"/>
      <c r="Z178" s="36" t="s">
        <v>141</v>
      </c>
      <c r="AA178" s="36"/>
      <c r="AB178" s="36"/>
      <c r="AC178" s="36" t="s">
        <v>141</v>
      </c>
      <c r="AD178" s="36"/>
      <c r="AE178" s="36"/>
      <c r="AF178" s="36"/>
      <c r="AG178" s="36" t="s">
        <v>141</v>
      </c>
      <c r="AH178" s="36"/>
      <c r="AI178" s="36"/>
      <c r="AJ178" s="36"/>
      <c r="AK178" s="117" t="s">
        <v>141</v>
      </c>
      <c r="AL178" s="36"/>
      <c r="AM178" s="36"/>
      <c r="AN178" s="36"/>
      <c r="AO178" s="36"/>
      <c r="AP178" s="36" t="s">
        <v>141</v>
      </c>
      <c r="AQ178" s="36"/>
      <c r="AR178" s="36"/>
      <c r="AS178" s="36"/>
      <c r="AT178" s="36"/>
      <c r="AU178" s="36"/>
      <c r="AV178" s="36"/>
      <c r="AW178" s="117"/>
      <c r="AX178" s="117"/>
      <c r="AY178" s="36"/>
      <c r="AZ178" s="36"/>
      <c r="BA178" s="117"/>
      <c r="BB178" s="117"/>
      <c r="BC178" s="117"/>
      <c r="BD178" s="117" t="s">
        <v>141</v>
      </c>
      <c r="BE178" s="117"/>
      <c r="BF178" s="117"/>
      <c r="BG178" s="117"/>
      <c r="BH178" s="117"/>
      <c r="BI178" s="117"/>
      <c r="BJ178" s="117"/>
      <c r="BK178" s="117"/>
      <c r="BL178" s="117"/>
      <c r="BM178" s="117">
        <f t="shared" si="22"/>
        <v>6</v>
      </c>
      <c r="BN178" s="117">
        <f t="shared" si="23"/>
        <v>2</v>
      </c>
      <c r="BO178" s="117">
        <f t="shared" si="24"/>
        <v>2</v>
      </c>
      <c r="BP178" s="153">
        <f t="shared" si="25"/>
        <v>3</v>
      </c>
      <c r="BQ178" s="74" t="s">
        <v>639</v>
      </c>
      <c r="BR178" s="74"/>
      <c r="BS178" s="74"/>
    </row>
    <row r="179" spans="1:71" hidden="1">
      <c r="A179">
        <v>165</v>
      </c>
      <c r="B179" s="75">
        <v>45740.883750000001</v>
      </c>
      <c r="E179" s="7">
        <v>45741</v>
      </c>
      <c r="F179">
        <v>719</v>
      </c>
      <c r="I179" s="10" t="s">
        <v>1050</v>
      </c>
      <c r="J179" s="69">
        <v>45741</v>
      </c>
      <c r="K179" s="97">
        <f t="shared" ref="K179:K184" si="30">MONTH($J179)</f>
        <v>3</v>
      </c>
      <c r="L179" s="97">
        <v>177</v>
      </c>
      <c r="O179" s="7" t="s">
        <v>156</v>
      </c>
      <c r="T179" t="s">
        <v>1051</v>
      </c>
      <c r="X179" s="36"/>
      <c r="Y179" s="36" t="s">
        <v>141</v>
      </c>
      <c r="Z179" s="36"/>
      <c r="AA179" s="36"/>
      <c r="AB179" s="36"/>
      <c r="AC179" s="36"/>
      <c r="AD179" s="36"/>
      <c r="AE179" s="36"/>
      <c r="AF179" s="36"/>
      <c r="AG179" s="36"/>
      <c r="AH179" s="36" t="s">
        <v>141</v>
      </c>
      <c r="AI179" s="36" t="s">
        <v>141</v>
      </c>
      <c r="AJ179" s="36" t="s">
        <v>141</v>
      </c>
      <c r="AK179" s="117" t="s">
        <v>141</v>
      </c>
      <c r="AL179" s="36"/>
      <c r="AM179" s="36" t="s">
        <v>141</v>
      </c>
      <c r="AN179" s="36"/>
      <c r="AO179" s="36"/>
      <c r="AP179" s="36"/>
      <c r="AQ179" s="36"/>
      <c r="AR179" s="36" t="s">
        <v>141</v>
      </c>
      <c r="AS179" s="36"/>
      <c r="AT179" s="36"/>
      <c r="AU179" s="36"/>
      <c r="AV179" s="36"/>
      <c r="AW179" s="117" t="s">
        <v>141</v>
      </c>
      <c r="AX179" s="117"/>
      <c r="AY179" s="36"/>
      <c r="AZ179" s="36"/>
      <c r="BA179" s="117"/>
      <c r="BB179" s="117"/>
      <c r="BC179" s="117"/>
      <c r="BD179" s="117"/>
      <c r="BE179" s="117" t="s">
        <v>141</v>
      </c>
      <c r="BF179" s="117" t="s">
        <v>141</v>
      </c>
      <c r="BG179" s="117"/>
      <c r="BH179" s="117"/>
      <c r="BI179" s="117"/>
      <c r="BJ179" s="117"/>
      <c r="BK179" s="117"/>
      <c r="BL179" s="117"/>
      <c r="BM179" s="117">
        <f t="shared" si="22"/>
        <v>10</v>
      </c>
      <c r="BN179" s="117">
        <f t="shared" si="23"/>
        <v>4</v>
      </c>
      <c r="BO179" s="117">
        <f t="shared" si="24"/>
        <v>1</v>
      </c>
      <c r="BP179" s="153">
        <f t="shared" si="25"/>
        <v>7</v>
      </c>
      <c r="BQ179" s="74" t="s">
        <v>1052</v>
      </c>
      <c r="BR179" s="74"/>
      <c r="BS179" s="74"/>
    </row>
    <row r="180" spans="1:71" hidden="1">
      <c r="A180">
        <v>166</v>
      </c>
      <c r="B180" s="75">
        <v>45740.931793981479</v>
      </c>
      <c r="E180" s="7">
        <v>45741</v>
      </c>
      <c r="F180">
        <v>720</v>
      </c>
      <c r="I180" s="10" t="s">
        <v>1053</v>
      </c>
      <c r="J180" s="69">
        <v>45741</v>
      </c>
      <c r="K180" s="97">
        <f t="shared" si="30"/>
        <v>3</v>
      </c>
      <c r="L180" s="97">
        <v>178</v>
      </c>
      <c r="O180" s="7" t="s">
        <v>197</v>
      </c>
      <c r="T180" t="s">
        <v>1054</v>
      </c>
      <c r="X180" s="36"/>
      <c r="Y180" s="36" t="s">
        <v>141</v>
      </c>
      <c r="Z180" s="36"/>
      <c r="AA180" s="36" t="s">
        <v>141</v>
      </c>
      <c r="AB180" s="36"/>
      <c r="AC180" s="36"/>
      <c r="AD180" s="36"/>
      <c r="AE180" s="36"/>
      <c r="AF180" s="36"/>
      <c r="AG180" s="36"/>
      <c r="AH180" s="36" t="s">
        <v>141</v>
      </c>
      <c r="AI180" s="36" t="s">
        <v>141</v>
      </c>
      <c r="AJ180" s="36" t="s">
        <v>141</v>
      </c>
      <c r="AK180" s="117" t="s">
        <v>141</v>
      </c>
      <c r="AL180" s="36"/>
      <c r="AM180" s="36" t="s">
        <v>141</v>
      </c>
      <c r="AN180" s="36"/>
      <c r="AO180" s="36"/>
      <c r="AP180" s="36"/>
      <c r="AQ180" s="36"/>
      <c r="AR180" s="36" t="s">
        <v>141</v>
      </c>
      <c r="AS180" s="36"/>
      <c r="AT180" s="36"/>
      <c r="AU180" s="36"/>
      <c r="AV180" s="36"/>
      <c r="AW180" s="117" t="s">
        <v>141</v>
      </c>
      <c r="AX180" s="117"/>
      <c r="AY180" s="36"/>
      <c r="AZ180" s="36" t="s">
        <v>141</v>
      </c>
      <c r="BA180" s="117"/>
      <c r="BB180" s="117" t="s">
        <v>141</v>
      </c>
      <c r="BC180" s="117"/>
      <c r="BD180" s="117"/>
      <c r="BE180" s="117" t="s">
        <v>141</v>
      </c>
      <c r="BF180" s="117" t="s">
        <v>141</v>
      </c>
      <c r="BG180" s="117"/>
      <c r="BH180" s="117"/>
      <c r="BI180" s="117"/>
      <c r="BJ180" s="117"/>
      <c r="BK180" s="117"/>
      <c r="BL180" s="117"/>
      <c r="BM180" s="117">
        <f t="shared" si="22"/>
        <v>13</v>
      </c>
      <c r="BN180" s="117">
        <f t="shared" si="23"/>
        <v>4</v>
      </c>
      <c r="BO180" s="117">
        <f t="shared" si="24"/>
        <v>2</v>
      </c>
      <c r="BP180" s="153">
        <f t="shared" si="25"/>
        <v>9</v>
      </c>
      <c r="BQ180" s="74" t="s">
        <v>1055</v>
      </c>
      <c r="BR180" s="74"/>
      <c r="BS180" s="74"/>
    </row>
    <row r="181" spans="1:71" hidden="1">
      <c r="A181">
        <v>167</v>
      </c>
      <c r="B181" s="75">
        <v>45740.934016203704</v>
      </c>
      <c r="E181" s="7">
        <v>45741</v>
      </c>
      <c r="F181">
        <v>721</v>
      </c>
      <c r="I181" s="10" t="s">
        <v>1056</v>
      </c>
      <c r="J181" s="69">
        <v>45741</v>
      </c>
      <c r="K181" s="97">
        <f t="shared" si="30"/>
        <v>3</v>
      </c>
      <c r="L181" s="97">
        <v>179</v>
      </c>
      <c r="O181" s="7" t="s">
        <v>197</v>
      </c>
      <c r="T181" t="s">
        <v>1057</v>
      </c>
      <c r="X181" s="36"/>
      <c r="Y181" s="36" t="s">
        <v>141</v>
      </c>
      <c r="Z181" s="36"/>
      <c r="AA181" s="36" t="s">
        <v>141</v>
      </c>
      <c r="AB181" s="36"/>
      <c r="AC181" s="36"/>
      <c r="AD181" s="36"/>
      <c r="AE181" s="36"/>
      <c r="AF181" s="36"/>
      <c r="AG181" s="36"/>
      <c r="AH181" s="36" t="s">
        <v>141</v>
      </c>
      <c r="AI181" s="36" t="s">
        <v>141</v>
      </c>
      <c r="AJ181" s="36" t="s">
        <v>141</v>
      </c>
      <c r="AK181" s="117" t="s">
        <v>141</v>
      </c>
      <c r="AL181" s="36"/>
      <c r="AM181" s="36" t="s">
        <v>141</v>
      </c>
      <c r="AN181" s="36"/>
      <c r="AO181" s="36"/>
      <c r="AP181" s="36"/>
      <c r="AQ181" s="36"/>
      <c r="AR181" s="36" t="s">
        <v>141</v>
      </c>
      <c r="AS181" s="36"/>
      <c r="AT181" s="36"/>
      <c r="AU181" s="36" t="s">
        <v>141</v>
      </c>
      <c r="AV181" s="36"/>
      <c r="AW181" s="117" t="s">
        <v>141</v>
      </c>
      <c r="AX181" s="117"/>
      <c r="AY181" s="36"/>
      <c r="AZ181" s="36" t="s">
        <v>141</v>
      </c>
      <c r="BA181" s="117"/>
      <c r="BB181" s="117" t="s">
        <v>141</v>
      </c>
      <c r="BC181" s="117"/>
      <c r="BD181" s="117"/>
      <c r="BE181" s="117" t="s">
        <v>141</v>
      </c>
      <c r="BF181" s="117" t="s">
        <v>141</v>
      </c>
      <c r="BG181" s="117"/>
      <c r="BH181" s="117"/>
      <c r="BI181" s="117"/>
      <c r="BJ181" s="117"/>
      <c r="BK181" s="117"/>
      <c r="BL181" s="117"/>
      <c r="BM181" s="117">
        <f t="shared" si="22"/>
        <v>14</v>
      </c>
      <c r="BN181" s="117">
        <f t="shared" si="23"/>
        <v>4</v>
      </c>
      <c r="BO181" s="117">
        <f t="shared" si="24"/>
        <v>2</v>
      </c>
      <c r="BP181" s="153">
        <f t="shared" si="25"/>
        <v>10</v>
      </c>
      <c r="BQ181" s="74" t="s">
        <v>1055</v>
      </c>
      <c r="BR181" s="74"/>
      <c r="BS181" s="74"/>
    </row>
    <row r="182" spans="1:71" hidden="1">
      <c r="A182">
        <v>168</v>
      </c>
      <c r="B182" s="75">
        <v>45741.567893518521</v>
      </c>
      <c r="E182" s="7">
        <v>45741</v>
      </c>
      <c r="F182">
        <v>722</v>
      </c>
      <c r="I182" s="10" t="s">
        <v>1058</v>
      </c>
      <c r="J182" s="69">
        <v>45742</v>
      </c>
      <c r="K182" s="97">
        <f t="shared" si="30"/>
        <v>3</v>
      </c>
      <c r="L182" s="97">
        <v>180</v>
      </c>
      <c r="O182" s="7" t="s">
        <v>156</v>
      </c>
      <c r="T182" t="s">
        <v>1059</v>
      </c>
      <c r="X182" s="36" t="s">
        <v>141</v>
      </c>
      <c r="Y182" s="36" t="s">
        <v>141</v>
      </c>
      <c r="Z182" s="36"/>
      <c r="AA182" s="36"/>
      <c r="AB182" s="36"/>
      <c r="AC182" s="36" t="s">
        <v>141</v>
      </c>
      <c r="AD182" s="36"/>
      <c r="AE182" s="36"/>
      <c r="AF182" s="36"/>
      <c r="AG182" s="36"/>
      <c r="AH182" s="36" t="s">
        <v>141</v>
      </c>
      <c r="AI182" s="36" t="s">
        <v>141</v>
      </c>
      <c r="AJ182" s="36"/>
      <c r="AK182" s="117"/>
      <c r="AL182" s="36" t="s">
        <v>141</v>
      </c>
      <c r="AM182" s="36" t="s">
        <v>141</v>
      </c>
      <c r="AN182" s="36"/>
      <c r="AO182" s="36" t="s">
        <v>141</v>
      </c>
      <c r="AP182" s="36"/>
      <c r="AQ182" s="36"/>
      <c r="AR182" s="36" t="s">
        <v>141</v>
      </c>
      <c r="AS182" s="36" t="s">
        <v>141</v>
      </c>
      <c r="AT182" s="36"/>
      <c r="AU182" s="36"/>
      <c r="AV182" s="36"/>
      <c r="AW182" s="117" t="s">
        <v>141</v>
      </c>
      <c r="AX182" s="117"/>
      <c r="AY182" s="36"/>
      <c r="AZ182" s="36"/>
      <c r="BA182" s="117"/>
      <c r="BB182" s="117"/>
      <c r="BC182" s="117"/>
      <c r="BD182" s="117"/>
      <c r="BE182" s="117" t="s">
        <v>141</v>
      </c>
      <c r="BF182" s="117"/>
      <c r="BG182" s="117"/>
      <c r="BH182" s="117"/>
      <c r="BI182" s="117"/>
      <c r="BJ182" s="117"/>
      <c r="BK182" s="117"/>
      <c r="BL182" s="117"/>
      <c r="BM182" s="117">
        <f t="shared" si="22"/>
        <v>12</v>
      </c>
      <c r="BN182" s="117">
        <f t="shared" si="23"/>
        <v>3</v>
      </c>
      <c r="BO182" s="117">
        <f t="shared" si="24"/>
        <v>3</v>
      </c>
      <c r="BP182" s="153">
        <f t="shared" si="25"/>
        <v>8</v>
      </c>
      <c r="BQ182" s="74" t="s">
        <v>358</v>
      </c>
      <c r="BR182" s="74"/>
      <c r="BS182" s="74"/>
    </row>
    <row r="183" spans="1:71" hidden="1">
      <c r="A183">
        <v>169</v>
      </c>
      <c r="B183" s="75">
        <v>45741.848379629628</v>
      </c>
      <c r="E183" s="7">
        <v>45742</v>
      </c>
      <c r="F183">
        <v>723</v>
      </c>
      <c r="I183" s="10" t="s">
        <v>1060</v>
      </c>
      <c r="J183" s="69">
        <v>45742</v>
      </c>
      <c r="K183" s="97">
        <f t="shared" si="30"/>
        <v>3</v>
      </c>
      <c r="L183" s="97">
        <v>181</v>
      </c>
      <c r="O183" s="7" t="s">
        <v>1061</v>
      </c>
      <c r="T183" t="s">
        <v>1062</v>
      </c>
      <c r="X183" s="36"/>
      <c r="Y183" s="36" t="s">
        <v>141</v>
      </c>
      <c r="Z183" s="36"/>
      <c r="AA183" s="36"/>
      <c r="AB183" s="36"/>
      <c r="AC183" s="36"/>
      <c r="AD183" s="36"/>
      <c r="AE183" s="36"/>
      <c r="AF183" s="36"/>
      <c r="AG183" s="36"/>
      <c r="AH183" s="36" t="s">
        <v>141</v>
      </c>
      <c r="AI183" s="36"/>
      <c r="AJ183" s="36"/>
      <c r="AK183" s="117" t="s">
        <v>141</v>
      </c>
      <c r="AL183" s="36"/>
      <c r="AM183" s="36"/>
      <c r="AN183" s="36"/>
      <c r="AO183" s="36" t="s">
        <v>141</v>
      </c>
      <c r="AP183" s="36"/>
      <c r="AQ183" s="36"/>
      <c r="AR183" s="36"/>
      <c r="AS183" s="36"/>
      <c r="AT183" s="36"/>
      <c r="AU183" s="36"/>
      <c r="AV183" s="36"/>
      <c r="AW183" s="117"/>
      <c r="AX183" s="117"/>
      <c r="AY183" s="36"/>
      <c r="AZ183" s="36"/>
      <c r="BA183" s="117"/>
      <c r="BB183" s="117"/>
      <c r="BC183" s="117"/>
      <c r="BD183" s="117"/>
      <c r="BE183" s="117" t="s">
        <v>141</v>
      </c>
      <c r="BF183" s="117"/>
      <c r="BG183" s="117"/>
      <c r="BH183" s="117"/>
      <c r="BI183" s="117"/>
      <c r="BJ183" s="117"/>
      <c r="BK183" s="117"/>
      <c r="BL183" s="117"/>
      <c r="BM183" s="117">
        <f t="shared" si="22"/>
        <v>5</v>
      </c>
      <c r="BN183" s="117">
        <f t="shared" si="23"/>
        <v>1</v>
      </c>
      <c r="BO183" s="117">
        <f t="shared" si="24"/>
        <v>1</v>
      </c>
      <c r="BP183" s="153">
        <f t="shared" si="25"/>
        <v>3</v>
      </c>
      <c r="BQ183" s="74" t="s">
        <v>1063</v>
      </c>
      <c r="BR183" s="74"/>
      <c r="BS183" s="74"/>
    </row>
    <row r="184" spans="1:71" hidden="1">
      <c r="A184">
        <v>170</v>
      </c>
      <c r="B184" s="75">
        <v>45742.395405092589</v>
      </c>
      <c r="E184" s="7">
        <v>45742</v>
      </c>
      <c r="F184">
        <v>724</v>
      </c>
      <c r="I184" s="10" t="s">
        <v>1064</v>
      </c>
      <c r="J184" s="69">
        <v>45742</v>
      </c>
      <c r="K184" s="97">
        <f t="shared" si="30"/>
        <v>3</v>
      </c>
      <c r="L184" s="97">
        <v>182</v>
      </c>
      <c r="O184" s="7" t="s">
        <v>1065</v>
      </c>
      <c r="T184" t="s">
        <v>1066</v>
      </c>
      <c r="X184" s="36" t="s">
        <v>141</v>
      </c>
      <c r="Y184" s="36" t="s">
        <v>141</v>
      </c>
      <c r="Z184" s="36"/>
      <c r="AA184" s="36"/>
      <c r="AB184" s="36"/>
      <c r="AC184" s="36"/>
      <c r="AD184" s="36"/>
      <c r="AE184" s="36"/>
      <c r="AF184" s="36"/>
      <c r="AG184" s="36"/>
      <c r="AH184" s="36" t="s">
        <v>141</v>
      </c>
      <c r="AI184" s="36"/>
      <c r="AJ184" s="36" t="s">
        <v>141</v>
      </c>
      <c r="AK184" s="117"/>
      <c r="AL184" s="36"/>
      <c r="AM184" s="36" t="s">
        <v>141</v>
      </c>
      <c r="AN184" s="36"/>
      <c r="AO184" s="36"/>
      <c r="AP184" s="36"/>
      <c r="AQ184" s="36"/>
      <c r="AR184" s="36" t="s">
        <v>141</v>
      </c>
      <c r="AS184" s="36"/>
      <c r="AT184" s="36" t="s">
        <v>141</v>
      </c>
      <c r="AU184" s="36" t="s">
        <v>141</v>
      </c>
      <c r="AV184" s="36"/>
      <c r="AW184" s="117"/>
      <c r="AX184" s="117"/>
      <c r="AY184" s="36"/>
      <c r="AZ184" s="36"/>
      <c r="BA184" s="117" t="s">
        <v>141</v>
      </c>
      <c r="BB184" s="117" t="s">
        <v>141</v>
      </c>
      <c r="BC184" s="117" t="s">
        <v>141</v>
      </c>
      <c r="BD184" s="117" t="s">
        <v>141</v>
      </c>
      <c r="BE184" s="117"/>
      <c r="BF184" s="117"/>
      <c r="BG184" s="117" t="s">
        <v>141</v>
      </c>
      <c r="BH184" s="117"/>
      <c r="BI184" s="117"/>
      <c r="BJ184" s="117"/>
      <c r="BK184" s="117"/>
      <c r="BL184" s="117"/>
      <c r="BM184" s="117">
        <f t="shared" si="22"/>
        <v>12</v>
      </c>
      <c r="BN184" s="117">
        <f t="shared" si="23"/>
        <v>3</v>
      </c>
      <c r="BO184" s="117">
        <f t="shared" si="24"/>
        <v>2</v>
      </c>
      <c r="BP184" s="153">
        <f t="shared" si="25"/>
        <v>9</v>
      </c>
      <c r="BQ184" s="74" t="s">
        <v>589</v>
      </c>
      <c r="BR184" s="74"/>
      <c r="BS184" s="74"/>
    </row>
    <row r="185" spans="1:71" hidden="1">
      <c r="A185">
        <v>171</v>
      </c>
      <c r="B185" s="75">
        <v>45743.901666666665</v>
      </c>
      <c r="E185" s="7">
        <v>45744</v>
      </c>
      <c r="F185">
        <v>726</v>
      </c>
      <c r="I185" s="10" t="s">
        <v>1067</v>
      </c>
      <c r="J185" s="69">
        <v>45744</v>
      </c>
      <c r="K185" s="97">
        <f t="shared" ref="K185:K189" si="31">MONTH($J185)</f>
        <v>3</v>
      </c>
      <c r="L185" s="97">
        <v>183</v>
      </c>
      <c r="O185" s="7" t="s">
        <v>491</v>
      </c>
      <c r="T185" t="s">
        <v>1068</v>
      </c>
      <c r="X185" s="36" t="s">
        <v>141</v>
      </c>
      <c r="Y185" s="36"/>
      <c r="Z185" s="36"/>
      <c r="AA185" s="36"/>
      <c r="AB185" s="36"/>
      <c r="AC185" s="36"/>
      <c r="AD185" s="36"/>
      <c r="AE185" s="36" t="s">
        <v>141</v>
      </c>
      <c r="AF185" s="36"/>
      <c r="AG185" s="36"/>
      <c r="AH185" s="36"/>
      <c r="AI185" s="36"/>
      <c r="AJ185" s="36" t="s">
        <v>141</v>
      </c>
      <c r="AK185" s="117" t="s">
        <v>141</v>
      </c>
      <c r="AL185" s="36"/>
      <c r="AM185" s="36"/>
      <c r="AN185" s="36"/>
      <c r="AO185" s="36"/>
      <c r="AP185" s="36"/>
      <c r="AQ185" s="36"/>
      <c r="AR185" s="36" t="s">
        <v>141</v>
      </c>
      <c r="AS185" s="36" t="s">
        <v>141</v>
      </c>
      <c r="AT185" s="36" t="s">
        <v>141</v>
      </c>
      <c r="AU185" s="36"/>
      <c r="AV185" s="36"/>
      <c r="AW185" s="117"/>
      <c r="AX185" s="117"/>
      <c r="AY185" s="36"/>
      <c r="AZ185" s="36"/>
      <c r="BA185" s="117"/>
      <c r="BB185" s="117"/>
      <c r="BC185" s="117"/>
      <c r="BD185" s="117" t="s">
        <v>141</v>
      </c>
      <c r="BE185" s="117"/>
      <c r="BF185" s="117"/>
      <c r="BG185" s="117"/>
      <c r="BH185" s="117"/>
      <c r="BI185" s="117"/>
      <c r="BJ185" s="117"/>
      <c r="BK185" s="117"/>
      <c r="BL185" s="117"/>
      <c r="BM185" s="117">
        <f t="shared" si="22"/>
        <v>8</v>
      </c>
      <c r="BN185" s="117">
        <f t="shared" si="23"/>
        <v>4</v>
      </c>
      <c r="BO185" s="117">
        <f t="shared" si="24"/>
        <v>1</v>
      </c>
      <c r="BP185" s="153">
        <f t="shared" si="25"/>
        <v>6</v>
      </c>
      <c r="BQ185" s="74" t="s">
        <v>1069</v>
      </c>
      <c r="BR185" s="74"/>
      <c r="BS185" s="74"/>
    </row>
    <row r="186" spans="1:71" hidden="1">
      <c r="A186">
        <v>172</v>
      </c>
      <c r="B186" s="75">
        <v>45744.037395833337</v>
      </c>
      <c r="E186" s="7">
        <v>45744</v>
      </c>
      <c r="F186">
        <v>727</v>
      </c>
      <c r="I186" s="10" t="s">
        <v>1070</v>
      </c>
      <c r="J186" s="69">
        <v>45744</v>
      </c>
      <c r="K186" s="97">
        <f t="shared" si="31"/>
        <v>3</v>
      </c>
      <c r="L186" s="97">
        <v>184</v>
      </c>
      <c r="O186" s="7" t="s">
        <v>146</v>
      </c>
      <c r="T186" t="s">
        <v>1071</v>
      </c>
      <c r="X186" s="36" t="s">
        <v>141</v>
      </c>
      <c r="Y186" s="36"/>
      <c r="Z186" s="36"/>
      <c r="AA186" s="36" t="s">
        <v>141</v>
      </c>
      <c r="AB186" s="36"/>
      <c r="AC186" s="36"/>
      <c r="AD186" s="36"/>
      <c r="AE186" s="36"/>
      <c r="AF186" s="36"/>
      <c r="AG186" s="36"/>
      <c r="AH186" s="36"/>
      <c r="AI186" s="36"/>
      <c r="AJ186" s="36" t="s">
        <v>141</v>
      </c>
      <c r="AK186" s="117" t="s">
        <v>141</v>
      </c>
      <c r="AL186" s="36"/>
      <c r="AM186" s="36"/>
      <c r="AN186" s="36"/>
      <c r="AO186" s="36"/>
      <c r="AP186" s="36"/>
      <c r="AQ186" s="36"/>
      <c r="AR186" s="36"/>
      <c r="AS186" s="36" t="s">
        <v>141</v>
      </c>
      <c r="AT186" s="36"/>
      <c r="AU186" s="36"/>
      <c r="AV186" s="36"/>
      <c r="AW186" s="117" t="s">
        <v>141</v>
      </c>
      <c r="AX186" s="117"/>
      <c r="AY186" s="36"/>
      <c r="AZ186" s="36"/>
      <c r="BA186" s="117"/>
      <c r="BB186" s="117"/>
      <c r="BC186" s="117"/>
      <c r="BD186" s="117"/>
      <c r="BE186" s="117"/>
      <c r="BF186" s="117" t="s">
        <v>141</v>
      </c>
      <c r="BG186" s="117"/>
      <c r="BH186" s="117"/>
      <c r="BI186" s="117"/>
      <c r="BJ186" s="117"/>
      <c r="BK186" s="117"/>
      <c r="BL186" s="117"/>
      <c r="BM186" s="117">
        <f t="shared" si="22"/>
        <v>7</v>
      </c>
      <c r="BN186" s="117">
        <f t="shared" si="23"/>
        <v>3</v>
      </c>
      <c r="BO186" s="117">
        <f t="shared" si="24"/>
        <v>2</v>
      </c>
      <c r="BP186" s="153">
        <f t="shared" si="25"/>
        <v>4</v>
      </c>
      <c r="BQ186" s="74" t="s">
        <v>178</v>
      </c>
      <c r="BR186" s="74"/>
      <c r="BS186" s="74"/>
    </row>
    <row r="187" spans="1:71" hidden="1">
      <c r="A187">
        <v>173</v>
      </c>
      <c r="B187" s="75">
        <v>45744.961527777778</v>
      </c>
      <c r="E187" s="7">
        <v>45745</v>
      </c>
      <c r="F187">
        <v>728</v>
      </c>
      <c r="I187" s="10" t="s">
        <v>1072</v>
      </c>
      <c r="J187" s="69">
        <v>45745</v>
      </c>
      <c r="K187" s="97">
        <f t="shared" si="31"/>
        <v>3</v>
      </c>
      <c r="L187" s="97">
        <v>185</v>
      </c>
      <c r="O187" s="7" t="s">
        <v>156</v>
      </c>
      <c r="T187" t="s">
        <v>1073</v>
      </c>
      <c r="X187" s="36" t="s">
        <v>141</v>
      </c>
      <c r="Y187" s="36"/>
      <c r="Z187" s="36"/>
      <c r="AA187" s="36" t="s">
        <v>141</v>
      </c>
      <c r="AB187" s="36"/>
      <c r="AC187" s="36"/>
      <c r="AD187" s="36"/>
      <c r="AE187" s="36"/>
      <c r="AF187" s="36"/>
      <c r="AG187" s="36"/>
      <c r="AH187" s="36" t="s">
        <v>141</v>
      </c>
      <c r="AI187" s="36"/>
      <c r="AJ187" s="36"/>
      <c r="AK187" s="117"/>
      <c r="AL187" s="36" t="s">
        <v>141</v>
      </c>
      <c r="AM187" s="36" t="s">
        <v>141</v>
      </c>
      <c r="AN187" s="36"/>
      <c r="AO187" s="36" t="s">
        <v>141</v>
      </c>
      <c r="AP187" s="36"/>
      <c r="AQ187" s="36" t="s">
        <v>141</v>
      </c>
      <c r="AR187" s="36"/>
      <c r="AS187" s="36" t="s">
        <v>141</v>
      </c>
      <c r="AT187" s="36"/>
      <c r="AU187" s="36"/>
      <c r="AV187" s="36"/>
      <c r="AW187" s="117" t="s">
        <v>141</v>
      </c>
      <c r="AX187" s="117"/>
      <c r="AY187" s="36"/>
      <c r="AZ187" s="36"/>
      <c r="BA187" s="117"/>
      <c r="BB187" s="117" t="s">
        <v>141</v>
      </c>
      <c r="BC187" s="117" t="s">
        <v>141</v>
      </c>
      <c r="BD187" s="117" t="s">
        <v>141</v>
      </c>
      <c r="BE187" s="117"/>
      <c r="BF187" s="117"/>
      <c r="BG187" s="117"/>
      <c r="BH187" s="117"/>
      <c r="BI187" s="117"/>
      <c r="BJ187" s="117"/>
      <c r="BK187" s="117"/>
      <c r="BL187" s="117"/>
      <c r="BM187" s="117">
        <f t="shared" si="22"/>
        <v>12</v>
      </c>
      <c r="BN187" s="117">
        <f t="shared" si="23"/>
        <v>2</v>
      </c>
      <c r="BO187" s="117">
        <f t="shared" si="24"/>
        <v>2</v>
      </c>
      <c r="BP187" s="153">
        <f t="shared" si="25"/>
        <v>9</v>
      </c>
      <c r="BQ187" s="74" t="s">
        <v>1074</v>
      </c>
      <c r="BR187" s="74"/>
      <c r="BS187" s="74"/>
    </row>
    <row r="188" spans="1:71" hidden="1">
      <c r="A188">
        <v>174</v>
      </c>
      <c r="B188" s="75">
        <v>45745.017627314817</v>
      </c>
      <c r="E188" s="7">
        <v>45745</v>
      </c>
      <c r="F188">
        <v>729</v>
      </c>
      <c r="I188" s="10" t="s">
        <v>1075</v>
      </c>
      <c r="J188" s="69">
        <v>45745</v>
      </c>
      <c r="K188" s="97">
        <f t="shared" si="31"/>
        <v>3</v>
      </c>
      <c r="L188" s="97">
        <v>186</v>
      </c>
      <c r="O188" s="7" t="s">
        <v>156</v>
      </c>
      <c r="T188" t="s">
        <v>1076</v>
      </c>
      <c r="X188" s="36"/>
      <c r="Y188" s="36" t="s">
        <v>141</v>
      </c>
      <c r="Z188" s="36"/>
      <c r="AA188" s="36" t="s">
        <v>141</v>
      </c>
      <c r="AB188" s="36"/>
      <c r="AC188" s="36"/>
      <c r="AD188" s="36"/>
      <c r="AE188" s="36"/>
      <c r="AF188" s="36"/>
      <c r="AG188" s="36"/>
      <c r="AH188" s="36"/>
      <c r="AI188" s="36"/>
      <c r="AJ188" s="36"/>
      <c r="AK188" s="117"/>
      <c r="AL188" s="36"/>
      <c r="AM188" s="36" t="s">
        <v>141</v>
      </c>
      <c r="AN188" s="36"/>
      <c r="AO188" s="36" t="s">
        <v>141</v>
      </c>
      <c r="AP188" s="36"/>
      <c r="AQ188" s="36"/>
      <c r="AR188" s="36"/>
      <c r="AS188" s="36"/>
      <c r="AT188" s="36" t="s">
        <v>141</v>
      </c>
      <c r="AU188" s="36"/>
      <c r="AV188" s="36"/>
      <c r="AW188" s="117" t="s">
        <v>141</v>
      </c>
      <c r="AX188" s="117"/>
      <c r="AY188" s="36"/>
      <c r="AZ188" s="36"/>
      <c r="BA188" s="117"/>
      <c r="BB188" s="117"/>
      <c r="BC188" s="117" t="s">
        <v>141</v>
      </c>
      <c r="BD188" s="117" t="s">
        <v>141</v>
      </c>
      <c r="BE188" s="117" t="s">
        <v>141</v>
      </c>
      <c r="BF188" s="117"/>
      <c r="BG188" s="117"/>
      <c r="BH188" s="117"/>
      <c r="BI188" s="117"/>
      <c r="BJ188" s="117"/>
      <c r="BK188" s="117"/>
      <c r="BL188" s="117"/>
      <c r="BM188" s="117">
        <f t="shared" si="22"/>
        <v>9</v>
      </c>
      <c r="BN188" s="117">
        <f t="shared" si="23"/>
        <v>1</v>
      </c>
      <c r="BO188" s="117">
        <f t="shared" si="24"/>
        <v>2</v>
      </c>
      <c r="BP188" s="153">
        <f t="shared" si="25"/>
        <v>5</v>
      </c>
      <c r="BQ188" s="74" t="s">
        <v>793</v>
      </c>
      <c r="BR188" s="74"/>
      <c r="BS188" s="74"/>
    </row>
    <row r="189" spans="1:71" hidden="1">
      <c r="A189">
        <v>175</v>
      </c>
      <c r="B189" s="75">
        <v>45746.565266203703</v>
      </c>
      <c r="E189" s="7">
        <v>45747</v>
      </c>
      <c r="F189">
        <v>730</v>
      </c>
      <c r="I189" s="10" t="s">
        <v>1077</v>
      </c>
      <c r="J189" s="69">
        <v>45747</v>
      </c>
      <c r="K189" s="97">
        <f t="shared" si="31"/>
        <v>3</v>
      </c>
      <c r="L189" s="97">
        <v>187</v>
      </c>
      <c r="O189" s="7" t="s">
        <v>197</v>
      </c>
      <c r="T189" t="s">
        <v>1078</v>
      </c>
      <c r="X189" s="36"/>
      <c r="Y189" s="36" t="s">
        <v>141</v>
      </c>
      <c r="Z189" s="36"/>
      <c r="AA189" s="36" t="s">
        <v>141</v>
      </c>
      <c r="AB189" s="36" t="s">
        <v>141</v>
      </c>
      <c r="AC189" s="36"/>
      <c r="AD189" s="36"/>
      <c r="AE189" s="36"/>
      <c r="AF189" s="36"/>
      <c r="AG189" s="36" t="s">
        <v>141</v>
      </c>
      <c r="AH189" s="36"/>
      <c r="AI189" s="36" t="s">
        <v>141</v>
      </c>
      <c r="AJ189" s="36" t="s">
        <v>141</v>
      </c>
      <c r="AK189" s="117" t="s">
        <v>141</v>
      </c>
      <c r="AL189" s="36" t="s">
        <v>141</v>
      </c>
      <c r="AM189" s="36"/>
      <c r="AN189" s="36"/>
      <c r="AO189" s="36"/>
      <c r="AP189" s="36"/>
      <c r="AQ189" s="36"/>
      <c r="AR189" s="36" t="s">
        <v>141</v>
      </c>
      <c r="AS189" s="36"/>
      <c r="AT189" s="36"/>
      <c r="AU189" s="36" t="s">
        <v>141</v>
      </c>
      <c r="AV189" s="36"/>
      <c r="AW189" s="117" t="s">
        <v>141</v>
      </c>
      <c r="AX189" s="117"/>
      <c r="AY189" s="36"/>
      <c r="AZ189" s="36"/>
      <c r="BA189" s="117" t="s">
        <v>141</v>
      </c>
      <c r="BB189" s="117"/>
      <c r="BC189" s="117" t="s">
        <v>141</v>
      </c>
      <c r="BD189" s="117" t="s">
        <v>141</v>
      </c>
      <c r="BE189" s="117" t="s">
        <v>141</v>
      </c>
      <c r="BF189" s="117" t="s">
        <v>141</v>
      </c>
      <c r="BG189" s="117"/>
      <c r="BH189" s="117"/>
      <c r="BI189" s="117"/>
      <c r="BJ189" s="117"/>
      <c r="BK189" s="117"/>
      <c r="BL189" s="117"/>
      <c r="BM189" s="117">
        <f t="shared" si="22"/>
        <v>16</v>
      </c>
      <c r="BN189" s="117">
        <f t="shared" si="23"/>
        <v>4</v>
      </c>
      <c r="BO189" s="117">
        <f t="shared" si="24"/>
        <v>3</v>
      </c>
      <c r="BP189" s="153">
        <f t="shared" si="25"/>
        <v>10</v>
      </c>
      <c r="BQ189" s="74" t="s">
        <v>178</v>
      </c>
      <c r="BR189" s="74"/>
      <c r="BS189" s="74"/>
    </row>
    <row r="190" spans="1:71" hidden="1">
      <c r="A190">
        <v>176</v>
      </c>
      <c r="B190" s="75">
        <v>45747.494513888887</v>
      </c>
      <c r="E190" s="7">
        <v>45748</v>
      </c>
      <c r="F190">
        <v>731</v>
      </c>
      <c r="I190" s="10" t="s">
        <v>1079</v>
      </c>
      <c r="J190" s="69">
        <v>45748</v>
      </c>
      <c r="K190" s="97">
        <f t="shared" ref="K190:K195" si="32">MONTH($J190)</f>
        <v>4</v>
      </c>
      <c r="L190" s="97">
        <v>188</v>
      </c>
      <c r="O190" s="7" t="s">
        <v>156</v>
      </c>
      <c r="T190" t="s">
        <v>1080</v>
      </c>
      <c r="X190" s="36"/>
      <c r="Y190" s="36"/>
      <c r="Z190" s="36"/>
      <c r="AA190" s="36"/>
      <c r="AB190" s="36" t="s">
        <v>141</v>
      </c>
      <c r="AC190" s="36" t="s">
        <v>141</v>
      </c>
      <c r="AD190" s="36" t="s">
        <v>141</v>
      </c>
      <c r="AE190" s="36"/>
      <c r="AF190" s="36"/>
      <c r="AG190" s="36"/>
      <c r="AH190" s="36"/>
      <c r="AI190" s="36"/>
      <c r="AJ190" s="36"/>
      <c r="AK190" s="117"/>
      <c r="AL190" s="36"/>
      <c r="AM190" s="36" t="s">
        <v>141</v>
      </c>
      <c r="AN190" s="36"/>
      <c r="AO190" s="36"/>
      <c r="AP190" s="36"/>
      <c r="AQ190" s="36"/>
      <c r="AR190" s="36"/>
      <c r="AS190" s="36" t="s">
        <v>141</v>
      </c>
      <c r="AT190" s="36"/>
      <c r="AU190" s="36"/>
      <c r="AV190" s="36"/>
      <c r="AW190" s="117" t="s">
        <v>141</v>
      </c>
      <c r="AX190" s="117"/>
      <c r="AY190" s="36"/>
      <c r="AZ190" s="36"/>
      <c r="BA190" s="117" t="s">
        <v>141</v>
      </c>
      <c r="BB190" s="117"/>
      <c r="BC190" s="117"/>
      <c r="BD190" s="117"/>
      <c r="BE190" s="117"/>
      <c r="BF190" s="117"/>
      <c r="BG190" s="117" t="s">
        <v>141</v>
      </c>
      <c r="BH190" s="117"/>
      <c r="BI190" s="117"/>
      <c r="BJ190" s="117"/>
      <c r="BK190" s="117"/>
      <c r="BL190" s="117"/>
      <c r="BM190" s="117">
        <f t="shared" si="22"/>
        <v>7</v>
      </c>
      <c r="BN190" s="117">
        <f t="shared" si="23"/>
        <v>2</v>
      </c>
      <c r="BO190" s="117">
        <f t="shared" si="24"/>
        <v>3</v>
      </c>
      <c r="BP190" s="153">
        <f t="shared" si="25"/>
        <v>4</v>
      </c>
      <c r="BQ190" s="74" t="s">
        <v>1033</v>
      </c>
      <c r="BR190" s="74"/>
      <c r="BS190" s="74"/>
    </row>
    <row r="191" spans="1:71" hidden="1">
      <c r="A191">
        <v>177</v>
      </c>
      <c r="B191" s="75">
        <v>45748.254571759258</v>
      </c>
      <c r="E191" s="7">
        <v>45748</v>
      </c>
      <c r="F191">
        <v>732</v>
      </c>
      <c r="I191" s="10" t="s">
        <v>1081</v>
      </c>
      <c r="J191" s="69">
        <v>45748</v>
      </c>
      <c r="K191" s="97">
        <f t="shared" si="32"/>
        <v>4</v>
      </c>
      <c r="L191" s="97">
        <v>189</v>
      </c>
      <c r="O191" s="7" t="s">
        <v>146</v>
      </c>
      <c r="T191" t="s">
        <v>1082</v>
      </c>
      <c r="X191" s="36" t="s">
        <v>141</v>
      </c>
      <c r="Y191" s="36"/>
      <c r="Z191" s="36"/>
      <c r="AA191" s="36" t="s">
        <v>141</v>
      </c>
      <c r="AB191" s="36" t="s">
        <v>141</v>
      </c>
      <c r="AC191" s="36"/>
      <c r="AD191" s="36" t="s">
        <v>141</v>
      </c>
      <c r="AE191" s="36"/>
      <c r="AF191" s="36"/>
      <c r="AG191" s="36"/>
      <c r="AH191" s="36" t="s">
        <v>141</v>
      </c>
      <c r="AI191" s="36"/>
      <c r="AJ191" s="36" t="s">
        <v>141</v>
      </c>
      <c r="AK191" s="117" t="s">
        <v>141</v>
      </c>
      <c r="AL191" s="36" t="s">
        <v>141</v>
      </c>
      <c r="AM191" s="36"/>
      <c r="AN191" s="36"/>
      <c r="AO191" s="36"/>
      <c r="AP191" s="36"/>
      <c r="AQ191" s="36"/>
      <c r="AR191" s="36"/>
      <c r="AS191" s="36"/>
      <c r="AT191" s="36"/>
      <c r="AU191" s="36" t="s">
        <v>141</v>
      </c>
      <c r="AV191" s="36"/>
      <c r="AW191" s="117" t="s">
        <v>141</v>
      </c>
      <c r="AX191" s="117" t="s">
        <v>141</v>
      </c>
      <c r="AY191" s="36"/>
      <c r="AZ191" s="36" t="s">
        <v>141</v>
      </c>
      <c r="BA191" s="117"/>
      <c r="BB191" s="117" t="s">
        <v>141</v>
      </c>
      <c r="BC191" s="117"/>
      <c r="BD191" s="117"/>
      <c r="BE191" s="117" t="s">
        <v>141</v>
      </c>
      <c r="BF191" s="117" t="s">
        <v>141</v>
      </c>
      <c r="BG191" s="117" t="s">
        <v>141</v>
      </c>
      <c r="BH191" s="117"/>
      <c r="BI191" s="117"/>
      <c r="BJ191" s="117"/>
      <c r="BK191" s="117"/>
      <c r="BL191" s="117"/>
      <c r="BM191" s="117">
        <f t="shared" si="22"/>
        <v>15</v>
      </c>
      <c r="BN191" s="117">
        <f t="shared" si="23"/>
        <v>2</v>
      </c>
      <c r="BO191" s="117">
        <f t="shared" si="24"/>
        <v>4</v>
      </c>
      <c r="BP191" s="153">
        <f t="shared" si="25"/>
        <v>9</v>
      </c>
      <c r="BQ191" s="74" t="s">
        <v>208</v>
      </c>
      <c r="BR191" s="74"/>
      <c r="BS191" s="74"/>
    </row>
    <row r="192" spans="1:71" hidden="1">
      <c r="A192">
        <v>178</v>
      </c>
      <c r="B192" s="75">
        <v>45748.383009259262</v>
      </c>
      <c r="E192" s="7">
        <v>45748</v>
      </c>
      <c r="F192">
        <v>733</v>
      </c>
      <c r="I192" s="10" t="s">
        <v>1083</v>
      </c>
      <c r="J192" s="69">
        <v>45748</v>
      </c>
      <c r="K192" s="97">
        <f t="shared" si="32"/>
        <v>4</v>
      </c>
      <c r="L192" s="97">
        <v>190</v>
      </c>
      <c r="O192" s="7" t="s">
        <v>156</v>
      </c>
      <c r="T192" t="s">
        <v>1084</v>
      </c>
      <c r="X192" s="36" t="s">
        <v>141</v>
      </c>
      <c r="Y192" s="36" t="s">
        <v>141</v>
      </c>
      <c r="Z192" s="36"/>
      <c r="AA192" s="36" t="s">
        <v>141</v>
      </c>
      <c r="AB192" s="36"/>
      <c r="AC192" s="36" t="s">
        <v>141</v>
      </c>
      <c r="AD192" s="36"/>
      <c r="AE192" s="36"/>
      <c r="AF192" s="36"/>
      <c r="AG192" s="36"/>
      <c r="AH192" s="36" t="s">
        <v>141</v>
      </c>
      <c r="AI192" s="36"/>
      <c r="AJ192" s="36" t="s">
        <v>141</v>
      </c>
      <c r="AK192" s="117"/>
      <c r="AL192" s="36"/>
      <c r="AM192" s="36"/>
      <c r="AN192" s="36"/>
      <c r="AO192" s="36"/>
      <c r="AP192" s="36"/>
      <c r="AQ192" s="36"/>
      <c r="AR192" s="36"/>
      <c r="AS192" s="36" t="s">
        <v>141</v>
      </c>
      <c r="AT192" s="36"/>
      <c r="AU192" s="36" t="s">
        <v>141</v>
      </c>
      <c r="AV192" s="36"/>
      <c r="AW192" s="117"/>
      <c r="AX192" s="117"/>
      <c r="AY192" s="36"/>
      <c r="AZ192" s="36"/>
      <c r="BA192" s="117" t="s">
        <v>141</v>
      </c>
      <c r="BB192" s="117"/>
      <c r="BC192" s="117" t="s">
        <v>141</v>
      </c>
      <c r="BD192" s="117" t="s">
        <v>141</v>
      </c>
      <c r="BE192" s="117" t="s">
        <v>141</v>
      </c>
      <c r="BF192" s="117" t="s">
        <v>141</v>
      </c>
      <c r="BG192" s="117"/>
      <c r="BH192" s="117"/>
      <c r="BI192" s="117"/>
      <c r="BJ192" s="117"/>
      <c r="BK192" s="117"/>
      <c r="BL192" s="117"/>
      <c r="BM192" s="117">
        <f t="shared" si="22"/>
        <v>13</v>
      </c>
      <c r="BN192" s="117">
        <f t="shared" si="23"/>
        <v>2</v>
      </c>
      <c r="BO192" s="117">
        <f t="shared" si="24"/>
        <v>4</v>
      </c>
      <c r="BP192" s="153">
        <f t="shared" si="25"/>
        <v>6</v>
      </c>
      <c r="BQ192" s="74" t="s">
        <v>152</v>
      </c>
      <c r="BR192" s="74"/>
      <c r="BS192" s="74"/>
    </row>
    <row r="193" spans="1:71" hidden="1">
      <c r="A193">
        <v>179</v>
      </c>
      <c r="B193" s="75">
        <v>45748.419988425929</v>
      </c>
      <c r="E193" s="7">
        <v>45748</v>
      </c>
      <c r="F193">
        <v>734</v>
      </c>
      <c r="I193" s="10" t="s">
        <v>1085</v>
      </c>
      <c r="J193" s="69">
        <v>45748</v>
      </c>
      <c r="K193" s="97">
        <f t="shared" si="32"/>
        <v>4</v>
      </c>
      <c r="L193" s="97">
        <v>191</v>
      </c>
      <c r="O193" s="7" t="s">
        <v>156</v>
      </c>
      <c r="T193" t="s">
        <v>1086</v>
      </c>
      <c r="X193" s="36" t="s">
        <v>141</v>
      </c>
      <c r="Y193" s="36" t="s">
        <v>141</v>
      </c>
      <c r="Z193" s="36"/>
      <c r="AA193" s="36" t="s">
        <v>141</v>
      </c>
      <c r="AB193" s="36" t="s">
        <v>141</v>
      </c>
      <c r="AC193" s="36" t="s">
        <v>141</v>
      </c>
      <c r="AD193" s="36"/>
      <c r="AE193" s="36"/>
      <c r="AF193" s="36"/>
      <c r="AG193" s="36"/>
      <c r="AH193" s="36"/>
      <c r="AI193" s="36"/>
      <c r="AJ193" s="36" t="s">
        <v>141</v>
      </c>
      <c r="AK193" s="117" t="s">
        <v>141</v>
      </c>
      <c r="AL193" s="36" t="s">
        <v>141</v>
      </c>
      <c r="AM193" s="36"/>
      <c r="AN193" s="36"/>
      <c r="AO193" s="36"/>
      <c r="AP193" s="36"/>
      <c r="AQ193" s="36"/>
      <c r="AR193" s="36"/>
      <c r="AS193" s="36" t="s">
        <v>141</v>
      </c>
      <c r="AT193" s="36" t="s">
        <v>141</v>
      </c>
      <c r="AU193" s="36"/>
      <c r="AV193" s="36"/>
      <c r="AW193" s="117" t="s">
        <v>141</v>
      </c>
      <c r="AX193" s="117" t="s">
        <v>141</v>
      </c>
      <c r="AY193" s="36"/>
      <c r="AZ193" s="36"/>
      <c r="BA193" s="117" t="s">
        <v>141</v>
      </c>
      <c r="BB193" s="117"/>
      <c r="BC193" s="117"/>
      <c r="BD193" s="117" t="s">
        <v>141</v>
      </c>
      <c r="BE193" s="117" t="s">
        <v>141</v>
      </c>
      <c r="BF193" s="117"/>
      <c r="BG193" s="117" t="s">
        <v>141</v>
      </c>
      <c r="BH193" s="117"/>
      <c r="BI193" s="117"/>
      <c r="BJ193" s="117"/>
      <c r="BK193" s="117"/>
      <c r="BL193" s="117"/>
      <c r="BM193" s="117">
        <f t="shared" si="22"/>
        <v>15</v>
      </c>
      <c r="BN193" s="117">
        <f t="shared" si="23"/>
        <v>3</v>
      </c>
      <c r="BO193" s="117">
        <f t="shared" si="24"/>
        <v>5</v>
      </c>
      <c r="BP193" s="153">
        <f t="shared" si="25"/>
        <v>8</v>
      </c>
      <c r="BQ193" s="74" t="s">
        <v>208</v>
      </c>
      <c r="BR193" s="74"/>
      <c r="BS193" s="74"/>
    </row>
    <row r="194" spans="1:71" hidden="1">
      <c r="A194">
        <v>180</v>
      </c>
      <c r="B194" s="75">
        <v>45749.786909722221</v>
      </c>
      <c r="E194" s="7">
        <v>45750</v>
      </c>
      <c r="F194">
        <v>735</v>
      </c>
      <c r="I194" s="10" t="s">
        <v>1087</v>
      </c>
      <c r="J194" s="69">
        <v>45750</v>
      </c>
      <c r="K194" s="97">
        <f t="shared" si="32"/>
        <v>4</v>
      </c>
      <c r="L194" s="97">
        <v>192</v>
      </c>
      <c r="O194" s="7" t="s">
        <v>254</v>
      </c>
      <c r="T194" t="s">
        <v>1088</v>
      </c>
      <c r="X194" s="36"/>
      <c r="Y194" s="36" t="s">
        <v>141</v>
      </c>
      <c r="Z194" s="36"/>
      <c r="AA194" s="36" t="s">
        <v>141</v>
      </c>
      <c r="AB194" s="36" t="s">
        <v>141</v>
      </c>
      <c r="AC194" s="36"/>
      <c r="AD194" s="36"/>
      <c r="AE194" s="36"/>
      <c r="AF194" s="36"/>
      <c r="AG194" s="36"/>
      <c r="AH194" s="36" t="s">
        <v>141</v>
      </c>
      <c r="AI194" s="36"/>
      <c r="AJ194" s="36" t="s">
        <v>141</v>
      </c>
      <c r="AK194" s="117" t="s">
        <v>141</v>
      </c>
      <c r="AL194" s="36" t="s">
        <v>141</v>
      </c>
      <c r="AM194" s="36"/>
      <c r="AN194" s="36"/>
      <c r="AO194" s="36" t="s">
        <v>141</v>
      </c>
      <c r="AP194" s="36"/>
      <c r="AQ194" s="36"/>
      <c r="AR194" s="36"/>
      <c r="AS194" s="36" t="s">
        <v>141</v>
      </c>
      <c r="AT194" s="36"/>
      <c r="AU194" s="36"/>
      <c r="AV194" s="36"/>
      <c r="AW194" s="117" t="s">
        <v>141</v>
      </c>
      <c r="AX194" s="117"/>
      <c r="AY194" s="36"/>
      <c r="AZ194" s="36"/>
      <c r="BA194" s="117"/>
      <c r="BB194" s="117"/>
      <c r="BC194" s="117"/>
      <c r="BD194" s="117" t="s">
        <v>141</v>
      </c>
      <c r="BE194" s="117"/>
      <c r="BF194" s="117"/>
      <c r="BG194" s="117"/>
      <c r="BH194" s="117"/>
      <c r="BI194" s="117"/>
      <c r="BJ194" s="117"/>
      <c r="BK194" s="117"/>
      <c r="BL194" s="117"/>
      <c r="BM194" s="117">
        <f t="shared" si="22"/>
        <v>11</v>
      </c>
      <c r="BN194" s="117">
        <f t="shared" si="23"/>
        <v>3</v>
      </c>
      <c r="BO194" s="117">
        <f t="shared" si="24"/>
        <v>3</v>
      </c>
      <c r="BP194" s="153">
        <f t="shared" si="25"/>
        <v>7</v>
      </c>
      <c r="BQ194" s="74" t="s">
        <v>208</v>
      </c>
      <c r="BR194" s="74"/>
      <c r="BS194" s="74"/>
    </row>
    <row r="195" spans="1:71" hidden="1">
      <c r="A195">
        <v>181</v>
      </c>
      <c r="B195" s="75">
        <v>45749.957766203705</v>
      </c>
      <c r="E195" s="7">
        <v>45750</v>
      </c>
      <c r="F195">
        <v>736</v>
      </c>
      <c r="I195" s="10" t="s">
        <v>1089</v>
      </c>
      <c r="J195" s="69">
        <v>45750</v>
      </c>
      <c r="K195" s="97">
        <f t="shared" si="32"/>
        <v>4</v>
      </c>
      <c r="L195" s="97">
        <v>193</v>
      </c>
      <c r="O195" s="7" t="s">
        <v>156</v>
      </c>
      <c r="T195" t="s">
        <v>1090</v>
      </c>
      <c r="X195" s="36"/>
      <c r="Y195" s="36" t="s">
        <v>141</v>
      </c>
      <c r="Z195" s="36"/>
      <c r="AA195" s="36" t="s">
        <v>141</v>
      </c>
      <c r="AB195" s="36" t="s">
        <v>141</v>
      </c>
      <c r="AC195" s="36"/>
      <c r="AD195" s="36" t="s">
        <v>141</v>
      </c>
      <c r="AE195" s="36"/>
      <c r="AF195" s="36"/>
      <c r="AG195" s="36"/>
      <c r="AH195" s="36" t="s">
        <v>141</v>
      </c>
      <c r="AI195" s="36"/>
      <c r="AJ195" s="36" t="s">
        <v>141</v>
      </c>
      <c r="AK195" s="117" t="s">
        <v>141</v>
      </c>
      <c r="AL195" s="36"/>
      <c r="AM195" s="36"/>
      <c r="AN195" s="36"/>
      <c r="AO195" s="36" t="s">
        <v>141</v>
      </c>
      <c r="AP195" s="36"/>
      <c r="AQ195" s="36"/>
      <c r="AR195" s="36"/>
      <c r="AS195" s="36"/>
      <c r="AT195" s="36"/>
      <c r="AU195" s="36"/>
      <c r="AV195" s="36"/>
      <c r="AW195" s="117"/>
      <c r="AX195" s="117"/>
      <c r="AY195" s="36"/>
      <c r="AZ195" s="36"/>
      <c r="BA195" s="117"/>
      <c r="BB195" s="117"/>
      <c r="BC195" s="117"/>
      <c r="BD195" s="117"/>
      <c r="BE195" s="117" t="s">
        <v>141</v>
      </c>
      <c r="BF195" s="117" t="s">
        <v>141</v>
      </c>
      <c r="BG195" s="117"/>
      <c r="BH195" s="117"/>
      <c r="BI195" s="117"/>
      <c r="BJ195" s="117"/>
      <c r="BK195" s="117"/>
      <c r="BL195" s="117"/>
      <c r="BM195" s="117">
        <f t="shared" si="22"/>
        <v>10</v>
      </c>
      <c r="BN195" s="117">
        <f t="shared" si="23"/>
        <v>2</v>
      </c>
      <c r="BO195" s="117">
        <f t="shared" si="24"/>
        <v>4</v>
      </c>
      <c r="BP195" s="153">
        <f t="shared" si="25"/>
        <v>4</v>
      </c>
      <c r="BQ195" s="74" t="s">
        <v>208</v>
      </c>
      <c r="BR195" s="74"/>
      <c r="BS195" s="74"/>
    </row>
    <row r="196" spans="1:71" hidden="1">
      <c r="A196">
        <v>182</v>
      </c>
      <c r="B196" s="75">
        <v>45750.955625000002</v>
      </c>
      <c r="E196" s="7">
        <v>45751</v>
      </c>
      <c r="F196">
        <v>737</v>
      </c>
      <c r="I196" s="10" t="s">
        <v>1091</v>
      </c>
      <c r="J196" s="69">
        <v>45751</v>
      </c>
      <c r="K196" s="97">
        <f t="shared" ref="K196:K211" si="33">MONTH($J196)</f>
        <v>4</v>
      </c>
      <c r="L196" s="97">
        <v>194</v>
      </c>
      <c r="O196" s="7" t="s">
        <v>1092</v>
      </c>
      <c r="T196" t="s">
        <v>1093</v>
      </c>
      <c r="X196" s="36" t="s">
        <v>141</v>
      </c>
      <c r="Y196" s="36" t="s">
        <v>141</v>
      </c>
      <c r="Z196" s="36"/>
      <c r="AA196" s="36" t="s">
        <v>141</v>
      </c>
      <c r="AB196" s="36" t="s">
        <v>141</v>
      </c>
      <c r="AC196" s="36"/>
      <c r="AD196" s="36"/>
      <c r="AE196" s="36"/>
      <c r="AF196" s="36" t="s">
        <v>141</v>
      </c>
      <c r="AG196" s="36"/>
      <c r="AH196" s="36"/>
      <c r="AI196" s="36"/>
      <c r="AJ196" s="36" t="s">
        <v>141</v>
      </c>
      <c r="AK196" s="117" t="s">
        <v>141</v>
      </c>
      <c r="AL196" s="36" t="s">
        <v>141</v>
      </c>
      <c r="AM196" s="36"/>
      <c r="AN196" s="36" t="s">
        <v>141</v>
      </c>
      <c r="AO196" s="36"/>
      <c r="AP196" s="36"/>
      <c r="AQ196" s="36"/>
      <c r="AR196" s="36"/>
      <c r="AS196" s="36"/>
      <c r="AT196" s="36"/>
      <c r="AU196" s="36"/>
      <c r="AV196" s="36"/>
      <c r="AW196" s="117" t="s">
        <v>141</v>
      </c>
      <c r="AX196" s="117" t="s">
        <v>141</v>
      </c>
      <c r="AY196" s="36"/>
      <c r="AZ196" s="36"/>
      <c r="BA196" s="117" t="s">
        <v>141</v>
      </c>
      <c r="BB196" s="117"/>
      <c r="BC196" s="117"/>
      <c r="BD196" s="117"/>
      <c r="BE196" s="117" t="s">
        <v>141</v>
      </c>
      <c r="BF196" s="117"/>
      <c r="BG196" s="117"/>
      <c r="BH196" s="117"/>
      <c r="BI196" s="117"/>
      <c r="BJ196" s="117"/>
      <c r="BK196" s="117"/>
      <c r="BL196" s="117"/>
      <c r="BM196" s="117">
        <f t="shared" ref="BM196:BM259" si="34">COUNTIF($X196:$BF196, "I")</f>
        <v>13</v>
      </c>
      <c r="BN196" s="117">
        <f t="shared" ref="BN196:BN259" si="35">COUNTIFS($X196:$BF196, "I",$X$2:$BF$2, "DR" )</f>
        <v>3</v>
      </c>
      <c r="BO196" s="117">
        <f t="shared" ref="BO196:BO259" si="36">COUNTIFS($X196:$BF196, "I",$X$5:$BF$5, "OF" )</f>
        <v>4</v>
      </c>
      <c r="BP196" s="153">
        <f t="shared" ref="BP196:BP259" si="37">COUNTIFS($X196:$BF196, "I",$X$5:$BF$5, "FF" )</f>
        <v>8</v>
      </c>
      <c r="BQ196" s="74" t="s">
        <v>208</v>
      </c>
      <c r="BR196" s="74"/>
      <c r="BS196" s="74"/>
    </row>
    <row r="197" spans="1:71" hidden="1">
      <c r="A197">
        <v>183</v>
      </c>
      <c r="B197" s="75">
        <v>45751.189756944441</v>
      </c>
      <c r="E197" s="7">
        <v>45751</v>
      </c>
      <c r="F197">
        <v>738</v>
      </c>
      <c r="I197" s="10" t="s">
        <v>1094</v>
      </c>
      <c r="J197" s="69">
        <v>45751</v>
      </c>
      <c r="K197" s="97">
        <f t="shared" si="33"/>
        <v>4</v>
      </c>
      <c r="L197" s="97">
        <v>195</v>
      </c>
      <c r="O197" s="7" t="s">
        <v>156</v>
      </c>
      <c r="T197" t="s">
        <v>1095</v>
      </c>
      <c r="X197" s="36" t="s">
        <v>141</v>
      </c>
      <c r="Y197" s="36"/>
      <c r="Z197" s="36" t="s">
        <v>141</v>
      </c>
      <c r="AA197" s="36" t="s">
        <v>141</v>
      </c>
      <c r="AB197" s="36" t="s">
        <v>141</v>
      </c>
      <c r="AC197" s="36"/>
      <c r="AD197" s="36"/>
      <c r="AE197" s="36"/>
      <c r="AF197" s="36"/>
      <c r="AG197" s="36" t="s">
        <v>141</v>
      </c>
      <c r="AH197" s="36" t="s">
        <v>141</v>
      </c>
      <c r="AI197" s="36"/>
      <c r="AJ197" s="36" t="s">
        <v>141</v>
      </c>
      <c r="AK197" s="117" t="s">
        <v>141</v>
      </c>
      <c r="AL197" s="36"/>
      <c r="AM197" s="36"/>
      <c r="AN197" s="36"/>
      <c r="AO197" s="36" t="s">
        <v>141</v>
      </c>
      <c r="AP197" s="36" t="s">
        <v>141</v>
      </c>
      <c r="AQ197" s="36"/>
      <c r="AR197" s="36" t="s">
        <v>141</v>
      </c>
      <c r="AS197" s="36" t="s">
        <v>141</v>
      </c>
      <c r="AT197" s="36"/>
      <c r="AU197" s="36"/>
      <c r="AV197" s="36"/>
      <c r="AW197" s="117" t="s">
        <v>141</v>
      </c>
      <c r="AX197" s="117" t="s">
        <v>141</v>
      </c>
      <c r="AY197" s="36"/>
      <c r="AZ197" s="36"/>
      <c r="BA197" s="117" t="s">
        <v>141</v>
      </c>
      <c r="BB197" s="117"/>
      <c r="BC197" s="117"/>
      <c r="BD197" s="117" t="s">
        <v>141</v>
      </c>
      <c r="BE197" s="117"/>
      <c r="BF197" s="117"/>
      <c r="BG197" s="117"/>
      <c r="BH197" s="117"/>
      <c r="BI197" s="117"/>
      <c r="BJ197" s="117"/>
      <c r="BK197" s="117"/>
      <c r="BL197" s="117"/>
      <c r="BM197" s="117">
        <f t="shared" si="34"/>
        <v>16</v>
      </c>
      <c r="BN197" s="117">
        <f t="shared" si="35"/>
        <v>5</v>
      </c>
      <c r="BO197" s="117">
        <f t="shared" si="36"/>
        <v>4</v>
      </c>
      <c r="BP197" s="153">
        <f t="shared" si="37"/>
        <v>11</v>
      </c>
      <c r="BQ197" s="74" t="s">
        <v>208</v>
      </c>
      <c r="BR197" s="74"/>
      <c r="BS197" s="74"/>
    </row>
    <row r="198" spans="1:71" hidden="1">
      <c r="A198">
        <v>184</v>
      </c>
      <c r="B198" s="75">
        <v>45752.009780092594</v>
      </c>
      <c r="E198" s="7">
        <v>45752</v>
      </c>
      <c r="F198">
        <v>739</v>
      </c>
      <c r="I198" s="10" t="s">
        <v>1096</v>
      </c>
      <c r="J198" s="69">
        <v>45752</v>
      </c>
      <c r="K198" s="97">
        <f t="shared" si="33"/>
        <v>4</v>
      </c>
      <c r="L198" s="97">
        <v>196</v>
      </c>
      <c r="O198" s="7" t="s">
        <v>156</v>
      </c>
      <c r="T198" t="s">
        <v>939</v>
      </c>
      <c r="X198" s="36" t="s">
        <v>141</v>
      </c>
      <c r="Y198" s="36"/>
      <c r="Z198" s="36" t="s">
        <v>141</v>
      </c>
      <c r="AA198" s="36" t="s">
        <v>141</v>
      </c>
      <c r="AB198" s="36"/>
      <c r="AC198" s="36"/>
      <c r="AD198" s="36"/>
      <c r="AE198" s="36"/>
      <c r="AF198" s="36" t="s">
        <v>141</v>
      </c>
      <c r="AG198" s="36"/>
      <c r="AH198" s="36" t="s">
        <v>141</v>
      </c>
      <c r="AI198" s="36"/>
      <c r="AJ198" s="36"/>
      <c r="AK198" s="117"/>
      <c r="AL198" s="36"/>
      <c r="AM198" s="36"/>
      <c r="AN198" s="36"/>
      <c r="AO198" s="36"/>
      <c r="AP198" s="36"/>
      <c r="AQ198" s="36"/>
      <c r="AR198" s="36"/>
      <c r="AS198" s="36"/>
      <c r="AT198" s="36" t="s">
        <v>141</v>
      </c>
      <c r="AU198" s="36"/>
      <c r="AV198" s="36"/>
      <c r="AW198" s="117" t="s">
        <v>141</v>
      </c>
      <c r="AX198" s="117"/>
      <c r="AY198" s="36" t="s">
        <v>141</v>
      </c>
      <c r="AZ198" s="36"/>
      <c r="BA198" s="117" t="s">
        <v>141</v>
      </c>
      <c r="BB198" s="117" t="s">
        <v>141</v>
      </c>
      <c r="BC198" s="117" t="s">
        <v>141</v>
      </c>
      <c r="BD198" s="117" t="s">
        <v>141</v>
      </c>
      <c r="BE198" s="117"/>
      <c r="BF198" s="117"/>
      <c r="BG198" s="117"/>
      <c r="BH198" s="117"/>
      <c r="BI198" s="117"/>
      <c r="BJ198" s="117"/>
      <c r="BK198" s="117"/>
      <c r="BL198" s="117"/>
      <c r="BM198" s="117">
        <f t="shared" si="34"/>
        <v>12</v>
      </c>
      <c r="BN198" s="117">
        <f t="shared" si="35"/>
        <v>0</v>
      </c>
      <c r="BO198" s="117">
        <f t="shared" si="36"/>
        <v>3</v>
      </c>
      <c r="BP198" s="153">
        <f t="shared" si="37"/>
        <v>8</v>
      </c>
      <c r="BQ198" s="74" t="s">
        <v>639</v>
      </c>
      <c r="BR198" s="74"/>
      <c r="BS198" s="74"/>
    </row>
    <row r="199" spans="1:71" hidden="1">
      <c r="A199">
        <v>185</v>
      </c>
      <c r="B199" s="75">
        <v>45752.514201388891</v>
      </c>
      <c r="E199" s="7">
        <v>45753</v>
      </c>
      <c r="F199">
        <v>740</v>
      </c>
      <c r="I199" s="10" t="s">
        <v>1097</v>
      </c>
      <c r="J199" s="69">
        <v>45753</v>
      </c>
      <c r="K199" s="97">
        <f t="shared" si="33"/>
        <v>4</v>
      </c>
      <c r="L199" s="97">
        <v>197</v>
      </c>
      <c r="O199" s="7" t="s">
        <v>376</v>
      </c>
      <c r="T199" t="s">
        <v>1098</v>
      </c>
      <c r="X199" s="36"/>
      <c r="Y199" s="36"/>
      <c r="Z199" s="36"/>
      <c r="AA199" s="36" t="s">
        <v>141</v>
      </c>
      <c r="AB199" s="36"/>
      <c r="AC199" s="36"/>
      <c r="AD199" s="36"/>
      <c r="AE199" s="36"/>
      <c r="AF199" s="36"/>
      <c r="AG199" s="36"/>
      <c r="AH199" s="36" t="s">
        <v>141</v>
      </c>
      <c r="AI199" s="36" t="s">
        <v>141</v>
      </c>
      <c r="AJ199" s="36"/>
      <c r="AK199" s="117"/>
      <c r="AL199" s="36"/>
      <c r="AM199" s="36"/>
      <c r="AN199" s="36"/>
      <c r="AO199" s="36"/>
      <c r="AP199" s="36" t="s">
        <v>141</v>
      </c>
      <c r="AQ199" s="36"/>
      <c r="AR199" s="36" t="s">
        <v>141</v>
      </c>
      <c r="AS199" s="36" t="s">
        <v>141</v>
      </c>
      <c r="AT199" s="36"/>
      <c r="AU199" s="36"/>
      <c r="AV199" s="36"/>
      <c r="AW199" s="117"/>
      <c r="AX199" s="117"/>
      <c r="AY199" s="36"/>
      <c r="AZ199" s="36"/>
      <c r="BA199" s="117" t="s">
        <v>141</v>
      </c>
      <c r="BB199" s="117"/>
      <c r="BC199" s="117" t="s">
        <v>141</v>
      </c>
      <c r="BD199" s="117"/>
      <c r="BE199" s="117"/>
      <c r="BF199" s="117"/>
      <c r="BG199" s="117"/>
      <c r="BH199" s="117"/>
      <c r="BI199" s="117"/>
      <c r="BJ199" s="117"/>
      <c r="BK199" s="117"/>
      <c r="BL199" s="117"/>
      <c r="BM199" s="117">
        <f t="shared" si="34"/>
        <v>8</v>
      </c>
      <c r="BN199" s="117">
        <f t="shared" si="35"/>
        <v>2</v>
      </c>
      <c r="BO199" s="117">
        <f t="shared" si="36"/>
        <v>1</v>
      </c>
      <c r="BP199" s="153">
        <f t="shared" si="37"/>
        <v>7</v>
      </c>
      <c r="BQ199" s="74" t="s">
        <v>358</v>
      </c>
      <c r="BR199" s="74"/>
      <c r="BS199" s="74"/>
    </row>
    <row r="200" spans="1:71" hidden="1">
      <c r="A200">
        <v>186</v>
      </c>
      <c r="B200" s="75">
        <v>45753.098576388889</v>
      </c>
      <c r="E200" s="7">
        <v>45753</v>
      </c>
      <c r="F200">
        <v>741</v>
      </c>
      <c r="I200" s="10" t="s">
        <v>1099</v>
      </c>
      <c r="J200" s="69">
        <v>45753</v>
      </c>
      <c r="K200" s="97">
        <f t="shared" si="33"/>
        <v>4</v>
      </c>
      <c r="L200" s="97">
        <v>198</v>
      </c>
      <c r="O200" s="7" t="s">
        <v>1100</v>
      </c>
      <c r="T200" t="s">
        <v>1101</v>
      </c>
      <c r="X200" s="36"/>
      <c r="Y200" s="36"/>
      <c r="Z200" s="36" t="s">
        <v>141</v>
      </c>
      <c r="AA200" s="36" t="s">
        <v>141</v>
      </c>
      <c r="AB200" s="36"/>
      <c r="AC200" s="36"/>
      <c r="AD200" s="36"/>
      <c r="AE200" s="36"/>
      <c r="AF200" s="36"/>
      <c r="AG200" s="36"/>
      <c r="AH200" s="36"/>
      <c r="AI200" s="36"/>
      <c r="AJ200" s="36"/>
      <c r="AK200" s="117" t="s">
        <v>141</v>
      </c>
      <c r="AL200" s="36" t="s">
        <v>141</v>
      </c>
      <c r="AM200" s="36"/>
      <c r="AN200" s="36"/>
      <c r="AO200" s="36"/>
      <c r="AP200" s="36"/>
      <c r="AQ200" s="36"/>
      <c r="AR200" s="36"/>
      <c r="AS200" s="36"/>
      <c r="AT200" s="36" t="s">
        <v>141</v>
      </c>
      <c r="AU200" s="36"/>
      <c r="AV200" s="36"/>
      <c r="AW200" s="117" t="s">
        <v>141</v>
      </c>
      <c r="AX200" s="117"/>
      <c r="AY200" s="36"/>
      <c r="AZ200" s="36"/>
      <c r="BA200" s="117"/>
      <c r="BB200" s="117"/>
      <c r="BC200" s="117"/>
      <c r="BD200" s="117"/>
      <c r="BE200" s="117"/>
      <c r="BF200" s="117" t="s">
        <v>141</v>
      </c>
      <c r="BG200" s="117" t="s">
        <v>141</v>
      </c>
      <c r="BH200" s="117"/>
      <c r="BI200" s="117"/>
      <c r="BJ200" s="117"/>
      <c r="BK200" s="117"/>
      <c r="BL200" s="117"/>
      <c r="BM200" s="117">
        <f t="shared" si="34"/>
        <v>7</v>
      </c>
      <c r="BN200" s="117">
        <f t="shared" si="35"/>
        <v>1</v>
      </c>
      <c r="BO200" s="117">
        <f t="shared" si="36"/>
        <v>2</v>
      </c>
      <c r="BP200" s="153">
        <f t="shared" si="37"/>
        <v>4</v>
      </c>
      <c r="BQ200" s="74" t="s">
        <v>627</v>
      </c>
      <c r="BR200" s="74"/>
      <c r="BS200" s="74"/>
    </row>
    <row r="201" spans="1:71" hidden="1">
      <c r="A201">
        <v>187</v>
      </c>
      <c r="B201" s="75">
        <v>45754.317418981482</v>
      </c>
      <c r="E201" s="7">
        <v>45754</v>
      </c>
      <c r="F201">
        <v>742</v>
      </c>
      <c r="I201" s="10" t="s">
        <v>1102</v>
      </c>
      <c r="J201" s="69">
        <v>45754</v>
      </c>
      <c r="K201" s="97">
        <f t="shared" si="33"/>
        <v>4</v>
      </c>
      <c r="L201" s="97">
        <v>199</v>
      </c>
      <c r="O201" s="7" t="s">
        <v>197</v>
      </c>
      <c r="T201" t="s">
        <v>1103</v>
      </c>
      <c r="X201" s="36"/>
      <c r="Y201" s="36"/>
      <c r="Z201" s="36" t="s">
        <v>141</v>
      </c>
      <c r="AA201" s="36" t="s">
        <v>141</v>
      </c>
      <c r="AB201" s="36" t="s">
        <v>141</v>
      </c>
      <c r="AC201" s="36" t="s">
        <v>141</v>
      </c>
      <c r="AD201" s="36" t="s">
        <v>141</v>
      </c>
      <c r="AE201" s="36" t="s">
        <v>141</v>
      </c>
      <c r="AF201" s="36" t="s">
        <v>141</v>
      </c>
      <c r="AG201" s="36" t="s">
        <v>141</v>
      </c>
      <c r="AH201" s="36" t="s">
        <v>141</v>
      </c>
      <c r="AI201" s="36" t="s">
        <v>141</v>
      </c>
      <c r="AJ201" s="36" t="s">
        <v>141</v>
      </c>
      <c r="AK201" s="117" t="s">
        <v>141</v>
      </c>
      <c r="AL201" s="36" t="s">
        <v>141</v>
      </c>
      <c r="AM201" s="36"/>
      <c r="AN201" s="36" t="s">
        <v>141</v>
      </c>
      <c r="AO201" s="36" t="s">
        <v>141</v>
      </c>
      <c r="AP201" s="36"/>
      <c r="AQ201" s="36"/>
      <c r="AR201" s="36"/>
      <c r="AS201" s="36" t="s">
        <v>141</v>
      </c>
      <c r="AT201" s="36"/>
      <c r="AU201" s="36" t="s">
        <v>141</v>
      </c>
      <c r="AV201" s="36"/>
      <c r="AW201" s="117" t="s">
        <v>141</v>
      </c>
      <c r="AX201" s="117"/>
      <c r="AY201" s="36"/>
      <c r="AZ201" s="36" t="s">
        <v>141</v>
      </c>
      <c r="BA201" s="117"/>
      <c r="BB201" s="117" t="s">
        <v>141</v>
      </c>
      <c r="BC201" s="117"/>
      <c r="BD201" s="117" t="s">
        <v>141</v>
      </c>
      <c r="BE201" s="117"/>
      <c r="BF201" s="117" t="s">
        <v>141</v>
      </c>
      <c r="BG201" s="117" t="s">
        <v>141</v>
      </c>
      <c r="BH201" s="117"/>
      <c r="BI201" s="117"/>
      <c r="BJ201" s="117"/>
      <c r="BK201" s="117"/>
      <c r="BL201" s="117"/>
      <c r="BM201" s="117">
        <f t="shared" si="34"/>
        <v>22</v>
      </c>
      <c r="BN201" s="117">
        <f t="shared" si="35"/>
        <v>5</v>
      </c>
      <c r="BO201" s="117">
        <f t="shared" si="36"/>
        <v>5</v>
      </c>
      <c r="BP201" s="153">
        <f t="shared" si="37"/>
        <v>15</v>
      </c>
      <c r="BQ201" s="74" t="s">
        <v>1104</v>
      </c>
      <c r="BR201" s="74"/>
      <c r="BS201" s="74"/>
    </row>
    <row r="202" spans="1:71" hidden="1">
      <c r="A202">
        <v>188</v>
      </c>
      <c r="B202" s="75">
        <v>45756.306342592594</v>
      </c>
      <c r="E202" s="7">
        <v>45756</v>
      </c>
      <c r="F202">
        <v>743</v>
      </c>
      <c r="I202" s="10" t="s">
        <v>1105</v>
      </c>
      <c r="J202" s="69">
        <v>45756</v>
      </c>
      <c r="K202" s="97">
        <f t="shared" si="33"/>
        <v>4</v>
      </c>
      <c r="L202" s="97">
        <v>200</v>
      </c>
      <c r="O202" s="7" t="s">
        <v>156</v>
      </c>
      <c r="T202" t="s">
        <v>1106</v>
      </c>
      <c r="X202" s="36"/>
      <c r="Y202" s="36" t="s">
        <v>141</v>
      </c>
      <c r="Z202" s="36" t="s">
        <v>141</v>
      </c>
      <c r="AA202" s="36" t="s">
        <v>141</v>
      </c>
      <c r="AB202" s="36"/>
      <c r="AC202" s="36" t="s">
        <v>141</v>
      </c>
      <c r="AD202" s="36"/>
      <c r="AE202" s="36"/>
      <c r="AF202" s="36" t="s">
        <v>141</v>
      </c>
      <c r="AG202" s="36" t="s">
        <v>141</v>
      </c>
      <c r="AH202" s="36"/>
      <c r="AI202" s="36"/>
      <c r="AJ202" s="36"/>
      <c r="AK202" s="117"/>
      <c r="AL202" s="36"/>
      <c r="AM202" s="36"/>
      <c r="AN202" s="36"/>
      <c r="AO202" s="36"/>
      <c r="AP202" s="36"/>
      <c r="AQ202" s="36"/>
      <c r="AR202" s="36"/>
      <c r="AS202" s="36" t="s">
        <v>141</v>
      </c>
      <c r="AT202" s="36" t="s">
        <v>141</v>
      </c>
      <c r="AU202" s="36"/>
      <c r="AV202" s="36"/>
      <c r="AW202" s="117" t="s">
        <v>141</v>
      </c>
      <c r="AX202" s="117"/>
      <c r="AY202" s="36"/>
      <c r="AZ202" s="36" t="s">
        <v>141</v>
      </c>
      <c r="BA202" s="117"/>
      <c r="BB202" s="117"/>
      <c r="BC202" s="117"/>
      <c r="BD202" s="117"/>
      <c r="BE202" s="117"/>
      <c r="BF202" s="117"/>
      <c r="BG202" s="117"/>
      <c r="BH202" s="117"/>
      <c r="BI202" s="117"/>
      <c r="BJ202" s="117"/>
      <c r="BK202" s="117"/>
      <c r="BL202" s="117"/>
      <c r="BM202" s="117">
        <f t="shared" si="34"/>
        <v>10</v>
      </c>
      <c r="BN202" s="117">
        <f t="shared" si="35"/>
        <v>2</v>
      </c>
      <c r="BO202" s="117">
        <f t="shared" si="36"/>
        <v>4</v>
      </c>
      <c r="BP202" s="153">
        <f t="shared" si="37"/>
        <v>6</v>
      </c>
      <c r="BQ202" s="74" t="s">
        <v>502</v>
      </c>
      <c r="BR202" s="74"/>
      <c r="BS202" s="74"/>
    </row>
    <row r="203" spans="1:71" hidden="1">
      <c r="A203">
        <v>189</v>
      </c>
      <c r="B203" s="75">
        <v>45757.286527777775</v>
      </c>
      <c r="E203" s="7">
        <v>45757</v>
      </c>
      <c r="F203">
        <v>744</v>
      </c>
      <c r="I203" s="10" t="s">
        <v>1107</v>
      </c>
      <c r="J203" s="69">
        <v>45757</v>
      </c>
      <c r="K203" s="97">
        <f t="shared" si="33"/>
        <v>4</v>
      </c>
      <c r="L203" s="97">
        <v>201</v>
      </c>
      <c r="O203" s="7" t="s">
        <v>146</v>
      </c>
      <c r="T203" t="s">
        <v>1108</v>
      </c>
      <c r="X203" s="36"/>
      <c r="Y203" s="36"/>
      <c r="Z203" s="36"/>
      <c r="AA203" s="36"/>
      <c r="AB203" s="36" t="s">
        <v>141</v>
      </c>
      <c r="AC203" s="36"/>
      <c r="AD203" s="36" t="s">
        <v>141</v>
      </c>
      <c r="AE203" s="36"/>
      <c r="AF203" s="36" t="s">
        <v>141</v>
      </c>
      <c r="AG203" s="36"/>
      <c r="AH203" s="36" t="s">
        <v>141</v>
      </c>
      <c r="AI203" s="36"/>
      <c r="AJ203" s="36"/>
      <c r="AK203" s="117"/>
      <c r="AL203" s="36"/>
      <c r="AM203" s="36" t="s">
        <v>141</v>
      </c>
      <c r="AN203" s="36" t="s">
        <v>141</v>
      </c>
      <c r="AO203" s="36" t="s">
        <v>141</v>
      </c>
      <c r="AP203" s="36"/>
      <c r="AQ203" s="36"/>
      <c r="AR203" s="36"/>
      <c r="AS203" s="36" t="s">
        <v>141</v>
      </c>
      <c r="AT203" s="36" t="s">
        <v>141</v>
      </c>
      <c r="AU203" s="36"/>
      <c r="AV203" s="36"/>
      <c r="AW203" s="117" t="s">
        <v>141</v>
      </c>
      <c r="AX203" s="117"/>
      <c r="AY203" s="36"/>
      <c r="AZ203" s="36" t="s">
        <v>141</v>
      </c>
      <c r="BA203" s="117"/>
      <c r="BB203" s="117" t="s">
        <v>141</v>
      </c>
      <c r="BC203" s="117"/>
      <c r="BD203" s="117" t="s">
        <v>141</v>
      </c>
      <c r="BE203" s="117"/>
      <c r="BF203" s="117" t="s">
        <v>141</v>
      </c>
      <c r="BG203" s="117"/>
      <c r="BH203" s="117"/>
      <c r="BI203" s="117"/>
      <c r="BJ203" s="117"/>
      <c r="BK203" s="117"/>
      <c r="BL203" s="117"/>
      <c r="BM203" s="117">
        <f t="shared" si="34"/>
        <v>14</v>
      </c>
      <c r="BN203" s="117">
        <f t="shared" si="35"/>
        <v>3</v>
      </c>
      <c r="BO203" s="117">
        <f t="shared" si="36"/>
        <v>2</v>
      </c>
      <c r="BP203" s="153">
        <f t="shared" si="37"/>
        <v>10</v>
      </c>
      <c r="BQ203" s="74" t="s">
        <v>208</v>
      </c>
      <c r="BR203" s="74"/>
      <c r="BS203" s="74"/>
    </row>
    <row r="204" spans="1:71" hidden="1">
      <c r="A204">
        <v>190</v>
      </c>
      <c r="B204" s="75">
        <v>45757.379594907405</v>
      </c>
      <c r="E204" s="7">
        <v>45757</v>
      </c>
      <c r="F204">
        <v>745</v>
      </c>
      <c r="I204" s="10" t="s">
        <v>1109</v>
      </c>
      <c r="J204" s="69">
        <v>45757</v>
      </c>
      <c r="K204" s="97">
        <f t="shared" si="33"/>
        <v>4</v>
      </c>
      <c r="L204" s="97">
        <v>202</v>
      </c>
      <c r="O204" s="7" t="s">
        <v>134</v>
      </c>
      <c r="T204" t="s">
        <v>1110</v>
      </c>
      <c r="X204" s="36"/>
      <c r="Y204" s="36"/>
      <c r="Z204" s="36"/>
      <c r="AA204" s="36"/>
      <c r="AB204" s="36" t="s">
        <v>141</v>
      </c>
      <c r="AC204" s="36"/>
      <c r="AD204" s="36" t="s">
        <v>141</v>
      </c>
      <c r="AE204" s="36"/>
      <c r="AF204" s="36" t="s">
        <v>141</v>
      </c>
      <c r="AG204" s="36"/>
      <c r="AH204" s="36" t="s">
        <v>141</v>
      </c>
      <c r="AI204" s="36" t="s">
        <v>141</v>
      </c>
      <c r="AJ204" s="36"/>
      <c r="AK204" s="117"/>
      <c r="AL204" s="36"/>
      <c r="AM204" s="36" t="s">
        <v>141</v>
      </c>
      <c r="AN204" s="36" t="s">
        <v>141</v>
      </c>
      <c r="AO204" s="36" t="s">
        <v>141</v>
      </c>
      <c r="AP204" s="36"/>
      <c r="AQ204" s="36"/>
      <c r="AR204" s="36"/>
      <c r="AS204" s="36" t="s">
        <v>141</v>
      </c>
      <c r="AT204" s="36" t="s">
        <v>141</v>
      </c>
      <c r="AU204" s="36"/>
      <c r="AV204" s="36"/>
      <c r="AW204" s="117" t="s">
        <v>141</v>
      </c>
      <c r="AX204" s="117"/>
      <c r="AY204" s="36"/>
      <c r="AZ204" s="36" t="s">
        <v>141</v>
      </c>
      <c r="BA204" s="117"/>
      <c r="BB204" s="117"/>
      <c r="BC204" s="117"/>
      <c r="BD204" s="117" t="s">
        <v>141</v>
      </c>
      <c r="BE204" s="117"/>
      <c r="BF204" s="117" t="s">
        <v>141</v>
      </c>
      <c r="BG204" s="117"/>
      <c r="BH204" s="117"/>
      <c r="BI204" s="117"/>
      <c r="BJ204" s="117"/>
      <c r="BK204" s="117"/>
      <c r="BL204" s="117"/>
      <c r="BM204" s="117">
        <f t="shared" si="34"/>
        <v>14</v>
      </c>
      <c r="BN204" s="117">
        <f t="shared" si="35"/>
        <v>3</v>
      </c>
      <c r="BO204" s="117">
        <f t="shared" si="36"/>
        <v>2</v>
      </c>
      <c r="BP204" s="153">
        <f t="shared" si="37"/>
        <v>10</v>
      </c>
      <c r="BQ204" s="74" t="s">
        <v>840</v>
      </c>
      <c r="BR204" s="74"/>
      <c r="BS204" s="74"/>
    </row>
    <row r="205" spans="1:71">
      <c r="A205">
        <v>191</v>
      </c>
      <c r="B205" s="75">
        <v>45757.388425925928</v>
      </c>
      <c r="E205" s="7">
        <v>45757</v>
      </c>
      <c r="F205">
        <v>746</v>
      </c>
      <c r="I205" s="10" t="s">
        <v>1111</v>
      </c>
      <c r="J205" s="69">
        <v>45757</v>
      </c>
      <c r="K205" s="97">
        <f t="shared" si="33"/>
        <v>4</v>
      </c>
      <c r="L205" s="97">
        <v>203</v>
      </c>
      <c r="O205" s="7" t="s">
        <v>1013</v>
      </c>
      <c r="T205" t="s">
        <v>1112</v>
      </c>
      <c r="X205" s="36"/>
      <c r="Y205" s="36"/>
      <c r="Z205" s="36"/>
      <c r="AA205" s="36"/>
      <c r="AB205" s="36" t="s">
        <v>141</v>
      </c>
      <c r="AC205" s="36"/>
      <c r="AD205" s="36" t="s">
        <v>141</v>
      </c>
      <c r="AE205" s="36"/>
      <c r="AF205" s="36" t="s">
        <v>141</v>
      </c>
      <c r="AG205" s="36"/>
      <c r="AH205" s="36" t="s">
        <v>141</v>
      </c>
      <c r="AI205" s="36" t="s">
        <v>141</v>
      </c>
      <c r="AJ205" s="36"/>
      <c r="AK205" s="117"/>
      <c r="AL205" s="36"/>
      <c r="AM205" s="36" t="s">
        <v>141</v>
      </c>
      <c r="AN205" s="36" t="s">
        <v>141</v>
      </c>
      <c r="AO205" s="36" t="s">
        <v>141</v>
      </c>
      <c r="AP205" s="36"/>
      <c r="AQ205" s="36"/>
      <c r="AR205" s="36" t="s">
        <v>141</v>
      </c>
      <c r="AS205" s="36" t="s">
        <v>141</v>
      </c>
      <c r="AT205" s="36" t="s">
        <v>141</v>
      </c>
      <c r="AU205" s="36"/>
      <c r="AV205" s="36"/>
      <c r="AW205" s="117" t="s">
        <v>141</v>
      </c>
      <c r="AX205" s="117"/>
      <c r="AY205" s="36"/>
      <c r="AZ205" s="36" t="s">
        <v>141</v>
      </c>
      <c r="BA205" s="117"/>
      <c r="BB205" s="117" t="s">
        <v>141</v>
      </c>
      <c r="BC205" s="117"/>
      <c r="BD205" s="117" t="s">
        <v>141</v>
      </c>
      <c r="BE205" s="117" t="s">
        <v>141</v>
      </c>
      <c r="BF205" s="117" t="s">
        <v>141</v>
      </c>
      <c r="BG205" s="117"/>
      <c r="BH205" s="117"/>
      <c r="BI205" s="117"/>
      <c r="BJ205" s="117"/>
      <c r="BK205" s="117"/>
      <c r="BL205" s="117"/>
      <c r="BM205" s="117">
        <f t="shared" si="34"/>
        <v>17</v>
      </c>
      <c r="BN205" s="117">
        <f t="shared" si="35"/>
        <v>4</v>
      </c>
      <c r="BO205" s="117">
        <f t="shared" si="36"/>
        <v>2</v>
      </c>
      <c r="BP205" s="153">
        <f t="shared" si="37"/>
        <v>12</v>
      </c>
      <c r="BQ205" s="74" t="s">
        <v>208</v>
      </c>
      <c r="BR205" s="74"/>
      <c r="BS205" s="74"/>
    </row>
    <row r="206" spans="1:71">
      <c r="A206">
        <v>192</v>
      </c>
      <c r="B206" s="75">
        <v>45757.419814814813</v>
      </c>
      <c r="E206" s="7">
        <v>45757</v>
      </c>
      <c r="F206">
        <v>747</v>
      </c>
      <c r="I206" s="10" t="s">
        <v>1113</v>
      </c>
      <c r="J206" s="69">
        <v>45757</v>
      </c>
      <c r="K206" s="97">
        <f t="shared" si="33"/>
        <v>4</v>
      </c>
      <c r="L206" s="97">
        <v>204</v>
      </c>
      <c r="O206" s="7" t="s">
        <v>1013</v>
      </c>
      <c r="T206" t="s">
        <v>1114</v>
      </c>
      <c r="X206" s="36"/>
      <c r="Y206" s="36"/>
      <c r="Z206" s="36"/>
      <c r="AA206" s="36"/>
      <c r="AB206" s="36" t="s">
        <v>141</v>
      </c>
      <c r="AC206" s="36"/>
      <c r="AD206" s="36" t="s">
        <v>141</v>
      </c>
      <c r="AE206" s="36"/>
      <c r="AF206" s="36" t="s">
        <v>141</v>
      </c>
      <c r="AG206" s="36"/>
      <c r="AH206" s="36" t="s">
        <v>141</v>
      </c>
      <c r="AI206" s="36"/>
      <c r="AJ206" s="36"/>
      <c r="AK206" s="117"/>
      <c r="AL206" s="36"/>
      <c r="AM206" s="36" t="s">
        <v>141</v>
      </c>
      <c r="AN206" s="36"/>
      <c r="AO206" s="36" t="s">
        <v>141</v>
      </c>
      <c r="AP206" s="36"/>
      <c r="AQ206" s="36"/>
      <c r="AR206" s="36"/>
      <c r="AS206" s="36" t="s">
        <v>141</v>
      </c>
      <c r="AT206" s="36" t="s">
        <v>141</v>
      </c>
      <c r="AU206" s="36"/>
      <c r="AV206" s="36"/>
      <c r="AW206" s="117" t="s">
        <v>141</v>
      </c>
      <c r="AX206" s="117"/>
      <c r="AY206" s="36"/>
      <c r="AZ206" s="36" t="s">
        <v>141</v>
      </c>
      <c r="BA206" s="117"/>
      <c r="BB206" s="117"/>
      <c r="BC206" s="117"/>
      <c r="BD206" s="117" t="s">
        <v>141</v>
      </c>
      <c r="BE206" s="117" t="s">
        <v>141</v>
      </c>
      <c r="BF206" s="117" t="s">
        <v>141</v>
      </c>
      <c r="BG206" s="117" t="s">
        <v>141</v>
      </c>
      <c r="BH206" s="117"/>
      <c r="BI206" s="117"/>
      <c r="BJ206" s="117"/>
      <c r="BK206" s="117"/>
      <c r="BL206" s="117"/>
      <c r="BM206" s="117">
        <f t="shared" si="34"/>
        <v>13</v>
      </c>
      <c r="BN206" s="117">
        <f t="shared" si="35"/>
        <v>2</v>
      </c>
      <c r="BO206" s="117">
        <f t="shared" si="36"/>
        <v>2</v>
      </c>
      <c r="BP206" s="153">
        <f t="shared" si="37"/>
        <v>8</v>
      </c>
      <c r="BQ206" s="74" t="s">
        <v>208</v>
      </c>
      <c r="BR206" s="74"/>
      <c r="BS206" s="74"/>
    </row>
    <row r="207" spans="1:71" hidden="1">
      <c r="A207">
        <v>193</v>
      </c>
      <c r="B207" s="75">
        <v>45758.586689814816</v>
      </c>
      <c r="E207" s="7">
        <v>45759</v>
      </c>
      <c r="F207">
        <v>748</v>
      </c>
      <c r="I207" s="10" t="s">
        <v>1115</v>
      </c>
      <c r="J207" s="69">
        <v>45759</v>
      </c>
      <c r="K207" s="97">
        <f t="shared" si="33"/>
        <v>4</v>
      </c>
      <c r="L207" s="97">
        <v>205</v>
      </c>
      <c r="O207" s="7" t="s">
        <v>197</v>
      </c>
      <c r="T207" t="s">
        <v>1116</v>
      </c>
      <c r="X207" s="36"/>
      <c r="Y207" s="36" t="s">
        <v>141</v>
      </c>
      <c r="Z207" s="36" t="s">
        <v>141</v>
      </c>
      <c r="AA207" s="36"/>
      <c r="AB207" s="36"/>
      <c r="AC207" s="36"/>
      <c r="AD207" s="36"/>
      <c r="AE207" s="36"/>
      <c r="AF207" s="36"/>
      <c r="AG207" s="36"/>
      <c r="AH207" s="36" t="s">
        <v>141</v>
      </c>
      <c r="AI207" s="36" t="s">
        <v>141</v>
      </c>
      <c r="AJ207" s="36"/>
      <c r="AK207" s="117"/>
      <c r="AL207" s="36" t="s">
        <v>141</v>
      </c>
      <c r="AM207" s="36" t="s">
        <v>141</v>
      </c>
      <c r="AN207" s="36"/>
      <c r="AO207" s="36"/>
      <c r="AP207" s="36"/>
      <c r="AQ207" s="36"/>
      <c r="AR207" s="36"/>
      <c r="AS207" s="36" t="s">
        <v>141</v>
      </c>
      <c r="AT207" s="36"/>
      <c r="AU207" s="36"/>
      <c r="AV207" s="36"/>
      <c r="AW207" s="117"/>
      <c r="AX207" s="117"/>
      <c r="AY207" s="36"/>
      <c r="AZ207" s="36" t="s">
        <v>141</v>
      </c>
      <c r="BA207" s="117"/>
      <c r="BB207" s="117"/>
      <c r="BC207" s="117"/>
      <c r="BD207" s="117" t="s">
        <v>141</v>
      </c>
      <c r="BE207" s="117" t="s">
        <v>141</v>
      </c>
      <c r="BF207" s="117"/>
      <c r="BG207" s="117"/>
      <c r="BH207" s="117"/>
      <c r="BI207" s="117"/>
      <c r="BJ207" s="117"/>
      <c r="BK207" s="117"/>
      <c r="BL207" s="117"/>
      <c r="BM207" s="117">
        <f t="shared" si="34"/>
        <v>10</v>
      </c>
      <c r="BN207" s="117">
        <f t="shared" si="35"/>
        <v>2</v>
      </c>
      <c r="BO207" s="117">
        <f t="shared" si="36"/>
        <v>2</v>
      </c>
      <c r="BP207" s="153">
        <f t="shared" si="37"/>
        <v>6</v>
      </c>
      <c r="BQ207" s="74" t="s">
        <v>152</v>
      </c>
      <c r="BR207" s="74"/>
      <c r="BS207" s="74"/>
    </row>
    <row r="208" spans="1:71" hidden="1">
      <c r="A208">
        <v>194</v>
      </c>
      <c r="B208" s="75">
        <v>45758.588182870371</v>
      </c>
      <c r="E208" s="7">
        <v>45759</v>
      </c>
      <c r="F208">
        <v>749</v>
      </c>
      <c r="I208" s="10" t="s">
        <v>1117</v>
      </c>
      <c r="J208" s="69">
        <v>45759</v>
      </c>
      <c r="K208" s="97">
        <f t="shared" si="33"/>
        <v>4</v>
      </c>
      <c r="L208" s="97">
        <v>206</v>
      </c>
      <c r="O208" s="7" t="s">
        <v>156</v>
      </c>
      <c r="T208" t="s">
        <v>1118</v>
      </c>
      <c r="X208" s="36"/>
      <c r="Y208" s="36" t="s">
        <v>141</v>
      </c>
      <c r="Z208" s="36" t="s">
        <v>141</v>
      </c>
      <c r="AA208" s="36"/>
      <c r="AB208" s="36"/>
      <c r="AC208" s="36"/>
      <c r="AD208" s="36"/>
      <c r="AE208" s="36"/>
      <c r="AF208" s="36"/>
      <c r="AG208" s="36"/>
      <c r="AH208" s="36" t="s">
        <v>141</v>
      </c>
      <c r="AI208" s="36" t="s">
        <v>141</v>
      </c>
      <c r="AJ208" s="36"/>
      <c r="AK208" s="117"/>
      <c r="AL208" s="36" t="s">
        <v>141</v>
      </c>
      <c r="AM208" s="36" t="s">
        <v>141</v>
      </c>
      <c r="AN208" s="36"/>
      <c r="AO208" s="36"/>
      <c r="AP208" s="36"/>
      <c r="AQ208" s="36"/>
      <c r="AR208" s="36"/>
      <c r="AS208" s="36" t="s">
        <v>141</v>
      </c>
      <c r="AT208" s="36"/>
      <c r="AU208" s="36"/>
      <c r="AV208" s="36"/>
      <c r="AW208" s="117"/>
      <c r="AX208" s="117"/>
      <c r="AY208" s="36"/>
      <c r="AZ208" s="36" t="s">
        <v>141</v>
      </c>
      <c r="BA208" s="117"/>
      <c r="BB208" s="117"/>
      <c r="BC208" s="117"/>
      <c r="BD208" s="117" t="s">
        <v>141</v>
      </c>
      <c r="BE208" s="117" t="s">
        <v>141</v>
      </c>
      <c r="BF208" s="117"/>
      <c r="BG208" s="117"/>
      <c r="BH208" s="117"/>
      <c r="BI208" s="117"/>
      <c r="BJ208" s="117"/>
      <c r="BK208" s="117"/>
      <c r="BL208" s="117"/>
      <c r="BM208" s="117">
        <f t="shared" si="34"/>
        <v>10</v>
      </c>
      <c r="BN208" s="117">
        <f t="shared" si="35"/>
        <v>2</v>
      </c>
      <c r="BO208" s="117">
        <f t="shared" si="36"/>
        <v>2</v>
      </c>
      <c r="BP208" s="153">
        <f t="shared" si="37"/>
        <v>6</v>
      </c>
      <c r="BQ208" s="74" t="s">
        <v>152</v>
      </c>
      <c r="BR208" s="74"/>
      <c r="BS208" s="74"/>
    </row>
    <row r="209" spans="1:71" hidden="1">
      <c r="A209">
        <v>195</v>
      </c>
      <c r="B209" s="75">
        <v>45758.589826388888</v>
      </c>
      <c r="E209" s="7">
        <v>45759</v>
      </c>
      <c r="F209">
        <v>750</v>
      </c>
      <c r="I209" s="10" t="s">
        <v>1119</v>
      </c>
      <c r="J209" s="69">
        <v>45759</v>
      </c>
      <c r="K209" s="97">
        <f t="shared" si="33"/>
        <v>4</v>
      </c>
      <c r="L209" s="97">
        <v>207</v>
      </c>
      <c r="O209" s="7" t="s">
        <v>156</v>
      </c>
      <c r="T209" t="s">
        <v>1120</v>
      </c>
      <c r="X209" s="36"/>
      <c r="Y209" s="36" t="s">
        <v>141</v>
      </c>
      <c r="Z209" s="36" t="s">
        <v>141</v>
      </c>
      <c r="AA209" s="36"/>
      <c r="AB209" s="36"/>
      <c r="AC209" s="36"/>
      <c r="AD209" s="36"/>
      <c r="AE209" s="36"/>
      <c r="AF209" s="36"/>
      <c r="AG209" s="36"/>
      <c r="AH209" s="36" t="s">
        <v>141</v>
      </c>
      <c r="AI209" s="36" t="s">
        <v>141</v>
      </c>
      <c r="AJ209" s="36"/>
      <c r="AK209" s="117"/>
      <c r="AL209" s="36" t="s">
        <v>141</v>
      </c>
      <c r="AM209" s="36" t="s">
        <v>141</v>
      </c>
      <c r="AN209" s="36"/>
      <c r="AO209" s="36"/>
      <c r="AP209" s="36"/>
      <c r="AQ209" s="36"/>
      <c r="AR209" s="36"/>
      <c r="AS209" s="36" t="s">
        <v>141</v>
      </c>
      <c r="AT209" s="36"/>
      <c r="AU209" s="36"/>
      <c r="AV209" s="36"/>
      <c r="AW209" s="117"/>
      <c r="AX209" s="117"/>
      <c r="AY209" s="36"/>
      <c r="AZ209" s="36" t="s">
        <v>141</v>
      </c>
      <c r="BA209" s="117"/>
      <c r="BB209" s="117"/>
      <c r="BC209" s="117"/>
      <c r="BD209" s="117" t="s">
        <v>141</v>
      </c>
      <c r="BE209" s="117" t="s">
        <v>141</v>
      </c>
      <c r="BF209" s="117"/>
      <c r="BG209" s="117"/>
      <c r="BH209" s="117"/>
      <c r="BI209" s="117"/>
      <c r="BJ209" s="117"/>
      <c r="BK209" s="117"/>
      <c r="BL209" s="117"/>
      <c r="BM209" s="117">
        <f t="shared" si="34"/>
        <v>10</v>
      </c>
      <c r="BN209" s="117">
        <f t="shared" si="35"/>
        <v>2</v>
      </c>
      <c r="BO209" s="117">
        <f t="shared" si="36"/>
        <v>2</v>
      </c>
      <c r="BP209" s="153">
        <f t="shared" si="37"/>
        <v>6</v>
      </c>
      <c r="BQ209" s="74" t="s">
        <v>152</v>
      </c>
      <c r="BR209" s="74"/>
      <c r="BS209" s="74"/>
    </row>
    <row r="210" spans="1:71" hidden="1">
      <c r="A210">
        <v>196</v>
      </c>
      <c r="B210" s="75">
        <v>45759.996979166666</v>
      </c>
      <c r="E210" s="7">
        <v>45760</v>
      </c>
      <c r="F210">
        <v>751</v>
      </c>
      <c r="I210" s="10" t="s">
        <v>1121</v>
      </c>
      <c r="J210" s="69">
        <v>45760</v>
      </c>
      <c r="K210" s="97">
        <f t="shared" si="33"/>
        <v>4</v>
      </c>
      <c r="L210" s="97">
        <v>208</v>
      </c>
      <c r="O210" s="7" t="s">
        <v>156</v>
      </c>
      <c r="T210" t="s">
        <v>1122</v>
      </c>
      <c r="X210" s="36" t="s">
        <v>141</v>
      </c>
      <c r="Y210" s="36" t="s">
        <v>141</v>
      </c>
      <c r="Z210" s="36"/>
      <c r="AA210" s="36" t="s">
        <v>141</v>
      </c>
      <c r="AB210" s="36" t="s">
        <v>141</v>
      </c>
      <c r="AC210" s="36"/>
      <c r="AD210" s="36" t="s">
        <v>141</v>
      </c>
      <c r="AE210" s="36"/>
      <c r="AF210" s="36" t="s">
        <v>141</v>
      </c>
      <c r="AG210" s="36"/>
      <c r="AH210" s="36"/>
      <c r="AI210" s="36" t="s">
        <v>141</v>
      </c>
      <c r="AJ210" s="36"/>
      <c r="AK210" s="117" t="s">
        <v>141</v>
      </c>
      <c r="AL210" s="36"/>
      <c r="AM210" s="36"/>
      <c r="AN210" s="36"/>
      <c r="AO210" s="36"/>
      <c r="AP210" s="36"/>
      <c r="AQ210" s="36"/>
      <c r="AR210" s="36" t="s">
        <v>141</v>
      </c>
      <c r="AS210" s="36"/>
      <c r="AT210" s="36"/>
      <c r="AU210" s="36"/>
      <c r="AV210" s="36"/>
      <c r="AW210" s="117"/>
      <c r="AX210" s="117"/>
      <c r="AY210" s="36"/>
      <c r="AZ210" s="36"/>
      <c r="BA210" s="117"/>
      <c r="BB210" s="117"/>
      <c r="BC210" s="117"/>
      <c r="BD210" s="117"/>
      <c r="BE210" s="117" t="s">
        <v>141</v>
      </c>
      <c r="BF210" s="117" t="s">
        <v>141</v>
      </c>
      <c r="BG210" s="117" t="s">
        <v>141</v>
      </c>
      <c r="BH210" s="117"/>
      <c r="BI210" s="117"/>
      <c r="BJ210" s="117"/>
      <c r="BK210" s="117"/>
      <c r="BL210" s="117"/>
      <c r="BM210" s="117">
        <f t="shared" si="34"/>
        <v>11</v>
      </c>
      <c r="BN210" s="117">
        <f t="shared" si="35"/>
        <v>2</v>
      </c>
      <c r="BO210" s="117">
        <f t="shared" si="36"/>
        <v>5</v>
      </c>
      <c r="BP210" s="153">
        <f t="shared" si="37"/>
        <v>4</v>
      </c>
      <c r="BQ210" s="74" t="s">
        <v>358</v>
      </c>
      <c r="BR210" s="74"/>
      <c r="BS210" s="74"/>
    </row>
    <row r="211" spans="1:71" hidden="1">
      <c r="A211">
        <v>197</v>
      </c>
      <c r="B211" s="75">
        <v>45761.070497685185</v>
      </c>
      <c r="E211" s="7">
        <v>45761</v>
      </c>
      <c r="F211">
        <v>752</v>
      </c>
      <c r="I211" s="10" t="s">
        <v>1123</v>
      </c>
      <c r="J211" s="69">
        <v>45761</v>
      </c>
      <c r="K211" s="97">
        <f t="shared" si="33"/>
        <v>4</v>
      </c>
      <c r="L211" s="97">
        <v>209</v>
      </c>
      <c r="O211" s="7" t="s">
        <v>134</v>
      </c>
      <c r="T211" t="s">
        <v>1124</v>
      </c>
      <c r="X211" s="36"/>
      <c r="Y211" s="36" t="s">
        <v>141</v>
      </c>
      <c r="Z211" s="36"/>
      <c r="AA211" s="36" t="s">
        <v>141</v>
      </c>
      <c r="AB211" s="36"/>
      <c r="AC211" s="36"/>
      <c r="AD211" s="36" t="s">
        <v>141</v>
      </c>
      <c r="AE211" s="36"/>
      <c r="AF211" s="36"/>
      <c r="AG211" s="36"/>
      <c r="AH211" s="36" t="s">
        <v>141</v>
      </c>
      <c r="AI211" s="36"/>
      <c r="AJ211" s="36"/>
      <c r="AK211" s="117" t="s">
        <v>141</v>
      </c>
      <c r="AL211" s="36" t="s">
        <v>141</v>
      </c>
      <c r="AM211" s="36" t="s">
        <v>141</v>
      </c>
      <c r="AN211" s="36"/>
      <c r="AO211" s="36"/>
      <c r="AP211" s="36"/>
      <c r="AQ211" s="36"/>
      <c r="AR211" s="36"/>
      <c r="AS211" s="36" t="s">
        <v>141</v>
      </c>
      <c r="AT211" s="36" t="s">
        <v>141</v>
      </c>
      <c r="AU211" s="36" t="s">
        <v>141</v>
      </c>
      <c r="AV211" s="36"/>
      <c r="AW211" s="117" t="s">
        <v>141</v>
      </c>
      <c r="AX211" s="117"/>
      <c r="AY211" s="36"/>
      <c r="AZ211" s="36" t="s">
        <v>141</v>
      </c>
      <c r="BA211" s="117"/>
      <c r="BB211" s="117"/>
      <c r="BC211" s="117"/>
      <c r="BD211" s="117"/>
      <c r="BE211" s="117"/>
      <c r="BF211" s="117" t="s">
        <v>141</v>
      </c>
      <c r="BG211" s="117"/>
      <c r="BH211" s="117"/>
      <c r="BI211" s="117"/>
      <c r="BJ211" s="117"/>
      <c r="BK211" s="117"/>
      <c r="BL211" s="117"/>
      <c r="BM211" s="117">
        <f t="shared" si="34"/>
        <v>13</v>
      </c>
      <c r="BN211" s="117">
        <f t="shared" si="35"/>
        <v>3</v>
      </c>
      <c r="BO211" s="117">
        <f t="shared" si="36"/>
        <v>3</v>
      </c>
      <c r="BP211" s="153">
        <f t="shared" si="37"/>
        <v>9</v>
      </c>
      <c r="BQ211" s="74" t="s">
        <v>589</v>
      </c>
      <c r="BR211" s="74"/>
      <c r="BS211" s="74"/>
    </row>
    <row r="212" spans="1:71" hidden="1">
      <c r="A212">
        <v>198</v>
      </c>
      <c r="B212" s="75">
        <v>45761.118206018517</v>
      </c>
      <c r="E212" s="7">
        <v>45761</v>
      </c>
      <c r="F212">
        <v>753</v>
      </c>
      <c r="I212" s="10" t="s">
        <v>1125</v>
      </c>
      <c r="J212" s="69">
        <v>45761</v>
      </c>
      <c r="K212" s="97">
        <f t="shared" ref="K212:K219" si="38">MONTH($J212)</f>
        <v>4</v>
      </c>
      <c r="L212" s="97">
        <v>210</v>
      </c>
      <c r="O212" s="7" t="s">
        <v>1126</v>
      </c>
      <c r="T212" t="s">
        <v>1127</v>
      </c>
      <c r="X212" s="36" t="s">
        <v>141</v>
      </c>
      <c r="Y212" s="36" t="s">
        <v>141</v>
      </c>
      <c r="Z212" s="36"/>
      <c r="AA212" s="36" t="s">
        <v>141</v>
      </c>
      <c r="AB212" s="36"/>
      <c r="AC212" s="36"/>
      <c r="AD212" s="36" t="s">
        <v>141</v>
      </c>
      <c r="AE212" s="36"/>
      <c r="AF212" s="36"/>
      <c r="AG212" s="36"/>
      <c r="AH212" s="36" t="s">
        <v>141</v>
      </c>
      <c r="AI212" s="36"/>
      <c r="AJ212" s="36"/>
      <c r="AK212" s="117" t="s">
        <v>141</v>
      </c>
      <c r="AL212" s="36" t="s">
        <v>141</v>
      </c>
      <c r="AM212" s="36" t="s">
        <v>141</v>
      </c>
      <c r="AN212" s="36"/>
      <c r="AO212" s="36"/>
      <c r="AP212" s="36"/>
      <c r="AQ212" s="36"/>
      <c r="AR212" s="36"/>
      <c r="AS212" s="36" t="s">
        <v>141</v>
      </c>
      <c r="AT212" s="36"/>
      <c r="AU212" s="36" t="s">
        <v>141</v>
      </c>
      <c r="AV212" s="36"/>
      <c r="AW212" s="117" t="s">
        <v>141</v>
      </c>
      <c r="AX212" s="117"/>
      <c r="AY212" s="36"/>
      <c r="AZ212" s="36" t="s">
        <v>141</v>
      </c>
      <c r="BA212" s="117"/>
      <c r="BB212" s="117"/>
      <c r="BC212" s="117"/>
      <c r="BD212" s="117"/>
      <c r="BE212" s="117"/>
      <c r="BF212" s="117" t="s">
        <v>141</v>
      </c>
      <c r="BG212" s="117"/>
      <c r="BH212" s="117"/>
      <c r="BI212" s="117"/>
      <c r="BJ212" s="117"/>
      <c r="BK212" s="117"/>
      <c r="BL212" s="117"/>
      <c r="BM212" s="117">
        <f t="shared" si="34"/>
        <v>13</v>
      </c>
      <c r="BN212" s="117">
        <f t="shared" si="35"/>
        <v>3</v>
      </c>
      <c r="BO212" s="117">
        <f t="shared" si="36"/>
        <v>4</v>
      </c>
      <c r="BP212" s="153">
        <f t="shared" si="37"/>
        <v>8</v>
      </c>
      <c r="BQ212" s="74" t="s">
        <v>1128</v>
      </c>
      <c r="BR212" s="74"/>
      <c r="BS212" s="74"/>
    </row>
    <row r="213" spans="1:71" hidden="1">
      <c r="A213">
        <v>199</v>
      </c>
      <c r="B213" s="75">
        <v>45762.259930555556</v>
      </c>
      <c r="E213" s="7">
        <v>45762</v>
      </c>
      <c r="F213">
        <v>754</v>
      </c>
      <c r="I213" s="10" t="s">
        <v>1129</v>
      </c>
      <c r="J213" s="69">
        <v>45762</v>
      </c>
      <c r="K213" s="97">
        <f t="shared" si="38"/>
        <v>4</v>
      </c>
      <c r="L213" s="97">
        <v>211</v>
      </c>
      <c r="O213" s="7" t="s">
        <v>146</v>
      </c>
      <c r="T213" t="s">
        <v>1130</v>
      </c>
      <c r="X213" s="36" t="s">
        <v>141</v>
      </c>
      <c r="Y213" s="36" t="s">
        <v>141</v>
      </c>
      <c r="Z213" s="36" t="s">
        <v>141</v>
      </c>
      <c r="AA213" s="36" t="s">
        <v>141</v>
      </c>
      <c r="AB213" s="36" t="s">
        <v>141</v>
      </c>
      <c r="AC213" s="36"/>
      <c r="AD213" s="36" t="s">
        <v>141</v>
      </c>
      <c r="AE213" s="36"/>
      <c r="AF213" s="36"/>
      <c r="AG213" s="36"/>
      <c r="AH213" s="36" t="s">
        <v>141</v>
      </c>
      <c r="AI213" s="36"/>
      <c r="AJ213" s="36" t="s">
        <v>141</v>
      </c>
      <c r="AK213" s="117" t="s">
        <v>141</v>
      </c>
      <c r="AL213" s="36" t="s">
        <v>141</v>
      </c>
      <c r="AM213" s="36" t="s">
        <v>141</v>
      </c>
      <c r="AN213" s="36"/>
      <c r="AO213" s="36"/>
      <c r="AP213" s="36"/>
      <c r="AQ213" s="36"/>
      <c r="AR213" s="36"/>
      <c r="AS213" s="36"/>
      <c r="AT213" s="36" t="s">
        <v>141</v>
      </c>
      <c r="AU213" s="36"/>
      <c r="AV213" s="36"/>
      <c r="AW213" s="117" t="s">
        <v>141</v>
      </c>
      <c r="AX213" s="117"/>
      <c r="AY213" s="36" t="s">
        <v>141</v>
      </c>
      <c r="AZ213" s="36" t="s">
        <v>141</v>
      </c>
      <c r="BA213" s="117"/>
      <c r="BB213" s="117" t="s">
        <v>141</v>
      </c>
      <c r="BC213" s="117"/>
      <c r="BD213" s="117"/>
      <c r="BE213" s="117" t="s">
        <v>141</v>
      </c>
      <c r="BF213" s="117"/>
      <c r="BG213" s="117"/>
      <c r="BH213" s="117"/>
      <c r="BI213" s="117"/>
      <c r="BJ213" s="117"/>
      <c r="BK213" s="117"/>
      <c r="BL213" s="117"/>
      <c r="BM213" s="117">
        <f t="shared" si="34"/>
        <v>17</v>
      </c>
      <c r="BN213" s="117">
        <f t="shared" si="35"/>
        <v>3</v>
      </c>
      <c r="BO213" s="117">
        <f t="shared" si="36"/>
        <v>6</v>
      </c>
      <c r="BP213" s="153">
        <f t="shared" si="37"/>
        <v>10</v>
      </c>
      <c r="BQ213" s="74" t="s">
        <v>208</v>
      </c>
      <c r="BR213" s="74"/>
      <c r="BS213" s="74"/>
    </row>
    <row r="214" spans="1:71" hidden="1">
      <c r="A214">
        <v>200</v>
      </c>
      <c r="B214" s="75">
        <v>45762.451423611114</v>
      </c>
      <c r="E214" s="7">
        <v>45762</v>
      </c>
      <c r="F214">
        <v>755</v>
      </c>
      <c r="I214" s="10" t="s">
        <v>1131</v>
      </c>
      <c r="J214" s="69">
        <v>45762</v>
      </c>
      <c r="K214" s="97">
        <f t="shared" si="38"/>
        <v>4</v>
      </c>
      <c r="L214" s="97">
        <v>212</v>
      </c>
      <c r="O214" s="7" t="s">
        <v>134</v>
      </c>
      <c r="T214" t="s">
        <v>1132</v>
      </c>
      <c r="X214" s="36"/>
      <c r="Y214" s="36" t="s">
        <v>141</v>
      </c>
      <c r="Z214" s="36" t="s">
        <v>141</v>
      </c>
      <c r="AA214" s="36"/>
      <c r="AB214" s="36" t="s">
        <v>141</v>
      </c>
      <c r="AC214" s="36"/>
      <c r="AD214" s="36"/>
      <c r="AE214" s="36"/>
      <c r="AF214" s="36"/>
      <c r="AG214" s="36"/>
      <c r="AH214" s="36"/>
      <c r="AI214" s="36"/>
      <c r="AJ214" s="36" t="s">
        <v>141</v>
      </c>
      <c r="AK214" s="117" t="s">
        <v>141</v>
      </c>
      <c r="AL214" s="36"/>
      <c r="AM214" s="36"/>
      <c r="AN214" s="36"/>
      <c r="AO214" s="36"/>
      <c r="AP214" s="36"/>
      <c r="AQ214" s="36"/>
      <c r="AR214" s="36"/>
      <c r="AS214" s="36" t="s">
        <v>141</v>
      </c>
      <c r="AT214" s="36"/>
      <c r="AU214" s="36"/>
      <c r="AV214" s="36"/>
      <c r="AW214" s="117" t="s">
        <v>141</v>
      </c>
      <c r="AX214" s="117"/>
      <c r="AY214" s="36"/>
      <c r="AZ214" s="36"/>
      <c r="BA214" s="117"/>
      <c r="BB214" s="117"/>
      <c r="BC214" s="117"/>
      <c r="BD214" s="117"/>
      <c r="BE214" s="117"/>
      <c r="BF214" s="117"/>
      <c r="BG214" s="117" t="s">
        <v>141</v>
      </c>
      <c r="BH214" s="117"/>
      <c r="BI214" s="117"/>
      <c r="BJ214" s="117"/>
      <c r="BK214" s="117"/>
      <c r="BL214" s="117"/>
      <c r="BM214" s="117">
        <f t="shared" si="34"/>
        <v>7</v>
      </c>
      <c r="BN214" s="117">
        <f t="shared" si="35"/>
        <v>3</v>
      </c>
      <c r="BO214" s="117">
        <f t="shared" si="36"/>
        <v>3</v>
      </c>
      <c r="BP214" s="153">
        <f t="shared" si="37"/>
        <v>4</v>
      </c>
      <c r="BQ214" s="74" t="s">
        <v>1133</v>
      </c>
      <c r="BR214" s="74"/>
      <c r="BS214" s="74"/>
    </row>
    <row r="215" spans="1:71" hidden="1">
      <c r="A215">
        <v>201</v>
      </c>
      <c r="B215" s="75">
        <v>45763.087962962964</v>
      </c>
      <c r="E215" s="7">
        <v>45763</v>
      </c>
      <c r="F215">
        <v>756</v>
      </c>
      <c r="I215" s="10" t="s">
        <v>1134</v>
      </c>
      <c r="J215" s="69">
        <v>45763</v>
      </c>
      <c r="K215" s="97">
        <f t="shared" si="38"/>
        <v>4</v>
      </c>
      <c r="L215" s="97">
        <v>213</v>
      </c>
      <c r="O215" s="7" t="s">
        <v>1135</v>
      </c>
      <c r="T215" t="s">
        <v>1136</v>
      </c>
      <c r="X215" s="36"/>
      <c r="Y215" s="36" t="s">
        <v>141</v>
      </c>
      <c r="Z215" s="36"/>
      <c r="AA215" s="36"/>
      <c r="AB215" s="36"/>
      <c r="AC215" s="36"/>
      <c r="AD215" s="36" t="s">
        <v>141</v>
      </c>
      <c r="AE215" s="36" t="s">
        <v>141</v>
      </c>
      <c r="AF215" s="36" t="s">
        <v>141</v>
      </c>
      <c r="AG215" s="36"/>
      <c r="AH215" s="36" t="s">
        <v>141</v>
      </c>
      <c r="AI215" s="36"/>
      <c r="AJ215" s="36" t="s">
        <v>141</v>
      </c>
      <c r="AK215" s="117"/>
      <c r="AL215" s="36" t="s">
        <v>141</v>
      </c>
      <c r="AM215" s="36" t="s">
        <v>141</v>
      </c>
      <c r="AN215" s="36"/>
      <c r="AO215" s="36" t="s">
        <v>141</v>
      </c>
      <c r="AP215" s="36"/>
      <c r="AQ215" s="36"/>
      <c r="AR215" s="36"/>
      <c r="AS215" s="36"/>
      <c r="AT215" s="36"/>
      <c r="AU215" s="36" t="s">
        <v>141</v>
      </c>
      <c r="AV215" s="36"/>
      <c r="AW215" s="117"/>
      <c r="AX215" s="117"/>
      <c r="AY215" s="36" t="s">
        <v>141</v>
      </c>
      <c r="AZ215" s="36"/>
      <c r="BA215" s="117"/>
      <c r="BB215" s="117"/>
      <c r="BC215" s="117"/>
      <c r="BD215" s="117"/>
      <c r="BE215" s="117" t="s">
        <v>141</v>
      </c>
      <c r="BF215" s="117"/>
      <c r="BG215" s="117"/>
      <c r="BH215" s="117"/>
      <c r="BI215" s="117"/>
      <c r="BJ215" s="117"/>
      <c r="BK215" s="117"/>
      <c r="BL215" s="117"/>
      <c r="BM215" s="117">
        <f t="shared" si="34"/>
        <v>12</v>
      </c>
      <c r="BN215" s="117">
        <f t="shared" si="35"/>
        <v>2</v>
      </c>
      <c r="BO215" s="117">
        <f t="shared" si="36"/>
        <v>2</v>
      </c>
      <c r="BP215" s="153">
        <f t="shared" si="37"/>
        <v>9</v>
      </c>
      <c r="BQ215" s="74" t="s">
        <v>1137</v>
      </c>
      <c r="BR215" s="74"/>
      <c r="BS215" s="74"/>
    </row>
    <row r="216" spans="1:71" hidden="1">
      <c r="A216">
        <v>202</v>
      </c>
      <c r="B216" s="75">
        <v>45763.092430555553</v>
      </c>
      <c r="E216" s="7">
        <v>45763</v>
      </c>
      <c r="F216">
        <v>757</v>
      </c>
      <c r="I216" s="10" t="s">
        <v>1138</v>
      </c>
      <c r="J216" s="69">
        <v>45763</v>
      </c>
      <c r="K216" s="97">
        <f t="shared" si="38"/>
        <v>4</v>
      </c>
      <c r="L216" s="97">
        <v>214</v>
      </c>
      <c r="O216" s="7" t="s">
        <v>146</v>
      </c>
      <c r="T216" t="s">
        <v>1139</v>
      </c>
      <c r="X216" s="36"/>
      <c r="Y216" s="36" t="s">
        <v>141</v>
      </c>
      <c r="Z216" s="36" t="s">
        <v>141</v>
      </c>
      <c r="AA216" s="36"/>
      <c r="AB216" s="36"/>
      <c r="AC216" s="36"/>
      <c r="AD216" s="36" t="s">
        <v>141</v>
      </c>
      <c r="AE216" s="36" t="s">
        <v>141</v>
      </c>
      <c r="AF216" s="36" t="s">
        <v>141</v>
      </c>
      <c r="AG216" s="36"/>
      <c r="AH216" s="36" t="s">
        <v>141</v>
      </c>
      <c r="AI216" s="36"/>
      <c r="AJ216" s="36" t="s">
        <v>141</v>
      </c>
      <c r="AK216" s="117"/>
      <c r="AL216" s="36" t="s">
        <v>141</v>
      </c>
      <c r="AM216" s="36" t="s">
        <v>141</v>
      </c>
      <c r="AN216" s="36"/>
      <c r="AO216" s="36" t="s">
        <v>141</v>
      </c>
      <c r="AP216" s="36"/>
      <c r="AQ216" s="36"/>
      <c r="AR216" s="36"/>
      <c r="AS216" s="36"/>
      <c r="AT216" s="36"/>
      <c r="AU216" s="36" t="s">
        <v>141</v>
      </c>
      <c r="AV216" s="36"/>
      <c r="AW216" s="117" t="s">
        <v>141</v>
      </c>
      <c r="AX216" s="117"/>
      <c r="AY216" s="36" t="s">
        <v>141</v>
      </c>
      <c r="AZ216" s="36"/>
      <c r="BA216" s="117"/>
      <c r="BB216" s="117"/>
      <c r="BC216" s="117"/>
      <c r="BD216" s="117"/>
      <c r="BE216" s="117" t="s">
        <v>141</v>
      </c>
      <c r="BF216" s="117"/>
      <c r="BG216" s="117"/>
      <c r="BH216" s="117"/>
      <c r="BI216" s="117"/>
      <c r="BJ216" s="117"/>
      <c r="BK216" s="117"/>
      <c r="BL216" s="117"/>
      <c r="BM216" s="117">
        <f t="shared" si="34"/>
        <v>14</v>
      </c>
      <c r="BN216" s="117">
        <f t="shared" si="35"/>
        <v>2</v>
      </c>
      <c r="BO216" s="117">
        <f t="shared" si="36"/>
        <v>3</v>
      </c>
      <c r="BP216" s="153">
        <f t="shared" si="37"/>
        <v>10</v>
      </c>
      <c r="BQ216" s="74" t="s">
        <v>1137</v>
      </c>
      <c r="BR216" s="74"/>
      <c r="BS216" s="74"/>
    </row>
    <row r="217" spans="1:71" hidden="1">
      <c r="A217">
        <v>203</v>
      </c>
      <c r="B217" s="75">
        <v>45763.163136574076</v>
      </c>
      <c r="E217" s="7">
        <v>45763</v>
      </c>
      <c r="F217">
        <v>758</v>
      </c>
      <c r="I217" s="10" t="s">
        <v>1140</v>
      </c>
      <c r="J217" s="69">
        <v>45763</v>
      </c>
      <c r="K217" s="97">
        <f t="shared" si="38"/>
        <v>4</v>
      </c>
      <c r="L217" s="97">
        <v>215</v>
      </c>
      <c r="O217" s="7" t="s">
        <v>146</v>
      </c>
      <c r="T217" t="s">
        <v>1141</v>
      </c>
      <c r="X217" s="36" t="s">
        <v>141</v>
      </c>
      <c r="Y217" s="36" t="s">
        <v>141</v>
      </c>
      <c r="Z217" s="36" t="s">
        <v>141</v>
      </c>
      <c r="AA217" s="36"/>
      <c r="AB217" s="36"/>
      <c r="AC217" s="36"/>
      <c r="AD217" s="36" t="s">
        <v>141</v>
      </c>
      <c r="AE217" s="36" t="s">
        <v>141</v>
      </c>
      <c r="AF217" s="36" t="s">
        <v>141</v>
      </c>
      <c r="AG217" s="36"/>
      <c r="AH217" s="36" t="s">
        <v>141</v>
      </c>
      <c r="AI217" s="36"/>
      <c r="AJ217" s="36" t="s">
        <v>141</v>
      </c>
      <c r="AK217" s="117"/>
      <c r="AL217" s="36"/>
      <c r="AM217" s="36" t="s">
        <v>141</v>
      </c>
      <c r="AN217" s="36"/>
      <c r="AO217" s="36"/>
      <c r="AP217" s="36"/>
      <c r="AQ217" s="36"/>
      <c r="AR217" s="36"/>
      <c r="AS217" s="36"/>
      <c r="AT217" s="36"/>
      <c r="AU217" s="36"/>
      <c r="AV217" s="36"/>
      <c r="AW217" s="117"/>
      <c r="AX217" s="117"/>
      <c r="AY217" s="36"/>
      <c r="AZ217" s="36"/>
      <c r="BA217" s="117"/>
      <c r="BB217" s="117"/>
      <c r="BC217" s="117"/>
      <c r="BD217" s="117"/>
      <c r="BE217" s="117"/>
      <c r="BF217" s="117"/>
      <c r="BG217" s="117"/>
      <c r="BH217" s="117"/>
      <c r="BI217" s="117"/>
      <c r="BJ217" s="117"/>
      <c r="BK217" s="117"/>
      <c r="BL217" s="117"/>
      <c r="BM217" s="117">
        <f t="shared" si="34"/>
        <v>9</v>
      </c>
      <c r="BN217" s="117">
        <f t="shared" si="35"/>
        <v>2</v>
      </c>
      <c r="BO217" s="117">
        <f t="shared" si="36"/>
        <v>4</v>
      </c>
      <c r="BP217" s="153">
        <f t="shared" si="37"/>
        <v>5</v>
      </c>
      <c r="BQ217" s="74" t="s">
        <v>974</v>
      </c>
      <c r="BR217" s="74"/>
      <c r="BS217" s="74"/>
    </row>
    <row r="218" spans="1:71" hidden="1">
      <c r="A218">
        <v>204</v>
      </c>
      <c r="B218" s="75">
        <v>45765.643611111111</v>
      </c>
      <c r="E218" s="7">
        <v>45763</v>
      </c>
      <c r="F218">
        <v>759</v>
      </c>
      <c r="I218" s="10" t="s">
        <v>1142</v>
      </c>
      <c r="J218" s="69">
        <v>45766</v>
      </c>
      <c r="K218" s="97">
        <f t="shared" si="38"/>
        <v>4</v>
      </c>
      <c r="L218" s="97">
        <v>216</v>
      </c>
      <c r="O218" s="7" t="s">
        <v>197</v>
      </c>
      <c r="T218" t="s">
        <v>1143</v>
      </c>
      <c r="X218" s="36" t="s">
        <v>141</v>
      </c>
      <c r="Y218" s="36" t="s">
        <v>141</v>
      </c>
      <c r="Z218" s="36" t="s">
        <v>141</v>
      </c>
      <c r="AA218" s="36"/>
      <c r="AB218" s="36"/>
      <c r="AC218" s="36"/>
      <c r="AD218" s="36" t="s">
        <v>141</v>
      </c>
      <c r="AE218" s="36" t="s">
        <v>141</v>
      </c>
      <c r="AF218" s="36" t="s">
        <v>141</v>
      </c>
      <c r="AG218" s="36"/>
      <c r="AH218" s="36" t="s">
        <v>141</v>
      </c>
      <c r="AI218" s="36" t="s">
        <v>141</v>
      </c>
      <c r="AJ218" s="36" t="s">
        <v>141</v>
      </c>
      <c r="AK218" s="117"/>
      <c r="AL218" s="36"/>
      <c r="AM218" s="36" t="s">
        <v>141</v>
      </c>
      <c r="AN218" s="36"/>
      <c r="AO218" s="36"/>
      <c r="AP218" s="36"/>
      <c r="AQ218" s="36"/>
      <c r="AR218" s="36"/>
      <c r="AS218" s="36"/>
      <c r="AT218" s="36" t="s">
        <v>141</v>
      </c>
      <c r="AU218" s="36"/>
      <c r="AV218" s="36"/>
      <c r="AW218" s="117" t="s">
        <v>141</v>
      </c>
      <c r="AX218" s="117"/>
      <c r="AY218" s="36" t="s">
        <v>141</v>
      </c>
      <c r="AZ218" s="36"/>
      <c r="BA218" s="117"/>
      <c r="BB218" s="117"/>
      <c r="BC218" s="117"/>
      <c r="BD218" s="117"/>
      <c r="BE218" s="117"/>
      <c r="BF218" s="117"/>
      <c r="BG218" s="117"/>
      <c r="BH218" s="117"/>
      <c r="BI218" s="117"/>
      <c r="BJ218" s="117"/>
      <c r="BK218" s="117"/>
      <c r="BL218" s="117"/>
      <c r="BM218" s="117">
        <f t="shared" si="34"/>
        <v>13</v>
      </c>
      <c r="BN218" s="117">
        <f t="shared" si="35"/>
        <v>2</v>
      </c>
      <c r="BO218" s="117">
        <f t="shared" si="36"/>
        <v>4</v>
      </c>
      <c r="BP218" s="153">
        <f t="shared" si="37"/>
        <v>9</v>
      </c>
      <c r="BQ218" s="74" t="s">
        <v>1144</v>
      </c>
      <c r="BR218" s="74"/>
      <c r="BS218" s="74"/>
    </row>
    <row r="219" spans="1:71" hidden="1">
      <c r="A219">
        <v>205</v>
      </c>
      <c r="B219" s="75">
        <v>45765.661400462966</v>
      </c>
      <c r="E219" s="7">
        <v>45766</v>
      </c>
      <c r="F219">
        <v>760</v>
      </c>
      <c r="I219" s="10" t="s">
        <v>1145</v>
      </c>
      <c r="J219" s="69">
        <v>45766</v>
      </c>
      <c r="K219" s="97">
        <f t="shared" si="38"/>
        <v>4</v>
      </c>
      <c r="L219" s="97">
        <v>217</v>
      </c>
      <c r="O219" s="7" t="s">
        <v>156</v>
      </c>
      <c r="T219" t="s">
        <v>1146</v>
      </c>
      <c r="X219" s="36" t="s">
        <v>141</v>
      </c>
      <c r="Y219" s="36" t="s">
        <v>141</v>
      </c>
      <c r="Z219" s="36" t="s">
        <v>141</v>
      </c>
      <c r="AA219" s="36"/>
      <c r="AB219" s="36"/>
      <c r="AC219" s="36"/>
      <c r="AD219" s="36"/>
      <c r="AE219" s="36"/>
      <c r="AF219" s="36"/>
      <c r="AG219" s="36"/>
      <c r="AH219" s="36" t="s">
        <v>141</v>
      </c>
      <c r="AI219" s="36" t="s">
        <v>141</v>
      </c>
      <c r="AJ219" s="36"/>
      <c r="AK219" s="117"/>
      <c r="AL219" s="36" t="s">
        <v>141</v>
      </c>
      <c r="AM219" s="36"/>
      <c r="AN219" s="36"/>
      <c r="AO219" s="36" t="s">
        <v>141</v>
      </c>
      <c r="AP219" s="36" t="s">
        <v>141</v>
      </c>
      <c r="AQ219" s="36"/>
      <c r="AR219" s="36"/>
      <c r="AS219" s="36"/>
      <c r="AT219" s="36" t="s">
        <v>141</v>
      </c>
      <c r="AU219" s="36" t="s">
        <v>141</v>
      </c>
      <c r="AV219" s="36"/>
      <c r="AW219" s="117"/>
      <c r="AX219" s="117"/>
      <c r="AY219" s="36"/>
      <c r="AZ219" s="36"/>
      <c r="BA219" s="117"/>
      <c r="BB219" s="117" t="s">
        <v>141</v>
      </c>
      <c r="BC219" s="117"/>
      <c r="BD219" s="117"/>
      <c r="BE219" s="117"/>
      <c r="BF219" s="117" t="s">
        <v>141</v>
      </c>
      <c r="BG219" s="117"/>
      <c r="BH219" s="117"/>
      <c r="BI219" s="117"/>
      <c r="BJ219" s="117"/>
      <c r="BK219" s="117"/>
      <c r="BL219" s="117"/>
      <c r="BM219" s="117">
        <f t="shared" si="34"/>
        <v>12</v>
      </c>
      <c r="BN219" s="117">
        <f t="shared" si="35"/>
        <v>0</v>
      </c>
      <c r="BO219" s="117">
        <f t="shared" si="36"/>
        <v>3</v>
      </c>
      <c r="BP219" s="153">
        <f t="shared" si="37"/>
        <v>8</v>
      </c>
      <c r="BQ219" s="74" t="s">
        <v>502</v>
      </c>
      <c r="BR219" s="74"/>
      <c r="BS219" s="74"/>
    </row>
    <row r="220" spans="1:71" hidden="1">
      <c r="A220">
        <v>206</v>
      </c>
      <c r="B220" s="75">
        <v>45767.120682870373</v>
      </c>
      <c r="E220" s="7">
        <v>45767</v>
      </c>
      <c r="F220">
        <v>761</v>
      </c>
      <c r="I220" s="10" t="s">
        <v>1147</v>
      </c>
      <c r="J220" s="69">
        <v>45767</v>
      </c>
      <c r="K220" s="97">
        <f t="shared" ref="K220:K229" si="39">MONTH($J220)</f>
        <v>4</v>
      </c>
      <c r="L220" s="97">
        <v>218</v>
      </c>
      <c r="O220" s="7" t="s">
        <v>156</v>
      </c>
      <c r="T220" t="s">
        <v>1148</v>
      </c>
      <c r="X220" s="36" t="s">
        <v>141</v>
      </c>
      <c r="Y220" s="36" t="s">
        <v>141</v>
      </c>
      <c r="Z220" s="36" t="s">
        <v>141</v>
      </c>
      <c r="AA220" s="36" t="s">
        <v>141</v>
      </c>
      <c r="AB220" s="36" t="s">
        <v>141</v>
      </c>
      <c r="AC220" s="36"/>
      <c r="AD220" s="36"/>
      <c r="AE220" s="36" t="s">
        <v>141</v>
      </c>
      <c r="AF220" s="36"/>
      <c r="AG220" s="36"/>
      <c r="AH220" s="36" t="s">
        <v>141</v>
      </c>
      <c r="AI220" s="36"/>
      <c r="AJ220" s="36"/>
      <c r="AK220" s="117"/>
      <c r="AL220" s="36"/>
      <c r="AM220" s="36"/>
      <c r="AN220" s="36" t="s">
        <v>141</v>
      </c>
      <c r="AO220" s="36"/>
      <c r="AP220" s="36" t="s">
        <v>141</v>
      </c>
      <c r="AQ220" s="36"/>
      <c r="AR220" s="36"/>
      <c r="AS220" s="36" t="s">
        <v>141</v>
      </c>
      <c r="AT220" s="36"/>
      <c r="AU220" s="36" t="s">
        <v>141</v>
      </c>
      <c r="AV220" s="36"/>
      <c r="AW220" s="117"/>
      <c r="AX220" s="117" t="s">
        <v>141</v>
      </c>
      <c r="AY220" s="36" t="s">
        <v>141</v>
      </c>
      <c r="AZ220" s="36"/>
      <c r="BA220" s="117"/>
      <c r="BB220" s="117"/>
      <c r="BC220" s="117"/>
      <c r="BD220" s="117"/>
      <c r="BE220" s="117"/>
      <c r="BF220" s="117" t="s">
        <v>141</v>
      </c>
      <c r="BG220" s="117" t="s">
        <v>141</v>
      </c>
      <c r="BH220" s="117"/>
      <c r="BI220" s="117"/>
      <c r="BJ220" s="117"/>
      <c r="BK220" s="117"/>
      <c r="BL220" s="117"/>
      <c r="BM220" s="117">
        <f t="shared" si="34"/>
        <v>14</v>
      </c>
      <c r="BN220" s="117">
        <f t="shared" si="35"/>
        <v>2</v>
      </c>
      <c r="BO220" s="117">
        <f t="shared" si="36"/>
        <v>5</v>
      </c>
      <c r="BP220" s="153">
        <f t="shared" si="37"/>
        <v>8</v>
      </c>
      <c r="BQ220" s="74" t="s">
        <v>208</v>
      </c>
      <c r="BR220" s="74"/>
    </row>
    <row r="221" spans="1:71" hidden="1">
      <c r="A221">
        <v>207</v>
      </c>
      <c r="B221" s="75">
        <v>45768.115219907406</v>
      </c>
      <c r="E221" s="7">
        <v>45768</v>
      </c>
      <c r="F221">
        <v>762</v>
      </c>
      <c r="I221" s="10" t="s">
        <v>1149</v>
      </c>
      <c r="J221" s="69">
        <v>45768</v>
      </c>
      <c r="K221" s="97">
        <f t="shared" si="39"/>
        <v>4</v>
      </c>
      <c r="L221" s="97">
        <v>219</v>
      </c>
      <c r="O221" s="7" t="s">
        <v>197</v>
      </c>
      <c r="T221" t="s">
        <v>1150</v>
      </c>
      <c r="X221" s="36"/>
      <c r="Y221" s="36"/>
      <c r="Z221" s="36" t="s">
        <v>141</v>
      </c>
      <c r="AA221" s="36" t="s">
        <v>141</v>
      </c>
      <c r="AB221" s="36" t="s">
        <v>141</v>
      </c>
      <c r="AC221" s="36"/>
      <c r="AD221" s="36"/>
      <c r="AE221" s="36"/>
      <c r="AF221" s="36"/>
      <c r="AG221" s="36" t="s">
        <v>141</v>
      </c>
      <c r="AH221" s="36" t="s">
        <v>141</v>
      </c>
      <c r="AI221" s="36"/>
      <c r="AJ221" s="36"/>
      <c r="AK221" s="117"/>
      <c r="AL221" s="36" t="s">
        <v>141</v>
      </c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117"/>
      <c r="AX221" s="117" t="s">
        <v>141</v>
      </c>
      <c r="AY221" s="36"/>
      <c r="AZ221" s="36"/>
      <c r="BA221" s="117"/>
      <c r="BB221" s="117"/>
      <c r="BC221" s="117"/>
      <c r="BD221" s="117"/>
      <c r="BE221" s="117" t="s">
        <v>141</v>
      </c>
      <c r="BF221" s="117" t="s">
        <v>141</v>
      </c>
      <c r="BG221" s="117"/>
      <c r="BH221" s="117"/>
      <c r="BI221" s="117"/>
      <c r="BJ221" s="117"/>
      <c r="BK221" s="117"/>
      <c r="BL221" s="117"/>
      <c r="BM221" s="117">
        <f t="shared" si="34"/>
        <v>9</v>
      </c>
      <c r="BN221" s="117">
        <f t="shared" si="35"/>
        <v>1</v>
      </c>
      <c r="BO221" s="117">
        <f t="shared" si="36"/>
        <v>3</v>
      </c>
      <c r="BP221" s="153">
        <f t="shared" si="37"/>
        <v>4</v>
      </c>
      <c r="BQ221" s="74" t="s">
        <v>208</v>
      </c>
      <c r="BR221" s="74"/>
    </row>
    <row r="222" spans="1:71" hidden="1">
      <c r="A222">
        <v>208</v>
      </c>
      <c r="B222" s="75">
        <v>45769.317939814813</v>
      </c>
      <c r="E222" s="7">
        <v>45769</v>
      </c>
      <c r="F222">
        <v>763</v>
      </c>
      <c r="I222" s="10" t="s">
        <v>1151</v>
      </c>
      <c r="J222" s="69">
        <v>45769</v>
      </c>
      <c r="K222" s="97">
        <f t="shared" si="39"/>
        <v>4</v>
      </c>
      <c r="L222" s="97">
        <v>220</v>
      </c>
      <c r="O222" s="7" t="s">
        <v>134</v>
      </c>
      <c r="T222" t="s">
        <v>1152</v>
      </c>
      <c r="X222" s="36" t="s">
        <v>141</v>
      </c>
      <c r="Y222" s="36"/>
      <c r="Z222" s="36" t="s">
        <v>141</v>
      </c>
      <c r="AA222" s="36" t="s">
        <v>141</v>
      </c>
      <c r="AB222" s="36" t="s">
        <v>141</v>
      </c>
      <c r="AC222" s="36" t="s">
        <v>141</v>
      </c>
      <c r="AD222" s="36" t="s">
        <v>141</v>
      </c>
      <c r="AE222" s="36" t="s">
        <v>141</v>
      </c>
      <c r="AF222" s="36"/>
      <c r="AG222" s="36"/>
      <c r="AH222" s="36" t="s">
        <v>141</v>
      </c>
      <c r="AI222" s="36"/>
      <c r="AJ222" s="36" t="s">
        <v>141</v>
      </c>
      <c r="AK222" s="117"/>
      <c r="AL222" s="36" t="s">
        <v>141</v>
      </c>
      <c r="AM222" s="36"/>
      <c r="AN222" s="36"/>
      <c r="AO222" s="36"/>
      <c r="AP222" s="36"/>
      <c r="AQ222" s="36"/>
      <c r="AR222" s="36"/>
      <c r="AS222" s="36"/>
      <c r="AT222" s="36"/>
      <c r="AU222" s="36" t="s">
        <v>141</v>
      </c>
      <c r="AV222" s="36"/>
      <c r="AW222" s="117"/>
      <c r="AX222" s="117"/>
      <c r="AY222" s="36" t="s">
        <v>141</v>
      </c>
      <c r="AZ222" s="36" t="s">
        <v>141</v>
      </c>
      <c r="BA222" s="117" t="s">
        <v>141</v>
      </c>
      <c r="BB222" s="117" t="s">
        <v>141</v>
      </c>
      <c r="BC222" s="117" t="s">
        <v>141</v>
      </c>
      <c r="BD222" s="117" t="s">
        <v>141</v>
      </c>
      <c r="BE222" s="117" t="s">
        <v>141</v>
      </c>
      <c r="BF222" s="117" t="s">
        <v>141</v>
      </c>
      <c r="BG222" s="117"/>
      <c r="BH222" s="117"/>
      <c r="BI222" s="117"/>
      <c r="BJ222" s="117"/>
      <c r="BK222" s="117"/>
      <c r="BL222" s="117"/>
      <c r="BM222" s="117">
        <f t="shared" si="34"/>
        <v>19</v>
      </c>
      <c r="BN222" s="117">
        <f t="shared" si="35"/>
        <v>1</v>
      </c>
      <c r="BO222" s="117">
        <f t="shared" si="36"/>
        <v>6</v>
      </c>
      <c r="BP222" s="153">
        <f t="shared" si="37"/>
        <v>10</v>
      </c>
      <c r="BQ222" s="74" t="s">
        <v>1033</v>
      </c>
      <c r="BR222" s="74"/>
    </row>
    <row r="223" spans="1:71" hidden="1">
      <c r="A223">
        <v>209</v>
      </c>
      <c r="B223" s="75">
        <v>45772.876886574071</v>
      </c>
      <c r="E223" s="7">
        <v>45773</v>
      </c>
      <c r="F223">
        <v>764</v>
      </c>
      <c r="I223" s="10" t="s">
        <v>1153</v>
      </c>
      <c r="J223" s="69">
        <v>45773</v>
      </c>
      <c r="K223" s="97">
        <f t="shared" si="39"/>
        <v>4</v>
      </c>
      <c r="L223" s="97">
        <v>221</v>
      </c>
      <c r="O223" s="7" t="s">
        <v>146</v>
      </c>
      <c r="T223" t="s">
        <v>1154</v>
      </c>
      <c r="X223" s="36" t="s">
        <v>141</v>
      </c>
      <c r="Y223" s="36"/>
      <c r="Z223" s="36"/>
      <c r="AA223" s="36" t="s">
        <v>141</v>
      </c>
      <c r="AB223" s="36" t="s">
        <v>141</v>
      </c>
      <c r="AC223" s="36"/>
      <c r="AD223" s="36"/>
      <c r="AE223" s="36"/>
      <c r="AF223" s="36"/>
      <c r="AG223" s="36"/>
      <c r="AH223" s="36" t="s">
        <v>141</v>
      </c>
      <c r="AI223" s="36"/>
      <c r="AJ223" s="36" t="s">
        <v>141</v>
      </c>
      <c r="AK223" s="117" t="s">
        <v>141</v>
      </c>
      <c r="AL223" s="36" t="s">
        <v>141</v>
      </c>
      <c r="AM223" s="36"/>
      <c r="AN223" s="36"/>
      <c r="AO223" s="36"/>
      <c r="AP223" s="36"/>
      <c r="AQ223" s="36"/>
      <c r="AR223" s="36" t="s">
        <v>141</v>
      </c>
      <c r="AS223" s="36"/>
      <c r="AT223" s="36" t="s">
        <v>141</v>
      </c>
      <c r="AU223" s="36"/>
      <c r="AV223" s="36"/>
      <c r="AW223" s="117" t="s">
        <v>141</v>
      </c>
      <c r="AX223" s="117"/>
      <c r="AY223" s="36"/>
      <c r="AZ223" s="36"/>
      <c r="BA223" s="117"/>
      <c r="BB223" s="117"/>
      <c r="BC223" s="117"/>
      <c r="BD223" s="117"/>
      <c r="BE223" s="117"/>
      <c r="BF223" s="117"/>
      <c r="BG223" s="117"/>
      <c r="BH223" s="117"/>
      <c r="BI223" s="117"/>
      <c r="BJ223" s="117"/>
      <c r="BK223" s="117"/>
      <c r="BL223" s="117"/>
      <c r="BM223" s="117">
        <f t="shared" si="34"/>
        <v>10</v>
      </c>
      <c r="BN223" s="117">
        <f t="shared" si="35"/>
        <v>3</v>
      </c>
      <c r="BO223" s="117">
        <f t="shared" si="36"/>
        <v>3</v>
      </c>
      <c r="BP223" s="153">
        <f t="shared" si="37"/>
        <v>7</v>
      </c>
      <c r="BQ223" s="74" t="s">
        <v>208</v>
      </c>
      <c r="BR223" s="74"/>
    </row>
    <row r="224" spans="1:71" hidden="1">
      <c r="A224">
        <v>210</v>
      </c>
      <c r="B224" s="75">
        <v>45772.963101851848</v>
      </c>
      <c r="E224" s="7">
        <v>45773</v>
      </c>
      <c r="F224">
        <v>765</v>
      </c>
      <c r="I224" s="10" t="s">
        <v>1155</v>
      </c>
      <c r="J224" s="69">
        <v>45773</v>
      </c>
      <c r="K224" s="97">
        <f t="shared" si="39"/>
        <v>4</v>
      </c>
      <c r="L224" s="97">
        <v>222</v>
      </c>
      <c r="O224" s="7" t="s">
        <v>970</v>
      </c>
      <c r="T224" t="s">
        <v>1156</v>
      </c>
      <c r="X224" s="36" t="s">
        <v>141</v>
      </c>
      <c r="Y224" s="36" t="s">
        <v>141</v>
      </c>
      <c r="Z224" s="36"/>
      <c r="AA224" s="36" t="s">
        <v>141</v>
      </c>
      <c r="AB224" s="36" t="s">
        <v>141</v>
      </c>
      <c r="AC224" s="36"/>
      <c r="AD224" s="36"/>
      <c r="AE224" s="36"/>
      <c r="AF224" s="36" t="s">
        <v>141</v>
      </c>
      <c r="AG224" s="36"/>
      <c r="AH224" s="36"/>
      <c r="AI224" s="36"/>
      <c r="AJ224" s="36" t="s">
        <v>141</v>
      </c>
      <c r="AK224" s="117" t="s">
        <v>141</v>
      </c>
      <c r="AL224" s="36"/>
      <c r="AM224" s="36"/>
      <c r="AN224" s="36"/>
      <c r="AO224" s="36"/>
      <c r="AP224" s="36"/>
      <c r="AQ224" s="36"/>
      <c r="AR224" s="36" t="s">
        <v>141</v>
      </c>
      <c r="AS224" s="36"/>
      <c r="AT224" s="36"/>
      <c r="AU224" s="36"/>
      <c r="AV224" s="36"/>
      <c r="AW224" s="117" t="s">
        <v>141</v>
      </c>
      <c r="AX224" s="117"/>
      <c r="AY224" s="36"/>
      <c r="AZ224" s="36"/>
      <c r="BA224" s="117"/>
      <c r="BB224" s="117"/>
      <c r="BC224" s="117"/>
      <c r="BD224" s="117"/>
      <c r="BE224" s="117"/>
      <c r="BF224" s="117"/>
      <c r="BG224" s="117"/>
      <c r="BH224" s="117"/>
      <c r="BI224" s="117"/>
      <c r="BJ224" s="117"/>
      <c r="BK224" s="117"/>
      <c r="BL224" s="117"/>
      <c r="BM224" s="117">
        <f t="shared" si="34"/>
        <v>9</v>
      </c>
      <c r="BN224" s="117">
        <f t="shared" si="35"/>
        <v>3</v>
      </c>
      <c r="BO224" s="117">
        <f t="shared" si="36"/>
        <v>4</v>
      </c>
      <c r="BP224" s="153">
        <f t="shared" si="37"/>
        <v>5</v>
      </c>
      <c r="BQ224" s="74" t="s">
        <v>178</v>
      </c>
      <c r="BR224" s="74"/>
    </row>
    <row r="225" spans="1:70" hidden="1">
      <c r="A225">
        <v>211</v>
      </c>
      <c r="B225" s="75">
        <v>45772.986261574071</v>
      </c>
      <c r="E225" s="7">
        <v>45773</v>
      </c>
      <c r="F225">
        <v>766</v>
      </c>
      <c r="I225" s="10" t="s">
        <v>1157</v>
      </c>
      <c r="J225" s="69">
        <v>45773</v>
      </c>
      <c r="K225" s="97">
        <f t="shared" si="39"/>
        <v>4</v>
      </c>
      <c r="L225" s="97">
        <v>223</v>
      </c>
      <c r="O225" s="7" t="s">
        <v>134</v>
      </c>
      <c r="T225" t="s">
        <v>1158</v>
      </c>
      <c r="X225" s="36"/>
      <c r="Y225" s="36" t="s">
        <v>141</v>
      </c>
      <c r="Z225" s="36"/>
      <c r="AA225" s="36" t="s">
        <v>141</v>
      </c>
      <c r="AB225" s="36" t="s">
        <v>141</v>
      </c>
      <c r="AC225" s="36"/>
      <c r="AD225" s="36"/>
      <c r="AE225" s="36"/>
      <c r="AF225" s="36" t="s">
        <v>141</v>
      </c>
      <c r="AG225" s="36"/>
      <c r="AH225" s="36"/>
      <c r="AI225" s="36"/>
      <c r="AJ225" s="36" t="s">
        <v>141</v>
      </c>
      <c r="AK225" s="117" t="s">
        <v>141</v>
      </c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117"/>
      <c r="AX225" s="117"/>
      <c r="AY225" s="36"/>
      <c r="AZ225" s="36"/>
      <c r="BA225" s="117"/>
      <c r="BB225" s="117"/>
      <c r="BC225" s="117"/>
      <c r="BD225" s="117"/>
      <c r="BE225" s="117"/>
      <c r="BF225" s="117"/>
      <c r="BG225" s="117"/>
      <c r="BH225" s="117"/>
      <c r="BI225" s="117"/>
      <c r="BJ225" s="117"/>
      <c r="BK225" s="117"/>
      <c r="BL225" s="117"/>
      <c r="BM225" s="117">
        <f t="shared" si="34"/>
        <v>6</v>
      </c>
      <c r="BN225" s="117">
        <f t="shared" si="35"/>
        <v>2</v>
      </c>
      <c r="BO225" s="117">
        <f t="shared" si="36"/>
        <v>3</v>
      </c>
      <c r="BP225" s="153">
        <f t="shared" si="37"/>
        <v>3</v>
      </c>
      <c r="BQ225" s="74" t="s">
        <v>208</v>
      </c>
      <c r="BR225" s="74"/>
    </row>
    <row r="226" spans="1:70" hidden="1">
      <c r="A226">
        <v>212</v>
      </c>
      <c r="B226" s="75">
        <v>45773.291215277779</v>
      </c>
      <c r="E226" s="7">
        <v>45773</v>
      </c>
      <c r="F226">
        <v>767</v>
      </c>
      <c r="I226" s="10" t="s">
        <v>1159</v>
      </c>
      <c r="J226" s="69">
        <v>45773</v>
      </c>
      <c r="K226" s="97">
        <f t="shared" si="39"/>
        <v>4</v>
      </c>
      <c r="L226" s="97">
        <v>224</v>
      </c>
      <c r="O226" s="7" t="s">
        <v>197</v>
      </c>
      <c r="T226" t="s">
        <v>1160</v>
      </c>
      <c r="X226" s="36" t="s">
        <v>141</v>
      </c>
      <c r="Y226" s="36"/>
      <c r="Z226" s="36"/>
      <c r="AA226" s="36"/>
      <c r="AB226" s="36"/>
      <c r="AC226" s="36"/>
      <c r="AD226" s="36"/>
      <c r="AE226" s="36"/>
      <c r="AF226" s="36" t="s">
        <v>141</v>
      </c>
      <c r="AG226" s="36" t="s">
        <v>141</v>
      </c>
      <c r="AH226" s="36"/>
      <c r="AI226" s="36"/>
      <c r="AJ226" s="36" t="s">
        <v>141</v>
      </c>
      <c r="AK226" s="117"/>
      <c r="AL226" s="36"/>
      <c r="AM226" s="36"/>
      <c r="AN226" s="36" t="s">
        <v>141</v>
      </c>
      <c r="AO226" s="36"/>
      <c r="AP226" s="36"/>
      <c r="AQ226" s="36"/>
      <c r="AR226" s="36" t="s">
        <v>141</v>
      </c>
      <c r="AS226" s="36" t="s">
        <v>141</v>
      </c>
      <c r="AT226" s="36" t="s">
        <v>141</v>
      </c>
      <c r="AU226" s="36"/>
      <c r="AV226" s="36"/>
      <c r="AW226" s="117" t="s">
        <v>141</v>
      </c>
      <c r="AX226" s="117" t="s">
        <v>141</v>
      </c>
      <c r="AY226" s="36"/>
      <c r="AZ226" s="36"/>
      <c r="BA226" s="117"/>
      <c r="BB226" s="117"/>
      <c r="BC226" s="117"/>
      <c r="BD226" s="117"/>
      <c r="BE226" s="117"/>
      <c r="BF226" s="117"/>
      <c r="BG226" s="117" t="s">
        <v>141</v>
      </c>
      <c r="BH226" s="117"/>
      <c r="BI226" s="117"/>
      <c r="BJ226" s="117"/>
      <c r="BK226" s="117"/>
      <c r="BL226" s="117"/>
      <c r="BM226" s="117">
        <f t="shared" si="34"/>
        <v>10</v>
      </c>
      <c r="BN226" s="117">
        <f t="shared" si="35"/>
        <v>5</v>
      </c>
      <c r="BO226" s="117">
        <f t="shared" si="36"/>
        <v>1</v>
      </c>
      <c r="BP226" s="153">
        <f t="shared" si="37"/>
        <v>9</v>
      </c>
      <c r="BQ226" s="74" t="s">
        <v>1161</v>
      </c>
      <c r="BR226" s="74"/>
    </row>
    <row r="227" spans="1:70" hidden="1">
      <c r="A227">
        <v>213</v>
      </c>
      <c r="B227" s="75">
        <v>45773.566423611112</v>
      </c>
      <c r="E227" s="7">
        <v>45774</v>
      </c>
      <c r="F227">
        <v>768</v>
      </c>
      <c r="I227" s="10" t="s">
        <v>1162</v>
      </c>
      <c r="J227" s="69">
        <v>45774</v>
      </c>
      <c r="K227" s="97">
        <f t="shared" si="39"/>
        <v>4</v>
      </c>
      <c r="L227" s="97">
        <v>225</v>
      </c>
      <c r="O227" s="7" t="s">
        <v>156</v>
      </c>
      <c r="T227" t="s">
        <v>1163</v>
      </c>
      <c r="X227" s="36" t="s">
        <v>141</v>
      </c>
      <c r="Y227" s="36"/>
      <c r="Z227" s="36"/>
      <c r="AA227" s="36"/>
      <c r="AB227" s="36" t="s">
        <v>141</v>
      </c>
      <c r="AC227" s="36"/>
      <c r="AD227" s="36"/>
      <c r="AE227" s="36"/>
      <c r="AF227" s="36" t="s">
        <v>141</v>
      </c>
      <c r="AG227" s="36"/>
      <c r="AH227" s="36"/>
      <c r="AI227" s="36" t="s">
        <v>141</v>
      </c>
      <c r="AJ227" s="36" t="s">
        <v>141</v>
      </c>
      <c r="AK227" s="117"/>
      <c r="AL227" s="36" t="s">
        <v>141</v>
      </c>
      <c r="AM227" s="36"/>
      <c r="AN227" s="36" t="s">
        <v>141</v>
      </c>
      <c r="AO227" s="36"/>
      <c r="AP227" s="36"/>
      <c r="AQ227" s="36"/>
      <c r="AR227" s="36" t="s">
        <v>141</v>
      </c>
      <c r="AS227" s="36" t="s">
        <v>141</v>
      </c>
      <c r="AT227" s="36" t="s">
        <v>141</v>
      </c>
      <c r="AU227" s="36"/>
      <c r="AV227" s="36"/>
      <c r="AW227" s="117" t="s">
        <v>141</v>
      </c>
      <c r="AX227" s="117"/>
      <c r="AY227" s="36"/>
      <c r="AZ227" s="36"/>
      <c r="BA227" s="117"/>
      <c r="BB227" s="117"/>
      <c r="BC227" s="117"/>
      <c r="BD227" s="117"/>
      <c r="BE227" s="117"/>
      <c r="BF227" s="117"/>
      <c r="BG227" s="117"/>
      <c r="BH227" s="117"/>
      <c r="BI227" s="117"/>
      <c r="BJ227" s="117"/>
      <c r="BK227" s="117"/>
      <c r="BL227" s="117"/>
      <c r="BM227" s="117">
        <f t="shared" si="34"/>
        <v>11</v>
      </c>
      <c r="BN227" s="117">
        <f t="shared" si="35"/>
        <v>4</v>
      </c>
      <c r="BO227" s="117">
        <f t="shared" si="36"/>
        <v>2</v>
      </c>
      <c r="BP227" s="153">
        <f t="shared" si="37"/>
        <v>9</v>
      </c>
      <c r="BQ227" s="74" t="s">
        <v>208</v>
      </c>
      <c r="BR227" s="74"/>
    </row>
    <row r="228" spans="1:70" hidden="1">
      <c r="A228">
        <v>214</v>
      </c>
      <c r="B228" s="75">
        <v>45773.859629629631</v>
      </c>
      <c r="E228" s="7">
        <v>45774</v>
      </c>
      <c r="F228">
        <v>769</v>
      </c>
      <c r="I228" s="10" t="s">
        <v>1164</v>
      </c>
      <c r="J228" s="69">
        <v>45774</v>
      </c>
      <c r="K228" s="97">
        <f t="shared" si="39"/>
        <v>4</v>
      </c>
      <c r="L228" s="97">
        <v>226</v>
      </c>
      <c r="O228" s="7" t="s">
        <v>156</v>
      </c>
      <c r="T228" t="s">
        <v>844</v>
      </c>
      <c r="X228" s="36" t="s">
        <v>141</v>
      </c>
      <c r="Y228" s="36" t="s">
        <v>141</v>
      </c>
      <c r="Z228" s="36"/>
      <c r="AA228" s="36"/>
      <c r="AB228" s="36" t="s">
        <v>141</v>
      </c>
      <c r="AC228" s="36"/>
      <c r="AD228" s="36"/>
      <c r="AE228" s="36"/>
      <c r="AF228" s="36"/>
      <c r="AG228" s="36"/>
      <c r="AH228" s="36"/>
      <c r="AI228" s="36" t="s">
        <v>141</v>
      </c>
      <c r="AJ228" s="36" t="s">
        <v>141</v>
      </c>
      <c r="AK228" s="117"/>
      <c r="AL228" s="36" t="s">
        <v>141</v>
      </c>
      <c r="AM228" s="36"/>
      <c r="AN228" s="36"/>
      <c r="AO228" s="36"/>
      <c r="AP228" s="36"/>
      <c r="AQ228" s="36"/>
      <c r="AR228" s="36"/>
      <c r="AS228" s="36"/>
      <c r="AT228" s="36" t="s">
        <v>141</v>
      </c>
      <c r="AU228" s="36"/>
      <c r="AV228" s="36"/>
      <c r="AW228" s="117" t="s">
        <v>141</v>
      </c>
      <c r="AX228" s="117"/>
      <c r="AY228" s="36"/>
      <c r="AZ228" s="36" t="s">
        <v>141</v>
      </c>
      <c r="BA228" s="117"/>
      <c r="BB228" s="117"/>
      <c r="BC228" s="117"/>
      <c r="BD228" s="117"/>
      <c r="BE228" s="117"/>
      <c r="BF228" s="117"/>
      <c r="BG228" s="117"/>
      <c r="BH228" s="117"/>
      <c r="BI228" s="117"/>
      <c r="BJ228" s="117"/>
      <c r="BK228" s="117"/>
      <c r="BL228" s="117"/>
      <c r="BM228" s="117">
        <f t="shared" si="34"/>
        <v>9</v>
      </c>
      <c r="BN228" s="117">
        <f t="shared" si="35"/>
        <v>1</v>
      </c>
      <c r="BO228" s="117">
        <f t="shared" si="36"/>
        <v>3</v>
      </c>
      <c r="BP228" s="153">
        <f t="shared" si="37"/>
        <v>6</v>
      </c>
      <c r="BQ228" s="74" t="s">
        <v>208</v>
      </c>
      <c r="BR228" s="74"/>
    </row>
    <row r="229" spans="1:70" hidden="1">
      <c r="A229">
        <v>215</v>
      </c>
      <c r="B229" s="75">
        <v>45775.240902777776</v>
      </c>
      <c r="E229" s="7">
        <v>45775</v>
      </c>
      <c r="F229">
        <v>770</v>
      </c>
      <c r="I229" s="10" t="s">
        <v>1165</v>
      </c>
      <c r="J229" s="69">
        <v>45775</v>
      </c>
      <c r="K229" s="97">
        <f t="shared" si="39"/>
        <v>4</v>
      </c>
      <c r="L229" s="97">
        <v>227</v>
      </c>
      <c r="O229" s="7" t="s">
        <v>134</v>
      </c>
      <c r="T229" t="s">
        <v>1166</v>
      </c>
      <c r="X229" s="36" t="s">
        <v>141</v>
      </c>
      <c r="Y229" s="36" t="s">
        <v>141</v>
      </c>
      <c r="Z229" s="36"/>
      <c r="AA229" s="36" t="s">
        <v>141</v>
      </c>
      <c r="AB229" s="36" t="s">
        <v>141</v>
      </c>
      <c r="AC229" s="36"/>
      <c r="AD229" s="36" t="s">
        <v>141</v>
      </c>
      <c r="AE229" s="36"/>
      <c r="AF229" s="36"/>
      <c r="AG229" s="36"/>
      <c r="AH229" s="36" t="s">
        <v>141</v>
      </c>
      <c r="AI229" s="36"/>
      <c r="AJ229" s="36" t="s">
        <v>141</v>
      </c>
      <c r="AK229" s="117" t="s">
        <v>141</v>
      </c>
      <c r="AL229" s="36"/>
      <c r="AM229" s="36"/>
      <c r="AN229" s="36" t="s">
        <v>141</v>
      </c>
      <c r="AO229" s="36" t="s">
        <v>141</v>
      </c>
      <c r="AP229" s="36"/>
      <c r="AQ229" s="36"/>
      <c r="AR229" s="36"/>
      <c r="AS229" s="36"/>
      <c r="AT229" s="36"/>
      <c r="AU229" s="36"/>
      <c r="AV229" s="36"/>
      <c r="AW229" s="117"/>
      <c r="AX229" s="117"/>
      <c r="AY229" s="36"/>
      <c r="AZ229" s="36"/>
      <c r="BA229" s="117"/>
      <c r="BB229" s="117"/>
      <c r="BC229" s="117"/>
      <c r="BD229" s="117"/>
      <c r="BE229" s="117"/>
      <c r="BF229" s="117" t="s">
        <v>141</v>
      </c>
      <c r="BG229" s="117"/>
      <c r="BH229" s="117"/>
      <c r="BI229" s="117"/>
      <c r="BJ229" s="117"/>
      <c r="BK229" s="117"/>
      <c r="BL229" s="117"/>
      <c r="BM229" s="117">
        <f t="shared" si="34"/>
        <v>11</v>
      </c>
      <c r="BN229" s="117">
        <f t="shared" si="35"/>
        <v>3</v>
      </c>
      <c r="BO229" s="117">
        <f t="shared" si="36"/>
        <v>5</v>
      </c>
      <c r="BP229" s="153">
        <f t="shared" si="37"/>
        <v>5</v>
      </c>
      <c r="BQ229" s="74" t="s">
        <v>208</v>
      </c>
      <c r="BR229" s="74"/>
    </row>
    <row r="230" spans="1:70" hidden="1">
      <c r="A230">
        <v>216</v>
      </c>
      <c r="B230" s="75">
        <v>45776.889525462961</v>
      </c>
      <c r="E230" s="7">
        <v>45777</v>
      </c>
      <c r="F230">
        <v>771</v>
      </c>
      <c r="I230" s="10" t="s">
        <v>1167</v>
      </c>
      <c r="J230" s="69">
        <v>45777</v>
      </c>
      <c r="K230" s="97">
        <f t="shared" ref="K230:K236" si="40">MONTH($J230)</f>
        <v>4</v>
      </c>
      <c r="L230" s="97">
        <v>228</v>
      </c>
      <c r="O230" s="7" t="s">
        <v>156</v>
      </c>
      <c r="T230" t="s">
        <v>1168</v>
      </c>
      <c r="X230" s="36"/>
      <c r="Y230" s="36" t="s">
        <v>141</v>
      </c>
      <c r="Z230" s="36"/>
      <c r="AA230" s="36"/>
      <c r="AB230" s="36" t="s">
        <v>141</v>
      </c>
      <c r="AC230" s="36" t="s">
        <v>141</v>
      </c>
      <c r="AD230" s="36" t="s">
        <v>141</v>
      </c>
      <c r="AE230" s="36"/>
      <c r="AF230" s="36"/>
      <c r="AG230" s="36"/>
      <c r="AH230" s="36" t="s">
        <v>141</v>
      </c>
      <c r="AI230" s="36"/>
      <c r="AJ230" s="36" t="s">
        <v>141</v>
      </c>
      <c r="AK230" s="117" t="s">
        <v>141</v>
      </c>
      <c r="AL230" s="36" t="s">
        <v>141</v>
      </c>
      <c r="AM230" s="36" t="s">
        <v>141</v>
      </c>
      <c r="AN230" s="36"/>
      <c r="AO230" s="36"/>
      <c r="AP230" s="36"/>
      <c r="AQ230" s="36"/>
      <c r="AR230" s="36"/>
      <c r="AS230" s="36"/>
      <c r="AT230" s="36"/>
      <c r="AU230" s="36"/>
      <c r="AV230" s="36"/>
      <c r="AW230" s="117" t="s">
        <v>141</v>
      </c>
      <c r="AX230" s="117"/>
      <c r="AY230" s="36"/>
      <c r="AZ230" s="36"/>
      <c r="BA230" s="117"/>
      <c r="BB230" s="117"/>
      <c r="BC230" s="117"/>
      <c r="BD230" s="117" t="s">
        <v>141</v>
      </c>
      <c r="BE230" s="117" t="s">
        <v>141</v>
      </c>
      <c r="BF230" s="117"/>
      <c r="BG230" s="117"/>
      <c r="BH230" s="117"/>
      <c r="BI230" s="117"/>
      <c r="BJ230" s="117"/>
      <c r="BK230" s="117"/>
      <c r="BL230" s="117"/>
      <c r="BM230" s="117">
        <f t="shared" si="34"/>
        <v>12</v>
      </c>
      <c r="BN230" s="117">
        <f t="shared" si="35"/>
        <v>3</v>
      </c>
      <c r="BO230" s="117">
        <f t="shared" si="36"/>
        <v>4</v>
      </c>
      <c r="BP230" s="153">
        <f t="shared" si="37"/>
        <v>6</v>
      </c>
      <c r="BQ230" s="74" t="s">
        <v>171</v>
      </c>
      <c r="BR230" s="74"/>
    </row>
    <row r="231" spans="1:70" hidden="1">
      <c r="A231">
        <v>217</v>
      </c>
      <c r="B231" s="75">
        <v>45777.350555555553</v>
      </c>
      <c r="E231" s="7">
        <v>45777</v>
      </c>
      <c r="F231">
        <v>772</v>
      </c>
      <c r="I231" s="10" t="s">
        <v>1169</v>
      </c>
      <c r="J231" s="69">
        <v>45777</v>
      </c>
      <c r="K231" s="97">
        <f t="shared" si="40"/>
        <v>4</v>
      </c>
      <c r="L231" s="97">
        <v>229</v>
      </c>
      <c r="O231" s="7" t="s">
        <v>1170</v>
      </c>
      <c r="T231" t="s">
        <v>1171</v>
      </c>
      <c r="X231" s="36"/>
      <c r="Y231" s="36" t="s">
        <v>141</v>
      </c>
      <c r="Z231" s="36" t="s">
        <v>141</v>
      </c>
      <c r="AA231" s="36" t="s">
        <v>141</v>
      </c>
      <c r="AB231" s="36" t="s">
        <v>141</v>
      </c>
      <c r="AC231" s="36" t="s">
        <v>141</v>
      </c>
      <c r="AD231" s="36"/>
      <c r="AE231" s="36" t="s">
        <v>141</v>
      </c>
      <c r="AF231" s="36"/>
      <c r="AG231" s="36"/>
      <c r="AH231" s="36" t="s">
        <v>141</v>
      </c>
      <c r="AI231" s="36"/>
      <c r="AJ231" s="36" t="s">
        <v>141</v>
      </c>
      <c r="AK231" s="117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117" t="s">
        <v>141</v>
      </c>
      <c r="AX231" s="117"/>
      <c r="AY231" s="36"/>
      <c r="AZ231" s="36"/>
      <c r="BA231" s="117"/>
      <c r="BB231" s="117"/>
      <c r="BC231" s="117" t="s">
        <v>141</v>
      </c>
      <c r="BD231" s="117" t="s">
        <v>141</v>
      </c>
      <c r="BE231" s="117"/>
      <c r="BF231" s="117" t="s">
        <v>141</v>
      </c>
      <c r="BG231" s="117"/>
      <c r="BH231" s="117"/>
      <c r="BI231" s="117"/>
      <c r="BJ231" s="117"/>
      <c r="BK231" s="117"/>
      <c r="BL231" s="117"/>
      <c r="BM231" s="117">
        <f t="shared" si="34"/>
        <v>12</v>
      </c>
      <c r="BN231" s="117">
        <f t="shared" si="35"/>
        <v>1</v>
      </c>
      <c r="BO231" s="117">
        <f t="shared" si="36"/>
        <v>5</v>
      </c>
      <c r="BP231" s="153">
        <f t="shared" si="37"/>
        <v>5</v>
      </c>
      <c r="BQ231" s="74" t="s">
        <v>1172</v>
      </c>
      <c r="BR231" s="74"/>
    </row>
    <row r="232" spans="1:70" hidden="1">
      <c r="A232">
        <v>218</v>
      </c>
      <c r="B232" s="75">
        <v>45777.876469907409</v>
      </c>
      <c r="E232" s="7">
        <v>45778</v>
      </c>
      <c r="F232">
        <v>773</v>
      </c>
      <c r="I232" s="10" t="s">
        <v>1173</v>
      </c>
      <c r="J232" s="69">
        <v>45778</v>
      </c>
      <c r="K232" s="97">
        <f t="shared" si="40"/>
        <v>5</v>
      </c>
      <c r="L232" s="97">
        <v>230</v>
      </c>
      <c r="O232" s="7" t="s">
        <v>234</v>
      </c>
      <c r="T232" t="s">
        <v>1174</v>
      </c>
      <c r="X232" s="36"/>
      <c r="Y232" s="36" t="s">
        <v>141</v>
      </c>
      <c r="Z232" s="36"/>
      <c r="AA232" s="36" t="s">
        <v>141</v>
      </c>
      <c r="AB232" s="36" t="s">
        <v>141</v>
      </c>
      <c r="AC232" s="36"/>
      <c r="AD232" s="36" t="s">
        <v>141</v>
      </c>
      <c r="AE232" s="36"/>
      <c r="AF232" s="36"/>
      <c r="AG232" s="36"/>
      <c r="AH232" s="36" t="s">
        <v>141</v>
      </c>
      <c r="AI232" s="36" t="s">
        <v>141</v>
      </c>
      <c r="AJ232" s="36" t="s">
        <v>141</v>
      </c>
      <c r="AK232" s="117"/>
      <c r="AL232" s="36" t="s">
        <v>141</v>
      </c>
      <c r="AM232" s="36" t="s">
        <v>141</v>
      </c>
      <c r="AN232" s="36" t="s">
        <v>141</v>
      </c>
      <c r="AO232" s="36"/>
      <c r="AP232" s="36"/>
      <c r="AQ232" s="36"/>
      <c r="AR232" s="36"/>
      <c r="AS232" s="36"/>
      <c r="AT232" s="36" t="s">
        <v>141</v>
      </c>
      <c r="AU232" s="36" t="s">
        <v>141</v>
      </c>
      <c r="AV232" s="36"/>
      <c r="AW232" s="117"/>
      <c r="AX232" s="117" t="s">
        <v>141</v>
      </c>
      <c r="AY232" s="36" t="s">
        <v>141</v>
      </c>
      <c r="AZ232" s="36" t="s">
        <v>141</v>
      </c>
      <c r="BA232" s="117"/>
      <c r="BB232" s="117"/>
      <c r="BC232" s="117"/>
      <c r="BD232" s="117" t="s">
        <v>141</v>
      </c>
      <c r="BE232" s="117"/>
      <c r="BF232" s="117"/>
      <c r="BG232" s="117"/>
      <c r="BH232" s="117"/>
      <c r="BI232" s="117"/>
      <c r="BJ232" s="117"/>
      <c r="BK232" s="117"/>
      <c r="BL232" s="117"/>
      <c r="BM232" s="117">
        <f t="shared" si="34"/>
        <v>16</v>
      </c>
      <c r="BN232" s="117">
        <f t="shared" si="35"/>
        <v>3</v>
      </c>
      <c r="BO232" s="117">
        <f t="shared" si="36"/>
        <v>4</v>
      </c>
      <c r="BP232" s="153">
        <f t="shared" si="37"/>
        <v>11</v>
      </c>
      <c r="BQ232" s="74" t="s">
        <v>502</v>
      </c>
      <c r="BR232" s="74"/>
    </row>
    <row r="233" spans="1:70" hidden="1">
      <c r="A233">
        <v>219</v>
      </c>
      <c r="B233" s="75">
        <v>45777.883043981485</v>
      </c>
      <c r="E233" s="7">
        <v>45778</v>
      </c>
      <c r="F233">
        <v>774</v>
      </c>
      <c r="I233" s="10" t="s">
        <v>1175</v>
      </c>
      <c r="J233" s="69">
        <v>45778</v>
      </c>
      <c r="K233" s="97">
        <f t="shared" si="40"/>
        <v>5</v>
      </c>
      <c r="L233" s="97">
        <v>231</v>
      </c>
      <c r="O233" s="7" t="s">
        <v>156</v>
      </c>
      <c r="T233" t="s">
        <v>1176</v>
      </c>
      <c r="X233" s="36"/>
      <c r="Y233" s="36" t="s">
        <v>141</v>
      </c>
      <c r="Z233" s="36"/>
      <c r="AA233" s="36"/>
      <c r="AB233" s="36" t="s">
        <v>141</v>
      </c>
      <c r="AC233" s="36"/>
      <c r="AD233" s="36" t="s">
        <v>141</v>
      </c>
      <c r="AE233" s="36"/>
      <c r="AF233" s="36"/>
      <c r="AG233" s="36"/>
      <c r="AH233" s="36" t="s">
        <v>141</v>
      </c>
      <c r="AI233" s="36"/>
      <c r="AJ233" s="36" t="s">
        <v>141</v>
      </c>
      <c r="AK233" s="117"/>
      <c r="AL233" s="36"/>
      <c r="AM233" s="36" t="s">
        <v>141</v>
      </c>
      <c r="AN233" s="36"/>
      <c r="AO233" s="36"/>
      <c r="AP233" s="36"/>
      <c r="AQ233" s="36"/>
      <c r="AR233" s="36"/>
      <c r="AS233" s="36"/>
      <c r="AT233" s="36" t="s">
        <v>141</v>
      </c>
      <c r="AU233" s="36"/>
      <c r="AV233" s="36"/>
      <c r="AW233" s="117"/>
      <c r="AX233" s="117" t="s">
        <v>141</v>
      </c>
      <c r="AY233" s="36"/>
      <c r="AZ233" s="36"/>
      <c r="BA233" s="117"/>
      <c r="BB233" s="117"/>
      <c r="BC233" s="117"/>
      <c r="BD233" s="117" t="s">
        <v>141</v>
      </c>
      <c r="BE233" s="117"/>
      <c r="BF233" s="117"/>
      <c r="BG233" s="117"/>
      <c r="BH233" s="117"/>
      <c r="BI233" s="117"/>
      <c r="BJ233" s="117"/>
      <c r="BK233" s="117"/>
      <c r="BL233" s="117"/>
      <c r="BM233" s="117">
        <f t="shared" si="34"/>
        <v>9</v>
      </c>
      <c r="BN233" s="117">
        <f t="shared" si="35"/>
        <v>2</v>
      </c>
      <c r="BO233" s="117">
        <f t="shared" si="36"/>
        <v>3</v>
      </c>
      <c r="BP233" s="153">
        <f t="shared" si="37"/>
        <v>5</v>
      </c>
      <c r="BQ233" s="74" t="s">
        <v>208</v>
      </c>
      <c r="BR233" s="74"/>
    </row>
    <row r="234" spans="1:70" hidden="1">
      <c r="A234">
        <v>220</v>
      </c>
      <c r="B234" s="75">
        <v>45778.145312499997</v>
      </c>
      <c r="E234" s="7">
        <v>45778</v>
      </c>
      <c r="F234">
        <v>775</v>
      </c>
      <c r="I234" s="10" t="s">
        <v>1177</v>
      </c>
      <c r="J234" s="69">
        <v>45778</v>
      </c>
      <c r="K234" s="97">
        <f t="shared" si="40"/>
        <v>5</v>
      </c>
      <c r="L234" s="97">
        <v>232</v>
      </c>
      <c r="O234" s="7" t="s">
        <v>219</v>
      </c>
      <c r="T234" t="s">
        <v>1178</v>
      </c>
      <c r="X234" s="36" t="s">
        <v>141</v>
      </c>
      <c r="Y234" s="36" t="s">
        <v>141</v>
      </c>
      <c r="Z234" s="36"/>
      <c r="AA234" s="36"/>
      <c r="AB234" s="36" t="s">
        <v>141</v>
      </c>
      <c r="AC234" s="36"/>
      <c r="AD234" s="36"/>
      <c r="AE234" s="36"/>
      <c r="AF234" s="36"/>
      <c r="AG234" s="36"/>
      <c r="AH234" s="36" t="s">
        <v>141</v>
      </c>
      <c r="AI234" s="36"/>
      <c r="AJ234" s="36"/>
      <c r="AK234" s="117" t="s">
        <v>141</v>
      </c>
      <c r="AL234" s="36"/>
      <c r="AM234" s="36" t="s">
        <v>141</v>
      </c>
      <c r="AN234" s="36"/>
      <c r="AO234" s="36"/>
      <c r="AP234" s="36"/>
      <c r="AQ234" s="36"/>
      <c r="AR234" s="36"/>
      <c r="AS234" s="36"/>
      <c r="AT234" s="36"/>
      <c r="AU234" s="36" t="s">
        <v>141</v>
      </c>
      <c r="AV234" s="36"/>
      <c r="AW234" s="117"/>
      <c r="AX234" s="117"/>
      <c r="AY234" s="36"/>
      <c r="AZ234" s="36" t="s">
        <v>141</v>
      </c>
      <c r="BA234" s="117"/>
      <c r="BB234" s="117"/>
      <c r="BC234" s="117"/>
      <c r="BD234" s="117"/>
      <c r="BE234" s="117" t="s">
        <v>141</v>
      </c>
      <c r="BF234" s="117" t="s">
        <v>141</v>
      </c>
      <c r="BG234" s="117"/>
      <c r="BH234" s="117"/>
      <c r="BI234" s="117"/>
      <c r="BJ234" s="117"/>
      <c r="BK234" s="117"/>
      <c r="BL234" s="117"/>
      <c r="BM234" s="117">
        <f t="shared" si="34"/>
        <v>10</v>
      </c>
      <c r="BN234" s="117">
        <f t="shared" si="35"/>
        <v>2</v>
      </c>
      <c r="BO234" s="117">
        <f t="shared" si="36"/>
        <v>3</v>
      </c>
      <c r="BP234" s="153">
        <f t="shared" si="37"/>
        <v>5</v>
      </c>
      <c r="BQ234" s="74" t="s">
        <v>208</v>
      </c>
      <c r="BR234" s="74"/>
    </row>
    <row r="235" spans="1:70" hidden="1">
      <c r="A235">
        <v>221</v>
      </c>
      <c r="B235" s="75">
        <v>45778.29446759259</v>
      </c>
      <c r="E235" s="7">
        <v>45778</v>
      </c>
      <c r="F235">
        <v>776</v>
      </c>
      <c r="I235" s="10" t="s">
        <v>1179</v>
      </c>
      <c r="J235" s="69">
        <v>45778</v>
      </c>
      <c r="K235" s="97">
        <f t="shared" si="40"/>
        <v>5</v>
      </c>
      <c r="L235" s="97">
        <v>233</v>
      </c>
      <c r="O235" s="7" t="s">
        <v>156</v>
      </c>
      <c r="T235" t="s">
        <v>1180</v>
      </c>
      <c r="X235" s="36" t="s">
        <v>141</v>
      </c>
      <c r="Y235" s="36" t="s">
        <v>141</v>
      </c>
      <c r="Z235" s="36" t="s">
        <v>141</v>
      </c>
      <c r="AA235" s="36" t="s">
        <v>141</v>
      </c>
      <c r="AB235" s="36" t="s">
        <v>141</v>
      </c>
      <c r="AC235" s="36" t="s">
        <v>141</v>
      </c>
      <c r="AD235" s="36"/>
      <c r="AE235" s="36"/>
      <c r="AF235" s="36" t="s">
        <v>141</v>
      </c>
      <c r="AG235" s="36"/>
      <c r="AH235" s="36"/>
      <c r="AI235" s="36"/>
      <c r="AJ235" s="36"/>
      <c r="AK235" s="117" t="s">
        <v>141</v>
      </c>
      <c r="AL235" s="36"/>
      <c r="AM235" s="36"/>
      <c r="AN235" s="36"/>
      <c r="AO235" s="36" t="s">
        <v>141</v>
      </c>
      <c r="AP235" s="36"/>
      <c r="AQ235" s="36"/>
      <c r="AR235" s="36"/>
      <c r="AS235" s="36" t="s">
        <v>141</v>
      </c>
      <c r="AT235" s="36"/>
      <c r="AU235" s="36"/>
      <c r="AV235" s="36"/>
      <c r="AW235" s="117"/>
      <c r="AX235" s="117" t="s">
        <v>141</v>
      </c>
      <c r="AY235" s="36"/>
      <c r="AZ235" s="36" t="s">
        <v>141</v>
      </c>
      <c r="BA235" s="117"/>
      <c r="BB235" s="117"/>
      <c r="BC235" s="117" t="s">
        <v>141</v>
      </c>
      <c r="BD235" s="117" t="s">
        <v>141</v>
      </c>
      <c r="BE235" s="117"/>
      <c r="BF235" s="117" t="s">
        <v>141</v>
      </c>
      <c r="BG235" s="117" t="s">
        <v>141</v>
      </c>
      <c r="BH235" s="117"/>
      <c r="BI235" s="117"/>
      <c r="BJ235" s="117"/>
      <c r="BK235" s="117"/>
      <c r="BL235" s="117"/>
      <c r="BM235" s="117">
        <f t="shared" si="34"/>
        <v>15</v>
      </c>
      <c r="BN235" s="117">
        <f t="shared" si="35"/>
        <v>2</v>
      </c>
      <c r="BO235" s="117">
        <f t="shared" si="36"/>
        <v>6</v>
      </c>
      <c r="BP235" s="153">
        <f t="shared" si="37"/>
        <v>7</v>
      </c>
      <c r="BQ235" s="74" t="s">
        <v>1181</v>
      </c>
      <c r="BR235" s="74"/>
    </row>
    <row r="236" spans="1:70" hidden="1">
      <c r="A236">
        <v>222</v>
      </c>
      <c r="B236" s="75">
        <v>45778.295601851853</v>
      </c>
      <c r="E236" s="7">
        <v>45779</v>
      </c>
      <c r="F236">
        <v>777</v>
      </c>
      <c r="I236" s="10" t="s">
        <v>1182</v>
      </c>
      <c r="J236" s="69">
        <v>45778</v>
      </c>
      <c r="K236" s="97">
        <f t="shared" si="40"/>
        <v>5</v>
      </c>
      <c r="L236" s="97">
        <v>234</v>
      </c>
      <c r="O236" s="7" t="s">
        <v>156</v>
      </c>
      <c r="T236" t="s">
        <v>1183</v>
      </c>
      <c r="X236" s="36" t="s">
        <v>141</v>
      </c>
      <c r="Y236" s="36" t="s">
        <v>141</v>
      </c>
      <c r="Z236" s="36" t="s">
        <v>141</v>
      </c>
      <c r="AA236" s="36" t="s">
        <v>141</v>
      </c>
      <c r="AB236" s="36" t="s">
        <v>141</v>
      </c>
      <c r="AC236" s="36" t="s">
        <v>141</v>
      </c>
      <c r="AD236" s="36"/>
      <c r="AE236" s="36"/>
      <c r="AF236" s="36" t="s">
        <v>141</v>
      </c>
      <c r="AG236" s="36"/>
      <c r="AH236" s="36"/>
      <c r="AI236" s="36"/>
      <c r="AJ236" s="36"/>
      <c r="AK236" s="117" t="s">
        <v>141</v>
      </c>
      <c r="AL236" s="36"/>
      <c r="AM236" s="36"/>
      <c r="AN236" s="36"/>
      <c r="AO236" s="36" t="s">
        <v>141</v>
      </c>
      <c r="AP236" s="36"/>
      <c r="AQ236" s="36"/>
      <c r="AR236" s="36"/>
      <c r="AS236" s="36" t="s">
        <v>141</v>
      </c>
      <c r="AT236" s="36"/>
      <c r="AU236" s="36"/>
      <c r="AV236" s="36"/>
      <c r="AW236" s="117"/>
      <c r="AX236" s="117" t="s">
        <v>141</v>
      </c>
      <c r="AY236" s="36"/>
      <c r="AZ236" s="36" t="s">
        <v>141</v>
      </c>
      <c r="BA236" s="117"/>
      <c r="BB236" s="117"/>
      <c r="BC236" s="117" t="s">
        <v>141</v>
      </c>
      <c r="BD236" s="117" t="s">
        <v>141</v>
      </c>
      <c r="BE236" s="117"/>
      <c r="BF236" s="117" t="s">
        <v>141</v>
      </c>
      <c r="BG236" s="117" t="s">
        <v>141</v>
      </c>
      <c r="BH236" s="117"/>
      <c r="BI236" s="117"/>
      <c r="BJ236" s="117"/>
      <c r="BK236" s="117"/>
      <c r="BL236" s="117"/>
      <c r="BM236" s="117">
        <f t="shared" si="34"/>
        <v>15</v>
      </c>
      <c r="BN236" s="117">
        <f t="shared" si="35"/>
        <v>2</v>
      </c>
      <c r="BO236" s="117">
        <f t="shared" si="36"/>
        <v>6</v>
      </c>
      <c r="BP236" s="153">
        <f t="shared" si="37"/>
        <v>7</v>
      </c>
      <c r="BQ236" s="74" t="s">
        <v>1181</v>
      </c>
      <c r="BR236" s="74"/>
    </row>
    <row r="237" spans="1:70" hidden="1">
      <c r="A237">
        <v>223</v>
      </c>
      <c r="B237" s="75">
        <v>45778.815636574072</v>
      </c>
      <c r="E237" s="7">
        <v>45779</v>
      </c>
      <c r="F237">
        <v>778</v>
      </c>
      <c r="I237" s="10" t="s">
        <v>1184</v>
      </c>
      <c r="J237" s="69">
        <v>45779</v>
      </c>
      <c r="K237" s="97">
        <f t="shared" ref="K237:K245" si="41">MONTH($J237)</f>
        <v>5</v>
      </c>
      <c r="L237" s="97">
        <v>235</v>
      </c>
      <c r="O237" s="7" t="s">
        <v>156</v>
      </c>
      <c r="T237" t="s">
        <v>271</v>
      </c>
      <c r="X237" s="36" t="s">
        <v>141</v>
      </c>
      <c r="Y237" s="36" t="s">
        <v>141</v>
      </c>
      <c r="Z237" s="36" t="s">
        <v>141</v>
      </c>
      <c r="AA237" s="36"/>
      <c r="AB237" s="36" t="s">
        <v>141</v>
      </c>
      <c r="AC237" s="36"/>
      <c r="AD237" s="36" t="s">
        <v>141</v>
      </c>
      <c r="AE237" s="36"/>
      <c r="AF237" s="36"/>
      <c r="AG237" s="36"/>
      <c r="AH237" s="36"/>
      <c r="AI237" s="36" t="s">
        <v>141</v>
      </c>
      <c r="AJ237" s="36"/>
      <c r="AK237" s="117"/>
      <c r="AL237" s="36"/>
      <c r="AM237" s="36"/>
      <c r="AN237" s="36"/>
      <c r="AO237" s="36" t="s">
        <v>141</v>
      </c>
      <c r="AP237" s="36"/>
      <c r="AQ237" s="36"/>
      <c r="AR237" s="36"/>
      <c r="AS237" s="36" t="s">
        <v>141</v>
      </c>
      <c r="AT237" s="36" t="s">
        <v>141</v>
      </c>
      <c r="AU237" s="36"/>
      <c r="AV237" s="36"/>
      <c r="AW237" s="117" t="s">
        <v>141</v>
      </c>
      <c r="AX237" s="117"/>
      <c r="AY237" s="36"/>
      <c r="AZ237" s="36"/>
      <c r="BA237" s="117"/>
      <c r="BB237" s="117"/>
      <c r="BC237" s="117"/>
      <c r="BD237" s="117"/>
      <c r="BE237" s="117"/>
      <c r="BF237" s="117" t="s">
        <v>141</v>
      </c>
      <c r="BG237" s="117"/>
      <c r="BH237" s="117"/>
      <c r="BI237" s="117"/>
      <c r="BJ237" s="117"/>
      <c r="BK237" s="117"/>
      <c r="BL237" s="117"/>
      <c r="BM237" s="117">
        <f t="shared" si="34"/>
        <v>11</v>
      </c>
      <c r="BN237" s="117">
        <f t="shared" si="35"/>
        <v>1</v>
      </c>
      <c r="BO237" s="117">
        <f t="shared" si="36"/>
        <v>5</v>
      </c>
      <c r="BP237" s="153">
        <f t="shared" si="37"/>
        <v>5</v>
      </c>
      <c r="BQ237" s="74" t="s">
        <v>208</v>
      </c>
      <c r="BR237" s="74"/>
    </row>
    <row r="238" spans="1:70" hidden="1">
      <c r="A238">
        <v>224</v>
      </c>
      <c r="B238" s="75">
        <v>45779.160462962966</v>
      </c>
      <c r="E238" s="7">
        <v>45779</v>
      </c>
      <c r="F238">
        <v>779</v>
      </c>
      <c r="I238" s="10" t="s">
        <v>1185</v>
      </c>
      <c r="J238" s="69">
        <v>45779</v>
      </c>
      <c r="K238" s="97">
        <f t="shared" si="41"/>
        <v>5</v>
      </c>
      <c r="L238" s="97">
        <v>236</v>
      </c>
      <c r="O238" s="7" t="s">
        <v>146</v>
      </c>
      <c r="T238" t="s">
        <v>1039</v>
      </c>
      <c r="X238" s="36" t="s">
        <v>141</v>
      </c>
      <c r="Y238" s="36" t="s">
        <v>141</v>
      </c>
      <c r="Z238" s="36"/>
      <c r="AA238" s="36"/>
      <c r="AB238" s="36" t="s">
        <v>141</v>
      </c>
      <c r="AC238" s="36"/>
      <c r="AD238" s="36"/>
      <c r="AE238" s="36" t="s">
        <v>141</v>
      </c>
      <c r="AF238" s="36"/>
      <c r="AG238" s="36"/>
      <c r="AH238" s="36"/>
      <c r="AI238" s="36"/>
      <c r="AJ238" s="36" t="s">
        <v>141</v>
      </c>
      <c r="AK238" s="117"/>
      <c r="AL238" s="36"/>
      <c r="AM238" s="36" t="s">
        <v>141</v>
      </c>
      <c r="AN238" s="36"/>
      <c r="AO238" s="36"/>
      <c r="AP238" s="36"/>
      <c r="AQ238" s="36"/>
      <c r="AR238" s="36"/>
      <c r="AS238" s="36" t="s">
        <v>141</v>
      </c>
      <c r="AT238" s="36"/>
      <c r="AU238" s="36"/>
      <c r="AV238" s="36"/>
      <c r="AW238" s="117"/>
      <c r="AX238" s="117"/>
      <c r="AY238" s="36"/>
      <c r="AZ238" s="36" t="s">
        <v>141</v>
      </c>
      <c r="BA238" s="117"/>
      <c r="BB238" s="117"/>
      <c r="BC238" s="117"/>
      <c r="BD238" s="117"/>
      <c r="BE238" s="117" t="s">
        <v>141</v>
      </c>
      <c r="BF238" s="117" t="s">
        <v>141</v>
      </c>
      <c r="BG238" s="117"/>
      <c r="BH238" s="117"/>
      <c r="BI238" s="117"/>
      <c r="BJ238" s="117"/>
      <c r="BK238" s="117"/>
      <c r="BL238" s="117"/>
      <c r="BM238" s="117">
        <f t="shared" si="34"/>
        <v>10</v>
      </c>
      <c r="BN238" s="117">
        <f t="shared" si="35"/>
        <v>3</v>
      </c>
      <c r="BO238" s="117">
        <f t="shared" si="36"/>
        <v>3</v>
      </c>
      <c r="BP238" s="153">
        <f t="shared" si="37"/>
        <v>5</v>
      </c>
      <c r="BQ238" s="74" t="s">
        <v>840</v>
      </c>
      <c r="BR238" s="74"/>
    </row>
    <row r="239" spans="1:70" hidden="1">
      <c r="A239">
        <v>225</v>
      </c>
      <c r="B239" s="75">
        <v>45779.346377314818</v>
      </c>
      <c r="E239" s="7">
        <v>45779</v>
      </c>
      <c r="F239">
        <v>780</v>
      </c>
      <c r="I239" s="10" t="s">
        <v>1186</v>
      </c>
      <c r="J239" s="69">
        <v>45779</v>
      </c>
      <c r="K239" s="97">
        <f t="shared" si="41"/>
        <v>5</v>
      </c>
      <c r="L239" s="97">
        <v>237</v>
      </c>
      <c r="O239" s="7" t="s">
        <v>156</v>
      </c>
      <c r="T239" t="s">
        <v>1187</v>
      </c>
      <c r="X239" s="36" t="s">
        <v>141</v>
      </c>
      <c r="Y239" s="36" t="s">
        <v>141</v>
      </c>
      <c r="Z239" s="36" t="s">
        <v>141</v>
      </c>
      <c r="AA239" s="36"/>
      <c r="AB239" s="36" t="s">
        <v>141</v>
      </c>
      <c r="AC239" s="36" t="s">
        <v>141</v>
      </c>
      <c r="AD239" s="36" t="s">
        <v>141</v>
      </c>
      <c r="AE239" s="36" t="s">
        <v>141</v>
      </c>
      <c r="AF239" s="36" t="s">
        <v>141</v>
      </c>
      <c r="AG239" s="36" t="s">
        <v>141</v>
      </c>
      <c r="AH239" s="36"/>
      <c r="AI239" s="36"/>
      <c r="AJ239" s="36" t="s">
        <v>141</v>
      </c>
      <c r="AK239" s="117"/>
      <c r="AL239" s="36"/>
      <c r="AM239" s="36" t="s">
        <v>141</v>
      </c>
      <c r="AN239" s="36"/>
      <c r="AO239" s="36"/>
      <c r="AP239" s="36" t="s">
        <v>141</v>
      </c>
      <c r="AQ239" s="36"/>
      <c r="AR239" s="36"/>
      <c r="AS239" s="36"/>
      <c r="AT239" s="36"/>
      <c r="AU239" s="36"/>
      <c r="AV239" s="36"/>
      <c r="AW239" s="117" t="s">
        <v>141</v>
      </c>
      <c r="AX239" s="117" t="s">
        <v>141</v>
      </c>
      <c r="AY239" s="36"/>
      <c r="AZ239" s="36" t="s">
        <v>141</v>
      </c>
      <c r="BA239" s="117"/>
      <c r="BB239" s="117"/>
      <c r="BC239" s="117"/>
      <c r="BD239" s="117"/>
      <c r="BE239" s="117"/>
      <c r="BF239" s="117"/>
      <c r="BG239" s="117" t="s">
        <v>141</v>
      </c>
      <c r="BH239" s="117"/>
      <c r="BI239" s="117"/>
      <c r="BJ239" s="117"/>
      <c r="BK239" s="117"/>
      <c r="BL239" s="117"/>
      <c r="BM239" s="117">
        <f t="shared" si="34"/>
        <v>15</v>
      </c>
      <c r="BN239" s="117">
        <f t="shared" si="35"/>
        <v>3</v>
      </c>
      <c r="BO239" s="117">
        <f t="shared" si="36"/>
        <v>6</v>
      </c>
      <c r="BP239" s="153">
        <f t="shared" si="37"/>
        <v>9</v>
      </c>
      <c r="BQ239" s="74" t="s">
        <v>840</v>
      </c>
      <c r="BR239" s="74"/>
    </row>
    <row r="240" spans="1:70" hidden="1">
      <c r="A240">
        <v>226</v>
      </c>
      <c r="B240" s="75">
        <v>45779.359166666669</v>
      </c>
      <c r="E240" s="7">
        <v>45779</v>
      </c>
      <c r="F240">
        <v>781</v>
      </c>
      <c r="I240" s="10" t="s">
        <v>1188</v>
      </c>
      <c r="J240" s="69">
        <v>45779</v>
      </c>
      <c r="K240" s="97">
        <f t="shared" si="41"/>
        <v>5</v>
      </c>
      <c r="L240" s="97">
        <v>238</v>
      </c>
      <c r="O240" s="7" t="s">
        <v>134</v>
      </c>
      <c r="T240" t="s">
        <v>1189</v>
      </c>
      <c r="X240" s="36"/>
      <c r="Y240" s="36"/>
      <c r="Z240" s="36" t="s">
        <v>141</v>
      </c>
      <c r="AA240" s="36"/>
      <c r="AB240" s="36" t="s">
        <v>141</v>
      </c>
      <c r="AC240" s="36" t="s">
        <v>141</v>
      </c>
      <c r="AD240" s="36"/>
      <c r="AE240" s="36" t="s">
        <v>141</v>
      </c>
      <c r="AF240" s="36"/>
      <c r="AG240" s="36"/>
      <c r="AH240" s="36"/>
      <c r="AI240" s="36"/>
      <c r="AJ240" s="36" t="s">
        <v>141</v>
      </c>
      <c r="AK240" s="117" t="s">
        <v>141</v>
      </c>
      <c r="AL240" s="36"/>
      <c r="AM240" s="36" t="s">
        <v>141</v>
      </c>
      <c r="AN240" s="36"/>
      <c r="AO240" s="36"/>
      <c r="AP240" s="36" t="s">
        <v>141</v>
      </c>
      <c r="AQ240" s="36"/>
      <c r="AR240" s="36"/>
      <c r="AS240" s="36"/>
      <c r="AT240" s="36"/>
      <c r="AU240" s="36"/>
      <c r="AV240" s="36"/>
      <c r="AW240" s="117"/>
      <c r="AX240" s="117"/>
      <c r="AY240" s="36"/>
      <c r="AZ240" s="36"/>
      <c r="BA240" s="117"/>
      <c r="BB240" s="117"/>
      <c r="BC240" s="117"/>
      <c r="BD240" s="117"/>
      <c r="BE240" s="117" t="s">
        <v>141</v>
      </c>
      <c r="BF240" s="117"/>
      <c r="BG240" s="117"/>
      <c r="BH240" s="117"/>
      <c r="BI240" s="117"/>
      <c r="BJ240" s="117"/>
      <c r="BK240" s="117"/>
      <c r="BL240" s="117"/>
      <c r="BM240" s="117">
        <f t="shared" si="34"/>
        <v>9</v>
      </c>
      <c r="BN240" s="117">
        <f t="shared" si="35"/>
        <v>3</v>
      </c>
      <c r="BO240" s="117">
        <f t="shared" si="36"/>
        <v>3</v>
      </c>
      <c r="BP240" s="153">
        <f t="shared" si="37"/>
        <v>5</v>
      </c>
      <c r="BQ240" s="74" t="s">
        <v>208</v>
      </c>
      <c r="BR240" s="74"/>
    </row>
    <row r="241" spans="1:70" hidden="1">
      <c r="A241">
        <v>227</v>
      </c>
      <c r="B241" s="75">
        <v>45779.402986111112</v>
      </c>
      <c r="E241" s="7">
        <v>45779</v>
      </c>
      <c r="F241">
        <v>782</v>
      </c>
      <c r="I241" s="10" t="s">
        <v>1190</v>
      </c>
      <c r="J241" s="69">
        <v>45779</v>
      </c>
      <c r="K241" s="97">
        <f t="shared" si="41"/>
        <v>5</v>
      </c>
      <c r="L241" s="97">
        <v>239</v>
      </c>
      <c r="O241" s="7" t="s">
        <v>156</v>
      </c>
      <c r="T241" t="s">
        <v>1191</v>
      </c>
      <c r="X241" s="36"/>
      <c r="Y241" s="36"/>
      <c r="Z241" s="36" t="s">
        <v>141</v>
      </c>
      <c r="AA241" s="36"/>
      <c r="AB241" s="36" t="s">
        <v>141</v>
      </c>
      <c r="AC241" s="36" t="s">
        <v>141</v>
      </c>
      <c r="AD241" s="36"/>
      <c r="AE241" s="36" t="s">
        <v>141</v>
      </c>
      <c r="AF241" s="36"/>
      <c r="AG241" s="36"/>
      <c r="AH241" s="36"/>
      <c r="AI241" s="36"/>
      <c r="AJ241" s="36" t="s">
        <v>141</v>
      </c>
      <c r="AK241" s="117" t="s">
        <v>141</v>
      </c>
      <c r="AL241" s="36"/>
      <c r="AM241" s="36" t="s">
        <v>141</v>
      </c>
      <c r="AN241" s="36"/>
      <c r="AO241" s="36"/>
      <c r="AP241" s="36" t="s">
        <v>141</v>
      </c>
      <c r="AQ241" s="36"/>
      <c r="AR241" s="36"/>
      <c r="AS241" s="36"/>
      <c r="AT241" s="36"/>
      <c r="AU241" s="36"/>
      <c r="AV241" s="36"/>
      <c r="AW241" s="117"/>
      <c r="AX241" s="117"/>
      <c r="AY241" s="36"/>
      <c r="AZ241" s="36"/>
      <c r="BA241" s="117"/>
      <c r="BB241" s="117"/>
      <c r="BC241" s="117"/>
      <c r="BD241" s="117"/>
      <c r="BE241" s="117"/>
      <c r="BF241" s="117"/>
      <c r="BG241" s="117"/>
      <c r="BH241" s="117"/>
      <c r="BI241" s="117"/>
      <c r="BJ241" s="117"/>
      <c r="BK241" s="117"/>
      <c r="BL241" s="117"/>
      <c r="BM241" s="117">
        <f t="shared" si="34"/>
        <v>8</v>
      </c>
      <c r="BN241" s="117">
        <f t="shared" si="35"/>
        <v>3</v>
      </c>
      <c r="BO241" s="117">
        <f t="shared" si="36"/>
        <v>3</v>
      </c>
      <c r="BP241" s="153">
        <f t="shared" si="37"/>
        <v>5</v>
      </c>
      <c r="BQ241" s="74" t="s">
        <v>208</v>
      </c>
      <c r="BR241" s="74"/>
    </row>
    <row r="242" spans="1:70" hidden="1">
      <c r="A242">
        <v>228</v>
      </c>
      <c r="B242" s="75">
        <v>45779.935995370368</v>
      </c>
      <c r="E242" s="7">
        <v>45780</v>
      </c>
      <c r="F242">
        <v>783</v>
      </c>
      <c r="I242" s="10" t="s">
        <v>1192</v>
      </c>
      <c r="J242" s="69">
        <v>45780</v>
      </c>
      <c r="K242" s="97">
        <f t="shared" si="41"/>
        <v>5</v>
      </c>
      <c r="L242" s="97">
        <v>240</v>
      </c>
      <c r="O242" s="7" t="s">
        <v>1193</v>
      </c>
      <c r="T242" t="s">
        <v>1194</v>
      </c>
      <c r="X242" s="36"/>
      <c r="Y242" s="36" t="s">
        <v>141</v>
      </c>
      <c r="Z242" s="36"/>
      <c r="AA242" s="36"/>
      <c r="AB242" s="36"/>
      <c r="AC242" s="36"/>
      <c r="AD242" s="36"/>
      <c r="AE242" s="36"/>
      <c r="AF242" s="36"/>
      <c r="AG242" s="36"/>
      <c r="AH242" s="36"/>
      <c r="AI242" s="36" t="s">
        <v>141</v>
      </c>
      <c r="AJ242" s="36" t="s">
        <v>141</v>
      </c>
      <c r="AK242" s="117"/>
      <c r="AL242" s="36" t="s">
        <v>141</v>
      </c>
      <c r="AM242" s="36" t="s">
        <v>141</v>
      </c>
      <c r="AN242" s="36"/>
      <c r="AO242" s="36"/>
      <c r="AP242" s="36"/>
      <c r="AQ242" s="36"/>
      <c r="AR242" s="36" t="s">
        <v>141</v>
      </c>
      <c r="AS242" s="36"/>
      <c r="AT242" s="36"/>
      <c r="AU242" s="36"/>
      <c r="AV242" s="36"/>
      <c r="AW242" s="117" t="s">
        <v>141</v>
      </c>
      <c r="AX242" s="117"/>
      <c r="AY242" s="36"/>
      <c r="AZ242" s="36"/>
      <c r="BA242" s="117"/>
      <c r="BB242" s="117"/>
      <c r="BC242" s="117"/>
      <c r="BD242" s="117"/>
      <c r="BE242" s="117"/>
      <c r="BF242" s="117"/>
      <c r="BG242" s="117"/>
      <c r="BH242" s="117"/>
      <c r="BI242" s="117"/>
      <c r="BJ242" s="117"/>
      <c r="BK242" s="117"/>
      <c r="BL242" s="117"/>
      <c r="BM242" s="117">
        <f t="shared" si="34"/>
        <v>7</v>
      </c>
      <c r="BN242" s="117">
        <f t="shared" si="35"/>
        <v>3</v>
      </c>
      <c r="BO242" s="117">
        <f t="shared" si="36"/>
        <v>1</v>
      </c>
      <c r="BP242" s="153">
        <f t="shared" si="37"/>
        <v>6</v>
      </c>
      <c r="BQ242" s="74" t="s">
        <v>502</v>
      </c>
      <c r="BR242" s="74"/>
    </row>
    <row r="243" spans="1:70" hidden="1">
      <c r="A243">
        <v>229</v>
      </c>
      <c r="B243" s="75">
        <v>45781.083854166667</v>
      </c>
      <c r="E243" s="7">
        <v>45781</v>
      </c>
      <c r="F243">
        <v>784</v>
      </c>
      <c r="I243" s="10" t="s">
        <v>1195</v>
      </c>
      <c r="J243" s="69">
        <v>45781</v>
      </c>
      <c r="K243" s="97">
        <f t="shared" si="41"/>
        <v>5</v>
      </c>
      <c r="L243" s="97">
        <v>241</v>
      </c>
      <c r="O243" s="7" t="s">
        <v>156</v>
      </c>
      <c r="T243" t="s">
        <v>168</v>
      </c>
      <c r="X243" s="36"/>
      <c r="Y243" s="36"/>
      <c r="Z243" s="36" t="s">
        <v>141</v>
      </c>
      <c r="AA243" s="36" t="s">
        <v>141</v>
      </c>
      <c r="AB243" s="36"/>
      <c r="AC243" s="36"/>
      <c r="AD243" s="36" t="s">
        <v>141</v>
      </c>
      <c r="AE243" s="36" t="s">
        <v>141</v>
      </c>
      <c r="AF243" s="36" t="s">
        <v>141</v>
      </c>
      <c r="AG243" s="36"/>
      <c r="AH243" s="36" t="s">
        <v>141</v>
      </c>
      <c r="AI243" s="36"/>
      <c r="AJ243" s="36"/>
      <c r="AK243" s="117" t="s">
        <v>141</v>
      </c>
      <c r="AL243" s="36" t="s">
        <v>141</v>
      </c>
      <c r="AM243" s="36" t="s">
        <v>141</v>
      </c>
      <c r="AN243" s="36"/>
      <c r="AO243" s="36" t="s">
        <v>141</v>
      </c>
      <c r="AP243" s="36" t="s">
        <v>141</v>
      </c>
      <c r="AQ243" s="36"/>
      <c r="AR243" s="36"/>
      <c r="AS243" s="36"/>
      <c r="AT243" s="36"/>
      <c r="AU243" s="36"/>
      <c r="AV243" s="36"/>
      <c r="AW243" s="117"/>
      <c r="AX243" s="117"/>
      <c r="AY243" s="36"/>
      <c r="AZ243" s="36"/>
      <c r="BA243" s="117"/>
      <c r="BB243" s="117"/>
      <c r="BC243" s="117"/>
      <c r="BD243" s="117" t="s">
        <v>141</v>
      </c>
      <c r="BE243" s="117"/>
      <c r="BF243" s="117" t="s">
        <v>141</v>
      </c>
      <c r="BG243" s="117"/>
      <c r="BH243" s="117"/>
      <c r="BI243" s="117"/>
      <c r="BJ243" s="117"/>
      <c r="BK243" s="117"/>
      <c r="BL243" s="117"/>
      <c r="BM243" s="117">
        <f t="shared" si="34"/>
        <v>13</v>
      </c>
      <c r="BN243" s="117">
        <f t="shared" si="35"/>
        <v>2</v>
      </c>
      <c r="BO243" s="117">
        <f t="shared" si="36"/>
        <v>3</v>
      </c>
      <c r="BP243" s="153">
        <f t="shared" si="37"/>
        <v>8</v>
      </c>
      <c r="BQ243" s="74" t="s">
        <v>215</v>
      </c>
      <c r="BR243" s="74"/>
    </row>
    <row r="244" spans="1:70" hidden="1">
      <c r="A244">
        <v>230</v>
      </c>
      <c r="B244" s="75">
        <v>45781.325300925928</v>
      </c>
      <c r="E244" s="7">
        <v>45781</v>
      </c>
      <c r="F244">
        <v>785</v>
      </c>
      <c r="I244" s="10" t="s">
        <v>1196</v>
      </c>
      <c r="J244" s="69">
        <v>45781</v>
      </c>
      <c r="K244" s="97">
        <f t="shared" si="41"/>
        <v>5</v>
      </c>
      <c r="L244" s="97">
        <v>242</v>
      </c>
      <c r="O244" s="7" t="s">
        <v>134</v>
      </c>
      <c r="T244" t="s">
        <v>1197</v>
      </c>
      <c r="X244" s="36" t="s">
        <v>141</v>
      </c>
      <c r="Y244" s="36" t="s">
        <v>141</v>
      </c>
      <c r="Z244" s="36"/>
      <c r="AA244" s="36" t="s">
        <v>141</v>
      </c>
      <c r="AB244" s="36"/>
      <c r="AC244" s="36" t="s">
        <v>141</v>
      </c>
      <c r="AD244" s="36"/>
      <c r="AE244" s="36"/>
      <c r="AF244" s="36"/>
      <c r="AG244" s="36"/>
      <c r="AH244" s="36"/>
      <c r="AI244" s="36" t="s">
        <v>141</v>
      </c>
      <c r="AJ244" s="36" t="s">
        <v>141</v>
      </c>
      <c r="AK244" s="117"/>
      <c r="AL244" s="36"/>
      <c r="AM244" s="36"/>
      <c r="AN244" s="36" t="s">
        <v>141</v>
      </c>
      <c r="AO244" s="36" t="s">
        <v>141</v>
      </c>
      <c r="AP244" s="36" t="s">
        <v>141</v>
      </c>
      <c r="AQ244" s="36"/>
      <c r="AR244" s="36" t="s">
        <v>141</v>
      </c>
      <c r="AS244" s="36"/>
      <c r="AT244" s="36"/>
      <c r="AU244" s="36" t="s">
        <v>141</v>
      </c>
      <c r="AV244" s="36"/>
      <c r="AW244" s="117"/>
      <c r="AX244" s="117" t="s">
        <v>141</v>
      </c>
      <c r="AY244" s="36"/>
      <c r="AZ244" s="36" t="s">
        <v>141</v>
      </c>
      <c r="BA244" s="117"/>
      <c r="BB244" s="117"/>
      <c r="BC244" s="117"/>
      <c r="BD244" s="117"/>
      <c r="BE244" s="117"/>
      <c r="BF244" s="117" t="s">
        <v>141</v>
      </c>
      <c r="BG244" s="117"/>
      <c r="BH244" s="117"/>
      <c r="BI244" s="117"/>
      <c r="BJ244" s="117"/>
      <c r="BK244" s="117"/>
      <c r="BL244" s="117"/>
      <c r="BM244" s="117">
        <f t="shared" si="34"/>
        <v>14</v>
      </c>
      <c r="BN244" s="117">
        <f t="shared" si="35"/>
        <v>3</v>
      </c>
      <c r="BO244" s="117">
        <f t="shared" si="36"/>
        <v>4</v>
      </c>
      <c r="BP244" s="153">
        <f t="shared" si="37"/>
        <v>9</v>
      </c>
      <c r="BQ244" s="74" t="s">
        <v>178</v>
      </c>
      <c r="BR244" s="74"/>
    </row>
    <row r="245" spans="1:70" hidden="1">
      <c r="A245">
        <v>231</v>
      </c>
      <c r="B245" s="75">
        <v>45781.348611111112</v>
      </c>
      <c r="E245" s="7">
        <v>45781</v>
      </c>
      <c r="F245">
        <v>786</v>
      </c>
      <c r="I245" s="10" t="s">
        <v>1198</v>
      </c>
      <c r="J245" s="69">
        <v>45781</v>
      </c>
      <c r="K245" s="97">
        <f t="shared" si="41"/>
        <v>5</v>
      </c>
      <c r="L245" s="97">
        <v>243</v>
      </c>
      <c r="O245" s="7" t="s">
        <v>156</v>
      </c>
      <c r="T245" t="s">
        <v>1163</v>
      </c>
      <c r="X245" s="36" t="s">
        <v>141</v>
      </c>
      <c r="Y245" s="36" t="s">
        <v>141</v>
      </c>
      <c r="Z245" s="36"/>
      <c r="AA245" s="36" t="s">
        <v>141</v>
      </c>
      <c r="AB245" s="36" t="s">
        <v>141</v>
      </c>
      <c r="AC245" s="36" t="s">
        <v>141</v>
      </c>
      <c r="AD245" s="36"/>
      <c r="AE245" s="36" t="s">
        <v>141</v>
      </c>
      <c r="AF245" s="36"/>
      <c r="AG245" s="36"/>
      <c r="AH245" s="36"/>
      <c r="AI245" s="36" t="s">
        <v>141</v>
      </c>
      <c r="AJ245" s="36" t="s">
        <v>141</v>
      </c>
      <c r="AK245" s="117"/>
      <c r="AL245" s="36"/>
      <c r="AM245" s="36"/>
      <c r="AN245" s="36" t="s">
        <v>141</v>
      </c>
      <c r="AO245" s="36" t="s">
        <v>141</v>
      </c>
      <c r="AP245" s="36" t="s">
        <v>141</v>
      </c>
      <c r="AQ245" s="36"/>
      <c r="AR245" s="36" t="s">
        <v>141</v>
      </c>
      <c r="AS245" s="36"/>
      <c r="AT245" s="36" t="s">
        <v>141</v>
      </c>
      <c r="AU245" s="36"/>
      <c r="AV245" s="36"/>
      <c r="AW245" s="117"/>
      <c r="AX245" s="117"/>
      <c r="AY245" s="36"/>
      <c r="AZ245" s="36" t="s">
        <v>141</v>
      </c>
      <c r="BA245" s="117"/>
      <c r="BB245" s="117"/>
      <c r="BC245" s="117"/>
      <c r="BD245" s="117"/>
      <c r="BE245" s="117"/>
      <c r="BF245" s="117"/>
      <c r="BG245" s="117"/>
      <c r="BH245" s="117"/>
      <c r="BI245" s="117"/>
      <c r="BJ245" s="117"/>
      <c r="BK245" s="117"/>
      <c r="BL245" s="117"/>
      <c r="BM245" s="117">
        <f t="shared" si="34"/>
        <v>14</v>
      </c>
      <c r="BN245" s="117">
        <f t="shared" si="35"/>
        <v>3</v>
      </c>
      <c r="BO245" s="117">
        <f t="shared" si="36"/>
        <v>5</v>
      </c>
      <c r="BP245" s="153">
        <f t="shared" si="37"/>
        <v>9</v>
      </c>
      <c r="BQ245" s="74" t="s">
        <v>208</v>
      </c>
      <c r="BR245" s="74"/>
    </row>
    <row r="246" spans="1:70" hidden="1">
      <c r="A246">
        <v>232</v>
      </c>
      <c r="B246" s="75">
        <v>45782.039039351854</v>
      </c>
      <c r="E246" s="7">
        <v>45782</v>
      </c>
      <c r="F246">
        <v>787</v>
      </c>
      <c r="I246" s="10" t="s">
        <v>1199</v>
      </c>
      <c r="J246" s="69">
        <v>45782</v>
      </c>
      <c r="K246" s="97">
        <f t="shared" ref="K246:K251" si="42">MONTH($J246)</f>
        <v>5</v>
      </c>
      <c r="L246" s="97">
        <v>244</v>
      </c>
      <c r="O246" s="7" t="s">
        <v>234</v>
      </c>
      <c r="T246" t="s">
        <v>1200</v>
      </c>
      <c r="X246" s="36"/>
      <c r="Y246" s="36" t="s">
        <v>141</v>
      </c>
      <c r="Z246" s="36"/>
      <c r="AA246" s="36" t="s">
        <v>141</v>
      </c>
      <c r="AB246" s="36" t="s">
        <v>141</v>
      </c>
      <c r="AC246" s="36"/>
      <c r="AD246" s="36" t="s">
        <v>141</v>
      </c>
      <c r="AE246" s="36" t="s">
        <v>141</v>
      </c>
      <c r="AF246" s="36" t="s">
        <v>141</v>
      </c>
      <c r="AG246" s="36"/>
      <c r="AH246" s="36" t="s">
        <v>141</v>
      </c>
      <c r="AI246" s="36"/>
      <c r="AJ246" s="36" t="s">
        <v>141</v>
      </c>
      <c r="AK246" s="117" t="s">
        <v>141</v>
      </c>
      <c r="AL246" s="36"/>
      <c r="AM246" s="36"/>
      <c r="AN246" s="36"/>
      <c r="AO246" s="36" t="s">
        <v>141</v>
      </c>
      <c r="AP246" s="36"/>
      <c r="AQ246" s="36"/>
      <c r="AR246" s="36"/>
      <c r="AS246" s="36"/>
      <c r="AT246" s="36"/>
      <c r="AU246" s="36"/>
      <c r="AV246" s="36"/>
      <c r="AW246" s="117" t="s">
        <v>141</v>
      </c>
      <c r="AX246" s="117"/>
      <c r="AY246" s="36"/>
      <c r="AZ246" s="36" t="s">
        <v>141</v>
      </c>
      <c r="BA246" s="117"/>
      <c r="BB246" s="117" t="s">
        <v>141</v>
      </c>
      <c r="BC246" s="117"/>
      <c r="BD246" s="117"/>
      <c r="BE246" s="117" t="s">
        <v>141</v>
      </c>
      <c r="BF246" s="117" t="s">
        <v>141</v>
      </c>
      <c r="BG246" s="117"/>
      <c r="BH246" s="117"/>
      <c r="BI246" s="117"/>
      <c r="BJ246" s="117"/>
      <c r="BK246" s="117"/>
      <c r="BL246" s="117"/>
      <c r="BM246" s="117">
        <f t="shared" si="34"/>
        <v>15</v>
      </c>
      <c r="BN246" s="117">
        <f t="shared" si="35"/>
        <v>2</v>
      </c>
      <c r="BO246" s="117">
        <f t="shared" si="36"/>
        <v>4</v>
      </c>
      <c r="BP246" s="153">
        <f t="shared" si="37"/>
        <v>9</v>
      </c>
      <c r="BQ246" s="74" t="s">
        <v>502</v>
      </c>
      <c r="BR246" s="74"/>
    </row>
    <row r="247" spans="1:70" hidden="1">
      <c r="A247">
        <v>233</v>
      </c>
      <c r="B247" s="75">
        <v>45782.082187499997</v>
      </c>
      <c r="E247" s="7">
        <v>45782</v>
      </c>
      <c r="F247">
        <v>788</v>
      </c>
      <c r="I247" s="10" t="s">
        <v>1201</v>
      </c>
      <c r="J247" s="69">
        <v>45782</v>
      </c>
      <c r="K247" s="97">
        <f t="shared" si="42"/>
        <v>5</v>
      </c>
      <c r="L247" s="97">
        <v>245</v>
      </c>
      <c r="O247" s="7" t="s">
        <v>146</v>
      </c>
      <c r="T247" t="s">
        <v>930</v>
      </c>
      <c r="X247" s="36"/>
      <c r="Y247" s="36"/>
      <c r="Z247" s="36"/>
      <c r="AA247" s="36"/>
      <c r="AB247" s="36"/>
      <c r="AC247" s="36"/>
      <c r="AD247" s="36" t="s">
        <v>141</v>
      </c>
      <c r="AE247" s="36"/>
      <c r="AF247" s="36" t="s">
        <v>141</v>
      </c>
      <c r="AG247" s="36"/>
      <c r="AH247" s="36"/>
      <c r="AI247" s="36"/>
      <c r="AJ247" s="36"/>
      <c r="AK247" s="117" t="s">
        <v>141</v>
      </c>
      <c r="AL247" s="36"/>
      <c r="AM247" s="36"/>
      <c r="AN247" s="36"/>
      <c r="AO247" s="36" t="s">
        <v>141</v>
      </c>
      <c r="AP247" s="36"/>
      <c r="AQ247" s="36"/>
      <c r="AR247" s="36"/>
      <c r="AS247" s="36"/>
      <c r="AT247" s="36"/>
      <c r="AU247" s="36"/>
      <c r="AV247" s="36"/>
      <c r="AW247" s="117" t="s">
        <v>141</v>
      </c>
      <c r="AX247" s="117"/>
      <c r="AY247" s="36"/>
      <c r="AZ247" s="36" t="s">
        <v>141</v>
      </c>
      <c r="BA247" s="117"/>
      <c r="BB247" s="117"/>
      <c r="BC247" s="117"/>
      <c r="BD247" s="117"/>
      <c r="BE247" s="117" t="s">
        <v>141</v>
      </c>
      <c r="BF247" s="117" t="s">
        <v>141</v>
      </c>
      <c r="BG247" s="117"/>
      <c r="BH247" s="117"/>
      <c r="BI247" s="117"/>
      <c r="BJ247" s="117"/>
      <c r="BK247" s="117"/>
      <c r="BL247" s="117"/>
      <c r="BM247" s="117">
        <f t="shared" si="34"/>
        <v>8</v>
      </c>
      <c r="BN247" s="117">
        <f t="shared" si="35"/>
        <v>1</v>
      </c>
      <c r="BO247" s="117">
        <f t="shared" si="36"/>
        <v>1</v>
      </c>
      <c r="BP247" s="153">
        <f t="shared" si="37"/>
        <v>5</v>
      </c>
      <c r="BQ247" s="74" t="s">
        <v>1181</v>
      </c>
      <c r="BR247" s="74"/>
    </row>
    <row r="248" spans="1:70" hidden="1">
      <c r="A248">
        <v>234</v>
      </c>
      <c r="B248" s="75">
        <v>45782.101539351854</v>
      </c>
      <c r="E248" s="7">
        <v>45782</v>
      </c>
      <c r="F248">
        <v>789</v>
      </c>
      <c r="I248" s="10" t="s">
        <v>1202</v>
      </c>
      <c r="J248" s="69">
        <v>45782</v>
      </c>
      <c r="K248" s="97">
        <f t="shared" si="42"/>
        <v>5</v>
      </c>
      <c r="L248" s="97">
        <v>246</v>
      </c>
      <c r="O248" s="7" t="s">
        <v>234</v>
      </c>
      <c r="T248" t="s">
        <v>1203</v>
      </c>
      <c r="X248" s="36"/>
      <c r="Y248" s="36"/>
      <c r="Z248" s="36"/>
      <c r="AA248" s="36"/>
      <c r="AB248" s="36"/>
      <c r="AC248" s="36"/>
      <c r="AD248" s="36" t="s">
        <v>141</v>
      </c>
      <c r="AE248" s="36" t="s">
        <v>141</v>
      </c>
      <c r="AF248" s="36" t="s">
        <v>141</v>
      </c>
      <c r="AG248" s="36"/>
      <c r="AH248" s="36"/>
      <c r="AI248" s="36"/>
      <c r="AJ248" s="36"/>
      <c r="AK248" s="117" t="s">
        <v>141</v>
      </c>
      <c r="AL248" s="36" t="s">
        <v>141</v>
      </c>
      <c r="AM248" s="36"/>
      <c r="AN248" s="36"/>
      <c r="AO248" s="36"/>
      <c r="AP248" s="36"/>
      <c r="AQ248" s="36"/>
      <c r="AR248" s="36"/>
      <c r="AS248" s="36"/>
      <c r="AT248" s="36"/>
      <c r="AU248" s="36" t="s">
        <v>141</v>
      </c>
      <c r="AV248" s="36"/>
      <c r="AW248" s="117" t="s">
        <v>141</v>
      </c>
      <c r="AX248" s="117"/>
      <c r="AY248" s="36" t="s">
        <v>141</v>
      </c>
      <c r="AZ248" s="36" t="s">
        <v>141</v>
      </c>
      <c r="BA248" s="117"/>
      <c r="BB248" s="117" t="s">
        <v>141</v>
      </c>
      <c r="BC248" s="117"/>
      <c r="BD248" s="117"/>
      <c r="BE248" s="117" t="s">
        <v>141</v>
      </c>
      <c r="BF248" s="117" t="s">
        <v>141</v>
      </c>
      <c r="BG248" s="117"/>
      <c r="BH248" s="117"/>
      <c r="BI248" s="117"/>
      <c r="BJ248" s="117"/>
      <c r="BK248" s="117"/>
      <c r="BL248" s="117"/>
      <c r="BM248" s="117">
        <f t="shared" si="34"/>
        <v>12</v>
      </c>
      <c r="BN248" s="117">
        <f t="shared" si="35"/>
        <v>1</v>
      </c>
      <c r="BO248" s="117">
        <f t="shared" si="36"/>
        <v>1</v>
      </c>
      <c r="BP248" s="153">
        <f t="shared" si="37"/>
        <v>9</v>
      </c>
      <c r="BQ248" s="74" t="s">
        <v>215</v>
      </c>
      <c r="BR248" s="74"/>
    </row>
    <row r="249" spans="1:70" hidden="1">
      <c r="A249">
        <v>235</v>
      </c>
      <c r="B249" s="75">
        <v>45782.850092592591</v>
      </c>
      <c r="E249" s="7">
        <v>45783</v>
      </c>
      <c r="F249">
        <v>790</v>
      </c>
      <c r="I249" s="10" t="s">
        <v>1204</v>
      </c>
      <c r="J249" s="69">
        <v>45783</v>
      </c>
      <c r="K249" s="97">
        <f t="shared" si="42"/>
        <v>5</v>
      </c>
      <c r="L249" s="97">
        <v>247</v>
      </c>
      <c r="O249" s="7" t="s">
        <v>1205</v>
      </c>
      <c r="T249" t="s">
        <v>1206</v>
      </c>
      <c r="X249" s="36"/>
      <c r="Y249" s="36" t="s">
        <v>141</v>
      </c>
      <c r="Z249" s="36"/>
      <c r="AA249" s="36" t="s">
        <v>141</v>
      </c>
      <c r="AB249" s="36" t="s">
        <v>141</v>
      </c>
      <c r="AC249" s="36"/>
      <c r="AD249" s="36" t="s">
        <v>141</v>
      </c>
      <c r="AE249" s="36"/>
      <c r="AF249" s="36" t="s">
        <v>141</v>
      </c>
      <c r="AG249" s="36"/>
      <c r="AH249" s="36" t="s">
        <v>141</v>
      </c>
      <c r="AI249" s="36"/>
      <c r="AJ249" s="36" t="s">
        <v>141</v>
      </c>
      <c r="AK249" s="117" t="s">
        <v>141</v>
      </c>
      <c r="AL249" s="36" t="s">
        <v>141</v>
      </c>
      <c r="AM249" s="36"/>
      <c r="AN249" s="36" t="s">
        <v>141</v>
      </c>
      <c r="AO249" s="36" t="s">
        <v>141</v>
      </c>
      <c r="AP249" s="36"/>
      <c r="AQ249" s="36"/>
      <c r="AR249" s="36"/>
      <c r="AS249" s="36"/>
      <c r="AT249" s="36"/>
      <c r="AU249" s="36"/>
      <c r="AV249" s="36"/>
      <c r="AW249" s="117" t="s">
        <v>141</v>
      </c>
      <c r="AX249" s="117"/>
      <c r="AY249" s="36"/>
      <c r="AZ249" s="36" t="s">
        <v>141</v>
      </c>
      <c r="BA249" s="117"/>
      <c r="BB249" s="117"/>
      <c r="BC249" s="117"/>
      <c r="BD249" s="117"/>
      <c r="BE249" s="117" t="s">
        <v>141</v>
      </c>
      <c r="BF249" s="117"/>
      <c r="BG249" s="117"/>
      <c r="BH249" s="117"/>
      <c r="BI249" s="117"/>
      <c r="BJ249" s="117"/>
      <c r="BK249" s="117"/>
      <c r="BL249" s="117"/>
      <c r="BM249" s="117">
        <f t="shared" si="34"/>
        <v>14</v>
      </c>
      <c r="BN249" s="117">
        <f t="shared" si="35"/>
        <v>3</v>
      </c>
      <c r="BO249" s="117">
        <f t="shared" si="36"/>
        <v>4</v>
      </c>
      <c r="BP249" s="153">
        <f t="shared" si="37"/>
        <v>9</v>
      </c>
      <c r="BQ249" s="74" t="s">
        <v>178</v>
      </c>
      <c r="BR249" s="74"/>
    </row>
    <row r="250" spans="1:70" hidden="1">
      <c r="A250">
        <v>236</v>
      </c>
      <c r="B250" s="75">
        <v>45782.934247685182</v>
      </c>
      <c r="E250" s="7">
        <v>45783</v>
      </c>
      <c r="F250">
        <v>791</v>
      </c>
      <c r="I250" s="10" t="s">
        <v>1207</v>
      </c>
      <c r="J250" s="69">
        <v>45783</v>
      </c>
      <c r="K250" s="97">
        <f t="shared" si="42"/>
        <v>5</v>
      </c>
      <c r="L250" s="97">
        <v>248</v>
      </c>
      <c r="O250" s="7" t="s">
        <v>134</v>
      </c>
      <c r="T250" t="s">
        <v>1208</v>
      </c>
      <c r="X250" s="36"/>
      <c r="Y250" s="36" t="s">
        <v>141</v>
      </c>
      <c r="Z250" s="36"/>
      <c r="AA250" s="36"/>
      <c r="AB250" s="36" t="s">
        <v>141</v>
      </c>
      <c r="AC250" s="36"/>
      <c r="AD250" s="36" t="s">
        <v>141</v>
      </c>
      <c r="AE250" s="36"/>
      <c r="AF250" s="36" t="s">
        <v>141</v>
      </c>
      <c r="AG250" s="36"/>
      <c r="AH250" s="36" t="s">
        <v>141</v>
      </c>
      <c r="AI250" s="36" t="s">
        <v>141</v>
      </c>
      <c r="AJ250" s="36" t="s">
        <v>141</v>
      </c>
      <c r="AK250" s="117" t="s">
        <v>141</v>
      </c>
      <c r="AL250" s="36"/>
      <c r="AM250" s="36"/>
      <c r="AN250" s="36" t="s">
        <v>141</v>
      </c>
      <c r="AO250" s="36" t="s">
        <v>141</v>
      </c>
      <c r="AP250" s="36"/>
      <c r="AQ250" s="36"/>
      <c r="AR250" s="36"/>
      <c r="AS250" s="36"/>
      <c r="AT250" s="36"/>
      <c r="AU250" s="36"/>
      <c r="AV250" s="36"/>
      <c r="AW250" s="117" t="s">
        <v>141</v>
      </c>
      <c r="AX250" s="117"/>
      <c r="AY250" s="36"/>
      <c r="AZ250" s="36"/>
      <c r="BA250" s="117"/>
      <c r="BB250" s="117"/>
      <c r="BC250" s="117"/>
      <c r="BD250" s="117"/>
      <c r="BE250" s="117" t="s">
        <v>141</v>
      </c>
      <c r="BF250" s="117"/>
      <c r="BG250" s="117"/>
      <c r="BH250" s="117"/>
      <c r="BI250" s="117"/>
      <c r="BJ250" s="117"/>
      <c r="BK250" s="117"/>
      <c r="BL250" s="117"/>
      <c r="BM250" s="117">
        <f t="shared" si="34"/>
        <v>12</v>
      </c>
      <c r="BN250" s="117">
        <f t="shared" si="35"/>
        <v>3</v>
      </c>
      <c r="BO250" s="117">
        <f t="shared" si="36"/>
        <v>3</v>
      </c>
      <c r="BP250" s="153">
        <f t="shared" si="37"/>
        <v>8</v>
      </c>
      <c r="BQ250" s="74" t="s">
        <v>208</v>
      </c>
      <c r="BR250" s="74"/>
    </row>
    <row r="251" spans="1:70" hidden="1">
      <c r="A251">
        <v>237</v>
      </c>
      <c r="B251" s="75">
        <v>45784.203946759262</v>
      </c>
      <c r="E251" s="7">
        <v>45784</v>
      </c>
      <c r="F251">
        <v>792</v>
      </c>
      <c r="I251" s="10" t="s">
        <v>1209</v>
      </c>
      <c r="J251" s="69">
        <v>45784</v>
      </c>
      <c r="K251" s="97">
        <f t="shared" si="42"/>
        <v>5</v>
      </c>
      <c r="L251" s="97">
        <v>249</v>
      </c>
      <c r="O251" s="7" t="s">
        <v>197</v>
      </c>
      <c r="T251" t="s">
        <v>1210</v>
      </c>
      <c r="X251" s="36" t="s">
        <v>141</v>
      </c>
      <c r="Y251" s="36" t="s">
        <v>141</v>
      </c>
      <c r="Z251" s="36"/>
      <c r="AA251" s="36" t="s">
        <v>141</v>
      </c>
      <c r="AB251" s="36"/>
      <c r="AC251" s="36"/>
      <c r="AD251" s="36"/>
      <c r="AE251" s="36"/>
      <c r="AF251" s="36"/>
      <c r="AG251" s="36"/>
      <c r="AH251" s="36"/>
      <c r="AI251" s="36"/>
      <c r="AJ251" s="36" t="s">
        <v>141</v>
      </c>
      <c r="AK251" s="117" t="s">
        <v>141</v>
      </c>
      <c r="AL251" s="36" t="s">
        <v>141</v>
      </c>
      <c r="AM251" s="36"/>
      <c r="AN251" s="36"/>
      <c r="AO251" s="36"/>
      <c r="AP251" s="36"/>
      <c r="AQ251" s="36"/>
      <c r="AR251" s="36"/>
      <c r="AS251" s="36" t="s">
        <v>141</v>
      </c>
      <c r="AT251" s="36"/>
      <c r="AU251" s="36"/>
      <c r="AV251" s="36"/>
      <c r="AW251" s="117"/>
      <c r="AX251" s="117"/>
      <c r="AY251" s="36" t="s">
        <v>141</v>
      </c>
      <c r="AZ251" s="36" t="s">
        <v>141</v>
      </c>
      <c r="BA251" s="117"/>
      <c r="BB251" s="117"/>
      <c r="BC251" s="117"/>
      <c r="BD251" s="117" t="s">
        <v>141</v>
      </c>
      <c r="BE251" s="117" t="s">
        <v>141</v>
      </c>
      <c r="BF251" s="117"/>
      <c r="BG251" s="117"/>
      <c r="BH251" s="117"/>
      <c r="BI251" s="117"/>
      <c r="BJ251" s="117"/>
      <c r="BK251" s="117"/>
      <c r="BL251" s="117"/>
      <c r="BM251" s="117">
        <f t="shared" si="34"/>
        <v>11</v>
      </c>
      <c r="BN251" s="117">
        <f t="shared" si="35"/>
        <v>3</v>
      </c>
      <c r="BO251" s="117">
        <f t="shared" si="36"/>
        <v>3</v>
      </c>
      <c r="BP251" s="153">
        <f t="shared" si="37"/>
        <v>6</v>
      </c>
      <c r="BQ251" s="74" t="s">
        <v>532</v>
      </c>
      <c r="BR251" s="74"/>
    </row>
    <row r="252" spans="1:70" hidden="1">
      <c r="A252">
        <v>238</v>
      </c>
      <c r="B252" s="75">
        <v>45784.891550925924</v>
      </c>
      <c r="E252" s="7">
        <v>45785</v>
      </c>
      <c r="F252">
        <v>793</v>
      </c>
      <c r="I252" s="10" t="s">
        <v>1211</v>
      </c>
      <c r="J252" s="69">
        <v>45785</v>
      </c>
      <c r="K252" s="97">
        <f t="shared" ref="K252:K260" si="43">MONTH($J252)</f>
        <v>5</v>
      </c>
      <c r="L252" s="97">
        <v>250</v>
      </c>
      <c r="O252" s="7" t="s">
        <v>234</v>
      </c>
      <c r="T252" t="s">
        <v>1212</v>
      </c>
      <c r="X252" s="36"/>
      <c r="Y252" s="36"/>
      <c r="Z252" s="36"/>
      <c r="AA252" s="36" t="s">
        <v>141</v>
      </c>
      <c r="AB252" s="36" t="s">
        <v>141</v>
      </c>
      <c r="AC252" s="36"/>
      <c r="AD252" s="36"/>
      <c r="AE252" s="36"/>
      <c r="AF252" s="36"/>
      <c r="AG252" s="36"/>
      <c r="AH252" s="36" t="s">
        <v>141</v>
      </c>
      <c r="AI252" s="36"/>
      <c r="AJ252" s="36" t="s">
        <v>141</v>
      </c>
      <c r="AK252" s="117" t="s">
        <v>141</v>
      </c>
      <c r="AL252" s="36" t="s">
        <v>141</v>
      </c>
      <c r="AM252" s="36" t="s">
        <v>141</v>
      </c>
      <c r="AN252" s="36"/>
      <c r="AO252" s="36"/>
      <c r="AP252" s="36"/>
      <c r="AQ252" s="36"/>
      <c r="AR252" s="36"/>
      <c r="AS252" s="36"/>
      <c r="AT252" s="36" t="s">
        <v>141</v>
      </c>
      <c r="AU252" s="36"/>
      <c r="AV252" s="36"/>
      <c r="AW252" s="117"/>
      <c r="AX252" s="117"/>
      <c r="AY252" s="36"/>
      <c r="AZ252" s="36" t="s">
        <v>141</v>
      </c>
      <c r="BA252" s="117"/>
      <c r="BB252" s="117"/>
      <c r="BC252" s="117"/>
      <c r="BD252" s="117"/>
      <c r="BE252" s="117" t="s">
        <v>141</v>
      </c>
      <c r="BF252" s="117"/>
      <c r="BG252" s="117"/>
      <c r="BH252" s="117"/>
      <c r="BI252" s="117"/>
      <c r="BJ252" s="117"/>
      <c r="BK252" s="117"/>
      <c r="BL252" s="117"/>
      <c r="BM252" s="117">
        <f t="shared" si="34"/>
        <v>10</v>
      </c>
      <c r="BN252" s="117">
        <f t="shared" si="35"/>
        <v>3</v>
      </c>
      <c r="BO252" s="117">
        <f t="shared" si="36"/>
        <v>2</v>
      </c>
      <c r="BP252" s="153">
        <f t="shared" si="37"/>
        <v>7</v>
      </c>
      <c r="BQ252" s="74" t="s">
        <v>208</v>
      </c>
      <c r="BR252" s="74"/>
    </row>
    <row r="253" spans="1:70" hidden="1">
      <c r="A253">
        <v>239</v>
      </c>
      <c r="B253" s="75">
        <v>45785.169074074074</v>
      </c>
      <c r="E253" s="7">
        <v>45785</v>
      </c>
      <c r="F253">
        <v>794</v>
      </c>
      <c r="I253" s="10" t="s">
        <v>1213</v>
      </c>
      <c r="J253" s="69">
        <v>45785</v>
      </c>
      <c r="K253" s="97">
        <f t="shared" si="43"/>
        <v>5</v>
      </c>
      <c r="L253" s="97">
        <v>251</v>
      </c>
      <c r="O253" s="7" t="s">
        <v>146</v>
      </c>
      <c r="T253" t="s">
        <v>1214</v>
      </c>
      <c r="X253" s="36" t="s">
        <v>141</v>
      </c>
      <c r="Y253" s="36" t="s">
        <v>141</v>
      </c>
      <c r="Z253" s="36"/>
      <c r="AA253" s="36" t="s">
        <v>141</v>
      </c>
      <c r="AB253" s="36" t="s">
        <v>141</v>
      </c>
      <c r="AC253" s="36" t="s">
        <v>141</v>
      </c>
      <c r="AD253" s="36"/>
      <c r="AE253" s="36" t="s">
        <v>141</v>
      </c>
      <c r="AF253" s="36"/>
      <c r="AG253" s="36" t="s">
        <v>141</v>
      </c>
      <c r="AH253" s="36" t="s">
        <v>141</v>
      </c>
      <c r="AI253" s="36"/>
      <c r="AJ253" s="36"/>
      <c r="AK253" s="117" t="s">
        <v>141</v>
      </c>
      <c r="AL253" s="36"/>
      <c r="AM253" s="36" t="s">
        <v>141</v>
      </c>
      <c r="AN253" s="36"/>
      <c r="AO253" s="36"/>
      <c r="AP253" s="36"/>
      <c r="AQ253" s="36"/>
      <c r="AR253" s="36"/>
      <c r="AS253" s="36"/>
      <c r="AT253" s="36"/>
      <c r="AU253" s="36"/>
      <c r="AV253" s="36"/>
      <c r="AW253" s="117"/>
      <c r="AX253" s="117"/>
      <c r="AY253" s="36"/>
      <c r="AZ253" s="36" t="s">
        <v>141</v>
      </c>
      <c r="BA253" s="117"/>
      <c r="BB253" s="117"/>
      <c r="BC253" s="117"/>
      <c r="BD253" s="117" t="s">
        <v>141</v>
      </c>
      <c r="BE253" s="117"/>
      <c r="BF253" s="117" t="s">
        <v>141</v>
      </c>
      <c r="BG253" s="117"/>
      <c r="BH253" s="117"/>
      <c r="BI253" s="117"/>
      <c r="BJ253" s="117"/>
      <c r="BK253" s="117"/>
      <c r="BL253" s="117"/>
      <c r="BM253" s="117">
        <f t="shared" si="34"/>
        <v>13</v>
      </c>
      <c r="BN253" s="117">
        <f t="shared" si="35"/>
        <v>3</v>
      </c>
      <c r="BO253" s="117">
        <f t="shared" si="36"/>
        <v>5</v>
      </c>
      <c r="BP253" s="153">
        <f t="shared" si="37"/>
        <v>6</v>
      </c>
      <c r="BQ253" s="74" t="s">
        <v>208</v>
      </c>
      <c r="BR253" s="74"/>
    </row>
    <row r="254" spans="1:70" hidden="1">
      <c r="A254">
        <v>240</v>
      </c>
      <c r="B254" s="75">
        <v>45785.192974537036</v>
      </c>
      <c r="E254" s="7">
        <v>45783</v>
      </c>
      <c r="F254">
        <v>795</v>
      </c>
      <c r="I254" s="10" t="s">
        <v>1215</v>
      </c>
      <c r="J254" s="69">
        <v>45785</v>
      </c>
      <c r="K254" s="97">
        <f t="shared" si="43"/>
        <v>5</v>
      </c>
      <c r="L254" s="97">
        <v>252</v>
      </c>
      <c r="O254" s="7" t="s">
        <v>146</v>
      </c>
      <c r="T254" t="s">
        <v>1216</v>
      </c>
      <c r="X254" s="36" t="s">
        <v>141</v>
      </c>
      <c r="Y254" s="36" t="s">
        <v>141</v>
      </c>
      <c r="Z254" s="36"/>
      <c r="AA254" s="36" t="s">
        <v>141</v>
      </c>
      <c r="AB254" s="36" t="s">
        <v>141</v>
      </c>
      <c r="AC254" s="36"/>
      <c r="AD254" s="36"/>
      <c r="AE254" s="36" t="s">
        <v>141</v>
      </c>
      <c r="AF254" s="36"/>
      <c r="AG254" s="36"/>
      <c r="AH254" s="36" t="s">
        <v>141</v>
      </c>
      <c r="AI254" s="36"/>
      <c r="AJ254" s="36"/>
      <c r="AK254" s="117" t="s">
        <v>141</v>
      </c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117"/>
      <c r="AX254" s="117"/>
      <c r="AY254" s="36"/>
      <c r="AZ254" s="36" t="s">
        <v>141</v>
      </c>
      <c r="BA254" s="117"/>
      <c r="BB254" s="117"/>
      <c r="BC254" s="117"/>
      <c r="BD254" s="117"/>
      <c r="BE254" s="117"/>
      <c r="BF254" s="117"/>
      <c r="BG254" s="117" t="s">
        <v>141</v>
      </c>
      <c r="BH254" s="117"/>
      <c r="BI254" s="117"/>
      <c r="BJ254" s="117"/>
      <c r="BK254" s="117"/>
      <c r="BL254" s="117"/>
      <c r="BM254" s="117">
        <f t="shared" si="34"/>
        <v>8</v>
      </c>
      <c r="BN254" s="117">
        <f t="shared" si="35"/>
        <v>1</v>
      </c>
      <c r="BO254" s="117">
        <f t="shared" si="36"/>
        <v>4</v>
      </c>
      <c r="BP254" s="153">
        <f t="shared" si="37"/>
        <v>4</v>
      </c>
      <c r="BQ254" s="74" t="s">
        <v>1063</v>
      </c>
      <c r="BR254" s="74"/>
    </row>
    <row r="255" spans="1:70" hidden="1">
      <c r="A255">
        <v>241</v>
      </c>
      <c r="B255" s="75">
        <v>45785.253854166665</v>
      </c>
      <c r="E255" s="7">
        <v>45783</v>
      </c>
      <c r="F255">
        <v>796</v>
      </c>
      <c r="I255" s="10" t="s">
        <v>1217</v>
      </c>
      <c r="J255" s="69">
        <v>45785</v>
      </c>
      <c r="K255" s="97">
        <f t="shared" si="43"/>
        <v>5</v>
      </c>
      <c r="L255" s="97">
        <v>253</v>
      </c>
      <c r="O255" s="7" t="s">
        <v>1218</v>
      </c>
      <c r="T255" t="s">
        <v>1219</v>
      </c>
      <c r="X255" s="36" t="s">
        <v>141</v>
      </c>
      <c r="Y255" s="36" t="s">
        <v>141</v>
      </c>
      <c r="Z255" s="36"/>
      <c r="AA255" s="36" t="s">
        <v>141</v>
      </c>
      <c r="AB255" s="36" t="s">
        <v>141</v>
      </c>
      <c r="AC255" s="36"/>
      <c r="AD255" s="36"/>
      <c r="AE255" s="36"/>
      <c r="AF255" s="36"/>
      <c r="AG255" s="36" t="s">
        <v>141</v>
      </c>
      <c r="AH255" s="36" t="s">
        <v>141</v>
      </c>
      <c r="AI255" s="36"/>
      <c r="AJ255" s="36"/>
      <c r="AK255" s="117" t="s">
        <v>141</v>
      </c>
      <c r="AL255" s="36"/>
      <c r="AM255" s="36"/>
      <c r="AN255" s="36"/>
      <c r="AO255" s="36"/>
      <c r="AP255" s="36"/>
      <c r="AQ255" s="36"/>
      <c r="AR255" s="36"/>
      <c r="AS255" s="36"/>
      <c r="AT255" s="36" t="s">
        <v>141</v>
      </c>
      <c r="AU255" s="36"/>
      <c r="AV255" s="36"/>
      <c r="AW255" s="117"/>
      <c r="AX255" s="117"/>
      <c r="AY255" s="36"/>
      <c r="AZ255" s="36" t="s">
        <v>141</v>
      </c>
      <c r="BA255" s="117"/>
      <c r="BB255" s="117"/>
      <c r="BC255" s="117"/>
      <c r="BD255" s="117" t="s">
        <v>141</v>
      </c>
      <c r="BE255" s="117" t="s">
        <v>141</v>
      </c>
      <c r="BF255" s="117" t="s">
        <v>141</v>
      </c>
      <c r="BG255" s="117"/>
      <c r="BH255" s="117"/>
      <c r="BI255" s="117"/>
      <c r="BJ255" s="117"/>
      <c r="BK255" s="117"/>
      <c r="BL255" s="117"/>
      <c r="BM255" s="117">
        <f t="shared" si="34"/>
        <v>12</v>
      </c>
      <c r="BN255" s="117">
        <f t="shared" si="35"/>
        <v>2</v>
      </c>
      <c r="BO255" s="117">
        <f t="shared" si="36"/>
        <v>4</v>
      </c>
      <c r="BP255" s="153">
        <f t="shared" si="37"/>
        <v>5</v>
      </c>
      <c r="BQ255" s="74" t="s">
        <v>208</v>
      </c>
      <c r="BR255" s="74"/>
    </row>
    <row r="256" spans="1:70" hidden="1">
      <c r="A256">
        <v>242</v>
      </c>
      <c r="B256" s="75">
        <v>45785.482418981483</v>
      </c>
      <c r="E256" s="7">
        <v>45783</v>
      </c>
      <c r="F256">
        <v>797</v>
      </c>
      <c r="I256" s="10" t="s">
        <v>1220</v>
      </c>
      <c r="J256" s="69">
        <v>45785</v>
      </c>
      <c r="K256" s="97">
        <f t="shared" si="43"/>
        <v>5</v>
      </c>
      <c r="L256" s="97">
        <v>254</v>
      </c>
      <c r="O256" s="7" t="s">
        <v>156</v>
      </c>
      <c r="T256" t="s">
        <v>1221</v>
      </c>
      <c r="X256" s="36"/>
      <c r="Y256" s="36" t="s">
        <v>141</v>
      </c>
      <c r="Z256" s="36"/>
      <c r="AA256" s="36" t="s">
        <v>141</v>
      </c>
      <c r="AB256" s="36" t="s">
        <v>141</v>
      </c>
      <c r="AC256" s="36" t="s">
        <v>141</v>
      </c>
      <c r="AD256" s="36"/>
      <c r="AE256" s="36"/>
      <c r="AF256" s="36"/>
      <c r="AG256" s="36" t="s">
        <v>141</v>
      </c>
      <c r="AH256" s="36" t="s">
        <v>141</v>
      </c>
      <c r="AI256" s="36"/>
      <c r="AJ256" s="36"/>
      <c r="AK256" s="117" t="s">
        <v>141</v>
      </c>
      <c r="AL256" s="36"/>
      <c r="AM256" s="36"/>
      <c r="AN256" s="36"/>
      <c r="AO256" s="36"/>
      <c r="AP256" s="36"/>
      <c r="AQ256" s="36"/>
      <c r="AR256" s="36"/>
      <c r="AS256" s="36" t="s">
        <v>141</v>
      </c>
      <c r="AT256" s="36"/>
      <c r="AU256" s="36"/>
      <c r="AV256" s="36"/>
      <c r="AW256" s="117"/>
      <c r="AX256" s="117"/>
      <c r="AY256" s="36"/>
      <c r="AZ256" s="36" t="s">
        <v>141</v>
      </c>
      <c r="BA256" s="117"/>
      <c r="BB256" s="117"/>
      <c r="BC256" s="117"/>
      <c r="BD256" s="117" t="s">
        <v>141</v>
      </c>
      <c r="BE256" s="117" t="s">
        <v>141</v>
      </c>
      <c r="BF256" s="117" t="s">
        <v>141</v>
      </c>
      <c r="BG256" s="117" t="s">
        <v>141</v>
      </c>
      <c r="BH256" s="117"/>
      <c r="BI256" s="117"/>
      <c r="BJ256" s="117"/>
      <c r="BK256" s="117"/>
      <c r="BL256" s="117"/>
      <c r="BM256" s="117">
        <f t="shared" si="34"/>
        <v>12</v>
      </c>
      <c r="BN256" s="117">
        <f t="shared" si="35"/>
        <v>3</v>
      </c>
      <c r="BO256" s="117">
        <f t="shared" si="36"/>
        <v>4</v>
      </c>
      <c r="BP256" s="153">
        <f t="shared" si="37"/>
        <v>5</v>
      </c>
      <c r="BQ256" s="74" t="s">
        <v>1172</v>
      </c>
      <c r="BR256" s="74"/>
    </row>
    <row r="257" spans="1:70" hidden="1">
      <c r="A257">
        <v>243</v>
      </c>
      <c r="B257" s="75">
        <v>45785.736956018518</v>
      </c>
      <c r="E257" s="7">
        <v>45786</v>
      </c>
      <c r="F257">
        <v>798</v>
      </c>
      <c r="I257" s="10" t="s">
        <v>1222</v>
      </c>
      <c r="J257" s="69">
        <v>45786</v>
      </c>
      <c r="K257" s="97">
        <f t="shared" si="43"/>
        <v>5</v>
      </c>
      <c r="L257" s="97">
        <v>255</v>
      </c>
      <c r="O257" s="7" t="s">
        <v>156</v>
      </c>
      <c r="T257" t="s">
        <v>1223</v>
      </c>
      <c r="X257" s="36" t="s">
        <v>141</v>
      </c>
      <c r="Y257" s="36" t="s">
        <v>141</v>
      </c>
      <c r="Z257" s="36"/>
      <c r="AA257" s="36"/>
      <c r="AB257" s="36" t="s">
        <v>141</v>
      </c>
      <c r="AC257" s="36" t="s">
        <v>141</v>
      </c>
      <c r="AD257" s="36"/>
      <c r="AE257" s="36"/>
      <c r="AF257" s="36"/>
      <c r="AG257" s="36" t="s">
        <v>141</v>
      </c>
      <c r="AH257" s="36"/>
      <c r="AI257" s="36" t="s">
        <v>141</v>
      </c>
      <c r="AJ257" s="36"/>
      <c r="AK257" s="117" t="s">
        <v>141</v>
      </c>
      <c r="AL257" s="36"/>
      <c r="AM257" s="36"/>
      <c r="AN257" s="36"/>
      <c r="AO257" s="36"/>
      <c r="AP257" s="36"/>
      <c r="AQ257" s="36"/>
      <c r="AR257" s="36"/>
      <c r="AS257" s="36"/>
      <c r="AT257" s="36" t="s">
        <v>141</v>
      </c>
      <c r="AU257" s="36" t="s">
        <v>141</v>
      </c>
      <c r="AV257" s="36"/>
      <c r="AW257" s="117" t="s">
        <v>141</v>
      </c>
      <c r="AX257" s="117"/>
      <c r="AY257" s="36"/>
      <c r="AZ257" s="36" t="s">
        <v>141</v>
      </c>
      <c r="BA257" s="117"/>
      <c r="BB257" s="117"/>
      <c r="BC257" s="117"/>
      <c r="BD257" s="117"/>
      <c r="BE257" s="117" t="s">
        <v>141</v>
      </c>
      <c r="BF257" s="117" t="s">
        <v>141</v>
      </c>
      <c r="BG257" s="117"/>
      <c r="BH257" s="117"/>
      <c r="BI257" s="117"/>
      <c r="BJ257" s="117"/>
      <c r="BK257" s="117"/>
      <c r="BL257" s="117"/>
      <c r="BM257" s="117">
        <f t="shared" si="34"/>
        <v>13</v>
      </c>
      <c r="BN257" s="117">
        <f t="shared" si="35"/>
        <v>2</v>
      </c>
      <c r="BO257" s="117">
        <f t="shared" si="36"/>
        <v>4</v>
      </c>
      <c r="BP257" s="153">
        <f t="shared" si="37"/>
        <v>7</v>
      </c>
      <c r="BQ257" s="74" t="s">
        <v>330</v>
      </c>
      <c r="BR257" s="74"/>
    </row>
    <row r="258" spans="1:70" hidden="1">
      <c r="A258">
        <v>244</v>
      </c>
      <c r="B258" s="75">
        <v>45785.887476851851</v>
      </c>
      <c r="E258" s="7">
        <v>45786</v>
      </c>
      <c r="F258">
        <v>799</v>
      </c>
      <c r="I258" s="10" t="s">
        <v>1224</v>
      </c>
      <c r="J258" s="69">
        <v>45786</v>
      </c>
      <c r="K258" s="97">
        <f t="shared" si="43"/>
        <v>5</v>
      </c>
      <c r="L258" s="97">
        <v>256</v>
      </c>
      <c r="O258" s="7" t="s">
        <v>156</v>
      </c>
      <c r="T258" t="s">
        <v>1225</v>
      </c>
      <c r="X258" s="36" t="s">
        <v>141</v>
      </c>
      <c r="Y258" s="36" t="s">
        <v>141</v>
      </c>
      <c r="Z258" s="36"/>
      <c r="AA258" s="36"/>
      <c r="AB258" s="36" t="s">
        <v>141</v>
      </c>
      <c r="AC258" s="36"/>
      <c r="AD258" s="36"/>
      <c r="AE258" s="36"/>
      <c r="AF258" s="36" t="s">
        <v>141</v>
      </c>
      <c r="AG258" s="36"/>
      <c r="AH258" s="36"/>
      <c r="AI258" s="36" t="s">
        <v>141</v>
      </c>
      <c r="AJ258" s="36" t="s">
        <v>141</v>
      </c>
      <c r="AK258" s="117" t="s">
        <v>141</v>
      </c>
      <c r="AL258" s="36"/>
      <c r="AM258" s="36"/>
      <c r="AN258" s="36" t="s">
        <v>141</v>
      </c>
      <c r="AO258" s="36"/>
      <c r="AP258" s="36"/>
      <c r="AQ258" s="36"/>
      <c r="AR258" s="36"/>
      <c r="AS258" s="36"/>
      <c r="AT258" s="36" t="s">
        <v>141</v>
      </c>
      <c r="AU258" s="36"/>
      <c r="AV258" s="36"/>
      <c r="AW258" s="117"/>
      <c r="AX258" s="117"/>
      <c r="AY258" s="36"/>
      <c r="AZ258" s="36" t="s">
        <v>141</v>
      </c>
      <c r="BA258" s="117"/>
      <c r="BB258" s="117" t="s">
        <v>141</v>
      </c>
      <c r="BC258" s="117"/>
      <c r="BD258" s="117"/>
      <c r="BE258" s="117" t="s">
        <v>141</v>
      </c>
      <c r="BF258" s="117" t="s">
        <v>141</v>
      </c>
      <c r="BG258" s="117"/>
      <c r="BH258" s="117"/>
      <c r="BI258" s="117"/>
      <c r="BJ258" s="117"/>
      <c r="BK258" s="117"/>
      <c r="BL258" s="117"/>
      <c r="BM258" s="117">
        <f t="shared" si="34"/>
        <v>13</v>
      </c>
      <c r="BN258" s="117">
        <f t="shared" si="35"/>
        <v>3</v>
      </c>
      <c r="BO258" s="117">
        <f t="shared" si="36"/>
        <v>3</v>
      </c>
      <c r="BP258" s="153">
        <f t="shared" si="37"/>
        <v>8</v>
      </c>
      <c r="BQ258" s="74" t="s">
        <v>208</v>
      </c>
      <c r="BR258" s="74"/>
    </row>
    <row r="259" spans="1:70" hidden="1">
      <c r="A259">
        <v>245</v>
      </c>
      <c r="B259" s="75">
        <v>45786.103877314818</v>
      </c>
      <c r="E259" s="7">
        <v>45786</v>
      </c>
      <c r="F259">
        <v>800</v>
      </c>
      <c r="I259" s="10" t="s">
        <v>1226</v>
      </c>
      <c r="J259" s="69">
        <v>45786</v>
      </c>
      <c r="K259" s="97">
        <f t="shared" si="43"/>
        <v>5</v>
      </c>
      <c r="L259" s="97">
        <v>257</v>
      </c>
      <c r="O259" s="7" t="s">
        <v>234</v>
      </c>
      <c r="T259" t="s">
        <v>1227</v>
      </c>
      <c r="X259" s="36" t="s">
        <v>141</v>
      </c>
      <c r="Y259" s="36" t="s">
        <v>141</v>
      </c>
      <c r="Z259" s="36"/>
      <c r="AA259" s="36" t="s">
        <v>141</v>
      </c>
      <c r="AB259" s="36" t="s">
        <v>141</v>
      </c>
      <c r="AC259" s="36"/>
      <c r="AD259" s="36"/>
      <c r="AE259" s="36"/>
      <c r="AF259" s="36"/>
      <c r="AG259" s="36"/>
      <c r="AH259" s="36"/>
      <c r="AI259" s="36" t="s">
        <v>141</v>
      </c>
      <c r="AJ259" s="36" t="s">
        <v>141</v>
      </c>
      <c r="AK259" s="117" t="s">
        <v>141</v>
      </c>
      <c r="AL259" s="36" t="s">
        <v>141</v>
      </c>
      <c r="AM259" s="36" t="s">
        <v>141</v>
      </c>
      <c r="AN259" s="36" t="s">
        <v>141</v>
      </c>
      <c r="AO259" s="36"/>
      <c r="AP259" s="36"/>
      <c r="AQ259" s="36"/>
      <c r="AR259" s="36"/>
      <c r="AS259" s="36"/>
      <c r="AT259" s="36"/>
      <c r="AU259" s="36"/>
      <c r="AV259" s="36"/>
      <c r="AW259" s="117" t="s">
        <v>141</v>
      </c>
      <c r="AX259" s="117"/>
      <c r="AY259" s="36"/>
      <c r="AZ259" s="36" t="s">
        <v>141</v>
      </c>
      <c r="BA259" s="117"/>
      <c r="BB259" s="117"/>
      <c r="BC259" s="117"/>
      <c r="BD259" s="117"/>
      <c r="BE259" s="117"/>
      <c r="BF259" s="117" t="s">
        <v>141</v>
      </c>
      <c r="BG259" s="117"/>
      <c r="BH259" s="117"/>
      <c r="BI259" s="117"/>
      <c r="BJ259" s="117"/>
      <c r="BK259" s="117"/>
      <c r="BL259" s="117"/>
      <c r="BM259" s="117">
        <f t="shared" si="34"/>
        <v>13</v>
      </c>
      <c r="BN259" s="117">
        <f t="shared" si="35"/>
        <v>4</v>
      </c>
      <c r="BO259" s="117">
        <f t="shared" si="36"/>
        <v>4</v>
      </c>
      <c r="BP259" s="153">
        <f t="shared" si="37"/>
        <v>8</v>
      </c>
      <c r="BQ259" s="74" t="s">
        <v>208</v>
      </c>
      <c r="BR259" s="74"/>
    </row>
    <row r="260" spans="1:70" hidden="1">
      <c r="A260">
        <v>246</v>
      </c>
      <c r="B260" s="75">
        <v>45786.613182870373</v>
      </c>
      <c r="E260" s="7">
        <v>45787</v>
      </c>
      <c r="F260">
        <v>801</v>
      </c>
      <c r="I260" s="10" t="s">
        <v>1228</v>
      </c>
      <c r="J260" s="69">
        <v>45787</v>
      </c>
      <c r="K260" s="97">
        <f t="shared" si="43"/>
        <v>5</v>
      </c>
      <c r="L260" s="97">
        <v>258</v>
      </c>
      <c r="O260" s="7" t="s">
        <v>645</v>
      </c>
      <c r="T260" t="s">
        <v>1229</v>
      </c>
      <c r="X260" s="36"/>
      <c r="Y260" s="36" t="s">
        <v>141</v>
      </c>
      <c r="Z260" s="36" t="s">
        <v>141</v>
      </c>
      <c r="AA260" s="36"/>
      <c r="AB260" s="36" t="s">
        <v>141</v>
      </c>
      <c r="AC260" s="36" t="s">
        <v>141</v>
      </c>
      <c r="AD260" s="36"/>
      <c r="AE260" s="36"/>
      <c r="AF260" s="36"/>
      <c r="AG260" s="36"/>
      <c r="AH260" s="36" t="s">
        <v>141</v>
      </c>
      <c r="AI260" s="36"/>
      <c r="AJ260" s="36" t="s">
        <v>141</v>
      </c>
      <c r="AK260" s="117"/>
      <c r="AL260" s="36"/>
      <c r="AM260" s="36"/>
      <c r="AN260" s="36"/>
      <c r="AO260" s="36"/>
      <c r="AP260" s="36"/>
      <c r="AQ260" s="36"/>
      <c r="AR260" s="36"/>
      <c r="AS260" s="36" t="s">
        <v>141</v>
      </c>
      <c r="AT260" s="36"/>
      <c r="AU260" s="36"/>
      <c r="AV260" s="36"/>
      <c r="AW260" s="117" t="s">
        <v>141</v>
      </c>
      <c r="AX260" s="117"/>
      <c r="AY260" s="36"/>
      <c r="AZ260" s="36" t="s">
        <v>141</v>
      </c>
      <c r="BA260" s="117"/>
      <c r="BB260" s="117"/>
      <c r="BC260" s="117"/>
      <c r="BD260" s="117"/>
      <c r="BE260" s="117" t="s">
        <v>141</v>
      </c>
      <c r="BF260" s="117"/>
      <c r="BG260" s="117" t="s">
        <v>141</v>
      </c>
      <c r="BH260" s="117"/>
      <c r="BI260" s="117"/>
      <c r="BJ260" s="117"/>
      <c r="BK260" s="117"/>
      <c r="BL260" s="117"/>
      <c r="BM260" s="117">
        <f t="shared" ref="BM260:BM323" si="44">COUNTIF($X260:$BF260, "I")</f>
        <v>10</v>
      </c>
      <c r="BN260" s="117">
        <f t="shared" ref="BN260:BN323" si="45">COUNTIFS($X260:$BF260, "I",$X$2:$BF$2, "DR" )</f>
        <v>2</v>
      </c>
      <c r="BO260" s="117">
        <f t="shared" ref="BO260:BO323" si="46">COUNTIFS($X260:$BF260, "I",$X$5:$BF$5, "OF" )</f>
        <v>4</v>
      </c>
      <c r="BP260" s="153">
        <f t="shared" ref="BP260:BP323" si="47">COUNTIFS($X260:$BF260, "I",$X$5:$BF$5, "FF" )</f>
        <v>5</v>
      </c>
      <c r="BQ260" s="74" t="s">
        <v>152</v>
      </c>
      <c r="BR260" s="74"/>
    </row>
    <row r="261" spans="1:70" hidden="1">
      <c r="A261">
        <v>247</v>
      </c>
      <c r="B261" s="75">
        <v>45786.963865740741</v>
      </c>
      <c r="E261" s="7">
        <v>45787</v>
      </c>
      <c r="F261">
        <v>802</v>
      </c>
      <c r="I261" s="10" t="s">
        <v>1230</v>
      </c>
      <c r="J261" s="69">
        <v>45787</v>
      </c>
      <c r="K261" s="97">
        <f t="shared" ref="K261:K267" si="48">MONTH($J261)</f>
        <v>5</v>
      </c>
      <c r="L261" s="97">
        <v>259</v>
      </c>
      <c r="O261" s="7" t="s">
        <v>254</v>
      </c>
      <c r="T261" t="s">
        <v>1231</v>
      </c>
      <c r="X261" s="36"/>
      <c r="Y261" s="36"/>
      <c r="Z261" s="36" t="s">
        <v>141</v>
      </c>
      <c r="AA261" s="36" t="s">
        <v>141</v>
      </c>
      <c r="AB261" s="36" t="s">
        <v>141</v>
      </c>
      <c r="AC261" s="36"/>
      <c r="AD261" s="36"/>
      <c r="AE261" s="36"/>
      <c r="AF261" s="36" t="s">
        <v>141</v>
      </c>
      <c r="AG261" s="36" t="s">
        <v>141</v>
      </c>
      <c r="AH261" s="36"/>
      <c r="AI261" s="36"/>
      <c r="AJ261" s="36"/>
      <c r="AK261" s="117"/>
      <c r="AL261" s="36" t="s">
        <v>141</v>
      </c>
      <c r="AM261" s="36"/>
      <c r="AN261" s="36"/>
      <c r="AO261" s="36"/>
      <c r="AP261" s="36"/>
      <c r="AQ261" s="36"/>
      <c r="AR261" s="36"/>
      <c r="AS261" s="36" t="s">
        <v>141</v>
      </c>
      <c r="AT261" s="36"/>
      <c r="AU261" s="36"/>
      <c r="AV261" s="36"/>
      <c r="AW261" s="117"/>
      <c r="AX261" s="117"/>
      <c r="AY261" s="36"/>
      <c r="AZ261" s="36"/>
      <c r="BA261" s="117"/>
      <c r="BB261" s="117"/>
      <c r="BC261" s="117"/>
      <c r="BD261" s="117"/>
      <c r="BE261" s="117"/>
      <c r="BF261" s="117" t="s">
        <v>141</v>
      </c>
      <c r="BG261" s="117"/>
      <c r="BH261" s="117"/>
      <c r="BI261" s="117"/>
      <c r="BJ261" s="117"/>
      <c r="BK261" s="117"/>
      <c r="BL261" s="117"/>
      <c r="BM261" s="117">
        <f t="shared" si="44"/>
        <v>8</v>
      </c>
      <c r="BN261" s="117">
        <f t="shared" si="45"/>
        <v>2</v>
      </c>
      <c r="BO261" s="117">
        <f t="shared" si="46"/>
        <v>3</v>
      </c>
      <c r="BP261" s="153">
        <f t="shared" si="47"/>
        <v>4</v>
      </c>
      <c r="BQ261" s="74" t="s">
        <v>208</v>
      </c>
      <c r="BR261" s="74"/>
    </row>
    <row r="262" spans="1:70" hidden="1">
      <c r="A262">
        <v>248</v>
      </c>
      <c r="B262" s="75">
        <v>45787.011469907404</v>
      </c>
      <c r="E262" s="7">
        <v>45787</v>
      </c>
      <c r="F262">
        <v>803</v>
      </c>
      <c r="I262" s="10" t="s">
        <v>1232</v>
      </c>
      <c r="J262" s="69">
        <v>45787</v>
      </c>
      <c r="K262" s="97">
        <f t="shared" si="48"/>
        <v>5</v>
      </c>
      <c r="L262" s="97">
        <v>260</v>
      </c>
      <c r="O262" s="7" t="s">
        <v>197</v>
      </c>
      <c r="T262" t="s">
        <v>1233</v>
      </c>
      <c r="X262" s="36" t="s">
        <v>141</v>
      </c>
      <c r="Y262" s="36"/>
      <c r="Z262" s="36" t="s">
        <v>141</v>
      </c>
      <c r="AA262" s="36" t="s">
        <v>141</v>
      </c>
      <c r="AB262" s="36" t="s">
        <v>141</v>
      </c>
      <c r="AC262" s="36"/>
      <c r="AD262" s="36"/>
      <c r="AE262" s="36"/>
      <c r="AF262" s="36" t="s">
        <v>141</v>
      </c>
      <c r="AG262" s="36" t="s">
        <v>141</v>
      </c>
      <c r="AH262" s="36"/>
      <c r="AI262" s="36"/>
      <c r="AJ262" s="36"/>
      <c r="AK262" s="117"/>
      <c r="AL262" s="36"/>
      <c r="AM262" s="36" t="s">
        <v>141</v>
      </c>
      <c r="AN262" s="36"/>
      <c r="AO262" s="36"/>
      <c r="AP262" s="36"/>
      <c r="AQ262" s="36"/>
      <c r="AR262" s="36"/>
      <c r="AS262" s="36" t="s">
        <v>141</v>
      </c>
      <c r="AT262" s="36" t="s">
        <v>141</v>
      </c>
      <c r="AU262" s="36"/>
      <c r="AV262" s="36"/>
      <c r="AW262" s="117"/>
      <c r="AX262" s="117" t="s">
        <v>141</v>
      </c>
      <c r="AY262" s="36"/>
      <c r="AZ262" s="36"/>
      <c r="BA262" s="117"/>
      <c r="BB262" s="117"/>
      <c r="BC262" s="117"/>
      <c r="BD262" s="117"/>
      <c r="BE262" s="117"/>
      <c r="BF262" s="117"/>
      <c r="BG262" s="117"/>
      <c r="BH262" s="117"/>
      <c r="BI262" s="117"/>
      <c r="BJ262" s="117"/>
      <c r="BK262" s="117"/>
      <c r="BL262" s="117"/>
      <c r="BM262" s="117">
        <f t="shared" si="44"/>
        <v>10</v>
      </c>
      <c r="BN262" s="117">
        <f t="shared" si="45"/>
        <v>3</v>
      </c>
      <c r="BO262" s="117">
        <f t="shared" si="46"/>
        <v>4</v>
      </c>
      <c r="BP262" s="153">
        <f t="shared" si="47"/>
        <v>6</v>
      </c>
      <c r="BQ262" s="74" t="s">
        <v>589</v>
      </c>
      <c r="BR262" s="74"/>
    </row>
    <row r="263" spans="1:70" hidden="1">
      <c r="A263">
        <v>249</v>
      </c>
      <c r="B263" s="75">
        <v>45787.817743055559</v>
      </c>
      <c r="E263" s="7">
        <v>45788</v>
      </c>
      <c r="F263">
        <v>804</v>
      </c>
      <c r="I263" s="10" t="s">
        <v>1234</v>
      </c>
      <c r="J263" s="69">
        <v>45788</v>
      </c>
      <c r="K263" s="97">
        <f t="shared" si="48"/>
        <v>5</v>
      </c>
      <c r="L263" s="97">
        <v>261</v>
      </c>
      <c r="O263" s="7" t="s">
        <v>156</v>
      </c>
      <c r="T263" t="s">
        <v>1235</v>
      </c>
      <c r="X263" s="36" t="s">
        <v>141</v>
      </c>
      <c r="Y263" s="36"/>
      <c r="Z263" s="36"/>
      <c r="AA263" s="36" t="s">
        <v>141</v>
      </c>
      <c r="AB263" s="36" t="s">
        <v>141</v>
      </c>
      <c r="AC263" s="36"/>
      <c r="AD263" s="36"/>
      <c r="AE263" s="36"/>
      <c r="AF263" s="36"/>
      <c r="AG263" s="36" t="s">
        <v>141</v>
      </c>
      <c r="AH263" s="36" t="s">
        <v>141</v>
      </c>
      <c r="AI263" s="36"/>
      <c r="AJ263" s="36"/>
      <c r="AK263" s="117"/>
      <c r="AL263" s="36" t="s">
        <v>141</v>
      </c>
      <c r="AM263" s="36" t="s">
        <v>141</v>
      </c>
      <c r="AN263" s="36"/>
      <c r="AO263" s="36"/>
      <c r="AP263" s="36"/>
      <c r="AQ263" s="36"/>
      <c r="AR263" s="36"/>
      <c r="AS263" s="36"/>
      <c r="AT263" s="36"/>
      <c r="AU263" s="36"/>
      <c r="AV263" s="36"/>
      <c r="AW263" s="117" t="s">
        <v>141</v>
      </c>
      <c r="AX263" s="117" t="s">
        <v>141</v>
      </c>
      <c r="AY263" s="36"/>
      <c r="AZ263" s="36"/>
      <c r="BA263" s="117"/>
      <c r="BB263" s="117"/>
      <c r="BC263" s="117"/>
      <c r="BD263" s="117"/>
      <c r="BE263" s="117"/>
      <c r="BF263" s="117" t="s">
        <v>141</v>
      </c>
      <c r="BG263" s="117" t="s">
        <v>141</v>
      </c>
      <c r="BH263" s="117"/>
      <c r="BI263" s="117"/>
      <c r="BJ263" s="117"/>
      <c r="BK263" s="117"/>
      <c r="BL263" s="117"/>
      <c r="BM263" s="117">
        <f t="shared" si="44"/>
        <v>10</v>
      </c>
      <c r="BN263" s="117">
        <f t="shared" si="45"/>
        <v>2</v>
      </c>
      <c r="BO263" s="117">
        <f t="shared" si="46"/>
        <v>3</v>
      </c>
      <c r="BP263" s="153">
        <f t="shared" si="47"/>
        <v>6</v>
      </c>
      <c r="BQ263" s="74" t="s">
        <v>208</v>
      </c>
      <c r="BR263" s="74"/>
    </row>
    <row r="264" spans="1:70" hidden="1">
      <c r="A264">
        <v>250</v>
      </c>
      <c r="B264" s="75">
        <v>45787.840810185182</v>
      </c>
      <c r="E264" s="7">
        <v>45788</v>
      </c>
      <c r="F264">
        <v>805</v>
      </c>
      <c r="I264" s="10" t="s">
        <v>1236</v>
      </c>
      <c r="J264" s="69">
        <v>45788</v>
      </c>
      <c r="K264" s="97">
        <f t="shared" si="48"/>
        <v>5</v>
      </c>
      <c r="L264" s="97">
        <v>262</v>
      </c>
      <c r="O264" s="7" t="s">
        <v>197</v>
      </c>
      <c r="T264" t="s">
        <v>1237</v>
      </c>
      <c r="X264" s="36" t="s">
        <v>141</v>
      </c>
      <c r="Y264" s="36"/>
      <c r="Z264" s="36" t="s">
        <v>141</v>
      </c>
      <c r="AA264" s="36" t="s">
        <v>141</v>
      </c>
      <c r="AB264" s="36" t="s">
        <v>141</v>
      </c>
      <c r="AC264" s="36"/>
      <c r="AD264" s="36"/>
      <c r="AE264" s="36"/>
      <c r="AF264" s="36"/>
      <c r="AG264" s="36" t="s">
        <v>141</v>
      </c>
      <c r="AH264" s="36" t="s">
        <v>141</v>
      </c>
      <c r="AI264" s="36"/>
      <c r="AJ264" s="36"/>
      <c r="AK264" s="117"/>
      <c r="AL264" s="36" t="s">
        <v>141</v>
      </c>
      <c r="AM264" s="36" t="s">
        <v>141</v>
      </c>
      <c r="AN264" s="36"/>
      <c r="AO264" s="36"/>
      <c r="AP264" s="36"/>
      <c r="AQ264" s="36"/>
      <c r="AR264" s="36"/>
      <c r="AS264" s="36"/>
      <c r="AT264" s="36"/>
      <c r="AU264" s="36"/>
      <c r="AV264" s="36"/>
      <c r="AW264" s="117" t="s">
        <v>141</v>
      </c>
      <c r="AX264" s="117" t="s">
        <v>141</v>
      </c>
      <c r="AY264" s="36"/>
      <c r="AZ264" s="36"/>
      <c r="BA264" s="117"/>
      <c r="BB264" s="117"/>
      <c r="BC264" s="117"/>
      <c r="BD264" s="117"/>
      <c r="BE264" s="117"/>
      <c r="BF264" s="117" t="s">
        <v>141</v>
      </c>
      <c r="BG264" s="117" t="s">
        <v>141</v>
      </c>
      <c r="BH264" s="117"/>
      <c r="BI264" s="117"/>
      <c r="BJ264" s="117"/>
      <c r="BK264" s="117"/>
      <c r="BL264" s="117"/>
      <c r="BM264" s="117">
        <f t="shared" si="44"/>
        <v>11</v>
      </c>
      <c r="BN264" s="117">
        <f t="shared" si="45"/>
        <v>2</v>
      </c>
      <c r="BO264" s="117">
        <f t="shared" si="46"/>
        <v>4</v>
      </c>
      <c r="BP264" s="153">
        <f t="shared" si="47"/>
        <v>6</v>
      </c>
      <c r="BQ264" s="74" t="s">
        <v>208</v>
      </c>
      <c r="BR264" s="74"/>
    </row>
    <row r="265" spans="1:70" hidden="1">
      <c r="A265">
        <v>251</v>
      </c>
      <c r="B265" s="75">
        <v>45788.893726851849</v>
      </c>
      <c r="E265" s="7">
        <v>45789</v>
      </c>
      <c r="F265">
        <v>806</v>
      </c>
      <c r="I265" s="10" t="s">
        <v>1238</v>
      </c>
      <c r="J265" s="69">
        <v>45789</v>
      </c>
      <c r="K265" s="97">
        <f t="shared" si="48"/>
        <v>5</v>
      </c>
      <c r="L265" s="97">
        <v>263</v>
      </c>
      <c r="O265" s="7" t="s">
        <v>197</v>
      </c>
      <c r="T265" t="s">
        <v>1239</v>
      </c>
      <c r="X265" s="36"/>
      <c r="Y265" s="36" t="s">
        <v>141</v>
      </c>
      <c r="Z265" s="36"/>
      <c r="AA265" s="36"/>
      <c r="AB265" s="36" t="s">
        <v>141</v>
      </c>
      <c r="AC265" s="36"/>
      <c r="AD265" s="36"/>
      <c r="AE265" s="36"/>
      <c r="AF265" s="36" t="s">
        <v>141</v>
      </c>
      <c r="AG265" s="36"/>
      <c r="AH265" s="36" t="s">
        <v>141</v>
      </c>
      <c r="AI265" s="36"/>
      <c r="AJ265" s="36" t="s">
        <v>141</v>
      </c>
      <c r="AK265" s="117" t="s">
        <v>141</v>
      </c>
      <c r="AL265" s="36" t="s">
        <v>141</v>
      </c>
      <c r="AM265" s="36" t="s">
        <v>141</v>
      </c>
      <c r="AN265" s="36"/>
      <c r="AO265" s="36" t="s">
        <v>141</v>
      </c>
      <c r="AP265" s="36"/>
      <c r="AQ265" s="36"/>
      <c r="AR265" s="36"/>
      <c r="AS265" s="36"/>
      <c r="AT265" s="36" t="s">
        <v>141</v>
      </c>
      <c r="AU265" s="36"/>
      <c r="AV265" s="36"/>
      <c r="AW265" s="117" t="s">
        <v>141</v>
      </c>
      <c r="AX265" s="117" t="s">
        <v>141</v>
      </c>
      <c r="AY265" s="36"/>
      <c r="AZ265" s="36"/>
      <c r="BA265" s="117"/>
      <c r="BB265" s="117"/>
      <c r="BC265" s="117"/>
      <c r="BD265" s="117"/>
      <c r="BE265" s="117"/>
      <c r="BF265" s="117" t="s">
        <v>141</v>
      </c>
      <c r="BG265" s="117"/>
      <c r="BH265" s="117"/>
      <c r="BI265" s="117"/>
      <c r="BJ265" s="117"/>
      <c r="BK265" s="117"/>
      <c r="BL265" s="117"/>
      <c r="BM265" s="117">
        <f t="shared" si="44"/>
        <v>13</v>
      </c>
      <c r="BN265" s="117">
        <f t="shared" si="45"/>
        <v>3</v>
      </c>
      <c r="BO265" s="117">
        <f t="shared" si="46"/>
        <v>2</v>
      </c>
      <c r="BP265" s="153">
        <f t="shared" si="47"/>
        <v>10</v>
      </c>
      <c r="BQ265" s="74" t="s">
        <v>208</v>
      </c>
      <c r="BR265" s="74"/>
    </row>
    <row r="266" spans="1:70" hidden="1">
      <c r="A266">
        <v>252</v>
      </c>
      <c r="B266" s="75">
        <v>45790.394108796296</v>
      </c>
      <c r="E266" s="7">
        <v>45790</v>
      </c>
      <c r="F266">
        <v>807</v>
      </c>
      <c r="I266" s="10" t="s">
        <v>1240</v>
      </c>
      <c r="J266" s="69">
        <v>45790</v>
      </c>
      <c r="K266" s="97">
        <f t="shared" si="48"/>
        <v>5</v>
      </c>
      <c r="L266" s="97">
        <v>264</v>
      </c>
      <c r="O266" s="7" t="s">
        <v>234</v>
      </c>
      <c r="T266" t="s">
        <v>1241</v>
      </c>
      <c r="X266" s="36" t="s">
        <v>141</v>
      </c>
      <c r="Y266" s="36" t="s">
        <v>141</v>
      </c>
      <c r="Z266" s="36" t="s">
        <v>141</v>
      </c>
      <c r="AA266" s="36"/>
      <c r="AB266" s="36"/>
      <c r="AC266" s="36" t="s">
        <v>141</v>
      </c>
      <c r="AD266" s="36" t="s">
        <v>141</v>
      </c>
      <c r="AE266" s="36" t="s">
        <v>141</v>
      </c>
      <c r="AF266" s="36"/>
      <c r="AG266" s="36" t="s">
        <v>141</v>
      </c>
      <c r="AH266" s="36"/>
      <c r="AI266" s="36" t="s">
        <v>141</v>
      </c>
      <c r="AJ266" s="36" t="s">
        <v>141</v>
      </c>
      <c r="AK266" s="117"/>
      <c r="AL266" s="36" t="s">
        <v>141</v>
      </c>
      <c r="AM266" s="36" t="s">
        <v>141</v>
      </c>
      <c r="AN266" s="36"/>
      <c r="AO266" s="36"/>
      <c r="AP266" s="36" t="s">
        <v>141</v>
      </c>
      <c r="AQ266" s="36" t="s">
        <v>141</v>
      </c>
      <c r="AR266" s="36"/>
      <c r="AS266" s="36"/>
      <c r="AT266" s="36" t="s">
        <v>141</v>
      </c>
      <c r="AU266" s="36"/>
      <c r="AV266" s="36"/>
      <c r="AW266" s="117"/>
      <c r="AX266" s="117" t="s">
        <v>141</v>
      </c>
      <c r="AY266" s="36"/>
      <c r="AZ266" s="36" t="s">
        <v>141</v>
      </c>
      <c r="BA266" s="117"/>
      <c r="BB266" s="117"/>
      <c r="BC266" s="117" t="s">
        <v>141</v>
      </c>
      <c r="BD266" s="117" t="s">
        <v>141</v>
      </c>
      <c r="BE266" s="117" t="s">
        <v>141</v>
      </c>
      <c r="BF266" s="117" t="s">
        <v>141</v>
      </c>
      <c r="BG266" s="117" t="s">
        <v>141</v>
      </c>
      <c r="BH266" s="117"/>
      <c r="BI266" s="117"/>
      <c r="BJ266" s="117"/>
      <c r="BK266" s="117"/>
      <c r="BL266" s="117"/>
      <c r="BM266" s="117">
        <f t="shared" si="44"/>
        <v>20</v>
      </c>
      <c r="BN266" s="117">
        <f t="shared" si="45"/>
        <v>3</v>
      </c>
      <c r="BO266" s="117">
        <f t="shared" si="46"/>
        <v>5</v>
      </c>
      <c r="BP266" s="153">
        <f t="shared" si="47"/>
        <v>12</v>
      </c>
      <c r="BQ266" s="74" t="s">
        <v>240</v>
      </c>
      <c r="BR266" s="74"/>
    </row>
    <row r="267" spans="1:70" hidden="1">
      <c r="A267">
        <v>253</v>
      </c>
      <c r="B267" s="75">
        <v>45790.410277777781</v>
      </c>
      <c r="E267" s="7">
        <v>45790</v>
      </c>
      <c r="F267">
        <v>808</v>
      </c>
      <c r="I267" s="10" t="s">
        <v>1242</v>
      </c>
      <c r="J267" s="69">
        <v>45790</v>
      </c>
      <c r="K267" s="97">
        <f t="shared" si="48"/>
        <v>5</v>
      </c>
      <c r="L267" s="97">
        <v>265</v>
      </c>
      <c r="O267" s="7" t="s">
        <v>1243</v>
      </c>
      <c r="T267" t="s">
        <v>1244</v>
      </c>
      <c r="X267" s="36" t="s">
        <v>141</v>
      </c>
      <c r="Y267" s="36"/>
      <c r="Z267" s="36"/>
      <c r="AA267" s="36"/>
      <c r="AB267" s="36"/>
      <c r="AC267" s="36" t="s">
        <v>141</v>
      </c>
      <c r="AD267" s="36"/>
      <c r="AE267" s="36" t="s">
        <v>141</v>
      </c>
      <c r="AF267" s="36"/>
      <c r="AG267" s="36"/>
      <c r="AH267" s="36"/>
      <c r="AI267" s="36" t="s">
        <v>141</v>
      </c>
      <c r="AJ267" s="36"/>
      <c r="AK267" s="117"/>
      <c r="AL267" s="36"/>
      <c r="AM267" s="36"/>
      <c r="AN267" s="36"/>
      <c r="AO267" s="36"/>
      <c r="AP267" s="36" t="s">
        <v>141</v>
      </c>
      <c r="AQ267" s="36"/>
      <c r="AR267" s="36" t="s">
        <v>141</v>
      </c>
      <c r="AS267" s="36"/>
      <c r="AT267" s="36"/>
      <c r="AU267" s="36" t="s">
        <v>141</v>
      </c>
      <c r="AV267" s="36"/>
      <c r="AW267" s="117" t="s">
        <v>141</v>
      </c>
      <c r="AX267" s="117"/>
      <c r="AY267" s="36"/>
      <c r="AZ267" s="36"/>
      <c r="BA267" s="117"/>
      <c r="BB267" s="117"/>
      <c r="BC267" s="117"/>
      <c r="BD267" s="117"/>
      <c r="BE267" s="117"/>
      <c r="BF267" s="117" t="s">
        <v>141</v>
      </c>
      <c r="BG267" s="117"/>
      <c r="BH267" s="117"/>
      <c r="BI267" s="117"/>
      <c r="BJ267" s="117"/>
      <c r="BK267" s="117"/>
      <c r="BL267" s="117"/>
      <c r="BM267" s="117">
        <f t="shared" si="44"/>
        <v>9</v>
      </c>
      <c r="BN267" s="117">
        <f t="shared" si="45"/>
        <v>1</v>
      </c>
      <c r="BO267" s="117">
        <f t="shared" si="46"/>
        <v>2</v>
      </c>
      <c r="BP267" s="153">
        <f t="shared" si="47"/>
        <v>6</v>
      </c>
      <c r="BQ267" s="74" t="s">
        <v>1245</v>
      </c>
      <c r="BR267" s="74"/>
    </row>
    <row r="268" spans="1:70" hidden="1">
      <c r="A268">
        <v>254</v>
      </c>
      <c r="B268" s="75">
        <v>45790.927071759259</v>
      </c>
      <c r="E268" s="7">
        <v>45791</v>
      </c>
      <c r="F268">
        <v>809</v>
      </c>
      <c r="I268" s="10" t="s">
        <v>1246</v>
      </c>
      <c r="J268" s="69">
        <v>45791</v>
      </c>
      <c r="K268" s="97">
        <f t="shared" ref="K268:K277" si="49">MONTH($J268)</f>
        <v>5</v>
      </c>
      <c r="L268" s="97">
        <v>266</v>
      </c>
      <c r="O268" s="7" t="s">
        <v>156</v>
      </c>
      <c r="T268" t="s">
        <v>1247</v>
      </c>
      <c r="X268" s="36"/>
      <c r="Y268" s="36"/>
      <c r="Z268" s="36"/>
      <c r="AA268" s="36"/>
      <c r="AB268" s="36"/>
      <c r="AC268" s="36"/>
      <c r="AD268" s="36" t="s">
        <v>141</v>
      </c>
      <c r="AE268" s="36"/>
      <c r="AF268" s="36"/>
      <c r="AG268" s="36"/>
      <c r="AH268" s="36" t="s">
        <v>141</v>
      </c>
      <c r="AI268" s="36"/>
      <c r="AJ268" s="36" t="s">
        <v>141</v>
      </c>
      <c r="AK268" s="117" t="s">
        <v>141</v>
      </c>
      <c r="AL268" s="36"/>
      <c r="AM268" s="36"/>
      <c r="AN268" s="36"/>
      <c r="AO268" s="36" t="s">
        <v>141</v>
      </c>
      <c r="AP268" s="36"/>
      <c r="AQ268" s="36"/>
      <c r="AR268" s="36"/>
      <c r="AS268" s="36"/>
      <c r="AT268" s="36" t="s">
        <v>141</v>
      </c>
      <c r="AU268" s="36"/>
      <c r="AV268" s="36"/>
      <c r="AW268" s="117"/>
      <c r="AX268" s="117"/>
      <c r="AY268" s="36"/>
      <c r="AZ268" s="36" t="s">
        <v>141</v>
      </c>
      <c r="BA268" s="117"/>
      <c r="BB268" s="117"/>
      <c r="BC268" s="117"/>
      <c r="BD268" s="117"/>
      <c r="BE268" s="117"/>
      <c r="BF268" s="117" t="s">
        <v>141</v>
      </c>
      <c r="BG268" s="117"/>
      <c r="BH268" s="117"/>
      <c r="BI268" s="117"/>
      <c r="BJ268" s="117"/>
      <c r="BK268" s="117"/>
      <c r="BL268" s="117"/>
      <c r="BM268" s="117">
        <f t="shared" si="44"/>
        <v>8</v>
      </c>
      <c r="BN268" s="117">
        <f t="shared" si="45"/>
        <v>2</v>
      </c>
      <c r="BO268" s="117">
        <f t="shared" si="46"/>
        <v>1</v>
      </c>
      <c r="BP268" s="153">
        <f t="shared" si="47"/>
        <v>6</v>
      </c>
      <c r="BQ268" s="74" t="s">
        <v>1248</v>
      </c>
      <c r="BR268" s="74"/>
    </row>
    <row r="269" spans="1:70" hidden="1">
      <c r="A269">
        <v>255</v>
      </c>
      <c r="B269" s="75">
        <v>45791.458831018521</v>
      </c>
      <c r="E269" s="7">
        <v>45791</v>
      </c>
      <c r="F269">
        <v>810</v>
      </c>
      <c r="I269" s="10" t="s">
        <v>1249</v>
      </c>
      <c r="J269" s="69">
        <v>45791</v>
      </c>
      <c r="K269" s="97">
        <f t="shared" si="49"/>
        <v>5</v>
      </c>
      <c r="L269" s="97">
        <v>267</v>
      </c>
      <c r="O269" s="7" t="s">
        <v>1250</v>
      </c>
      <c r="T269" t="s">
        <v>1251</v>
      </c>
      <c r="X269" s="36"/>
      <c r="Y269" s="36" t="s">
        <v>141</v>
      </c>
      <c r="Z269" s="36"/>
      <c r="AA269" s="36"/>
      <c r="AB269" s="36" t="s">
        <v>141</v>
      </c>
      <c r="AC269" s="36" t="s">
        <v>141</v>
      </c>
      <c r="AD269" s="36" t="s">
        <v>141</v>
      </c>
      <c r="AE269" s="36"/>
      <c r="AF269" s="36" t="s">
        <v>141</v>
      </c>
      <c r="AG269" s="36" t="s">
        <v>141</v>
      </c>
      <c r="AH269" s="36" t="s">
        <v>141</v>
      </c>
      <c r="AI269" s="36"/>
      <c r="AJ269" s="36" t="s">
        <v>141</v>
      </c>
      <c r="AK269" s="117" t="s">
        <v>141</v>
      </c>
      <c r="AL269" s="36" t="s">
        <v>141</v>
      </c>
      <c r="AM269" s="36"/>
      <c r="AN269" s="36"/>
      <c r="AO269" s="36" t="s">
        <v>141</v>
      </c>
      <c r="AP269" s="36"/>
      <c r="AQ269" s="36"/>
      <c r="AR269" s="36"/>
      <c r="AS269" s="36" t="s">
        <v>141</v>
      </c>
      <c r="AT269" s="36" t="s">
        <v>141</v>
      </c>
      <c r="AU269" s="36"/>
      <c r="AV269" s="36"/>
      <c r="AW269" s="117"/>
      <c r="AX269" s="117"/>
      <c r="AY269" s="36"/>
      <c r="AZ269" s="36"/>
      <c r="BA269" s="117"/>
      <c r="BB269" s="117"/>
      <c r="BC269" s="117"/>
      <c r="BD269" s="117"/>
      <c r="BE269" s="117" t="s">
        <v>141</v>
      </c>
      <c r="BF269" s="117"/>
      <c r="BG269" s="117" t="s">
        <v>141</v>
      </c>
      <c r="BH269" s="117"/>
      <c r="BI269" s="117"/>
      <c r="BJ269" s="117"/>
      <c r="BK269" s="117"/>
      <c r="BL269" s="117"/>
      <c r="BM269" s="117">
        <f t="shared" si="44"/>
        <v>14</v>
      </c>
      <c r="BN269" s="117">
        <f t="shared" si="45"/>
        <v>4</v>
      </c>
      <c r="BO269" s="117">
        <f t="shared" si="46"/>
        <v>4</v>
      </c>
      <c r="BP269" s="153">
        <f t="shared" si="47"/>
        <v>9</v>
      </c>
      <c r="BQ269" s="74" t="s">
        <v>208</v>
      </c>
      <c r="BR269" s="74"/>
    </row>
    <row r="270" spans="1:70">
      <c r="A270">
        <v>256</v>
      </c>
      <c r="B270" s="75">
        <v>45791.90896990741</v>
      </c>
      <c r="E270" s="7">
        <v>45792</v>
      </c>
      <c r="F270">
        <v>811</v>
      </c>
      <c r="I270" s="10" t="s">
        <v>1252</v>
      </c>
      <c r="J270" s="69">
        <v>45792</v>
      </c>
      <c r="K270" s="97">
        <f t="shared" si="49"/>
        <v>5</v>
      </c>
      <c r="L270" s="97">
        <v>268</v>
      </c>
      <c r="O270" s="7" t="s">
        <v>1013</v>
      </c>
      <c r="T270" t="s">
        <v>1253</v>
      </c>
      <c r="X270" s="36"/>
      <c r="Y270" s="36"/>
      <c r="Z270" s="36"/>
      <c r="AA270" s="36"/>
      <c r="AB270" s="36" t="s">
        <v>141</v>
      </c>
      <c r="AC270" s="36"/>
      <c r="AD270" s="36" t="s">
        <v>141</v>
      </c>
      <c r="AE270" s="36"/>
      <c r="AF270" s="36"/>
      <c r="AG270" s="36" t="s">
        <v>141</v>
      </c>
      <c r="AH270" s="36" t="s">
        <v>141</v>
      </c>
      <c r="AI270" s="36" t="s">
        <v>141</v>
      </c>
      <c r="AJ270" s="36" t="s">
        <v>141</v>
      </c>
      <c r="AK270" s="117"/>
      <c r="AL270" s="36"/>
      <c r="AM270" s="36"/>
      <c r="AN270" s="36"/>
      <c r="AO270" s="36" t="s">
        <v>141</v>
      </c>
      <c r="AP270" s="36"/>
      <c r="AQ270" s="36"/>
      <c r="AR270" s="36"/>
      <c r="AS270" s="36" t="s">
        <v>141</v>
      </c>
      <c r="AT270" s="36"/>
      <c r="AU270" s="36"/>
      <c r="AV270" s="36"/>
      <c r="AW270" s="117" t="s">
        <v>141</v>
      </c>
      <c r="AX270" s="117"/>
      <c r="AY270" s="36"/>
      <c r="AZ270" s="36" t="s">
        <v>141</v>
      </c>
      <c r="BA270" s="117"/>
      <c r="BB270" s="117"/>
      <c r="BC270" s="117"/>
      <c r="BD270" s="117"/>
      <c r="BE270" s="117" t="s">
        <v>141</v>
      </c>
      <c r="BF270" s="117" t="s">
        <v>141</v>
      </c>
      <c r="BG270" s="117"/>
      <c r="BH270" s="117"/>
      <c r="BI270" s="117"/>
      <c r="BJ270" s="117"/>
      <c r="BK270" s="117"/>
      <c r="BL270" s="117"/>
      <c r="BM270" s="117">
        <f t="shared" si="44"/>
        <v>12</v>
      </c>
      <c r="BN270" s="117">
        <f t="shared" si="45"/>
        <v>3</v>
      </c>
      <c r="BO270" s="117">
        <f t="shared" si="46"/>
        <v>2</v>
      </c>
      <c r="BP270" s="153">
        <f t="shared" si="47"/>
        <v>8</v>
      </c>
      <c r="BQ270" s="74" t="s">
        <v>208</v>
      </c>
      <c r="BR270" s="74"/>
    </row>
    <row r="271" spans="1:70" hidden="1">
      <c r="A271">
        <v>257</v>
      </c>
      <c r="B271" s="75">
        <v>45792.171678240738</v>
      </c>
      <c r="E271" s="7">
        <v>45791</v>
      </c>
      <c r="F271">
        <v>812</v>
      </c>
      <c r="I271" s="10" t="s">
        <v>1254</v>
      </c>
      <c r="J271" s="69">
        <v>45792</v>
      </c>
      <c r="K271" s="97">
        <f t="shared" si="49"/>
        <v>5</v>
      </c>
      <c r="L271" s="97">
        <v>269</v>
      </c>
      <c r="O271" s="7" t="s">
        <v>197</v>
      </c>
      <c r="T271" t="s">
        <v>1255</v>
      </c>
      <c r="X271" s="36"/>
      <c r="Y271" s="36"/>
      <c r="Z271" s="36"/>
      <c r="AA271" s="36"/>
      <c r="AB271" s="36"/>
      <c r="AC271" s="36"/>
      <c r="AD271" s="36" t="s">
        <v>141</v>
      </c>
      <c r="AE271" s="36"/>
      <c r="AF271" s="36"/>
      <c r="AG271" s="36"/>
      <c r="AH271" s="36" t="s">
        <v>141</v>
      </c>
      <c r="AI271" s="36"/>
      <c r="AJ271" s="36"/>
      <c r="AK271" s="117" t="s">
        <v>141</v>
      </c>
      <c r="AL271" s="36"/>
      <c r="AM271" s="36"/>
      <c r="AN271" s="36"/>
      <c r="AO271" s="36" t="s">
        <v>141</v>
      </c>
      <c r="AP271" s="36"/>
      <c r="AQ271" s="36"/>
      <c r="AR271" s="36"/>
      <c r="AS271" s="36" t="s">
        <v>141</v>
      </c>
      <c r="AT271" s="36"/>
      <c r="AU271" s="36"/>
      <c r="AV271" s="36"/>
      <c r="AW271" s="117" t="s">
        <v>141</v>
      </c>
      <c r="AX271" s="117"/>
      <c r="AY271" s="36"/>
      <c r="AZ271" s="36" t="s">
        <v>141</v>
      </c>
      <c r="BA271" s="117"/>
      <c r="BB271" s="117" t="s">
        <v>141</v>
      </c>
      <c r="BC271" s="117"/>
      <c r="BD271" s="117" t="s">
        <v>141</v>
      </c>
      <c r="BE271" s="117"/>
      <c r="BF271" s="117"/>
      <c r="BG271" s="117" t="s">
        <v>141</v>
      </c>
      <c r="BH271" s="117"/>
      <c r="BI271" s="117"/>
      <c r="BJ271" s="117"/>
      <c r="BK271" s="117"/>
      <c r="BL271" s="117"/>
      <c r="BM271" s="117">
        <f t="shared" si="44"/>
        <v>9</v>
      </c>
      <c r="BN271" s="117">
        <f t="shared" si="45"/>
        <v>2</v>
      </c>
      <c r="BO271" s="117">
        <f t="shared" si="46"/>
        <v>1</v>
      </c>
      <c r="BP271" s="153">
        <f t="shared" si="47"/>
        <v>7</v>
      </c>
      <c r="BQ271" s="74" t="s">
        <v>1033</v>
      </c>
      <c r="BR271" s="74"/>
    </row>
    <row r="272" spans="1:70" hidden="1">
      <c r="A272">
        <v>258</v>
      </c>
      <c r="B272" s="75">
        <v>45794.393599537034</v>
      </c>
      <c r="E272" s="7">
        <v>45791</v>
      </c>
      <c r="F272">
        <v>813</v>
      </c>
      <c r="I272" s="10" t="s">
        <v>1256</v>
      </c>
      <c r="J272" s="69">
        <v>45794</v>
      </c>
      <c r="K272" s="97">
        <f t="shared" si="49"/>
        <v>5</v>
      </c>
      <c r="L272" s="97">
        <v>270</v>
      </c>
      <c r="O272" s="7" t="s">
        <v>134</v>
      </c>
      <c r="T272" t="s">
        <v>1257</v>
      </c>
      <c r="X272" s="36" t="s">
        <v>141</v>
      </c>
      <c r="Y272" s="36"/>
      <c r="Z272" s="36"/>
      <c r="AA272" s="36"/>
      <c r="AB272" s="36"/>
      <c r="AC272" s="36"/>
      <c r="AD272" s="36"/>
      <c r="AE272" s="36" t="s">
        <v>141</v>
      </c>
      <c r="AF272" s="36"/>
      <c r="AG272" s="36"/>
      <c r="AH272" s="36"/>
      <c r="AI272" s="36"/>
      <c r="AJ272" s="36" t="s">
        <v>141</v>
      </c>
      <c r="AK272" s="117"/>
      <c r="AL272" s="36"/>
      <c r="AM272" s="36"/>
      <c r="AN272" s="36"/>
      <c r="AO272" s="36" t="s">
        <v>141</v>
      </c>
      <c r="AP272" s="36" t="s">
        <v>141</v>
      </c>
      <c r="AQ272" s="36"/>
      <c r="AR272" s="36"/>
      <c r="AS272" s="36" t="s">
        <v>141</v>
      </c>
      <c r="AT272" s="36"/>
      <c r="AU272" s="36" t="s">
        <v>141</v>
      </c>
      <c r="AV272" s="36"/>
      <c r="AW272" s="117"/>
      <c r="AX272" s="117"/>
      <c r="AY272" s="36"/>
      <c r="AZ272" s="36"/>
      <c r="BA272" s="117"/>
      <c r="BB272" s="117"/>
      <c r="BC272" s="117"/>
      <c r="BD272" s="117" t="s">
        <v>141</v>
      </c>
      <c r="BE272" s="117"/>
      <c r="BF272" s="117"/>
      <c r="BG272" s="117" t="s">
        <v>141</v>
      </c>
      <c r="BH272" s="117"/>
      <c r="BI272" s="117"/>
      <c r="BJ272" s="117"/>
      <c r="BK272" s="117"/>
      <c r="BL272" s="117"/>
      <c r="BM272" s="117">
        <f t="shared" si="44"/>
        <v>8</v>
      </c>
      <c r="BN272" s="117">
        <f t="shared" si="45"/>
        <v>2</v>
      </c>
      <c r="BO272" s="117">
        <f t="shared" si="46"/>
        <v>1</v>
      </c>
      <c r="BP272" s="153">
        <f t="shared" si="47"/>
        <v>6</v>
      </c>
      <c r="BQ272" s="74" t="s">
        <v>215</v>
      </c>
      <c r="BR272" s="74"/>
    </row>
    <row r="273" spans="1:70" hidden="1">
      <c r="A273">
        <v>259</v>
      </c>
      <c r="B273" s="75">
        <v>45794.65829861111</v>
      </c>
      <c r="E273" s="7">
        <v>45795</v>
      </c>
      <c r="F273">
        <v>814</v>
      </c>
      <c r="I273" s="10" t="s">
        <v>1258</v>
      </c>
      <c r="J273" s="69">
        <v>45795</v>
      </c>
      <c r="K273" s="97">
        <f t="shared" si="49"/>
        <v>5</v>
      </c>
      <c r="L273" s="97">
        <v>271</v>
      </c>
      <c r="O273" s="7" t="s">
        <v>156</v>
      </c>
      <c r="T273" t="s">
        <v>1259</v>
      </c>
      <c r="X273" s="36" t="s">
        <v>141</v>
      </c>
      <c r="Y273" s="36"/>
      <c r="Z273" s="36"/>
      <c r="AA273" s="36"/>
      <c r="AB273" s="36"/>
      <c r="AC273" s="36"/>
      <c r="AD273" s="36"/>
      <c r="AE273" s="36" t="s">
        <v>141</v>
      </c>
      <c r="AF273" s="36"/>
      <c r="AG273" s="36"/>
      <c r="AH273" s="36"/>
      <c r="AI273" s="36" t="s">
        <v>141</v>
      </c>
      <c r="AJ273" s="36" t="s">
        <v>141</v>
      </c>
      <c r="AK273" s="117"/>
      <c r="AL273" s="36" t="s">
        <v>141</v>
      </c>
      <c r="AM273" s="36" t="s">
        <v>141</v>
      </c>
      <c r="AN273" s="36"/>
      <c r="AO273" s="36"/>
      <c r="AP273" s="36" t="s">
        <v>141</v>
      </c>
      <c r="AQ273" s="36"/>
      <c r="AR273" s="36"/>
      <c r="AS273" s="36" t="s">
        <v>141</v>
      </c>
      <c r="AT273" s="36"/>
      <c r="AU273" s="36"/>
      <c r="AV273" s="36"/>
      <c r="AW273" s="117" t="s">
        <v>141</v>
      </c>
      <c r="AX273" s="117"/>
      <c r="AY273" s="36"/>
      <c r="AZ273" s="36"/>
      <c r="BA273" s="117"/>
      <c r="BB273" s="117"/>
      <c r="BC273" s="117"/>
      <c r="BD273" s="117"/>
      <c r="BE273" s="117"/>
      <c r="BF273" s="117"/>
      <c r="BG273" s="117"/>
      <c r="BH273" s="117"/>
      <c r="BI273" s="117"/>
      <c r="BJ273" s="117"/>
      <c r="BK273" s="117"/>
      <c r="BL273" s="117"/>
      <c r="BM273" s="117">
        <f t="shared" si="44"/>
        <v>9</v>
      </c>
      <c r="BN273" s="117">
        <f t="shared" si="45"/>
        <v>3</v>
      </c>
      <c r="BO273" s="117">
        <f t="shared" si="46"/>
        <v>1</v>
      </c>
      <c r="BP273" s="153">
        <f t="shared" si="47"/>
        <v>8</v>
      </c>
      <c r="BQ273" s="74" t="s">
        <v>1245</v>
      </c>
      <c r="BR273" s="74"/>
    </row>
    <row r="274" spans="1:70" hidden="1">
      <c r="A274">
        <v>260</v>
      </c>
      <c r="B274" s="75">
        <v>45795.369479166664</v>
      </c>
      <c r="E274" s="7">
        <v>45795</v>
      </c>
      <c r="F274">
        <v>815</v>
      </c>
      <c r="I274" s="10" t="s">
        <v>1260</v>
      </c>
      <c r="J274" s="69">
        <v>45795</v>
      </c>
      <c r="K274" s="97">
        <f t="shared" si="49"/>
        <v>5</v>
      </c>
      <c r="L274" s="97">
        <v>272</v>
      </c>
      <c r="O274" s="7" t="s">
        <v>197</v>
      </c>
      <c r="T274" t="s">
        <v>1261</v>
      </c>
      <c r="X274" s="36"/>
      <c r="Y274" s="36"/>
      <c r="Z274" s="36" t="s">
        <v>141</v>
      </c>
      <c r="AA274" s="36"/>
      <c r="AB274" s="36"/>
      <c r="AC274" s="36" t="s">
        <v>141</v>
      </c>
      <c r="AD274" s="36"/>
      <c r="AE274" s="36" t="s">
        <v>141</v>
      </c>
      <c r="AF274" s="36"/>
      <c r="AG274" s="36" t="s">
        <v>141</v>
      </c>
      <c r="AH274" s="36"/>
      <c r="AI274" s="36" t="s">
        <v>141</v>
      </c>
      <c r="AJ274" s="36"/>
      <c r="AK274" s="117"/>
      <c r="AL274" s="36"/>
      <c r="AM274" s="36"/>
      <c r="AN274" s="36"/>
      <c r="AO274" s="36"/>
      <c r="AP274" s="36" t="s">
        <v>141</v>
      </c>
      <c r="AQ274" s="36" t="s">
        <v>141</v>
      </c>
      <c r="AR274" s="36"/>
      <c r="AS274" s="36"/>
      <c r="AT274" s="36"/>
      <c r="AU274" s="36"/>
      <c r="AV274" s="36"/>
      <c r="AW274" s="117"/>
      <c r="AX274" s="117" t="s">
        <v>141</v>
      </c>
      <c r="AY274" s="36"/>
      <c r="AZ274" s="36"/>
      <c r="BA274" s="117"/>
      <c r="BB274" s="117"/>
      <c r="BC274" s="117"/>
      <c r="BD274" s="117"/>
      <c r="BE274" s="117" t="s">
        <v>141</v>
      </c>
      <c r="BF274" s="117" t="s">
        <v>141</v>
      </c>
      <c r="BG274" s="117"/>
      <c r="BH274" s="117"/>
      <c r="BI274" s="117"/>
      <c r="BJ274" s="117"/>
      <c r="BK274" s="117"/>
      <c r="BL274" s="117"/>
      <c r="BM274" s="117">
        <f t="shared" si="44"/>
        <v>10</v>
      </c>
      <c r="BN274" s="117">
        <f t="shared" si="45"/>
        <v>1</v>
      </c>
      <c r="BO274" s="117">
        <f t="shared" si="46"/>
        <v>2</v>
      </c>
      <c r="BP274" s="153">
        <f t="shared" si="47"/>
        <v>6</v>
      </c>
      <c r="BQ274" s="74" t="s">
        <v>1262</v>
      </c>
      <c r="BR274" s="74"/>
    </row>
    <row r="275" spans="1:70" hidden="1">
      <c r="A275">
        <v>261</v>
      </c>
      <c r="B275" s="75">
        <v>45795.836631944447</v>
      </c>
      <c r="E275" s="7">
        <v>45796</v>
      </c>
      <c r="F275">
        <v>816</v>
      </c>
      <c r="I275" s="10" t="s">
        <v>1263</v>
      </c>
      <c r="J275" s="69">
        <v>45796</v>
      </c>
      <c r="K275" s="97">
        <f t="shared" si="49"/>
        <v>5</v>
      </c>
      <c r="L275" s="97">
        <v>273</v>
      </c>
      <c r="O275" s="7" t="s">
        <v>156</v>
      </c>
      <c r="T275" t="s">
        <v>1264</v>
      </c>
      <c r="X275" s="36"/>
      <c r="Y275" s="36"/>
      <c r="Z275" s="36"/>
      <c r="AA275" s="36"/>
      <c r="AB275" s="36"/>
      <c r="AC275" s="36"/>
      <c r="AD275" s="36" t="s">
        <v>141</v>
      </c>
      <c r="AE275" s="36" t="s">
        <v>141</v>
      </c>
      <c r="AF275" s="36"/>
      <c r="AG275" s="36"/>
      <c r="AH275" s="36" t="s">
        <v>141</v>
      </c>
      <c r="AI275" s="36"/>
      <c r="AJ275" s="36" t="s">
        <v>141</v>
      </c>
      <c r="AK275" s="117"/>
      <c r="AL275" s="36"/>
      <c r="AM275" s="36"/>
      <c r="AN275" s="36"/>
      <c r="AO275" s="36"/>
      <c r="AP275" s="36"/>
      <c r="AQ275" s="36"/>
      <c r="AR275" s="36"/>
      <c r="AS275" s="36" t="s">
        <v>141</v>
      </c>
      <c r="AT275" s="36" t="s">
        <v>141</v>
      </c>
      <c r="AU275" s="36" t="s">
        <v>141</v>
      </c>
      <c r="AV275" s="36"/>
      <c r="AW275" s="117"/>
      <c r="AX275" s="117" t="s">
        <v>141</v>
      </c>
      <c r="AY275" s="36" t="s">
        <v>141</v>
      </c>
      <c r="AZ275" s="36"/>
      <c r="BA275" s="117"/>
      <c r="BB275" s="117"/>
      <c r="BC275" s="117"/>
      <c r="BD275" s="117"/>
      <c r="BE275" s="117"/>
      <c r="BF275" s="117" t="s">
        <v>141</v>
      </c>
      <c r="BG275" s="117"/>
      <c r="BH275" s="117"/>
      <c r="BI275" s="117"/>
      <c r="BJ275" s="117"/>
      <c r="BK275" s="117"/>
      <c r="BL275" s="117"/>
      <c r="BM275" s="117">
        <f t="shared" si="44"/>
        <v>10</v>
      </c>
      <c r="BN275" s="117">
        <f t="shared" si="45"/>
        <v>2</v>
      </c>
      <c r="BO275" s="117">
        <f t="shared" si="46"/>
        <v>1</v>
      </c>
      <c r="BP275" s="153">
        <f t="shared" si="47"/>
        <v>8</v>
      </c>
      <c r="BQ275" s="74" t="s">
        <v>1262</v>
      </c>
      <c r="BR275" s="74"/>
    </row>
    <row r="276" spans="1:70" hidden="1">
      <c r="A276">
        <v>262</v>
      </c>
      <c r="B276" s="75">
        <v>45795.879780092589</v>
      </c>
      <c r="E276" s="7">
        <v>45796</v>
      </c>
      <c r="F276">
        <v>817</v>
      </c>
      <c r="I276" s="10" t="s">
        <v>1265</v>
      </c>
      <c r="J276" s="69">
        <v>45796</v>
      </c>
      <c r="K276" s="97">
        <f t="shared" si="49"/>
        <v>5</v>
      </c>
      <c r="L276" s="97">
        <v>274</v>
      </c>
      <c r="O276" s="7" t="s">
        <v>156</v>
      </c>
      <c r="T276" t="s">
        <v>1266</v>
      </c>
      <c r="X276" s="36"/>
      <c r="Y276" s="36"/>
      <c r="Z276" s="36"/>
      <c r="AA276" s="36"/>
      <c r="AB276" s="36"/>
      <c r="AC276" s="36"/>
      <c r="AD276" s="36" t="s">
        <v>141</v>
      </c>
      <c r="AE276" s="36" t="s">
        <v>141</v>
      </c>
      <c r="AF276" s="36"/>
      <c r="AG276" s="36"/>
      <c r="AH276" s="36" t="s">
        <v>141</v>
      </c>
      <c r="AI276" s="36"/>
      <c r="AJ276" s="36" t="s">
        <v>141</v>
      </c>
      <c r="AK276" s="117"/>
      <c r="AL276" s="36"/>
      <c r="AM276" s="36"/>
      <c r="AN276" s="36" t="s">
        <v>141</v>
      </c>
      <c r="AO276" s="36"/>
      <c r="AP276" s="36"/>
      <c r="AQ276" s="36"/>
      <c r="AR276" s="36"/>
      <c r="AS276" s="36" t="s">
        <v>141</v>
      </c>
      <c r="AT276" s="36" t="s">
        <v>141</v>
      </c>
      <c r="AU276" s="36" t="s">
        <v>141</v>
      </c>
      <c r="AV276" s="36"/>
      <c r="AW276" s="117"/>
      <c r="AX276" s="117"/>
      <c r="AY276" s="36"/>
      <c r="AZ276" s="36"/>
      <c r="BA276" s="117"/>
      <c r="BB276" s="117"/>
      <c r="BC276" s="117"/>
      <c r="BD276" s="117"/>
      <c r="BE276" s="117"/>
      <c r="BF276" s="117"/>
      <c r="BG276" s="117"/>
      <c r="BH276" s="117"/>
      <c r="BI276" s="117"/>
      <c r="BJ276" s="117"/>
      <c r="BK276" s="117"/>
      <c r="BL276" s="117"/>
      <c r="BM276" s="117">
        <f t="shared" si="44"/>
        <v>8</v>
      </c>
      <c r="BN276" s="117">
        <f t="shared" si="45"/>
        <v>3</v>
      </c>
      <c r="BO276" s="117">
        <f t="shared" si="46"/>
        <v>1</v>
      </c>
      <c r="BP276" s="153">
        <f t="shared" si="47"/>
        <v>7</v>
      </c>
      <c r="BQ276" s="74" t="s">
        <v>152</v>
      </c>
      <c r="BR276" s="74"/>
    </row>
    <row r="277" spans="1:70" hidden="1">
      <c r="A277">
        <v>263</v>
      </c>
      <c r="B277" s="75">
        <v>45796.040289351855</v>
      </c>
      <c r="E277" s="7">
        <v>45796</v>
      </c>
      <c r="F277">
        <v>818</v>
      </c>
      <c r="I277" s="10" t="s">
        <v>1267</v>
      </c>
      <c r="J277" s="69">
        <v>45796</v>
      </c>
      <c r="K277" s="97">
        <f t="shared" si="49"/>
        <v>5</v>
      </c>
      <c r="L277" s="97">
        <v>275</v>
      </c>
      <c r="O277" s="7" t="s">
        <v>156</v>
      </c>
      <c r="T277" t="s">
        <v>1268</v>
      </c>
      <c r="X277" s="36"/>
      <c r="Y277" s="36" t="s">
        <v>141</v>
      </c>
      <c r="Z277" s="36"/>
      <c r="AA277" s="36"/>
      <c r="AB277" s="36"/>
      <c r="AC277" s="36" t="s">
        <v>141</v>
      </c>
      <c r="AD277" s="36" t="s">
        <v>141</v>
      </c>
      <c r="AE277" s="36" t="s">
        <v>141</v>
      </c>
      <c r="AF277" s="36"/>
      <c r="AG277" s="36"/>
      <c r="AH277" s="36" t="s">
        <v>141</v>
      </c>
      <c r="AI277" s="36"/>
      <c r="AJ277" s="36" t="s">
        <v>141</v>
      </c>
      <c r="AK277" s="117"/>
      <c r="AL277" s="36"/>
      <c r="AM277" s="36"/>
      <c r="AN277" s="36"/>
      <c r="AO277" s="36" t="s">
        <v>141</v>
      </c>
      <c r="AP277" s="36"/>
      <c r="AQ277" s="36"/>
      <c r="AR277" s="36"/>
      <c r="AS277" s="36" t="s">
        <v>141</v>
      </c>
      <c r="AT277" s="36"/>
      <c r="AU277" s="36" t="s">
        <v>141</v>
      </c>
      <c r="AV277" s="36"/>
      <c r="AW277" s="117"/>
      <c r="AX277" s="117"/>
      <c r="AY277" s="36"/>
      <c r="AZ277" s="36"/>
      <c r="BA277" s="117"/>
      <c r="BB277" s="117"/>
      <c r="BC277" s="117"/>
      <c r="BD277" s="117" t="s">
        <v>141</v>
      </c>
      <c r="BE277" s="117" t="s">
        <v>141</v>
      </c>
      <c r="BF277" s="117"/>
      <c r="BG277" s="117"/>
      <c r="BH277" s="117"/>
      <c r="BI277" s="117"/>
      <c r="BJ277" s="117"/>
      <c r="BK277" s="117"/>
      <c r="BL277" s="117"/>
      <c r="BM277" s="117">
        <f t="shared" si="44"/>
        <v>11</v>
      </c>
      <c r="BN277" s="117">
        <f t="shared" si="45"/>
        <v>2</v>
      </c>
      <c r="BO277" s="117">
        <f t="shared" si="46"/>
        <v>3</v>
      </c>
      <c r="BP277" s="153">
        <f t="shared" si="47"/>
        <v>6</v>
      </c>
      <c r="BQ277" s="74" t="s">
        <v>502</v>
      </c>
      <c r="BR277" s="74"/>
    </row>
    <row r="278" spans="1:70" hidden="1">
      <c r="A278">
        <v>264</v>
      </c>
      <c r="B278" s="75">
        <v>45797.181516203702</v>
      </c>
      <c r="E278" s="7">
        <v>45797</v>
      </c>
      <c r="F278">
        <v>819</v>
      </c>
      <c r="I278" s="10" t="s">
        <v>1269</v>
      </c>
      <c r="J278" s="69">
        <v>45797</v>
      </c>
      <c r="K278" s="97">
        <f t="shared" ref="K278:K286" si="50">MONTH($J278)</f>
        <v>5</v>
      </c>
      <c r="L278" s="97">
        <v>276</v>
      </c>
      <c r="O278" s="7" t="s">
        <v>197</v>
      </c>
      <c r="T278" t="s">
        <v>1270</v>
      </c>
      <c r="X278" s="36" t="s">
        <v>141</v>
      </c>
      <c r="Y278" s="36" t="s">
        <v>141</v>
      </c>
      <c r="Z278" s="36"/>
      <c r="AA278" s="36"/>
      <c r="AB278" s="36"/>
      <c r="AC278" s="36"/>
      <c r="AD278" s="36" t="s">
        <v>141</v>
      </c>
      <c r="AE278" s="36" t="s">
        <v>141</v>
      </c>
      <c r="AF278" s="36"/>
      <c r="AG278" s="36"/>
      <c r="AH278" s="36" t="s">
        <v>141</v>
      </c>
      <c r="AI278" s="36"/>
      <c r="AJ278" s="36" t="s">
        <v>141</v>
      </c>
      <c r="AK278" s="117" t="s">
        <v>141</v>
      </c>
      <c r="AL278" s="36"/>
      <c r="AM278" s="36" t="s">
        <v>141</v>
      </c>
      <c r="AN278" s="36"/>
      <c r="AO278" s="36"/>
      <c r="AP278" s="36"/>
      <c r="AQ278" s="36"/>
      <c r="AR278" s="36"/>
      <c r="AS278" s="36"/>
      <c r="AT278" s="36"/>
      <c r="AU278" s="36"/>
      <c r="AV278" s="36"/>
      <c r="AW278" s="117"/>
      <c r="AX278" s="117"/>
      <c r="AY278" s="36"/>
      <c r="AZ278" s="36" t="s">
        <v>141</v>
      </c>
      <c r="BA278" s="117"/>
      <c r="BB278" s="117"/>
      <c r="BC278" s="117"/>
      <c r="BD278" s="117"/>
      <c r="BE278" s="117"/>
      <c r="BF278" s="117" t="s">
        <v>141</v>
      </c>
      <c r="BG278" s="117"/>
      <c r="BH278" s="117"/>
      <c r="BI278" s="117"/>
      <c r="BJ278" s="117"/>
      <c r="BK278" s="117"/>
      <c r="BL278" s="117"/>
      <c r="BM278" s="117">
        <f t="shared" si="44"/>
        <v>10</v>
      </c>
      <c r="BN278" s="117">
        <f t="shared" si="45"/>
        <v>3</v>
      </c>
      <c r="BO278" s="117">
        <f t="shared" si="46"/>
        <v>3</v>
      </c>
      <c r="BP278" s="153">
        <f t="shared" si="47"/>
        <v>6</v>
      </c>
      <c r="BQ278" s="74" t="s">
        <v>840</v>
      </c>
      <c r="BR278" s="74"/>
    </row>
    <row r="279" spans="1:70" hidden="1">
      <c r="A279">
        <v>265</v>
      </c>
      <c r="B279" s="75">
        <v>45797.875254629631</v>
      </c>
      <c r="E279" s="7">
        <v>45798</v>
      </c>
      <c r="F279">
        <v>820</v>
      </c>
      <c r="I279" s="10" t="s">
        <v>1271</v>
      </c>
      <c r="J279" s="69">
        <v>45798</v>
      </c>
      <c r="K279" s="97">
        <f t="shared" si="50"/>
        <v>5</v>
      </c>
      <c r="L279" s="97">
        <v>277</v>
      </c>
      <c r="O279" s="7" t="s">
        <v>1272</v>
      </c>
      <c r="T279" t="s">
        <v>1273</v>
      </c>
      <c r="X279" s="36"/>
      <c r="Y279" s="36" t="s">
        <v>141</v>
      </c>
      <c r="Z279" s="36"/>
      <c r="AA279" s="36"/>
      <c r="AB279" s="36"/>
      <c r="AC279" s="36"/>
      <c r="AD279" s="36" t="s">
        <v>141</v>
      </c>
      <c r="AE279" s="36"/>
      <c r="AF279" s="36"/>
      <c r="AG279" s="36"/>
      <c r="AH279" s="36" t="s">
        <v>141</v>
      </c>
      <c r="AI279" s="36"/>
      <c r="AJ279" s="36" t="s">
        <v>141</v>
      </c>
      <c r="AK279" s="117" t="s">
        <v>141</v>
      </c>
      <c r="AL279" s="36"/>
      <c r="AM279" s="36" t="s">
        <v>141</v>
      </c>
      <c r="AN279" s="36"/>
      <c r="AO279" s="36"/>
      <c r="AP279" s="36"/>
      <c r="AQ279" s="36"/>
      <c r="AR279" s="36"/>
      <c r="AS279" s="36"/>
      <c r="AT279" s="36"/>
      <c r="AU279" s="36"/>
      <c r="AV279" s="36"/>
      <c r="AW279" s="117"/>
      <c r="AX279" s="117"/>
      <c r="AY279" s="36"/>
      <c r="AZ279" s="36"/>
      <c r="BA279" s="117"/>
      <c r="BB279" s="117"/>
      <c r="BC279" s="117"/>
      <c r="BD279" s="117"/>
      <c r="BE279" s="117"/>
      <c r="BF279" s="117"/>
      <c r="BG279" s="117"/>
      <c r="BH279" s="117"/>
      <c r="BI279" s="117"/>
      <c r="BJ279" s="117"/>
      <c r="BK279" s="117"/>
      <c r="BL279" s="117"/>
      <c r="BM279" s="117">
        <f t="shared" si="44"/>
        <v>6</v>
      </c>
      <c r="BN279" s="117">
        <f t="shared" si="45"/>
        <v>3</v>
      </c>
      <c r="BO279" s="117">
        <f t="shared" si="46"/>
        <v>2</v>
      </c>
      <c r="BP279" s="153">
        <f t="shared" si="47"/>
        <v>4</v>
      </c>
      <c r="BQ279" s="74" t="s">
        <v>589</v>
      </c>
      <c r="BR279" s="74"/>
    </row>
    <row r="280" spans="1:70" hidden="1">
      <c r="A280">
        <v>266</v>
      </c>
      <c r="B280" s="75">
        <v>45797.948680555557</v>
      </c>
      <c r="E280" s="7">
        <v>45797</v>
      </c>
      <c r="F280">
        <v>821</v>
      </c>
      <c r="I280" s="10" t="s">
        <v>1274</v>
      </c>
      <c r="J280" s="69">
        <v>45798</v>
      </c>
      <c r="K280" s="97">
        <f t="shared" si="50"/>
        <v>5</v>
      </c>
      <c r="L280" s="97">
        <v>278</v>
      </c>
      <c r="O280" s="7" t="s">
        <v>449</v>
      </c>
      <c r="T280" t="s">
        <v>1275</v>
      </c>
      <c r="X280" s="36"/>
      <c r="Y280" s="36" t="s">
        <v>141</v>
      </c>
      <c r="Z280" s="36"/>
      <c r="AA280" s="36"/>
      <c r="AB280" s="36"/>
      <c r="AC280" s="36"/>
      <c r="AD280" s="36"/>
      <c r="AE280" s="36" t="s">
        <v>141</v>
      </c>
      <c r="AF280" s="36"/>
      <c r="AG280" s="36"/>
      <c r="AH280" s="36"/>
      <c r="AI280" s="36"/>
      <c r="AJ280" s="36" t="s">
        <v>141</v>
      </c>
      <c r="AK280" s="117" t="s">
        <v>141</v>
      </c>
      <c r="AL280" s="36"/>
      <c r="AM280" s="36" t="s">
        <v>141</v>
      </c>
      <c r="AN280" s="36"/>
      <c r="AO280" s="36" t="s">
        <v>141</v>
      </c>
      <c r="AP280" s="36"/>
      <c r="AQ280" s="36"/>
      <c r="AR280" s="36"/>
      <c r="AS280" s="36" t="s">
        <v>141</v>
      </c>
      <c r="AT280" s="36"/>
      <c r="AU280" s="36"/>
      <c r="AV280" s="36"/>
      <c r="AW280" s="117"/>
      <c r="AX280" s="117"/>
      <c r="AY280" s="36"/>
      <c r="AZ280" s="36" t="s">
        <v>141</v>
      </c>
      <c r="BA280" s="117"/>
      <c r="BB280" s="117"/>
      <c r="BC280" s="117"/>
      <c r="BD280" s="117"/>
      <c r="BE280" s="117"/>
      <c r="BF280" s="117"/>
      <c r="BG280" s="117"/>
      <c r="BH280" s="117"/>
      <c r="BI280" s="117"/>
      <c r="BJ280" s="117"/>
      <c r="BK280" s="117"/>
      <c r="BL280" s="117"/>
      <c r="BM280" s="117">
        <f t="shared" si="44"/>
        <v>8</v>
      </c>
      <c r="BN280" s="117">
        <f t="shared" si="45"/>
        <v>4</v>
      </c>
      <c r="BO280" s="117">
        <f t="shared" si="46"/>
        <v>1</v>
      </c>
      <c r="BP280" s="153">
        <f t="shared" si="47"/>
        <v>7</v>
      </c>
      <c r="BQ280" s="74" t="s">
        <v>589</v>
      </c>
      <c r="BR280" s="74"/>
    </row>
    <row r="281" spans="1:70" hidden="1">
      <c r="A281">
        <v>267</v>
      </c>
      <c r="B281" s="75">
        <v>45798.599097222221</v>
      </c>
      <c r="E281" s="7">
        <v>45799</v>
      </c>
      <c r="F281">
        <v>822</v>
      </c>
      <c r="I281" s="10" t="s">
        <v>1276</v>
      </c>
      <c r="J281" s="69">
        <v>45799</v>
      </c>
      <c r="K281" s="97">
        <f t="shared" si="50"/>
        <v>5</v>
      </c>
      <c r="L281" s="97">
        <v>279</v>
      </c>
      <c r="O281" s="7" t="s">
        <v>1277</v>
      </c>
      <c r="T281" t="s">
        <v>1278</v>
      </c>
      <c r="X281" s="36"/>
      <c r="Y281" s="36"/>
      <c r="Z281" s="36" t="s">
        <v>141</v>
      </c>
      <c r="AA281" s="36"/>
      <c r="AB281" s="36"/>
      <c r="AC281" s="36"/>
      <c r="AD281" s="36"/>
      <c r="AE281" s="36"/>
      <c r="AF281" s="36"/>
      <c r="AG281" s="36"/>
      <c r="AH281" s="36" t="s">
        <v>141</v>
      </c>
      <c r="AI281" s="36" t="s">
        <v>141</v>
      </c>
      <c r="AJ281" s="36" t="s">
        <v>141</v>
      </c>
      <c r="AK281" s="117"/>
      <c r="AL281" s="36" t="s">
        <v>141</v>
      </c>
      <c r="AM281" s="36" t="s">
        <v>141</v>
      </c>
      <c r="AN281" s="36"/>
      <c r="AO281" s="36"/>
      <c r="AP281" s="36"/>
      <c r="AQ281" s="36"/>
      <c r="AR281" s="36"/>
      <c r="AS281" s="36"/>
      <c r="AT281" s="36" t="s">
        <v>141</v>
      </c>
      <c r="AU281" s="36"/>
      <c r="AV281" s="36"/>
      <c r="AW281" s="117"/>
      <c r="AX281" s="117"/>
      <c r="AY281" s="36"/>
      <c r="AZ281" s="36"/>
      <c r="BA281" s="117"/>
      <c r="BB281" s="117"/>
      <c r="BC281" s="117"/>
      <c r="BD281" s="117" t="s">
        <v>141</v>
      </c>
      <c r="BE281" s="117"/>
      <c r="BF281" s="117" t="s">
        <v>141</v>
      </c>
      <c r="BG281" s="117"/>
      <c r="BH281" s="117"/>
      <c r="BI281" s="117"/>
      <c r="BJ281" s="117"/>
      <c r="BK281" s="117"/>
      <c r="BL281" s="117"/>
      <c r="BM281" s="117">
        <f t="shared" si="44"/>
        <v>9</v>
      </c>
      <c r="BN281" s="117">
        <f t="shared" si="45"/>
        <v>2</v>
      </c>
      <c r="BO281" s="117">
        <f t="shared" si="46"/>
        <v>1</v>
      </c>
      <c r="BP281" s="153">
        <f t="shared" si="47"/>
        <v>6</v>
      </c>
      <c r="BQ281" s="74" t="s">
        <v>1279</v>
      </c>
      <c r="BR281" s="74"/>
    </row>
    <row r="282" spans="1:70" hidden="1">
      <c r="A282">
        <v>268</v>
      </c>
      <c r="B282" s="75">
        <v>45798.802870370368</v>
      </c>
      <c r="E282" s="7">
        <v>45799</v>
      </c>
      <c r="F282">
        <v>823</v>
      </c>
      <c r="I282" s="10" t="s">
        <v>1280</v>
      </c>
      <c r="J282" s="69">
        <v>45799</v>
      </c>
      <c r="K282" s="97">
        <f t="shared" si="50"/>
        <v>5</v>
      </c>
      <c r="L282" s="97">
        <v>280</v>
      </c>
      <c r="O282" s="7" t="s">
        <v>156</v>
      </c>
      <c r="T282" t="s">
        <v>1281</v>
      </c>
      <c r="X282" s="36"/>
      <c r="Y282" s="36"/>
      <c r="Z282" s="36" t="s">
        <v>141</v>
      </c>
      <c r="AA282" s="36"/>
      <c r="AB282" s="36" t="s">
        <v>141</v>
      </c>
      <c r="AC282" s="36"/>
      <c r="AD282" s="36"/>
      <c r="AE282" s="36"/>
      <c r="AF282" s="36"/>
      <c r="AG282" s="36"/>
      <c r="AH282" s="36" t="s">
        <v>141</v>
      </c>
      <c r="AI282" s="36" t="s">
        <v>141</v>
      </c>
      <c r="AJ282" s="36" t="s">
        <v>141</v>
      </c>
      <c r="AK282" s="117"/>
      <c r="AL282" s="36" t="s">
        <v>141</v>
      </c>
      <c r="AM282" s="36"/>
      <c r="AN282" s="36"/>
      <c r="AO282" s="36" t="s">
        <v>141</v>
      </c>
      <c r="AP282" s="36"/>
      <c r="AQ282" s="36"/>
      <c r="AR282" s="36"/>
      <c r="AS282" s="36" t="s">
        <v>141</v>
      </c>
      <c r="AT282" s="36" t="s">
        <v>141</v>
      </c>
      <c r="AU282" s="36"/>
      <c r="AV282" s="36"/>
      <c r="AW282" s="117" t="s">
        <v>141</v>
      </c>
      <c r="AX282" s="117"/>
      <c r="AY282" s="36"/>
      <c r="AZ282" s="36"/>
      <c r="BA282" s="117"/>
      <c r="BB282" s="117"/>
      <c r="BC282" s="117"/>
      <c r="BD282" s="117"/>
      <c r="BE282" s="117" t="s">
        <v>141</v>
      </c>
      <c r="BF282" s="117" t="s">
        <v>141</v>
      </c>
      <c r="BG282" s="117"/>
      <c r="BH282" s="117"/>
      <c r="BI282" s="117"/>
      <c r="BJ282" s="117"/>
      <c r="BK282" s="117"/>
      <c r="BL282" s="117"/>
      <c r="BM282" s="117">
        <f t="shared" si="44"/>
        <v>12</v>
      </c>
      <c r="BN282" s="117">
        <f t="shared" si="45"/>
        <v>2</v>
      </c>
      <c r="BO282" s="117">
        <f t="shared" si="46"/>
        <v>2</v>
      </c>
      <c r="BP282" s="153">
        <f t="shared" si="47"/>
        <v>8</v>
      </c>
      <c r="BQ282" s="74" t="s">
        <v>171</v>
      </c>
      <c r="BR282" s="74"/>
    </row>
    <row r="283" spans="1:70" hidden="1">
      <c r="A283">
        <v>269</v>
      </c>
      <c r="B283" s="75">
        <v>45799.071712962963</v>
      </c>
      <c r="E283" s="7">
        <v>45799</v>
      </c>
      <c r="F283">
        <v>824</v>
      </c>
      <c r="I283" s="10" t="s">
        <v>1282</v>
      </c>
      <c r="J283" s="69">
        <v>45799</v>
      </c>
      <c r="K283" s="97">
        <f t="shared" si="50"/>
        <v>5</v>
      </c>
      <c r="L283" s="97">
        <v>281</v>
      </c>
      <c r="O283" s="7" t="s">
        <v>156</v>
      </c>
      <c r="T283" t="s">
        <v>1283</v>
      </c>
      <c r="X283" s="36"/>
      <c r="Y283" s="36"/>
      <c r="Z283" s="36"/>
      <c r="AA283" s="36"/>
      <c r="AB283" s="36"/>
      <c r="AC283" s="36"/>
      <c r="AD283" s="36"/>
      <c r="AE283" s="36" t="s">
        <v>141</v>
      </c>
      <c r="AF283" s="36"/>
      <c r="AG283" s="36"/>
      <c r="AH283" s="36" t="s">
        <v>141</v>
      </c>
      <c r="AI283" s="36"/>
      <c r="AJ283" s="36" t="s">
        <v>141</v>
      </c>
      <c r="AK283" s="117" t="s">
        <v>141</v>
      </c>
      <c r="AL283" s="36"/>
      <c r="AM283" s="36"/>
      <c r="AN283" s="36"/>
      <c r="AO283" s="36" t="s">
        <v>141</v>
      </c>
      <c r="AP283" s="36"/>
      <c r="AQ283" s="36" t="s">
        <v>141</v>
      </c>
      <c r="AR283" s="36"/>
      <c r="AS283" s="36" t="s">
        <v>141</v>
      </c>
      <c r="AT283" s="36" t="s">
        <v>141</v>
      </c>
      <c r="AU283" s="36" t="s">
        <v>141</v>
      </c>
      <c r="AV283" s="36"/>
      <c r="AW283" s="117" t="s">
        <v>141</v>
      </c>
      <c r="AX283" s="117"/>
      <c r="AY283" s="36"/>
      <c r="AZ283" s="36"/>
      <c r="BA283" s="117"/>
      <c r="BB283" s="117"/>
      <c r="BC283" s="117"/>
      <c r="BD283" s="117" t="s">
        <v>141</v>
      </c>
      <c r="BE283" s="117" t="s">
        <v>141</v>
      </c>
      <c r="BF283" s="117" t="s">
        <v>141</v>
      </c>
      <c r="BG283" s="117"/>
      <c r="BH283" s="117"/>
      <c r="BI283" s="117"/>
      <c r="BJ283" s="117"/>
      <c r="BK283" s="117"/>
      <c r="BL283" s="117"/>
      <c r="BM283" s="117">
        <f t="shared" si="44"/>
        <v>13</v>
      </c>
      <c r="BN283" s="117">
        <f t="shared" si="45"/>
        <v>3</v>
      </c>
      <c r="BO283" s="117">
        <f t="shared" si="46"/>
        <v>0</v>
      </c>
      <c r="BP283" s="153">
        <f t="shared" si="47"/>
        <v>10</v>
      </c>
      <c r="BQ283" s="74" t="s">
        <v>639</v>
      </c>
      <c r="BR283" s="74"/>
    </row>
    <row r="284" spans="1:70" hidden="1">
      <c r="A284">
        <v>270</v>
      </c>
      <c r="B284" s="75">
        <v>45799.854201388887</v>
      </c>
      <c r="E284" s="7">
        <v>45799</v>
      </c>
      <c r="F284">
        <v>825</v>
      </c>
      <c r="I284" s="10" t="s">
        <v>1284</v>
      </c>
      <c r="J284" s="69">
        <v>45800</v>
      </c>
      <c r="K284" s="97">
        <f t="shared" si="50"/>
        <v>5</v>
      </c>
      <c r="L284" s="97">
        <v>282</v>
      </c>
      <c r="O284" s="7" t="s">
        <v>146</v>
      </c>
      <c r="T284" t="s">
        <v>1285</v>
      </c>
      <c r="X284" s="36"/>
      <c r="Y284" s="36"/>
      <c r="Z284" s="36" t="s">
        <v>141</v>
      </c>
      <c r="AA284" s="36"/>
      <c r="AB284" s="36"/>
      <c r="AC284" s="36"/>
      <c r="AD284" s="36"/>
      <c r="AE284" s="36" t="s">
        <v>141</v>
      </c>
      <c r="AF284" s="36" t="s">
        <v>141</v>
      </c>
      <c r="AG284" s="36"/>
      <c r="AH284" s="36" t="s">
        <v>141</v>
      </c>
      <c r="AI284" s="36"/>
      <c r="AJ284" s="36"/>
      <c r="AK284" s="117" t="s">
        <v>141</v>
      </c>
      <c r="AL284" s="36"/>
      <c r="AM284" s="36"/>
      <c r="AN284" s="36"/>
      <c r="AO284" s="36" t="s">
        <v>141</v>
      </c>
      <c r="AP284" s="36"/>
      <c r="AQ284" s="36"/>
      <c r="AR284" s="36"/>
      <c r="AS284" s="36"/>
      <c r="AT284" s="36"/>
      <c r="AU284" s="36"/>
      <c r="AV284" s="36"/>
      <c r="AW284" s="117" t="s">
        <v>141</v>
      </c>
      <c r="AX284" s="117"/>
      <c r="AY284" s="36"/>
      <c r="AZ284" s="36" t="s">
        <v>141</v>
      </c>
      <c r="BA284" s="117"/>
      <c r="BB284" s="117"/>
      <c r="BC284" s="117"/>
      <c r="BD284" s="117"/>
      <c r="BE284" s="117"/>
      <c r="BF284" s="117" t="s">
        <v>141</v>
      </c>
      <c r="BG284" s="117"/>
      <c r="BH284" s="117"/>
      <c r="BI284" s="117"/>
      <c r="BJ284" s="117"/>
      <c r="BK284" s="117"/>
      <c r="BL284" s="117"/>
      <c r="BM284" s="117">
        <f t="shared" si="44"/>
        <v>9</v>
      </c>
      <c r="BN284" s="117">
        <f t="shared" si="45"/>
        <v>1</v>
      </c>
      <c r="BO284" s="117">
        <f t="shared" si="46"/>
        <v>1</v>
      </c>
      <c r="BP284" s="153">
        <f t="shared" si="47"/>
        <v>7</v>
      </c>
      <c r="BQ284" s="74" t="s">
        <v>1245</v>
      </c>
      <c r="BR284" s="74"/>
    </row>
    <row r="285" spans="1:70" hidden="1">
      <c r="A285">
        <v>271</v>
      </c>
      <c r="B285" s="75">
        <v>45799.857488425929</v>
      </c>
      <c r="E285" s="7">
        <v>45799</v>
      </c>
      <c r="F285">
        <v>826</v>
      </c>
      <c r="I285" s="10" t="s">
        <v>1286</v>
      </c>
      <c r="J285" s="69">
        <v>45800</v>
      </c>
      <c r="K285" s="97">
        <f t="shared" si="50"/>
        <v>5</v>
      </c>
      <c r="L285" s="97">
        <v>283</v>
      </c>
      <c r="O285" s="7" t="s">
        <v>156</v>
      </c>
      <c r="T285" t="s">
        <v>1287</v>
      </c>
      <c r="X285" s="36"/>
      <c r="Y285" s="36" t="s">
        <v>141</v>
      </c>
      <c r="Z285" s="36"/>
      <c r="AA285" s="36"/>
      <c r="AB285" s="36" t="s">
        <v>141</v>
      </c>
      <c r="AC285" s="36"/>
      <c r="AD285" s="36"/>
      <c r="AE285" s="36" t="s">
        <v>141</v>
      </c>
      <c r="AF285" s="36"/>
      <c r="AG285" s="36"/>
      <c r="AH285" s="36"/>
      <c r="AI285" s="36"/>
      <c r="AJ285" s="36" t="s">
        <v>141</v>
      </c>
      <c r="AK285" s="117" t="s">
        <v>141</v>
      </c>
      <c r="AL285" s="36" t="s">
        <v>141</v>
      </c>
      <c r="AM285" s="36"/>
      <c r="AN285" s="36"/>
      <c r="AO285" s="36" t="s">
        <v>141</v>
      </c>
      <c r="AP285" s="36"/>
      <c r="AQ285" s="36" t="s">
        <v>141</v>
      </c>
      <c r="AR285" s="36"/>
      <c r="AS285" s="36" t="s">
        <v>141</v>
      </c>
      <c r="AT285" s="36" t="s">
        <v>141</v>
      </c>
      <c r="AU285" s="36"/>
      <c r="AV285" s="36"/>
      <c r="AW285" s="117" t="s">
        <v>141</v>
      </c>
      <c r="AX285" s="117"/>
      <c r="AY285" s="36"/>
      <c r="AZ285" s="36"/>
      <c r="BA285" s="117"/>
      <c r="BB285" s="117"/>
      <c r="BC285" s="117"/>
      <c r="BD285" s="117"/>
      <c r="BE285" s="117"/>
      <c r="BF285" s="117"/>
      <c r="BG285" s="117"/>
      <c r="BH285" s="117"/>
      <c r="BI285" s="117"/>
      <c r="BJ285" s="117"/>
      <c r="BK285" s="117"/>
      <c r="BL285" s="117"/>
      <c r="BM285" s="117">
        <f t="shared" si="44"/>
        <v>11</v>
      </c>
      <c r="BN285" s="117">
        <f t="shared" si="45"/>
        <v>3</v>
      </c>
      <c r="BO285" s="117">
        <f t="shared" si="46"/>
        <v>2</v>
      </c>
      <c r="BP285" s="153">
        <f t="shared" si="47"/>
        <v>9</v>
      </c>
      <c r="BQ285" s="74" t="s">
        <v>1245</v>
      </c>
      <c r="BR285" s="74"/>
    </row>
    <row r="286" spans="1:70" hidden="1">
      <c r="A286">
        <v>272</v>
      </c>
      <c r="B286" s="75">
        <v>45800.016967592594</v>
      </c>
      <c r="E286" s="7">
        <v>45799</v>
      </c>
      <c r="F286">
        <v>827</v>
      </c>
      <c r="I286" s="10" t="s">
        <v>1288</v>
      </c>
      <c r="J286" s="69">
        <v>45800</v>
      </c>
      <c r="K286" s="97">
        <f t="shared" si="50"/>
        <v>5</v>
      </c>
      <c r="L286" s="97">
        <v>284</v>
      </c>
      <c r="O286" s="7" t="s">
        <v>156</v>
      </c>
      <c r="T286" t="s">
        <v>1289</v>
      </c>
      <c r="X286" s="36"/>
      <c r="Y286" s="36"/>
      <c r="Z286" s="36"/>
      <c r="AA286" s="36"/>
      <c r="AB286" s="36"/>
      <c r="AC286" s="36"/>
      <c r="AD286" s="36"/>
      <c r="AE286" s="36" t="s">
        <v>141</v>
      </c>
      <c r="AF286" s="36" t="s">
        <v>141</v>
      </c>
      <c r="AG286" s="36"/>
      <c r="AH286" s="36"/>
      <c r="AI286" s="36"/>
      <c r="AJ286" s="36" t="s">
        <v>141</v>
      </c>
      <c r="AK286" s="117" t="s">
        <v>141</v>
      </c>
      <c r="AL286" s="36"/>
      <c r="AM286" s="36"/>
      <c r="AN286" s="36"/>
      <c r="AO286" s="36" t="s">
        <v>141</v>
      </c>
      <c r="AP286" s="36"/>
      <c r="AQ286" s="36"/>
      <c r="AR286" s="36"/>
      <c r="AS286" s="36" t="s">
        <v>141</v>
      </c>
      <c r="AT286" s="36"/>
      <c r="AU286" s="36"/>
      <c r="AV286" s="36"/>
      <c r="AW286" s="117" t="s">
        <v>141</v>
      </c>
      <c r="AX286" s="117"/>
      <c r="AY286" s="36"/>
      <c r="AZ286" s="36" t="s">
        <v>141</v>
      </c>
      <c r="BA286" s="117"/>
      <c r="BB286" s="117"/>
      <c r="BC286" s="117"/>
      <c r="BD286" s="117" t="s">
        <v>141</v>
      </c>
      <c r="BE286" s="117" t="s">
        <v>141</v>
      </c>
      <c r="BF286" s="117" t="s">
        <v>141</v>
      </c>
      <c r="BG286" s="117"/>
      <c r="BH286" s="117"/>
      <c r="BI286" s="117"/>
      <c r="BJ286" s="117"/>
      <c r="BK286" s="117"/>
      <c r="BL286" s="117"/>
      <c r="BM286" s="117">
        <f t="shared" si="44"/>
        <v>11</v>
      </c>
      <c r="BN286" s="117">
        <f t="shared" si="45"/>
        <v>3</v>
      </c>
      <c r="BO286" s="117">
        <f t="shared" si="46"/>
        <v>0</v>
      </c>
      <c r="BP286" s="153">
        <f t="shared" si="47"/>
        <v>8</v>
      </c>
      <c r="BQ286" s="74" t="s">
        <v>639</v>
      </c>
      <c r="BR286" s="74"/>
    </row>
    <row r="287" spans="1:70" hidden="1">
      <c r="A287">
        <v>273</v>
      </c>
      <c r="B287" s="75">
        <v>45800.48474537037</v>
      </c>
      <c r="E287" s="7">
        <v>45800</v>
      </c>
      <c r="F287">
        <v>828</v>
      </c>
      <c r="I287" s="10" t="s">
        <v>1290</v>
      </c>
      <c r="J287" s="69">
        <v>45800</v>
      </c>
      <c r="K287" s="97">
        <f t="shared" ref="K287:K304" si="51">MONTH($J287)</f>
        <v>5</v>
      </c>
      <c r="L287" s="97">
        <v>285</v>
      </c>
      <c r="O287" s="7" t="s">
        <v>197</v>
      </c>
      <c r="T287" t="s">
        <v>1291</v>
      </c>
      <c r="X287" s="36"/>
      <c r="Y287" s="36"/>
      <c r="Z287" s="36"/>
      <c r="AA287" s="36"/>
      <c r="AB287" s="36" t="s">
        <v>141</v>
      </c>
      <c r="AC287" s="36" t="s">
        <v>141</v>
      </c>
      <c r="AD287" s="36"/>
      <c r="AE287" s="36"/>
      <c r="AF287" s="36" t="s">
        <v>141</v>
      </c>
      <c r="AG287" s="36"/>
      <c r="AH287" s="36" t="s">
        <v>141</v>
      </c>
      <c r="AI287" s="36"/>
      <c r="AJ287" s="36"/>
      <c r="AK287" s="117"/>
      <c r="AL287" s="36" t="s">
        <v>141</v>
      </c>
      <c r="AM287" s="36" t="s">
        <v>141</v>
      </c>
      <c r="AN287" s="36"/>
      <c r="AO287" s="36"/>
      <c r="AP287" s="36"/>
      <c r="AQ287" s="36"/>
      <c r="AR287" s="36"/>
      <c r="AS287" s="36"/>
      <c r="AT287" s="36"/>
      <c r="AU287" s="36"/>
      <c r="AV287" s="36"/>
      <c r="AW287" s="117" t="s">
        <v>141</v>
      </c>
      <c r="AX287" s="117"/>
      <c r="AY287" s="36"/>
      <c r="AZ287" s="36"/>
      <c r="BA287" s="117"/>
      <c r="BB287" s="117"/>
      <c r="BC287" s="117"/>
      <c r="BD287" s="117"/>
      <c r="BE287" s="117"/>
      <c r="BF287" s="117"/>
      <c r="BG287" s="117"/>
      <c r="BH287" s="117"/>
      <c r="BI287" s="117"/>
      <c r="BJ287" s="117"/>
      <c r="BK287" s="117"/>
      <c r="BL287" s="117"/>
      <c r="BM287" s="117">
        <f t="shared" si="44"/>
        <v>7</v>
      </c>
      <c r="BN287" s="117">
        <f t="shared" si="45"/>
        <v>1</v>
      </c>
      <c r="BO287" s="117">
        <f t="shared" si="46"/>
        <v>2</v>
      </c>
      <c r="BP287" s="153">
        <f t="shared" si="47"/>
        <v>5</v>
      </c>
      <c r="BQ287" s="74" t="s">
        <v>208</v>
      </c>
      <c r="BR287" s="74"/>
    </row>
    <row r="288" spans="1:70" hidden="1">
      <c r="A288">
        <v>274</v>
      </c>
      <c r="B288" s="75">
        <v>45801.322962962964</v>
      </c>
      <c r="E288" s="7">
        <v>45801</v>
      </c>
      <c r="F288">
        <v>829</v>
      </c>
      <c r="I288" s="10" t="s">
        <v>1292</v>
      </c>
      <c r="J288" s="69">
        <v>45801</v>
      </c>
      <c r="K288" s="97">
        <f t="shared" si="51"/>
        <v>5</v>
      </c>
      <c r="L288" s="97">
        <v>286</v>
      </c>
      <c r="O288" s="7" t="s">
        <v>146</v>
      </c>
      <c r="T288" t="s">
        <v>1293</v>
      </c>
      <c r="X288" s="36" t="s">
        <v>141</v>
      </c>
      <c r="Y288" s="36" t="s">
        <v>141</v>
      </c>
      <c r="Z288" s="36"/>
      <c r="AA288" s="36"/>
      <c r="AB288" s="36"/>
      <c r="AC288" s="36"/>
      <c r="AD288" s="36"/>
      <c r="AE288" s="36"/>
      <c r="AF288" s="36" t="s">
        <v>141</v>
      </c>
      <c r="AG288" s="36"/>
      <c r="AH288" s="36"/>
      <c r="AI288" s="36"/>
      <c r="AJ288" s="36" t="s">
        <v>141</v>
      </c>
      <c r="AK288" s="117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117"/>
      <c r="AX288" s="117" t="s">
        <v>141</v>
      </c>
      <c r="AY288" s="36"/>
      <c r="AZ288" s="36"/>
      <c r="BA288" s="117"/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>
        <f t="shared" si="44"/>
        <v>5</v>
      </c>
      <c r="BN288" s="117">
        <f t="shared" si="45"/>
        <v>1</v>
      </c>
      <c r="BO288" s="117">
        <f t="shared" si="46"/>
        <v>2</v>
      </c>
      <c r="BP288" s="153">
        <f t="shared" si="47"/>
        <v>3</v>
      </c>
      <c r="BQ288" s="74" t="s">
        <v>308</v>
      </c>
      <c r="BR288" s="74"/>
    </row>
    <row r="289" spans="1:70" hidden="1">
      <c r="A289">
        <v>275</v>
      </c>
      <c r="B289" s="75">
        <v>45802.025613425925</v>
      </c>
      <c r="E289" s="7">
        <v>45802</v>
      </c>
      <c r="F289">
        <v>830</v>
      </c>
      <c r="I289" s="10" t="s">
        <v>1294</v>
      </c>
      <c r="J289" s="69">
        <v>45802</v>
      </c>
      <c r="K289" s="97">
        <f t="shared" si="51"/>
        <v>5</v>
      </c>
      <c r="L289" s="97">
        <v>287</v>
      </c>
      <c r="O289" s="7" t="s">
        <v>146</v>
      </c>
      <c r="T289" t="s">
        <v>1295</v>
      </c>
      <c r="X289" s="36"/>
      <c r="Y289" s="36" t="s">
        <v>141</v>
      </c>
      <c r="Z289" s="36"/>
      <c r="AA289" s="36"/>
      <c r="AB289" s="36"/>
      <c r="AC289" s="36"/>
      <c r="AD289" s="36"/>
      <c r="AE289" s="36" t="s">
        <v>141</v>
      </c>
      <c r="AF289" s="36"/>
      <c r="AG289" s="36"/>
      <c r="AH289" s="36" t="s">
        <v>141</v>
      </c>
      <c r="AI289" s="36" t="s">
        <v>141</v>
      </c>
      <c r="AJ289" s="36"/>
      <c r="AK289" s="117"/>
      <c r="AL289" s="36" t="s">
        <v>141</v>
      </c>
      <c r="AM289" s="36" t="s">
        <v>141</v>
      </c>
      <c r="AN289" s="36"/>
      <c r="AO289" s="36"/>
      <c r="AP289" s="36"/>
      <c r="AQ289" s="36" t="s">
        <v>141</v>
      </c>
      <c r="AR289" s="36" t="s">
        <v>141</v>
      </c>
      <c r="AS289" s="36"/>
      <c r="AT289" s="36"/>
      <c r="AU289" s="36"/>
      <c r="AV289" s="36"/>
      <c r="AW289" s="117" t="s">
        <v>141</v>
      </c>
      <c r="AX289" s="117" t="s">
        <v>141</v>
      </c>
      <c r="AY289" s="36"/>
      <c r="AZ289" s="36"/>
      <c r="BA289" s="117"/>
      <c r="BB289" s="117"/>
      <c r="BC289" s="117"/>
      <c r="BD289" s="117"/>
      <c r="BE289" s="117"/>
      <c r="BF289" s="117" t="s">
        <v>141</v>
      </c>
      <c r="BG289" s="117" t="s">
        <v>141</v>
      </c>
      <c r="BH289" s="117"/>
      <c r="BI289" s="117"/>
      <c r="BJ289" s="117"/>
      <c r="BK289" s="117"/>
      <c r="BL289" s="117"/>
      <c r="BM289" s="117">
        <f t="shared" si="44"/>
        <v>11</v>
      </c>
      <c r="BN289" s="117">
        <f t="shared" si="45"/>
        <v>2</v>
      </c>
      <c r="BO289" s="117">
        <f t="shared" si="46"/>
        <v>1</v>
      </c>
      <c r="BP289" s="153">
        <f t="shared" si="47"/>
        <v>9</v>
      </c>
      <c r="BQ289" s="74" t="s">
        <v>502</v>
      </c>
      <c r="BR289" s="74"/>
    </row>
    <row r="290" spans="1:70" hidden="1">
      <c r="A290">
        <v>276</v>
      </c>
      <c r="B290" s="75">
        <v>45802.900590277779</v>
      </c>
      <c r="E290" s="7">
        <v>45803</v>
      </c>
      <c r="F290">
        <v>831</v>
      </c>
      <c r="I290" s="10" t="s">
        <v>1296</v>
      </c>
      <c r="J290" s="69">
        <v>45803</v>
      </c>
      <c r="K290" s="97">
        <f t="shared" si="51"/>
        <v>5</v>
      </c>
      <c r="L290" s="97">
        <v>288</v>
      </c>
      <c r="O290" s="7" t="s">
        <v>234</v>
      </c>
      <c r="T290" t="s">
        <v>1297</v>
      </c>
      <c r="X290" s="36"/>
      <c r="Y290" s="36" t="s">
        <v>141</v>
      </c>
      <c r="Z290" s="36"/>
      <c r="AA290" s="36"/>
      <c r="AB290" s="36" t="s">
        <v>141</v>
      </c>
      <c r="AC290" s="36"/>
      <c r="AD290" s="36" t="s">
        <v>141</v>
      </c>
      <c r="AE290" s="36"/>
      <c r="AF290" s="36" t="s">
        <v>141</v>
      </c>
      <c r="AG290" s="36"/>
      <c r="AH290" s="36"/>
      <c r="AI290" s="36"/>
      <c r="AJ290" s="36" t="s">
        <v>141</v>
      </c>
      <c r="AK290" s="117"/>
      <c r="AL290" s="36" t="s">
        <v>141</v>
      </c>
      <c r="AM290" s="36" t="s">
        <v>141</v>
      </c>
      <c r="AN290" s="36" t="s">
        <v>141</v>
      </c>
      <c r="AO290" s="36"/>
      <c r="AP290" s="36"/>
      <c r="AQ290" s="36"/>
      <c r="AR290" s="36"/>
      <c r="AS290" s="36" t="s">
        <v>141</v>
      </c>
      <c r="AT290" s="36"/>
      <c r="AU290" s="36"/>
      <c r="AV290" s="36"/>
      <c r="AW290" s="117" t="s">
        <v>141</v>
      </c>
      <c r="AX290" s="117"/>
      <c r="AY290" s="36"/>
      <c r="AZ290" s="36" t="s">
        <v>141</v>
      </c>
      <c r="BA290" s="117"/>
      <c r="BB290" s="117"/>
      <c r="BC290" s="117"/>
      <c r="BD290" s="117"/>
      <c r="BE290" s="117" t="s">
        <v>141</v>
      </c>
      <c r="BF290" s="117"/>
      <c r="BG290" s="117"/>
      <c r="BH290" s="117"/>
      <c r="BI290" s="117"/>
      <c r="BJ290" s="117"/>
      <c r="BK290" s="117"/>
      <c r="BL290" s="117"/>
      <c r="BM290" s="117">
        <f t="shared" si="44"/>
        <v>12</v>
      </c>
      <c r="BN290" s="117">
        <f t="shared" si="45"/>
        <v>4</v>
      </c>
      <c r="BO290" s="117">
        <f t="shared" si="46"/>
        <v>3</v>
      </c>
      <c r="BP290" s="153">
        <f t="shared" si="47"/>
        <v>8</v>
      </c>
      <c r="BQ290" s="74" t="s">
        <v>208</v>
      </c>
      <c r="BR290" s="74"/>
    </row>
    <row r="291" spans="1:70" hidden="1">
      <c r="A291">
        <v>277</v>
      </c>
      <c r="B291" s="75">
        <v>45802.966111111113</v>
      </c>
      <c r="E291" s="7">
        <v>45803</v>
      </c>
      <c r="F291">
        <v>832</v>
      </c>
      <c r="I291" s="10" t="s">
        <v>1298</v>
      </c>
      <c r="J291" s="69">
        <v>45803</v>
      </c>
      <c r="K291" s="97">
        <f t="shared" si="51"/>
        <v>5</v>
      </c>
      <c r="L291" s="97">
        <v>289</v>
      </c>
      <c r="O291" s="7" t="s">
        <v>156</v>
      </c>
      <c r="T291" t="s">
        <v>1299</v>
      </c>
      <c r="X291" s="36"/>
      <c r="Y291" s="36" t="s">
        <v>141</v>
      </c>
      <c r="Z291" s="36"/>
      <c r="AA291" s="36"/>
      <c r="AB291" s="36" t="s">
        <v>141</v>
      </c>
      <c r="AC291" s="36"/>
      <c r="AD291" s="36"/>
      <c r="AE291" s="36"/>
      <c r="AF291" s="36" t="s">
        <v>141</v>
      </c>
      <c r="AG291" s="36"/>
      <c r="AH291" s="36"/>
      <c r="AI291" s="36"/>
      <c r="AJ291" s="36" t="s">
        <v>141</v>
      </c>
      <c r="AK291" s="117"/>
      <c r="AL291" s="36" t="s">
        <v>141</v>
      </c>
      <c r="AM291" s="36" t="s">
        <v>141</v>
      </c>
      <c r="AN291" s="36" t="s">
        <v>141</v>
      </c>
      <c r="AO291" s="36"/>
      <c r="AP291" s="36"/>
      <c r="AQ291" s="36"/>
      <c r="AR291" s="36"/>
      <c r="AS291" s="36" t="s">
        <v>141</v>
      </c>
      <c r="AT291" s="36"/>
      <c r="AU291" s="36"/>
      <c r="AV291" s="36"/>
      <c r="AW291" s="117" t="s">
        <v>141</v>
      </c>
      <c r="AX291" s="117"/>
      <c r="AY291" s="36"/>
      <c r="AZ291" s="36" t="s">
        <v>141</v>
      </c>
      <c r="BA291" s="117"/>
      <c r="BB291" s="117"/>
      <c r="BC291" s="117"/>
      <c r="BD291" s="117"/>
      <c r="BE291" s="117" t="s">
        <v>141</v>
      </c>
      <c r="BF291" s="117"/>
      <c r="BG291" s="117"/>
      <c r="BH291" s="117"/>
      <c r="BI291" s="117"/>
      <c r="BJ291" s="117"/>
      <c r="BK291" s="117"/>
      <c r="BL291" s="117"/>
      <c r="BM291" s="117">
        <f t="shared" si="44"/>
        <v>11</v>
      </c>
      <c r="BN291" s="117">
        <f t="shared" si="45"/>
        <v>4</v>
      </c>
      <c r="BO291" s="117">
        <f t="shared" si="46"/>
        <v>2</v>
      </c>
      <c r="BP291" s="153">
        <f t="shared" si="47"/>
        <v>8</v>
      </c>
      <c r="BQ291" s="74" t="s">
        <v>152</v>
      </c>
      <c r="BR291" s="74"/>
    </row>
    <row r="292" spans="1:70" hidden="1">
      <c r="A292">
        <v>278</v>
      </c>
      <c r="B292" s="75">
        <v>45803.154502314814</v>
      </c>
      <c r="E292" s="7">
        <v>45803</v>
      </c>
      <c r="F292">
        <v>833</v>
      </c>
      <c r="I292" s="10" t="s">
        <v>1300</v>
      </c>
      <c r="J292" s="69">
        <v>45803</v>
      </c>
      <c r="K292" s="97">
        <f t="shared" si="51"/>
        <v>5</v>
      </c>
      <c r="L292" s="97">
        <v>290</v>
      </c>
      <c r="O292" s="7" t="s">
        <v>156</v>
      </c>
      <c r="T292" t="s">
        <v>1301</v>
      </c>
      <c r="X292" s="36" t="s">
        <v>141</v>
      </c>
      <c r="Y292" s="36" t="s">
        <v>141</v>
      </c>
      <c r="Z292" s="36"/>
      <c r="AA292" s="36" t="s">
        <v>141</v>
      </c>
      <c r="AB292" s="36" t="s">
        <v>141</v>
      </c>
      <c r="AC292" s="36"/>
      <c r="AD292" s="36"/>
      <c r="AE292" s="36"/>
      <c r="AF292" s="36"/>
      <c r="AG292" s="36"/>
      <c r="AH292" s="36"/>
      <c r="AI292" s="36"/>
      <c r="AJ292" s="36" t="s">
        <v>141</v>
      </c>
      <c r="AK292" s="117"/>
      <c r="AL292" s="36"/>
      <c r="AM292" s="36" t="s">
        <v>141</v>
      </c>
      <c r="AN292" s="36"/>
      <c r="AO292" s="36"/>
      <c r="AP292" s="36"/>
      <c r="AQ292" s="36"/>
      <c r="AR292" s="36" t="s">
        <v>141</v>
      </c>
      <c r="AS292" s="36"/>
      <c r="AT292" s="36"/>
      <c r="AU292" s="36" t="s">
        <v>141</v>
      </c>
      <c r="AV292" s="36"/>
      <c r="AW292" s="117" t="s">
        <v>141</v>
      </c>
      <c r="AX292" s="117"/>
      <c r="AY292" s="36"/>
      <c r="AZ292" s="36" t="s">
        <v>141</v>
      </c>
      <c r="BA292" s="117"/>
      <c r="BB292" s="117"/>
      <c r="BC292" s="117"/>
      <c r="BD292" s="117"/>
      <c r="BE292" s="117" t="s">
        <v>141</v>
      </c>
      <c r="BF292" s="117" t="s">
        <v>141</v>
      </c>
      <c r="BG292" s="117"/>
      <c r="BH292" s="117"/>
      <c r="BI292" s="117"/>
      <c r="BJ292" s="117"/>
      <c r="BK292" s="117"/>
      <c r="BL292" s="117"/>
      <c r="BM292" s="117">
        <f t="shared" si="44"/>
        <v>12</v>
      </c>
      <c r="BN292" s="117">
        <f t="shared" si="45"/>
        <v>3</v>
      </c>
      <c r="BO292" s="117">
        <f t="shared" si="46"/>
        <v>4</v>
      </c>
      <c r="BP292" s="153">
        <f t="shared" si="47"/>
        <v>6</v>
      </c>
      <c r="BQ292" s="74" t="s">
        <v>502</v>
      </c>
      <c r="BR292" s="74"/>
    </row>
    <row r="293" spans="1:70" hidden="1">
      <c r="A293">
        <v>279</v>
      </c>
      <c r="B293" s="75">
        <v>45804.01421296296</v>
      </c>
      <c r="E293" s="7">
        <v>45804</v>
      </c>
      <c r="F293">
        <v>834</v>
      </c>
      <c r="I293" s="10" t="s">
        <v>1302</v>
      </c>
      <c r="J293" s="69">
        <v>45804</v>
      </c>
      <c r="K293" s="97">
        <f t="shared" si="51"/>
        <v>5</v>
      </c>
      <c r="L293" s="97">
        <v>291</v>
      </c>
      <c r="O293" s="7" t="s">
        <v>156</v>
      </c>
      <c r="T293" t="s">
        <v>1303</v>
      </c>
      <c r="X293" s="36"/>
      <c r="Y293" s="36"/>
      <c r="Z293" s="36"/>
      <c r="AA293" s="36" t="s">
        <v>141</v>
      </c>
      <c r="AB293" s="36" t="s">
        <v>141</v>
      </c>
      <c r="AC293" s="36"/>
      <c r="AD293" s="36"/>
      <c r="AE293" s="36"/>
      <c r="AF293" s="36" t="s">
        <v>141</v>
      </c>
      <c r="AG293" s="36"/>
      <c r="AH293" s="36"/>
      <c r="AI293" s="36"/>
      <c r="AJ293" s="36" t="s">
        <v>141</v>
      </c>
      <c r="AK293" s="117"/>
      <c r="AL293" s="36"/>
      <c r="AM293" s="36" t="s">
        <v>141</v>
      </c>
      <c r="AN293" s="36" t="s">
        <v>141</v>
      </c>
      <c r="AO293" s="36"/>
      <c r="AP293" s="36"/>
      <c r="AQ293" s="36"/>
      <c r="AR293" s="36"/>
      <c r="AS293" s="36" t="s">
        <v>141</v>
      </c>
      <c r="AT293" s="36" t="s">
        <v>141</v>
      </c>
      <c r="AU293" s="36"/>
      <c r="AV293" s="36"/>
      <c r="AW293" s="117"/>
      <c r="AX293" s="117"/>
      <c r="AY293" s="36"/>
      <c r="AZ293" s="36"/>
      <c r="BA293" s="117"/>
      <c r="BB293" s="117"/>
      <c r="BC293" s="117"/>
      <c r="BD293" s="117" t="s">
        <v>141</v>
      </c>
      <c r="BE293" s="117" t="s">
        <v>141</v>
      </c>
      <c r="BF293" s="117"/>
      <c r="BG293" s="117"/>
      <c r="BH293" s="117"/>
      <c r="BI293" s="117"/>
      <c r="BJ293" s="117"/>
      <c r="BK293" s="117"/>
      <c r="BL293" s="117"/>
      <c r="BM293" s="117">
        <f t="shared" si="44"/>
        <v>10</v>
      </c>
      <c r="BN293" s="117">
        <f t="shared" si="45"/>
        <v>4</v>
      </c>
      <c r="BO293" s="117">
        <f t="shared" si="46"/>
        <v>2</v>
      </c>
      <c r="BP293" s="153">
        <f t="shared" si="47"/>
        <v>6</v>
      </c>
      <c r="BQ293" s="74" t="s">
        <v>208</v>
      </c>
      <c r="BR293" s="74"/>
    </row>
    <row r="294" spans="1:70" hidden="1">
      <c r="A294">
        <v>280</v>
      </c>
      <c r="B294" s="75">
        <v>45804.098958333336</v>
      </c>
      <c r="E294" s="7">
        <v>45804</v>
      </c>
      <c r="F294">
        <v>835</v>
      </c>
      <c r="I294" s="10" t="s">
        <v>1304</v>
      </c>
      <c r="J294" s="69">
        <v>45804</v>
      </c>
      <c r="K294" s="97">
        <f t="shared" si="51"/>
        <v>5</v>
      </c>
      <c r="L294" s="97">
        <v>292</v>
      </c>
      <c r="O294" s="7" t="s">
        <v>156</v>
      </c>
      <c r="T294" t="s">
        <v>796</v>
      </c>
      <c r="X294" s="36"/>
      <c r="Y294" s="36"/>
      <c r="Z294" s="36" t="s">
        <v>141</v>
      </c>
      <c r="AA294" s="36"/>
      <c r="AB294" s="36" t="s">
        <v>141</v>
      </c>
      <c r="AC294" s="36"/>
      <c r="AD294" s="36" t="s">
        <v>141</v>
      </c>
      <c r="AE294" s="36"/>
      <c r="AF294" s="36"/>
      <c r="AG294" s="36"/>
      <c r="AH294" s="36"/>
      <c r="AI294" s="36"/>
      <c r="AJ294" s="36"/>
      <c r="AK294" s="117"/>
      <c r="AL294" s="36" t="s">
        <v>141</v>
      </c>
      <c r="AM294" s="36" t="s">
        <v>141</v>
      </c>
      <c r="AN294" s="36" t="s">
        <v>141</v>
      </c>
      <c r="AO294" s="36" t="s">
        <v>141</v>
      </c>
      <c r="AP294" s="36"/>
      <c r="AQ294" s="36"/>
      <c r="AR294" s="36"/>
      <c r="AS294" s="36" t="s">
        <v>141</v>
      </c>
      <c r="AT294" s="36" t="s">
        <v>141</v>
      </c>
      <c r="AU294" s="36"/>
      <c r="AV294" s="36"/>
      <c r="AW294" s="117"/>
      <c r="AX294" s="117"/>
      <c r="AY294" s="36"/>
      <c r="AZ294" s="36" t="s">
        <v>141</v>
      </c>
      <c r="BA294" s="117"/>
      <c r="BB294" s="117"/>
      <c r="BC294" s="117"/>
      <c r="BD294" s="117" t="s">
        <v>141</v>
      </c>
      <c r="BE294" s="117" t="s">
        <v>141</v>
      </c>
      <c r="BF294" s="117" t="s">
        <v>141</v>
      </c>
      <c r="BG294" s="117"/>
      <c r="BH294" s="117"/>
      <c r="BI294" s="117"/>
      <c r="BJ294" s="117"/>
      <c r="BK294" s="117"/>
      <c r="BL294" s="117"/>
      <c r="BM294" s="117">
        <f t="shared" si="44"/>
        <v>13</v>
      </c>
      <c r="BN294" s="117">
        <f t="shared" si="45"/>
        <v>3</v>
      </c>
      <c r="BO294" s="117">
        <f t="shared" si="46"/>
        <v>3</v>
      </c>
      <c r="BP294" s="153">
        <f t="shared" si="47"/>
        <v>7</v>
      </c>
      <c r="BQ294" s="74" t="s">
        <v>208</v>
      </c>
      <c r="BR294" s="74"/>
    </row>
    <row r="295" spans="1:70" hidden="1">
      <c r="A295">
        <v>281</v>
      </c>
      <c r="B295" s="75">
        <v>45804.225729166668</v>
      </c>
      <c r="E295" s="7">
        <v>45804</v>
      </c>
      <c r="F295">
        <v>836</v>
      </c>
      <c r="I295" s="10" t="s">
        <v>1305</v>
      </c>
      <c r="J295" s="69">
        <v>45804</v>
      </c>
      <c r="K295" s="97">
        <f t="shared" si="51"/>
        <v>5</v>
      </c>
      <c r="L295" s="97">
        <v>293</v>
      </c>
      <c r="O295" s="7" t="s">
        <v>156</v>
      </c>
      <c r="T295" t="s">
        <v>1306</v>
      </c>
      <c r="X295" s="36" t="s">
        <v>141</v>
      </c>
      <c r="Y295" s="36" t="s">
        <v>141</v>
      </c>
      <c r="Z295" s="36" t="s">
        <v>141</v>
      </c>
      <c r="AA295" s="36"/>
      <c r="AB295" s="36" t="s">
        <v>141</v>
      </c>
      <c r="AC295" s="36"/>
      <c r="AD295" s="36"/>
      <c r="AE295" s="36" t="s">
        <v>141</v>
      </c>
      <c r="AF295" s="36"/>
      <c r="AG295" s="36"/>
      <c r="AH295" s="36"/>
      <c r="AI295" s="36"/>
      <c r="AJ295" s="36" t="s">
        <v>141</v>
      </c>
      <c r="AK295" s="117"/>
      <c r="AL295" s="36"/>
      <c r="AM295" s="36" t="s">
        <v>141</v>
      </c>
      <c r="AN295" s="36"/>
      <c r="AO295" s="36"/>
      <c r="AP295" s="36"/>
      <c r="AQ295" s="36"/>
      <c r="AR295" s="36"/>
      <c r="AS295" s="36" t="s">
        <v>141</v>
      </c>
      <c r="AT295" s="36"/>
      <c r="AU295" s="36"/>
      <c r="AV295" s="36"/>
      <c r="AW295" s="117"/>
      <c r="AX295" s="117" t="s">
        <v>141</v>
      </c>
      <c r="AY295" s="36"/>
      <c r="AZ295" s="36"/>
      <c r="BA295" s="117"/>
      <c r="BB295" s="117"/>
      <c r="BC295" s="117"/>
      <c r="BD295" s="117" t="s">
        <v>141</v>
      </c>
      <c r="BE295" s="117" t="s">
        <v>141</v>
      </c>
      <c r="BF295" s="117" t="s">
        <v>141</v>
      </c>
      <c r="BG295" s="117"/>
      <c r="BH295" s="117"/>
      <c r="BI295" s="117"/>
      <c r="BJ295" s="117"/>
      <c r="BK295" s="117"/>
      <c r="BL295" s="117"/>
      <c r="BM295" s="117">
        <f t="shared" si="44"/>
        <v>12</v>
      </c>
      <c r="BN295" s="117">
        <f t="shared" si="45"/>
        <v>3</v>
      </c>
      <c r="BO295" s="117">
        <f t="shared" si="46"/>
        <v>4</v>
      </c>
      <c r="BP295" s="153">
        <f t="shared" si="47"/>
        <v>5</v>
      </c>
      <c r="BQ295" s="74" t="s">
        <v>639</v>
      </c>
      <c r="BR295" s="74"/>
    </row>
    <row r="296" spans="1:70" hidden="1">
      <c r="A296">
        <v>282</v>
      </c>
      <c r="B296" s="75">
        <v>45805.334409722222</v>
      </c>
      <c r="E296" s="7">
        <v>45804</v>
      </c>
      <c r="F296">
        <v>837</v>
      </c>
      <c r="I296" s="10" t="s">
        <v>1307</v>
      </c>
      <c r="J296" s="69">
        <v>45805</v>
      </c>
      <c r="K296" s="97">
        <f t="shared" si="51"/>
        <v>5</v>
      </c>
      <c r="L296" s="97">
        <v>294</v>
      </c>
      <c r="O296" s="7" t="s">
        <v>234</v>
      </c>
      <c r="T296" t="s">
        <v>1308</v>
      </c>
      <c r="X296" s="36" t="s">
        <v>141</v>
      </c>
      <c r="Y296" s="36"/>
      <c r="Z296" s="36" t="s">
        <v>141</v>
      </c>
      <c r="AA296" s="36"/>
      <c r="AB296" s="36"/>
      <c r="AC296" s="36" t="s">
        <v>141</v>
      </c>
      <c r="AD296" s="36"/>
      <c r="AE296" s="36" t="s">
        <v>141</v>
      </c>
      <c r="AF296" s="36"/>
      <c r="AG296" s="36"/>
      <c r="AH296" s="36"/>
      <c r="AI296" s="36"/>
      <c r="AJ296" s="36"/>
      <c r="AK296" s="117"/>
      <c r="AL296" s="36" t="s">
        <v>141</v>
      </c>
      <c r="AM296" s="36" t="s">
        <v>141</v>
      </c>
      <c r="AN296" s="36" t="s">
        <v>141</v>
      </c>
      <c r="AO296" s="36" t="s">
        <v>141</v>
      </c>
      <c r="AP296" s="36"/>
      <c r="AQ296" s="36"/>
      <c r="AR296" s="36"/>
      <c r="AS296" s="36"/>
      <c r="AT296" s="36" t="s">
        <v>141</v>
      </c>
      <c r="AU296" s="36"/>
      <c r="AV296" s="36"/>
      <c r="AW296" s="117"/>
      <c r="AX296" s="117" t="s">
        <v>141</v>
      </c>
      <c r="AY296" s="36"/>
      <c r="AZ296" s="36"/>
      <c r="BA296" s="117"/>
      <c r="BB296" s="117"/>
      <c r="BC296" s="117"/>
      <c r="BD296" s="117" t="s">
        <v>141</v>
      </c>
      <c r="BE296" s="117"/>
      <c r="BF296" s="117" t="s">
        <v>141</v>
      </c>
      <c r="BG296" s="117"/>
      <c r="BH296" s="117"/>
      <c r="BI296" s="117"/>
      <c r="BJ296" s="117"/>
      <c r="BK296" s="117"/>
      <c r="BL296" s="117"/>
      <c r="BM296" s="117">
        <f t="shared" si="44"/>
        <v>12</v>
      </c>
      <c r="BN296" s="117">
        <f t="shared" si="45"/>
        <v>2</v>
      </c>
      <c r="BO296" s="117">
        <f t="shared" si="46"/>
        <v>3</v>
      </c>
      <c r="BP296" s="153">
        <f t="shared" si="47"/>
        <v>7</v>
      </c>
      <c r="BQ296" s="74" t="s">
        <v>627</v>
      </c>
      <c r="BR296" s="74"/>
    </row>
    <row r="297" spans="1:70" hidden="1">
      <c r="A297">
        <v>283</v>
      </c>
      <c r="B297" s="75">
        <v>45806.383784722224</v>
      </c>
      <c r="E297" s="7">
        <v>45806</v>
      </c>
      <c r="F297">
        <v>838</v>
      </c>
      <c r="I297" s="10" t="s">
        <v>1309</v>
      </c>
      <c r="J297" s="69">
        <v>45806</v>
      </c>
      <c r="K297" s="97">
        <f t="shared" si="51"/>
        <v>5</v>
      </c>
      <c r="L297" s="97">
        <v>295</v>
      </c>
      <c r="O297" s="7" t="s">
        <v>156</v>
      </c>
      <c r="T297" t="s">
        <v>1310</v>
      </c>
      <c r="X297" s="36" t="s">
        <v>141</v>
      </c>
      <c r="Y297" s="36"/>
      <c r="Z297" s="36"/>
      <c r="AA297" s="36"/>
      <c r="AB297" s="36" t="s">
        <v>141</v>
      </c>
      <c r="AC297" s="36" t="s">
        <v>141</v>
      </c>
      <c r="AD297" s="36"/>
      <c r="AE297" s="36"/>
      <c r="AF297" s="36"/>
      <c r="AG297" s="36"/>
      <c r="AH297" s="36"/>
      <c r="AI297" s="36" t="s">
        <v>141</v>
      </c>
      <c r="AJ297" s="36"/>
      <c r="AK297" s="117"/>
      <c r="AL297" s="36"/>
      <c r="AM297" s="36" t="s">
        <v>141</v>
      </c>
      <c r="AN297" s="36"/>
      <c r="AO297" s="36"/>
      <c r="AP297" s="36"/>
      <c r="AQ297" s="36"/>
      <c r="AR297" s="36"/>
      <c r="AS297" s="36"/>
      <c r="AT297" s="36" t="s">
        <v>141</v>
      </c>
      <c r="AU297" s="36"/>
      <c r="AV297" s="36"/>
      <c r="AW297" s="117"/>
      <c r="AX297" s="117" t="s">
        <v>141</v>
      </c>
      <c r="AY297" s="36"/>
      <c r="AZ297" s="36"/>
      <c r="BA297" s="117"/>
      <c r="BB297" s="117"/>
      <c r="BC297" s="117"/>
      <c r="BD297" s="117"/>
      <c r="BE297" s="117" t="s">
        <v>141</v>
      </c>
      <c r="BF297" s="117"/>
      <c r="BG297" s="117"/>
      <c r="BH297" s="117"/>
      <c r="BI297" s="117"/>
      <c r="BJ297" s="117"/>
      <c r="BK297" s="117"/>
      <c r="BL297" s="117"/>
      <c r="BM297" s="117">
        <f t="shared" si="44"/>
        <v>8</v>
      </c>
      <c r="BN297" s="117">
        <f t="shared" si="45"/>
        <v>1</v>
      </c>
      <c r="BO297" s="117">
        <f t="shared" si="46"/>
        <v>3</v>
      </c>
      <c r="BP297" s="153">
        <f t="shared" si="47"/>
        <v>4</v>
      </c>
      <c r="BQ297" s="74" t="s">
        <v>208</v>
      </c>
      <c r="BR297" s="74"/>
    </row>
    <row r="298" spans="1:70" hidden="1">
      <c r="A298">
        <v>284</v>
      </c>
      <c r="B298" s="75">
        <v>45807.158032407409</v>
      </c>
      <c r="E298" s="7">
        <v>45807</v>
      </c>
      <c r="F298">
        <v>839</v>
      </c>
      <c r="I298" s="10" t="s">
        <v>1311</v>
      </c>
      <c r="J298" s="69">
        <v>45807</v>
      </c>
      <c r="K298" s="97">
        <f t="shared" si="51"/>
        <v>5</v>
      </c>
      <c r="L298" s="97">
        <v>296</v>
      </c>
      <c r="O298" s="7" t="s">
        <v>197</v>
      </c>
      <c r="T298" t="s">
        <v>1312</v>
      </c>
      <c r="X298" s="36" t="s">
        <v>141</v>
      </c>
      <c r="Y298" s="36"/>
      <c r="Z298" s="36" t="s">
        <v>141</v>
      </c>
      <c r="AA298" s="36"/>
      <c r="AB298" s="36"/>
      <c r="AC298" s="36"/>
      <c r="AD298" s="36"/>
      <c r="AE298" s="36" t="s">
        <v>141</v>
      </c>
      <c r="AF298" s="36"/>
      <c r="AG298" s="36"/>
      <c r="AH298" s="36"/>
      <c r="AI298" s="36"/>
      <c r="AJ298" s="36"/>
      <c r="AK298" s="117" t="s">
        <v>141</v>
      </c>
      <c r="AL298" s="36"/>
      <c r="AM298" s="36"/>
      <c r="AN298" s="36"/>
      <c r="AO298" s="36" t="s">
        <v>141</v>
      </c>
      <c r="AP298" s="36" t="s">
        <v>141</v>
      </c>
      <c r="AQ298" s="36"/>
      <c r="AR298" s="36"/>
      <c r="AS298" s="36" t="s">
        <v>141</v>
      </c>
      <c r="AT298" s="36" t="s">
        <v>141</v>
      </c>
      <c r="AU298" s="36" t="s">
        <v>141</v>
      </c>
      <c r="AV298" s="36"/>
      <c r="AW298" s="117" t="s">
        <v>141</v>
      </c>
      <c r="AX298" s="117" t="s">
        <v>141</v>
      </c>
      <c r="AY298" s="36"/>
      <c r="AZ298" s="36"/>
      <c r="BA298" s="117"/>
      <c r="BB298" s="117"/>
      <c r="BC298" s="117"/>
      <c r="BD298" s="117"/>
      <c r="BE298" s="117"/>
      <c r="BF298" s="117" t="s">
        <v>141</v>
      </c>
      <c r="BG298" s="117" t="s">
        <v>141</v>
      </c>
      <c r="BH298" s="117"/>
      <c r="BI298" s="117"/>
      <c r="BJ298" s="117"/>
      <c r="BK298" s="117"/>
      <c r="BL298" s="117"/>
      <c r="BM298" s="117">
        <f t="shared" si="44"/>
        <v>12</v>
      </c>
      <c r="BN298" s="117">
        <f t="shared" si="45"/>
        <v>2</v>
      </c>
      <c r="BO298" s="117">
        <f t="shared" si="46"/>
        <v>2</v>
      </c>
      <c r="BP298" s="153">
        <f t="shared" si="47"/>
        <v>9</v>
      </c>
      <c r="BQ298" s="74" t="s">
        <v>627</v>
      </c>
      <c r="BR298" s="74"/>
    </row>
    <row r="299" spans="1:70" hidden="1">
      <c r="A299">
        <v>285</v>
      </c>
      <c r="B299" s="75">
        <v>45808.287083333336</v>
      </c>
      <c r="E299" s="7">
        <v>45808</v>
      </c>
      <c r="F299">
        <v>840</v>
      </c>
      <c r="I299" s="10" t="s">
        <v>1313</v>
      </c>
      <c r="J299" s="69">
        <v>45808</v>
      </c>
      <c r="K299" s="97">
        <f t="shared" si="51"/>
        <v>5</v>
      </c>
      <c r="L299" s="97">
        <v>297</v>
      </c>
      <c r="O299" s="7" t="s">
        <v>134</v>
      </c>
      <c r="T299" t="s">
        <v>1314</v>
      </c>
      <c r="X299" s="36"/>
      <c r="Y299" s="36"/>
      <c r="Z299" s="36" t="s">
        <v>141</v>
      </c>
      <c r="AA299" s="36"/>
      <c r="AB299" s="36"/>
      <c r="AC299" s="36"/>
      <c r="AD299" s="36"/>
      <c r="AE299" s="36"/>
      <c r="AF299" s="36" t="s">
        <v>141</v>
      </c>
      <c r="AG299" s="36" t="s">
        <v>141</v>
      </c>
      <c r="AH299" s="36"/>
      <c r="AI299" s="36" t="s">
        <v>141</v>
      </c>
      <c r="AJ299" s="36"/>
      <c r="AK299" s="117"/>
      <c r="AL299" s="36"/>
      <c r="AM299" s="36"/>
      <c r="AN299" s="36" t="s">
        <v>141</v>
      </c>
      <c r="AO299" s="36"/>
      <c r="AP299" s="36" t="s">
        <v>141</v>
      </c>
      <c r="AQ299" s="36"/>
      <c r="AR299" s="36"/>
      <c r="AS299" s="36" t="s">
        <v>141</v>
      </c>
      <c r="AT299" s="36"/>
      <c r="AU299" s="36"/>
      <c r="AV299" s="36"/>
      <c r="AW299" s="117"/>
      <c r="AX299" s="117"/>
      <c r="AY299" s="36"/>
      <c r="AZ299" s="36"/>
      <c r="BA299" s="117"/>
      <c r="BB299" s="117" t="s">
        <v>141</v>
      </c>
      <c r="BC299" s="117"/>
      <c r="BD299" s="117" t="s">
        <v>141</v>
      </c>
      <c r="BE299" s="117"/>
      <c r="BF299" s="117" t="s">
        <v>141</v>
      </c>
      <c r="BG299" s="117" t="s">
        <v>141</v>
      </c>
      <c r="BH299" s="117"/>
      <c r="BI299" s="117"/>
      <c r="BJ299" s="117"/>
      <c r="BK299" s="117"/>
      <c r="BL299" s="117"/>
      <c r="BM299" s="117">
        <f t="shared" si="44"/>
        <v>10</v>
      </c>
      <c r="BN299" s="117">
        <f t="shared" si="45"/>
        <v>3</v>
      </c>
      <c r="BO299" s="117">
        <f t="shared" si="46"/>
        <v>1</v>
      </c>
      <c r="BP299" s="153">
        <f t="shared" si="47"/>
        <v>7</v>
      </c>
      <c r="BQ299" s="74" t="s">
        <v>1315</v>
      </c>
      <c r="BR299" s="74"/>
    </row>
    <row r="300" spans="1:70" hidden="1">
      <c r="A300">
        <v>286</v>
      </c>
      <c r="B300" s="75">
        <v>45809.02275462963</v>
      </c>
      <c r="E300" s="7">
        <v>45804</v>
      </c>
      <c r="F300">
        <v>841</v>
      </c>
      <c r="I300" s="10" t="s">
        <v>1316</v>
      </c>
      <c r="J300" s="69">
        <v>45809</v>
      </c>
      <c r="K300" s="97">
        <f t="shared" si="51"/>
        <v>6</v>
      </c>
      <c r="L300" s="97">
        <v>298</v>
      </c>
      <c r="O300" s="7" t="s">
        <v>197</v>
      </c>
      <c r="T300" t="s">
        <v>1317</v>
      </c>
      <c r="X300" s="36"/>
      <c r="Y300" s="36"/>
      <c r="Z300" s="36" t="s">
        <v>141</v>
      </c>
      <c r="AA300" s="36" t="s">
        <v>141</v>
      </c>
      <c r="AB300" s="36"/>
      <c r="AC300" s="36"/>
      <c r="AD300" s="36"/>
      <c r="AE300" s="36"/>
      <c r="AF300" s="36" t="s">
        <v>141</v>
      </c>
      <c r="AG300" s="36"/>
      <c r="AH300" s="36"/>
      <c r="AI300" s="36"/>
      <c r="AJ300" s="36"/>
      <c r="AK300" s="117" t="s">
        <v>141</v>
      </c>
      <c r="AL300" s="36"/>
      <c r="AM300" s="36"/>
      <c r="AN300" s="36"/>
      <c r="AO300" s="36" t="s">
        <v>141</v>
      </c>
      <c r="AP300" s="36"/>
      <c r="AQ300" s="36" t="s">
        <v>141</v>
      </c>
      <c r="AR300" s="36"/>
      <c r="AS300" s="36" t="s">
        <v>141</v>
      </c>
      <c r="AT300" s="36"/>
      <c r="AU300" s="36" t="s">
        <v>141</v>
      </c>
      <c r="AV300" s="36"/>
      <c r="AW300" s="117"/>
      <c r="AX300" s="117" t="s">
        <v>141</v>
      </c>
      <c r="AY300" s="36"/>
      <c r="AZ300" s="36"/>
      <c r="BA300" s="117"/>
      <c r="BB300" s="117"/>
      <c r="BC300" s="117"/>
      <c r="BD300" s="117"/>
      <c r="BE300" s="117"/>
      <c r="BF300" s="117"/>
      <c r="BG300" s="117" t="s">
        <v>141</v>
      </c>
      <c r="BH300" s="117"/>
      <c r="BI300" s="117"/>
      <c r="BJ300" s="117"/>
      <c r="BK300" s="117"/>
      <c r="BL300" s="117"/>
      <c r="BM300" s="117">
        <f t="shared" si="44"/>
        <v>9</v>
      </c>
      <c r="BN300" s="117">
        <f t="shared" si="45"/>
        <v>2</v>
      </c>
      <c r="BO300" s="117">
        <f t="shared" si="46"/>
        <v>2</v>
      </c>
      <c r="BP300" s="153">
        <f t="shared" si="47"/>
        <v>7</v>
      </c>
      <c r="BQ300" s="74" t="s">
        <v>1279</v>
      </c>
      <c r="BR300" s="74"/>
    </row>
    <row r="301" spans="1:70" hidden="1">
      <c r="A301">
        <v>287</v>
      </c>
      <c r="B301" s="75">
        <v>45809.151238425926</v>
      </c>
      <c r="E301" s="7">
        <v>45809</v>
      </c>
      <c r="F301">
        <v>842</v>
      </c>
      <c r="I301" s="10" t="s">
        <v>1318</v>
      </c>
      <c r="J301" s="69">
        <v>45809</v>
      </c>
      <c r="K301" s="97">
        <f t="shared" si="51"/>
        <v>6</v>
      </c>
      <c r="L301" s="97">
        <v>299</v>
      </c>
      <c r="O301" s="7" t="s">
        <v>146</v>
      </c>
      <c r="T301" t="s">
        <v>1319</v>
      </c>
      <c r="X301" s="36" t="s">
        <v>141</v>
      </c>
      <c r="Y301" s="36"/>
      <c r="Z301" s="36" t="s">
        <v>141</v>
      </c>
      <c r="AA301" s="36"/>
      <c r="AB301" s="36"/>
      <c r="AC301" s="36"/>
      <c r="AD301" s="36"/>
      <c r="AE301" s="36"/>
      <c r="AF301" s="36" t="s">
        <v>141</v>
      </c>
      <c r="AG301" s="36" t="s">
        <v>141</v>
      </c>
      <c r="AH301" s="36"/>
      <c r="AI301" s="36" t="s">
        <v>141</v>
      </c>
      <c r="AJ301" s="36"/>
      <c r="AK301" s="117"/>
      <c r="AL301" s="36" t="s">
        <v>141</v>
      </c>
      <c r="AM301" s="36"/>
      <c r="AN301" s="36"/>
      <c r="AO301" s="36"/>
      <c r="AP301" s="36" t="s">
        <v>141</v>
      </c>
      <c r="AQ301" s="36"/>
      <c r="AR301" s="36"/>
      <c r="AS301" s="36"/>
      <c r="AT301" s="36"/>
      <c r="AU301" s="36" t="s">
        <v>141</v>
      </c>
      <c r="AV301" s="36"/>
      <c r="AW301" s="117" t="s">
        <v>141</v>
      </c>
      <c r="AX301" s="117"/>
      <c r="AY301" s="36"/>
      <c r="AZ301" s="36"/>
      <c r="BA301" s="117"/>
      <c r="BB301" s="117"/>
      <c r="BC301" s="117"/>
      <c r="BD301" s="117"/>
      <c r="BE301" s="117"/>
      <c r="BF301" s="117"/>
      <c r="BG301" s="117"/>
      <c r="BH301" s="117"/>
      <c r="BI301" s="117"/>
      <c r="BJ301" s="117"/>
      <c r="BK301" s="117"/>
      <c r="BL301" s="117"/>
      <c r="BM301" s="117">
        <f t="shared" si="44"/>
        <v>9</v>
      </c>
      <c r="BN301" s="117">
        <f t="shared" si="45"/>
        <v>1</v>
      </c>
      <c r="BO301" s="117">
        <f t="shared" si="46"/>
        <v>2</v>
      </c>
      <c r="BP301" s="153">
        <f t="shared" si="47"/>
        <v>7</v>
      </c>
      <c r="BQ301" s="74" t="s">
        <v>1320</v>
      </c>
      <c r="BR301" s="74"/>
    </row>
    <row r="302" spans="1:70" hidden="1">
      <c r="A302">
        <v>288</v>
      </c>
      <c r="B302" s="75">
        <v>45810.410532407404</v>
      </c>
      <c r="E302" s="7">
        <v>45810</v>
      </c>
      <c r="F302">
        <v>843</v>
      </c>
      <c r="I302" s="10" t="s">
        <v>1321</v>
      </c>
      <c r="J302" s="69">
        <v>45810</v>
      </c>
      <c r="K302" s="97">
        <f t="shared" si="51"/>
        <v>6</v>
      </c>
      <c r="L302" s="97">
        <v>300</v>
      </c>
      <c r="O302" s="7" t="s">
        <v>156</v>
      </c>
      <c r="T302" t="s">
        <v>1322</v>
      </c>
      <c r="X302" s="36" t="s">
        <v>141</v>
      </c>
      <c r="Y302" s="36" t="s">
        <v>141</v>
      </c>
      <c r="Z302" s="36"/>
      <c r="AA302" s="36" t="s">
        <v>141</v>
      </c>
      <c r="AB302" s="36"/>
      <c r="AC302" s="36" t="s">
        <v>141</v>
      </c>
      <c r="AD302" s="36"/>
      <c r="AE302" s="36"/>
      <c r="AF302" s="36" t="s">
        <v>141</v>
      </c>
      <c r="AG302" s="36"/>
      <c r="AH302" s="36"/>
      <c r="AI302" s="36"/>
      <c r="AJ302" s="36"/>
      <c r="AK302" s="117" t="s">
        <v>141</v>
      </c>
      <c r="AL302" s="36" t="s">
        <v>141</v>
      </c>
      <c r="AM302" s="36"/>
      <c r="AN302" s="36"/>
      <c r="AO302" s="36" t="s">
        <v>141</v>
      </c>
      <c r="AP302" s="36" t="s">
        <v>141</v>
      </c>
      <c r="AQ302" s="36"/>
      <c r="AR302" s="36" t="s">
        <v>141</v>
      </c>
      <c r="AS302" s="36"/>
      <c r="AT302" s="36"/>
      <c r="AU302" s="36" t="s">
        <v>141</v>
      </c>
      <c r="AV302" s="36"/>
      <c r="AW302" s="117"/>
      <c r="AX302" s="117"/>
      <c r="AY302" s="36"/>
      <c r="AZ302" s="36"/>
      <c r="BA302" s="117"/>
      <c r="BB302" s="117"/>
      <c r="BC302" s="117"/>
      <c r="BD302" s="117"/>
      <c r="BE302" s="117" t="s">
        <v>141</v>
      </c>
      <c r="BF302" s="117" t="s">
        <v>141</v>
      </c>
      <c r="BG302" s="117" t="s">
        <v>141</v>
      </c>
      <c r="BH302" s="117"/>
      <c r="BI302" s="117"/>
      <c r="BJ302" s="117"/>
      <c r="BK302" s="117"/>
      <c r="BL302" s="117"/>
      <c r="BM302" s="117">
        <f t="shared" si="44"/>
        <v>13</v>
      </c>
      <c r="BN302" s="117">
        <f t="shared" si="45"/>
        <v>2</v>
      </c>
      <c r="BO302" s="117">
        <f t="shared" si="46"/>
        <v>4</v>
      </c>
      <c r="BP302" s="153">
        <f t="shared" si="47"/>
        <v>7</v>
      </c>
      <c r="BQ302" s="74" t="s">
        <v>1323</v>
      </c>
      <c r="BR302" s="74"/>
    </row>
    <row r="303" spans="1:70" hidden="1">
      <c r="A303">
        <v>289</v>
      </c>
      <c r="B303" s="75">
        <v>45810.862569444442</v>
      </c>
      <c r="E303" s="7">
        <v>45811</v>
      </c>
      <c r="F303">
        <v>844</v>
      </c>
      <c r="I303" s="10" t="s">
        <v>1324</v>
      </c>
      <c r="J303" s="69">
        <v>45811</v>
      </c>
      <c r="K303" s="97">
        <f t="shared" si="51"/>
        <v>6</v>
      </c>
      <c r="L303" s="97">
        <v>301</v>
      </c>
      <c r="O303" s="7" t="s">
        <v>234</v>
      </c>
      <c r="T303" t="s">
        <v>1325</v>
      </c>
      <c r="X303" s="36"/>
      <c r="Y303" s="36" t="s">
        <v>141</v>
      </c>
      <c r="Z303" s="36"/>
      <c r="AA303" s="36"/>
      <c r="AB303" s="36" t="s">
        <v>141</v>
      </c>
      <c r="AC303" s="36"/>
      <c r="AD303" s="36"/>
      <c r="AE303" s="36"/>
      <c r="AF303" s="36"/>
      <c r="AG303" s="36"/>
      <c r="AH303" s="36"/>
      <c r="AI303" s="36"/>
      <c r="AJ303" s="36" t="s">
        <v>141</v>
      </c>
      <c r="AK303" s="117"/>
      <c r="AL303" s="36" t="s">
        <v>141</v>
      </c>
      <c r="AM303" s="36" t="s">
        <v>141</v>
      </c>
      <c r="AN303" s="36"/>
      <c r="AO303" s="36" t="s">
        <v>141</v>
      </c>
      <c r="AP303" s="36"/>
      <c r="AQ303" s="36"/>
      <c r="AR303" s="36"/>
      <c r="AS303" s="36"/>
      <c r="AT303" s="36" t="s">
        <v>141</v>
      </c>
      <c r="AU303" s="36"/>
      <c r="AV303" s="36"/>
      <c r="AW303" s="117" t="s">
        <v>141</v>
      </c>
      <c r="AX303" s="117"/>
      <c r="AY303" s="36" t="s">
        <v>141</v>
      </c>
      <c r="AZ303" s="36"/>
      <c r="BA303" s="117"/>
      <c r="BB303" s="117"/>
      <c r="BC303" s="117"/>
      <c r="BD303" s="117"/>
      <c r="BE303" s="117" t="s">
        <v>141</v>
      </c>
      <c r="BF303" s="117" t="s">
        <v>141</v>
      </c>
      <c r="BG303" s="117"/>
      <c r="BH303" s="117"/>
      <c r="BI303" s="117"/>
      <c r="BJ303" s="117"/>
      <c r="BK303" s="117"/>
      <c r="BL303" s="117"/>
      <c r="BM303" s="117">
        <f t="shared" si="44"/>
        <v>11</v>
      </c>
      <c r="BN303" s="117">
        <f t="shared" si="45"/>
        <v>2</v>
      </c>
      <c r="BO303" s="117">
        <f t="shared" si="46"/>
        <v>2</v>
      </c>
      <c r="BP303" s="153">
        <f t="shared" si="47"/>
        <v>7</v>
      </c>
      <c r="BQ303" s="74" t="s">
        <v>502</v>
      </c>
      <c r="BR303" s="74"/>
    </row>
    <row r="304" spans="1:70" hidden="1">
      <c r="A304">
        <v>290</v>
      </c>
      <c r="B304" s="75">
        <v>45811.193298611113</v>
      </c>
      <c r="E304" s="7">
        <v>45811</v>
      </c>
      <c r="F304">
        <v>845</v>
      </c>
      <c r="I304" s="10" t="s">
        <v>1326</v>
      </c>
      <c r="J304" s="69">
        <v>45811</v>
      </c>
      <c r="K304" s="97">
        <f t="shared" si="51"/>
        <v>6</v>
      </c>
      <c r="L304" s="97">
        <v>302</v>
      </c>
      <c r="O304" s="7" t="s">
        <v>146</v>
      </c>
      <c r="T304" t="s">
        <v>1327</v>
      </c>
      <c r="X304" s="36" t="s">
        <v>141</v>
      </c>
      <c r="Y304" s="36"/>
      <c r="Z304" s="36"/>
      <c r="AA304" s="36" t="s">
        <v>141</v>
      </c>
      <c r="AB304" s="36" t="s">
        <v>141</v>
      </c>
      <c r="AC304" s="36"/>
      <c r="AD304" s="36" t="s">
        <v>141</v>
      </c>
      <c r="AE304" s="36"/>
      <c r="AF304" s="36"/>
      <c r="AG304" s="36"/>
      <c r="AH304" s="36"/>
      <c r="AI304" s="36"/>
      <c r="AJ304" s="36" t="s">
        <v>141</v>
      </c>
      <c r="AK304" s="117"/>
      <c r="AL304" s="36"/>
      <c r="AM304" s="36" t="s">
        <v>141</v>
      </c>
      <c r="AN304" s="36"/>
      <c r="AO304" s="36"/>
      <c r="AP304" s="36"/>
      <c r="AQ304" s="36"/>
      <c r="AR304" s="36"/>
      <c r="AS304" s="36"/>
      <c r="AT304" s="36" t="s">
        <v>141</v>
      </c>
      <c r="AU304" s="36"/>
      <c r="AV304" s="36"/>
      <c r="AW304" s="117" t="s">
        <v>141</v>
      </c>
      <c r="AX304" s="117"/>
      <c r="AY304" s="36"/>
      <c r="AZ304" s="36"/>
      <c r="BA304" s="117"/>
      <c r="BB304" s="117"/>
      <c r="BC304" s="117"/>
      <c r="BD304" s="117" t="s">
        <v>141</v>
      </c>
      <c r="BE304" s="117"/>
      <c r="BF304" s="117" t="s">
        <v>141</v>
      </c>
      <c r="BG304" s="117"/>
      <c r="BH304" s="117"/>
      <c r="BI304" s="117"/>
      <c r="BJ304" s="117"/>
      <c r="BK304" s="117"/>
      <c r="BL304" s="117"/>
      <c r="BM304" s="117">
        <f t="shared" si="44"/>
        <v>10</v>
      </c>
      <c r="BN304" s="117">
        <f t="shared" si="45"/>
        <v>2</v>
      </c>
      <c r="BO304" s="117">
        <f t="shared" si="46"/>
        <v>4</v>
      </c>
      <c r="BP304" s="153">
        <f t="shared" si="47"/>
        <v>4</v>
      </c>
      <c r="BQ304" s="74" t="s">
        <v>178</v>
      </c>
      <c r="BR304" s="74"/>
    </row>
    <row r="305" spans="1:70" hidden="1">
      <c r="A305">
        <v>291</v>
      </c>
      <c r="B305" s="75">
        <v>45812.069814814815</v>
      </c>
      <c r="E305" s="7">
        <v>45812</v>
      </c>
      <c r="F305">
        <v>846</v>
      </c>
      <c r="I305" s="10" t="s">
        <v>1328</v>
      </c>
      <c r="J305" s="69">
        <v>45812</v>
      </c>
      <c r="K305" s="97">
        <f t="shared" ref="K305:K319" si="52">MONTH($J305)</f>
        <v>6</v>
      </c>
      <c r="L305" s="97">
        <v>303</v>
      </c>
      <c r="O305" s="7" t="s">
        <v>156</v>
      </c>
      <c r="T305" t="s">
        <v>1329</v>
      </c>
      <c r="X305" s="36"/>
      <c r="Y305" s="36" t="s">
        <v>141</v>
      </c>
      <c r="Z305" s="36"/>
      <c r="AA305" s="36"/>
      <c r="AB305" s="36" t="s">
        <v>141</v>
      </c>
      <c r="AC305" s="36"/>
      <c r="AD305" s="36" t="s">
        <v>141</v>
      </c>
      <c r="AE305" s="36" t="s">
        <v>141</v>
      </c>
      <c r="AF305" s="36"/>
      <c r="AG305" s="36"/>
      <c r="AH305" s="36"/>
      <c r="AI305" s="36"/>
      <c r="AJ305" s="36" t="s">
        <v>141</v>
      </c>
      <c r="AK305" s="117"/>
      <c r="AL305" s="36"/>
      <c r="AM305" s="36" t="s">
        <v>141</v>
      </c>
      <c r="AN305" s="36" t="s">
        <v>141</v>
      </c>
      <c r="AO305" s="36"/>
      <c r="AP305" s="36"/>
      <c r="AQ305" s="36" t="s">
        <v>141</v>
      </c>
      <c r="AR305" s="36"/>
      <c r="AS305" s="36" t="s">
        <v>141</v>
      </c>
      <c r="AT305" s="36"/>
      <c r="AU305" s="36"/>
      <c r="AV305" s="36"/>
      <c r="AW305" s="117" t="s">
        <v>141</v>
      </c>
      <c r="AX305" s="117"/>
      <c r="AY305" s="36"/>
      <c r="AZ305" s="36"/>
      <c r="BA305" s="117"/>
      <c r="BB305" s="117"/>
      <c r="BC305" s="117"/>
      <c r="BD305" s="117" t="s">
        <v>141</v>
      </c>
      <c r="BE305" s="117"/>
      <c r="BF305" s="117"/>
      <c r="BG305" s="117"/>
      <c r="BH305" s="117"/>
      <c r="BI305" s="117"/>
      <c r="BJ305" s="117"/>
      <c r="BK305" s="117"/>
      <c r="BL305" s="117"/>
      <c r="BM305" s="117">
        <f t="shared" si="44"/>
        <v>11</v>
      </c>
      <c r="BN305" s="117">
        <f t="shared" si="45"/>
        <v>4</v>
      </c>
      <c r="BO305" s="117">
        <f t="shared" si="46"/>
        <v>3</v>
      </c>
      <c r="BP305" s="153">
        <f t="shared" si="47"/>
        <v>7</v>
      </c>
      <c r="BQ305" s="74" t="s">
        <v>208</v>
      </c>
      <c r="BR305" s="74"/>
    </row>
    <row r="306" spans="1:70" hidden="1">
      <c r="A306">
        <v>292</v>
      </c>
      <c r="B306" s="75">
        <v>45812.495972222219</v>
      </c>
      <c r="E306" s="7">
        <v>45812</v>
      </c>
      <c r="F306">
        <v>847</v>
      </c>
      <c r="I306" s="10" t="s">
        <v>1330</v>
      </c>
      <c r="J306" s="69">
        <v>45812</v>
      </c>
      <c r="K306" s="97">
        <f t="shared" si="52"/>
        <v>6</v>
      </c>
      <c r="L306" s="97">
        <v>304</v>
      </c>
      <c r="O306" s="7" t="s">
        <v>197</v>
      </c>
      <c r="T306" t="s">
        <v>1331</v>
      </c>
      <c r="X306" s="36"/>
      <c r="Y306" s="36" t="s">
        <v>141</v>
      </c>
      <c r="Z306" s="36"/>
      <c r="AA306" s="36"/>
      <c r="AB306" s="36" t="s">
        <v>141</v>
      </c>
      <c r="AC306" s="36" t="s">
        <v>141</v>
      </c>
      <c r="AD306" s="36" t="s">
        <v>141</v>
      </c>
      <c r="AE306" s="36"/>
      <c r="AF306" s="36"/>
      <c r="AG306" s="36" t="s">
        <v>141</v>
      </c>
      <c r="AH306" s="36"/>
      <c r="AI306" s="36"/>
      <c r="AJ306" s="36" t="s">
        <v>141</v>
      </c>
      <c r="AK306" s="117" t="s">
        <v>141</v>
      </c>
      <c r="AL306" s="36" t="s">
        <v>141</v>
      </c>
      <c r="AM306" s="36" t="s">
        <v>141</v>
      </c>
      <c r="AN306" s="36" t="s">
        <v>141</v>
      </c>
      <c r="AO306" s="36"/>
      <c r="AP306" s="36"/>
      <c r="AQ306" s="36"/>
      <c r="AR306" s="36"/>
      <c r="AS306" s="36" t="s">
        <v>141</v>
      </c>
      <c r="AT306" s="36"/>
      <c r="AU306" s="36" t="s">
        <v>141</v>
      </c>
      <c r="AV306" s="36"/>
      <c r="AW306" s="117" t="s">
        <v>141</v>
      </c>
      <c r="AX306" s="117"/>
      <c r="AY306" s="36"/>
      <c r="AZ306" s="36"/>
      <c r="BA306" s="117" t="s">
        <v>141</v>
      </c>
      <c r="BB306" s="117"/>
      <c r="BC306" s="117"/>
      <c r="BD306" s="117" t="s">
        <v>141</v>
      </c>
      <c r="BE306" s="117"/>
      <c r="BF306" s="117" t="s">
        <v>141</v>
      </c>
      <c r="BG306" s="117" t="s">
        <v>141</v>
      </c>
      <c r="BH306" s="117"/>
      <c r="BI306" s="117"/>
      <c r="BJ306" s="117"/>
      <c r="BK306" s="117"/>
      <c r="BL306" s="117"/>
      <c r="BM306" s="117">
        <f t="shared" si="44"/>
        <v>16</v>
      </c>
      <c r="BN306" s="117">
        <f t="shared" si="45"/>
        <v>6</v>
      </c>
      <c r="BO306" s="117">
        <f t="shared" si="46"/>
        <v>4</v>
      </c>
      <c r="BP306" s="153">
        <f t="shared" si="47"/>
        <v>10</v>
      </c>
      <c r="BQ306" s="74" t="s">
        <v>1332</v>
      </c>
      <c r="BR306" s="74"/>
    </row>
    <row r="307" spans="1:70" hidden="1">
      <c r="A307">
        <v>293</v>
      </c>
      <c r="B307" s="75">
        <v>45812.513252314813</v>
      </c>
      <c r="E307" s="7">
        <v>45812</v>
      </c>
      <c r="F307">
        <v>848</v>
      </c>
      <c r="I307" s="10" t="s">
        <v>1333</v>
      </c>
      <c r="J307" s="69">
        <v>45813</v>
      </c>
      <c r="K307" s="97">
        <f t="shared" si="52"/>
        <v>6</v>
      </c>
      <c r="L307" s="97">
        <v>305</v>
      </c>
      <c r="O307" s="7" t="s">
        <v>156</v>
      </c>
      <c r="T307" t="s">
        <v>1334</v>
      </c>
      <c r="X307" s="36"/>
      <c r="Y307" s="36"/>
      <c r="Z307" s="36"/>
      <c r="AA307" s="36"/>
      <c r="AB307" s="36" t="s">
        <v>141</v>
      </c>
      <c r="AC307" s="36" t="s">
        <v>141</v>
      </c>
      <c r="AD307" s="36" t="s">
        <v>141</v>
      </c>
      <c r="AE307" s="36"/>
      <c r="AF307" s="36"/>
      <c r="AG307" s="36" t="s">
        <v>141</v>
      </c>
      <c r="AH307" s="36"/>
      <c r="AI307" s="36"/>
      <c r="AJ307" s="36" t="s">
        <v>141</v>
      </c>
      <c r="AK307" s="117" t="s">
        <v>141</v>
      </c>
      <c r="AL307" s="36"/>
      <c r="AM307" s="36"/>
      <c r="AN307" s="36"/>
      <c r="AO307" s="36"/>
      <c r="AP307" s="36"/>
      <c r="AQ307" s="36"/>
      <c r="AR307" s="36"/>
      <c r="AS307" s="36" t="s">
        <v>141</v>
      </c>
      <c r="AT307" s="36" t="s">
        <v>141</v>
      </c>
      <c r="AU307" s="36" t="s">
        <v>141</v>
      </c>
      <c r="AV307" s="36"/>
      <c r="AW307" s="117" t="s">
        <v>141</v>
      </c>
      <c r="AX307" s="117"/>
      <c r="AY307" s="36"/>
      <c r="AZ307" s="36"/>
      <c r="BA307" s="117" t="s">
        <v>141</v>
      </c>
      <c r="BB307" s="117"/>
      <c r="BC307" s="117"/>
      <c r="BD307" s="117"/>
      <c r="BE307" s="117" t="s">
        <v>141</v>
      </c>
      <c r="BF307" s="117" t="s">
        <v>141</v>
      </c>
      <c r="BG307" s="117" t="s">
        <v>141</v>
      </c>
      <c r="BH307" s="117"/>
      <c r="BI307" s="117"/>
      <c r="BJ307" s="117"/>
      <c r="BK307" s="117"/>
      <c r="BL307" s="117"/>
      <c r="BM307" s="117">
        <f t="shared" si="44"/>
        <v>13</v>
      </c>
      <c r="BN307" s="117">
        <f t="shared" si="45"/>
        <v>4</v>
      </c>
      <c r="BO307" s="117">
        <f t="shared" si="46"/>
        <v>3</v>
      </c>
      <c r="BP307" s="153">
        <f t="shared" si="47"/>
        <v>8</v>
      </c>
      <c r="BQ307" s="74" t="s">
        <v>208</v>
      </c>
      <c r="BR307" s="74"/>
    </row>
    <row r="308" spans="1:70" hidden="1">
      <c r="A308">
        <v>294</v>
      </c>
      <c r="B308" s="75">
        <v>45813.041701388887</v>
      </c>
      <c r="E308" s="7">
        <v>45812</v>
      </c>
      <c r="F308">
        <v>849</v>
      </c>
      <c r="I308" s="10" t="s">
        <v>1335</v>
      </c>
      <c r="J308" s="69">
        <v>45813</v>
      </c>
      <c r="K308" s="97">
        <f t="shared" si="52"/>
        <v>6</v>
      </c>
      <c r="L308" s="97">
        <v>306</v>
      </c>
      <c r="O308" s="7" t="s">
        <v>156</v>
      </c>
      <c r="T308" t="s">
        <v>1336</v>
      </c>
      <c r="X308" s="36"/>
      <c r="Y308" s="36"/>
      <c r="Z308" s="36"/>
      <c r="AA308" s="36"/>
      <c r="AB308" s="36" t="s">
        <v>141</v>
      </c>
      <c r="AC308" s="36" t="s">
        <v>141</v>
      </c>
      <c r="AD308" s="36"/>
      <c r="AE308" s="36" t="s">
        <v>141</v>
      </c>
      <c r="AF308" s="36"/>
      <c r="AG308" s="36"/>
      <c r="AH308" s="36"/>
      <c r="AI308" s="36"/>
      <c r="AJ308" s="36" t="s">
        <v>141</v>
      </c>
      <c r="AK308" s="117" t="s">
        <v>141</v>
      </c>
      <c r="AL308" s="36" t="s">
        <v>141</v>
      </c>
      <c r="AM308" s="36"/>
      <c r="AN308" s="36"/>
      <c r="AO308" s="36"/>
      <c r="AP308" s="36"/>
      <c r="AQ308" s="36" t="s">
        <v>141</v>
      </c>
      <c r="AR308" s="36"/>
      <c r="AS308" s="36"/>
      <c r="AT308" s="36"/>
      <c r="AU308" s="36"/>
      <c r="AV308" s="36"/>
      <c r="AW308" s="117"/>
      <c r="AX308" s="117"/>
      <c r="AY308" s="36" t="s">
        <v>141</v>
      </c>
      <c r="AZ308" s="36"/>
      <c r="BA308" s="117"/>
      <c r="BB308" s="117"/>
      <c r="BC308" s="117"/>
      <c r="BD308" s="117" t="s">
        <v>141</v>
      </c>
      <c r="BE308" s="117"/>
      <c r="BF308" s="117"/>
      <c r="BG308" s="117"/>
      <c r="BH308" s="117"/>
      <c r="BI308" s="117"/>
      <c r="BJ308" s="117"/>
      <c r="BK308" s="117"/>
      <c r="BL308" s="117"/>
      <c r="BM308" s="117">
        <f t="shared" si="44"/>
        <v>9</v>
      </c>
      <c r="BN308" s="117">
        <f t="shared" si="45"/>
        <v>2</v>
      </c>
      <c r="BO308" s="117">
        <f t="shared" si="46"/>
        <v>2</v>
      </c>
      <c r="BP308" s="153">
        <f t="shared" si="47"/>
        <v>6</v>
      </c>
      <c r="BQ308" s="74" t="s">
        <v>171</v>
      </c>
      <c r="BR308" s="74"/>
    </row>
    <row r="309" spans="1:70" hidden="1">
      <c r="A309">
        <v>295</v>
      </c>
      <c r="B309" s="75">
        <v>45813.675902777781</v>
      </c>
      <c r="E309" s="7">
        <v>45813</v>
      </c>
      <c r="F309">
        <v>850</v>
      </c>
      <c r="I309" s="10" t="s">
        <v>1337</v>
      </c>
      <c r="J309" s="69">
        <v>45814</v>
      </c>
      <c r="K309" s="97">
        <f t="shared" si="52"/>
        <v>6</v>
      </c>
      <c r="L309" s="97">
        <v>307</v>
      </c>
      <c r="O309" s="7" t="s">
        <v>156</v>
      </c>
      <c r="T309" t="s">
        <v>1334</v>
      </c>
      <c r="X309" s="36" t="s">
        <v>141</v>
      </c>
      <c r="Y309" s="36" t="s">
        <v>141</v>
      </c>
      <c r="Z309" s="36"/>
      <c r="AA309" s="36" t="s">
        <v>141</v>
      </c>
      <c r="AB309" s="36" t="s">
        <v>141</v>
      </c>
      <c r="AC309" s="36" t="s">
        <v>141</v>
      </c>
      <c r="AD309" s="36" t="s">
        <v>141</v>
      </c>
      <c r="AE309" s="36" t="s">
        <v>141</v>
      </c>
      <c r="AF309" s="36" t="s">
        <v>141</v>
      </c>
      <c r="AG309" s="36" t="s">
        <v>141</v>
      </c>
      <c r="AH309" s="36"/>
      <c r="AI309" s="36" t="s">
        <v>141</v>
      </c>
      <c r="AJ309" s="36"/>
      <c r="AK309" s="117"/>
      <c r="AL309" s="36"/>
      <c r="AM309" s="36" t="s">
        <v>141</v>
      </c>
      <c r="AN309" s="36"/>
      <c r="AO309" s="36" t="s">
        <v>141</v>
      </c>
      <c r="AP309" s="36"/>
      <c r="AQ309" s="36"/>
      <c r="AR309" s="36"/>
      <c r="AS309" s="36"/>
      <c r="AT309" s="36" t="s">
        <v>141</v>
      </c>
      <c r="AU309" s="36"/>
      <c r="AV309" s="36"/>
      <c r="AW309" s="117" t="s">
        <v>141</v>
      </c>
      <c r="AX309" s="117"/>
      <c r="AY309" s="36"/>
      <c r="AZ309" s="36"/>
      <c r="BA309" s="117" t="s">
        <v>141</v>
      </c>
      <c r="BB309" s="117"/>
      <c r="BC309" s="117"/>
      <c r="BD309" s="117"/>
      <c r="BE309" s="117" t="s">
        <v>141</v>
      </c>
      <c r="BF309" s="117"/>
      <c r="BG309" s="117"/>
      <c r="BH309" s="117"/>
      <c r="BI309" s="117"/>
      <c r="BJ309" s="117"/>
      <c r="BK309" s="117"/>
      <c r="BL309" s="117"/>
      <c r="BM309" s="117">
        <f t="shared" si="44"/>
        <v>16</v>
      </c>
      <c r="BN309" s="117">
        <f t="shared" si="45"/>
        <v>2</v>
      </c>
      <c r="BO309" s="117">
        <f t="shared" si="46"/>
        <v>6</v>
      </c>
      <c r="BP309" s="153">
        <f t="shared" si="47"/>
        <v>9</v>
      </c>
      <c r="BQ309" s="74" t="s">
        <v>771</v>
      </c>
      <c r="BR309" s="74"/>
    </row>
    <row r="310" spans="1:70" hidden="1">
      <c r="A310">
        <v>296</v>
      </c>
      <c r="B310" s="75">
        <v>45813.686076388891</v>
      </c>
      <c r="E310" s="7">
        <v>45814</v>
      </c>
      <c r="F310">
        <v>851</v>
      </c>
      <c r="I310" s="10" t="s">
        <v>1338</v>
      </c>
      <c r="J310" s="69">
        <v>45814</v>
      </c>
      <c r="K310" s="97">
        <f t="shared" si="52"/>
        <v>6</v>
      </c>
      <c r="L310" s="97">
        <v>308</v>
      </c>
      <c r="O310" s="7" t="s">
        <v>156</v>
      </c>
      <c r="T310" t="s">
        <v>1339</v>
      </c>
      <c r="X310" s="36" t="s">
        <v>141</v>
      </c>
      <c r="Y310" s="36"/>
      <c r="Z310" s="36"/>
      <c r="AA310" s="36"/>
      <c r="AB310" s="36"/>
      <c r="AC310" s="36" t="s">
        <v>141</v>
      </c>
      <c r="AD310" s="36"/>
      <c r="AE310" s="36" t="s">
        <v>141</v>
      </c>
      <c r="AF310" s="36" t="s">
        <v>141</v>
      </c>
      <c r="AG310" s="36"/>
      <c r="AH310" s="36"/>
      <c r="AI310" s="36" t="s">
        <v>141</v>
      </c>
      <c r="AJ310" s="36"/>
      <c r="AK310" s="117"/>
      <c r="AL310" s="36" t="s">
        <v>141</v>
      </c>
      <c r="AM310" s="36" t="s">
        <v>141</v>
      </c>
      <c r="AN310" s="36"/>
      <c r="AO310" s="36" t="s">
        <v>141</v>
      </c>
      <c r="AP310" s="36"/>
      <c r="AQ310" s="36"/>
      <c r="AR310" s="36"/>
      <c r="AS310" s="36" t="s">
        <v>141</v>
      </c>
      <c r="AT310" s="36" t="s">
        <v>141</v>
      </c>
      <c r="AU310" s="36"/>
      <c r="AV310" s="36"/>
      <c r="AW310" s="117" t="s">
        <v>141</v>
      </c>
      <c r="AX310" s="117"/>
      <c r="AY310" s="36"/>
      <c r="AZ310" s="36"/>
      <c r="BA310" s="117" t="s">
        <v>141</v>
      </c>
      <c r="BB310" s="117"/>
      <c r="BC310" s="117"/>
      <c r="BD310" s="117"/>
      <c r="BE310" s="117"/>
      <c r="BF310" s="117"/>
      <c r="BG310" s="117"/>
      <c r="BH310" s="117"/>
      <c r="BI310" s="117"/>
      <c r="BJ310" s="117"/>
      <c r="BK310" s="117"/>
      <c r="BL310" s="117"/>
      <c r="BM310" s="117">
        <f t="shared" si="44"/>
        <v>12</v>
      </c>
      <c r="BN310" s="117">
        <f t="shared" si="45"/>
        <v>2</v>
      </c>
      <c r="BO310" s="117">
        <f t="shared" si="46"/>
        <v>2</v>
      </c>
      <c r="BP310" s="153">
        <f t="shared" si="47"/>
        <v>10</v>
      </c>
      <c r="BQ310" s="74" t="s">
        <v>589</v>
      </c>
      <c r="BR310" s="74"/>
    </row>
    <row r="311" spans="1:70" hidden="1">
      <c r="A311">
        <v>297</v>
      </c>
      <c r="B311" s="75">
        <v>45814.209618055553</v>
      </c>
      <c r="E311" s="7">
        <v>45814</v>
      </c>
      <c r="F311">
        <v>852</v>
      </c>
      <c r="I311" s="10" t="s">
        <v>1340</v>
      </c>
      <c r="J311" s="69">
        <v>45814</v>
      </c>
      <c r="K311" s="97">
        <f t="shared" si="52"/>
        <v>6</v>
      </c>
      <c r="L311" s="97">
        <v>309</v>
      </c>
      <c r="O311" s="7" t="s">
        <v>156</v>
      </c>
      <c r="T311" t="s">
        <v>1341</v>
      </c>
      <c r="X311" s="36" t="s">
        <v>141</v>
      </c>
      <c r="Y311" s="36" t="s">
        <v>141</v>
      </c>
      <c r="Z311" s="36"/>
      <c r="AA311" s="36"/>
      <c r="AB311" s="36" t="s">
        <v>141</v>
      </c>
      <c r="AC311" s="36"/>
      <c r="AD311" s="36"/>
      <c r="AE311" s="36" t="s">
        <v>141</v>
      </c>
      <c r="AF311" s="36"/>
      <c r="AG311" s="36"/>
      <c r="AH311" s="36"/>
      <c r="AI311" s="36"/>
      <c r="AJ311" s="36" t="s">
        <v>141</v>
      </c>
      <c r="AK311" s="117" t="s">
        <v>141</v>
      </c>
      <c r="AL311" s="36" t="s">
        <v>141</v>
      </c>
      <c r="AM311" s="36" t="s">
        <v>141</v>
      </c>
      <c r="AN311" s="36"/>
      <c r="AO311" s="36"/>
      <c r="AP311" s="36"/>
      <c r="AQ311" s="36"/>
      <c r="AR311" s="36"/>
      <c r="AS311" s="36" t="s">
        <v>141</v>
      </c>
      <c r="AT311" s="36"/>
      <c r="AU311" s="36"/>
      <c r="AV311" s="36"/>
      <c r="AW311" s="117" t="s">
        <v>141</v>
      </c>
      <c r="AX311" s="117"/>
      <c r="AY311" s="36"/>
      <c r="AZ311" s="36" t="s">
        <v>141</v>
      </c>
      <c r="BA311" s="117"/>
      <c r="BB311" s="117"/>
      <c r="BC311" s="117"/>
      <c r="BD311" s="117"/>
      <c r="BE311" s="117"/>
      <c r="BF311" s="117" t="s">
        <v>141</v>
      </c>
      <c r="BG311" s="117" t="s">
        <v>141</v>
      </c>
      <c r="BH311" s="117"/>
      <c r="BI311" s="117"/>
      <c r="BJ311" s="117"/>
      <c r="BK311" s="117"/>
      <c r="BL311" s="117"/>
      <c r="BM311" s="117">
        <f t="shared" si="44"/>
        <v>12</v>
      </c>
      <c r="BN311" s="117">
        <f t="shared" si="45"/>
        <v>4</v>
      </c>
      <c r="BO311" s="117">
        <f t="shared" si="46"/>
        <v>3</v>
      </c>
      <c r="BP311" s="153">
        <f t="shared" si="47"/>
        <v>8</v>
      </c>
      <c r="BQ311" s="74" t="s">
        <v>208</v>
      </c>
      <c r="BR311" s="74"/>
    </row>
    <row r="312" spans="1:70" hidden="1">
      <c r="A312">
        <v>298</v>
      </c>
      <c r="B312" s="75">
        <v>45814.944490740738</v>
      </c>
      <c r="E312" s="7">
        <v>45815</v>
      </c>
      <c r="F312">
        <v>853</v>
      </c>
      <c r="I312" s="10" t="s">
        <v>1342</v>
      </c>
      <c r="J312" s="69">
        <v>45815</v>
      </c>
      <c r="K312" s="97">
        <f t="shared" si="52"/>
        <v>6</v>
      </c>
      <c r="L312" s="97">
        <v>310</v>
      </c>
      <c r="O312" s="7" t="s">
        <v>134</v>
      </c>
      <c r="T312" t="s">
        <v>1343</v>
      </c>
      <c r="X312" s="36" t="s">
        <v>141</v>
      </c>
      <c r="Y312" s="36" t="s">
        <v>141</v>
      </c>
      <c r="Z312" s="36"/>
      <c r="AA312" s="36" t="s">
        <v>141</v>
      </c>
      <c r="AB312" s="36"/>
      <c r="AC312" s="36"/>
      <c r="AD312" s="36" t="s">
        <v>141</v>
      </c>
      <c r="AE312" s="36"/>
      <c r="AF312" s="36"/>
      <c r="AG312" s="36"/>
      <c r="AH312" s="36"/>
      <c r="AI312" s="36" t="s">
        <v>141</v>
      </c>
      <c r="AJ312" s="36" t="s">
        <v>141</v>
      </c>
      <c r="AK312" s="117" t="s">
        <v>141</v>
      </c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117"/>
      <c r="AX312" s="117"/>
      <c r="AY312" s="36"/>
      <c r="AZ312" s="36"/>
      <c r="BA312" s="117" t="s">
        <v>141</v>
      </c>
      <c r="BB312" s="117"/>
      <c r="BC312" s="117"/>
      <c r="BD312" s="117"/>
      <c r="BE312" s="117" t="s">
        <v>141</v>
      </c>
      <c r="BF312" s="117" t="s">
        <v>141</v>
      </c>
      <c r="BG312" s="117"/>
      <c r="BH312" s="117"/>
      <c r="BI312" s="117"/>
      <c r="BJ312" s="117"/>
      <c r="BK312" s="117"/>
      <c r="BL312" s="117"/>
      <c r="BM312" s="117">
        <f t="shared" si="44"/>
        <v>10</v>
      </c>
      <c r="BN312" s="117">
        <f t="shared" si="45"/>
        <v>2</v>
      </c>
      <c r="BO312" s="117">
        <f t="shared" si="46"/>
        <v>4</v>
      </c>
      <c r="BP312" s="153">
        <f t="shared" si="47"/>
        <v>4</v>
      </c>
      <c r="BQ312" s="74" t="s">
        <v>178</v>
      </c>
      <c r="BR312" s="74"/>
    </row>
    <row r="313" spans="1:70" hidden="1">
      <c r="A313">
        <v>299</v>
      </c>
      <c r="B313" s="75">
        <v>45815.259166666663</v>
      </c>
      <c r="E313" s="7">
        <v>45815</v>
      </c>
      <c r="F313">
        <v>854</v>
      </c>
      <c r="I313" s="10" t="s">
        <v>1344</v>
      </c>
      <c r="J313" s="69">
        <v>45815</v>
      </c>
      <c r="K313" s="97">
        <f t="shared" si="52"/>
        <v>6</v>
      </c>
      <c r="L313" s="97">
        <v>311</v>
      </c>
      <c r="O313" s="7" t="s">
        <v>197</v>
      </c>
      <c r="T313" t="s">
        <v>1345</v>
      </c>
      <c r="X313" s="36" t="s">
        <v>141</v>
      </c>
      <c r="Y313" s="36" t="s">
        <v>141</v>
      </c>
      <c r="Z313" s="36"/>
      <c r="AA313" s="36" t="s">
        <v>141</v>
      </c>
      <c r="AB313" s="36"/>
      <c r="AC313" s="36"/>
      <c r="AD313" s="36" t="s">
        <v>141</v>
      </c>
      <c r="AE313" s="36"/>
      <c r="AF313" s="36"/>
      <c r="AG313" s="36" t="s">
        <v>141</v>
      </c>
      <c r="AH313" s="36"/>
      <c r="AI313" s="36"/>
      <c r="AJ313" s="36" t="s">
        <v>141</v>
      </c>
      <c r="AK313" s="117"/>
      <c r="AL313" s="36" t="s">
        <v>141</v>
      </c>
      <c r="AM313" s="36"/>
      <c r="AN313" s="36"/>
      <c r="AO313" s="36"/>
      <c r="AP313" s="36"/>
      <c r="AQ313" s="36"/>
      <c r="AR313" s="36"/>
      <c r="AS313" s="36"/>
      <c r="AT313" s="36" t="s">
        <v>141</v>
      </c>
      <c r="AU313" s="36"/>
      <c r="AV313" s="36"/>
      <c r="AW313" s="117"/>
      <c r="AX313" s="117"/>
      <c r="AY313" s="36" t="s">
        <v>141</v>
      </c>
      <c r="AZ313" s="36"/>
      <c r="BA313" s="117" t="s">
        <v>141</v>
      </c>
      <c r="BB313" s="117"/>
      <c r="BC313" s="117" t="s">
        <v>141</v>
      </c>
      <c r="BD313" s="117"/>
      <c r="BE313" s="117"/>
      <c r="BF313" s="117" t="s">
        <v>141</v>
      </c>
      <c r="BG313" s="117"/>
      <c r="BH313" s="117"/>
      <c r="BI313" s="117"/>
      <c r="BJ313" s="117"/>
      <c r="BK313" s="117"/>
      <c r="BL313" s="117"/>
      <c r="BM313" s="117">
        <f t="shared" si="44"/>
        <v>12</v>
      </c>
      <c r="BN313" s="117">
        <f t="shared" si="45"/>
        <v>2</v>
      </c>
      <c r="BO313" s="117">
        <f t="shared" si="46"/>
        <v>4</v>
      </c>
      <c r="BP313" s="153">
        <f t="shared" si="47"/>
        <v>7</v>
      </c>
      <c r="BQ313" s="74" t="s">
        <v>1033</v>
      </c>
      <c r="BR313" s="74"/>
    </row>
    <row r="314" spans="1:70" hidden="1">
      <c r="A314">
        <v>300</v>
      </c>
      <c r="B314" s="75">
        <v>45815.416319444441</v>
      </c>
      <c r="E314" s="7">
        <v>45815</v>
      </c>
      <c r="F314">
        <v>855</v>
      </c>
      <c r="I314" s="10" t="s">
        <v>1346</v>
      </c>
      <c r="J314" s="69">
        <v>45815</v>
      </c>
      <c r="K314" s="97">
        <f t="shared" si="52"/>
        <v>6</v>
      </c>
      <c r="L314" s="97">
        <v>312</v>
      </c>
      <c r="O314" s="7" t="s">
        <v>197</v>
      </c>
      <c r="T314" t="s">
        <v>1347</v>
      </c>
      <c r="X314" s="36"/>
      <c r="Y314" s="36" t="s">
        <v>141</v>
      </c>
      <c r="Z314" s="36"/>
      <c r="AA314" s="36" t="s">
        <v>141</v>
      </c>
      <c r="AB314" s="36" t="s">
        <v>141</v>
      </c>
      <c r="AC314" s="36" t="s">
        <v>141</v>
      </c>
      <c r="AD314" s="36" t="s">
        <v>141</v>
      </c>
      <c r="AE314" s="36"/>
      <c r="AF314" s="36"/>
      <c r="AG314" s="36"/>
      <c r="AH314" s="36"/>
      <c r="AI314" s="36"/>
      <c r="AJ314" s="36" t="s">
        <v>141</v>
      </c>
      <c r="AK314" s="117"/>
      <c r="AL314" s="36"/>
      <c r="AM314" s="36" t="s">
        <v>141</v>
      </c>
      <c r="AN314" s="36"/>
      <c r="AO314" s="36"/>
      <c r="AP314" s="36"/>
      <c r="AQ314" s="36"/>
      <c r="AR314" s="36"/>
      <c r="AS314" s="36" t="s">
        <v>141</v>
      </c>
      <c r="AT314" s="36"/>
      <c r="AU314" s="36"/>
      <c r="AV314" s="36"/>
      <c r="AW314" s="117"/>
      <c r="AX314" s="117" t="s">
        <v>141</v>
      </c>
      <c r="AY314" s="36"/>
      <c r="AZ314" s="36"/>
      <c r="BA314" s="117"/>
      <c r="BB314" s="117"/>
      <c r="BC314" s="117"/>
      <c r="BD314" s="117"/>
      <c r="BE314" s="117" t="s">
        <v>141</v>
      </c>
      <c r="BF314" s="117"/>
      <c r="BG314" s="117"/>
      <c r="BH314" s="117"/>
      <c r="BI314" s="117"/>
      <c r="BJ314" s="117"/>
      <c r="BK314" s="117"/>
      <c r="BL314" s="117"/>
      <c r="BM314" s="117">
        <f t="shared" si="44"/>
        <v>10</v>
      </c>
      <c r="BN314" s="117">
        <f t="shared" si="45"/>
        <v>3</v>
      </c>
      <c r="BO314" s="117">
        <f t="shared" si="46"/>
        <v>5</v>
      </c>
      <c r="BP314" s="153">
        <f t="shared" si="47"/>
        <v>4</v>
      </c>
      <c r="BQ314" s="74" t="s">
        <v>502</v>
      </c>
      <c r="BR314" s="74"/>
    </row>
    <row r="315" spans="1:70" hidden="1">
      <c r="A315">
        <v>301</v>
      </c>
      <c r="B315" s="75">
        <v>45816.988078703704</v>
      </c>
      <c r="E315" s="7">
        <v>45817</v>
      </c>
      <c r="F315">
        <v>856</v>
      </c>
      <c r="I315" s="10" t="s">
        <v>1348</v>
      </c>
      <c r="J315" s="69">
        <v>45817</v>
      </c>
      <c r="K315" s="97">
        <f t="shared" si="52"/>
        <v>6</v>
      </c>
      <c r="L315" s="97">
        <v>313</v>
      </c>
      <c r="O315" s="7" t="s">
        <v>234</v>
      </c>
      <c r="T315" t="s">
        <v>1349</v>
      </c>
      <c r="X315" s="36"/>
      <c r="Y315" s="36"/>
      <c r="Z315" s="36"/>
      <c r="AA315" s="36" t="s">
        <v>141</v>
      </c>
      <c r="AB315" s="36"/>
      <c r="AC315" s="36" t="s">
        <v>141</v>
      </c>
      <c r="AD315" s="36" t="s">
        <v>141</v>
      </c>
      <c r="AE315" s="36" t="s">
        <v>141</v>
      </c>
      <c r="AF315" s="36" t="s">
        <v>141</v>
      </c>
      <c r="AG315" s="36"/>
      <c r="AH315" s="36"/>
      <c r="AI315" s="36"/>
      <c r="AJ315" s="36" t="s">
        <v>141</v>
      </c>
      <c r="AK315" s="117"/>
      <c r="AL315" s="36"/>
      <c r="AM315" s="36" t="s">
        <v>141</v>
      </c>
      <c r="AN315" s="36"/>
      <c r="AO315" s="36"/>
      <c r="AP315" s="36"/>
      <c r="AQ315" s="36"/>
      <c r="AR315" s="36"/>
      <c r="AS315" s="36"/>
      <c r="AT315" s="36"/>
      <c r="AU315" s="36" t="s">
        <v>141</v>
      </c>
      <c r="AV315" s="36"/>
      <c r="AW315" s="117" t="s">
        <v>141</v>
      </c>
      <c r="AX315" s="117"/>
      <c r="AY315" s="36" t="s">
        <v>141</v>
      </c>
      <c r="AZ315" s="36"/>
      <c r="BA315" s="117"/>
      <c r="BB315" s="117"/>
      <c r="BC315" s="117"/>
      <c r="BD315" s="117"/>
      <c r="BE315" s="117"/>
      <c r="BF315" s="117" t="s">
        <v>141</v>
      </c>
      <c r="BG315" s="117"/>
      <c r="BH315" s="117"/>
      <c r="BI315" s="117"/>
      <c r="BJ315" s="117"/>
      <c r="BK315" s="117"/>
      <c r="BL315" s="117"/>
      <c r="BM315" s="117">
        <f t="shared" si="44"/>
        <v>11</v>
      </c>
      <c r="BN315" s="117">
        <f t="shared" si="45"/>
        <v>2</v>
      </c>
      <c r="BO315" s="117">
        <f t="shared" si="46"/>
        <v>3</v>
      </c>
      <c r="BP315" s="153">
        <f t="shared" si="47"/>
        <v>7</v>
      </c>
      <c r="BQ315" s="74" t="s">
        <v>178</v>
      </c>
      <c r="BR315" s="74"/>
    </row>
    <row r="316" spans="1:70" hidden="1">
      <c r="A316">
        <v>302</v>
      </c>
      <c r="B316" s="75">
        <v>45818.183055555557</v>
      </c>
      <c r="E316" s="7">
        <v>45818</v>
      </c>
      <c r="F316">
        <v>857</v>
      </c>
      <c r="I316" s="10" t="s">
        <v>1350</v>
      </c>
      <c r="J316" s="69">
        <v>45818</v>
      </c>
      <c r="K316" s="97">
        <f t="shared" si="52"/>
        <v>6</v>
      </c>
      <c r="L316" s="97">
        <v>314</v>
      </c>
      <c r="O316" s="7" t="s">
        <v>156</v>
      </c>
      <c r="T316" t="s">
        <v>271</v>
      </c>
      <c r="X316" s="36" t="s">
        <v>141</v>
      </c>
      <c r="Y316" s="36" t="s">
        <v>141</v>
      </c>
      <c r="Z316" s="36"/>
      <c r="AA316" s="36" t="s">
        <v>141</v>
      </c>
      <c r="AB316" s="36"/>
      <c r="AC316" s="36"/>
      <c r="AD316" s="36" t="s">
        <v>141</v>
      </c>
      <c r="AE316" s="36" t="s">
        <v>141</v>
      </c>
      <c r="AF316" s="36"/>
      <c r="AG316" s="36"/>
      <c r="AH316" s="36"/>
      <c r="AI316" s="36" t="s">
        <v>141</v>
      </c>
      <c r="AJ316" s="36" t="s">
        <v>141</v>
      </c>
      <c r="AK316" s="117"/>
      <c r="AL316" s="36" t="s">
        <v>141</v>
      </c>
      <c r="AM316" s="36" t="s">
        <v>141</v>
      </c>
      <c r="AN316" s="36"/>
      <c r="AO316" s="36"/>
      <c r="AP316" s="36" t="s">
        <v>141</v>
      </c>
      <c r="AQ316" s="36"/>
      <c r="AR316" s="36"/>
      <c r="AS316" s="36"/>
      <c r="AT316" s="36"/>
      <c r="AU316" s="36" t="s">
        <v>141</v>
      </c>
      <c r="AV316" s="36"/>
      <c r="AW316" s="117"/>
      <c r="AX316" s="117"/>
      <c r="AY316" s="36"/>
      <c r="AZ316" s="36"/>
      <c r="BA316" s="117"/>
      <c r="BB316" s="117" t="s">
        <v>141</v>
      </c>
      <c r="BC316" s="117"/>
      <c r="BD316" s="117"/>
      <c r="BE316" s="117"/>
      <c r="BF316" s="117"/>
      <c r="BG316" s="117"/>
      <c r="BH316" s="117"/>
      <c r="BI316" s="117"/>
      <c r="BJ316" s="117"/>
      <c r="BK316" s="117"/>
      <c r="BL316" s="117"/>
      <c r="BM316" s="117">
        <f t="shared" si="44"/>
        <v>12</v>
      </c>
      <c r="BN316" s="117">
        <f t="shared" si="45"/>
        <v>2</v>
      </c>
      <c r="BO316" s="117">
        <f t="shared" si="46"/>
        <v>4</v>
      </c>
      <c r="BP316" s="153">
        <f t="shared" si="47"/>
        <v>8</v>
      </c>
      <c r="BQ316" s="74" t="s">
        <v>1033</v>
      </c>
      <c r="BR316" s="74"/>
    </row>
    <row r="317" spans="1:70" hidden="1">
      <c r="A317">
        <v>303</v>
      </c>
      <c r="B317" s="75">
        <v>45818.472453703704</v>
      </c>
      <c r="E317" s="7">
        <v>45818</v>
      </c>
      <c r="F317">
        <v>858</v>
      </c>
      <c r="I317" s="10" t="s">
        <v>1351</v>
      </c>
      <c r="J317" s="69">
        <v>45818</v>
      </c>
      <c r="K317" s="97">
        <f t="shared" si="52"/>
        <v>6</v>
      </c>
      <c r="L317" s="97">
        <v>315</v>
      </c>
      <c r="O317" s="7" t="s">
        <v>134</v>
      </c>
      <c r="T317" t="s">
        <v>1352</v>
      </c>
      <c r="X317" s="36"/>
      <c r="Y317" s="36" t="s">
        <v>141</v>
      </c>
      <c r="Z317" s="36"/>
      <c r="AA317" s="36"/>
      <c r="AB317" s="36" t="s">
        <v>141</v>
      </c>
      <c r="AC317" s="36"/>
      <c r="AD317" s="36"/>
      <c r="AE317" s="36" t="s">
        <v>141</v>
      </c>
      <c r="AF317" s="36"/>
      <c r="AG317" s="36"/>
      <c r="AH317" s="36"/>
      <c r="AI317" s="36"/>
      <c r="AJ317" s="36" t="s">
        <v>141</v>
      </c>
      <c r="AK317" s="117"/>
      <c r="AL317" s="36" t="s">
        <v>141</v>
      </c>
      <c r="AM317" s="36"/>
      <c r="AN317" s="36"/>
      <c r="AO317" s="36"/>
      <c r="AP317" s="36" t="s">
        <v>141</v>
      </c>
      <c r="AQ317" s="36"/>
      <c r="AR317" s="36"/>
      <c r="AS317" s="36" t="s">
        <v>141</v>
      </c>
      <c r="AT317" s="36"/>
      <c r="AU317" s="36"/>
      <c r="AV317" s="36"/>
      <c r="AW317" s="117" t="s">
        <v>141</v>
      </c>
      <c r="AX317" s="117"/>
      <c r="AY317" s="36"/>
      <c r="AZ317" s="36"/>
      <c r="BA317" s="117" t="s">
        <v>141</v>
      </c>
      <c r="BB317" s="117"/>
      <c r="BC317" s="117"/>
      <c r="BD317" s="117"/>
      <c r="BE317" s="117" t="s">
        <v>141</v>
      </c>
      <c r="BF317" s="117" t="s">
        <v>141</v>
      </c>
      <c r="BG317" s="117"/>
      <c r="BH317" s="117"/>
      <c r="BI317" s="117"/>
      <c r="BJ317" s="117"/>
      <c r="BK317" s="117"/>
      <c r="BL317" s="117"/>
      <c r="BM317" s="117">
        <f t="shared" si="44"/>
        <v>11</v>
      </c>
      <c r="BN317" s="117">
        <f t="shared" si="45"/>
        <v>2</v>
      </c>
      <c r="BO317" s="117">
        <f t="shared" si="46"/>
        <v>2</v>
      </c>
      <c r="BP317" s="153">
        <f t="shared" si="47"/>
        <v>7</v>
      </c>
      <c r="BQ317" s="74" t="s">
        <v>208</v>
      </c>
      <c r="BR317" s="74"/>
    </row>
    <row r="318" spans="1:70" hidden="1">
      <c r="A318">
        <v>304</v>
      </c>
      <c r="B318" s="75">
        <v>45818.860879629632</v>
      </c>
      <c r="E318" s="7">
        <v>45819</v>
      </c>
      <c r="F318">
        <v>859</v>
      </c>
      <c r="I318" s="10" t="s">
        <v>1353</v>
      </c>
      <c r="J318" s="69">
        <v>45819</v>
      </c>
      <c r="K318" s="97">
        <f t="shared" si="52"/>
        <v>6</v>
      </c>
      <c r="L318" s="97">
        <v>316</v>
      </c>
      <c r="O318" s="7" t="s">
        <v>156</v>
      </c>
      <c r="T318" t="s">
        <v>1354</v>
      </c>
      <c r="X318" s="36"/>
      <c r="Y318" s="36" t="s">
        <v>141</v>
      </c>
      <c r="Z318" s="36"/>
      <c r="AA318" s="36"/>
      <c r="AB318" s="36" t="s">
        <v>141</v>
      </c>
      <c r="AC318" s="36"/>
      <c r="AD318" s="36" t="s">
        <v>141</v>
      </c>
      <c r="AE318" s="36"/>
      <c r="AF318" s="36" t="s">
        <v>141</v>
      </c>
      <c r="AG318" s="36"/>
      <c r="AH318" s="36"/>
      <c r="AI318" s="36"/>
      <c r="AJ318" s="36" t="s">
        <v>141</v>
      </c>
      <c r="AK318" s="117"/>
      <c r="AL318" s="36" t="s">
        <v>141</v>
      </c>
      <c r="AM318" s="36" t="s">
        <v>141</v>
      </c>
      <c r="AN318" s="36"/>
      <c r="AO318" s="36"/>
      <c r="AP318" s="36"/>
      <c r="AQ318" s="36"/>
      <c r="AR318" s="36"/>
      <c r="AS318" s="36"/>
      <c r="AT318" s="36" t="s">
        <v>141</v>
      </c>
      <c r="AU318" s="36"/>
      <c r="AV318" s="36"/>
      <c r="AW318" s="117"/>
      <c r="AX318" s="117" t="s">
        <v>141</v>
      </c>
      <c r="AY318" s="36"/>
      <c r="AZ318" s="36"/>
      <c r="BA318" s="117"/>
      <c r="BB318" s="117"/>
      <c r="BC318" s="117"/>
      <c r="BD318" s="117"/>
      <c r="BE318" s="117"/>
      <c r="BF318" s="117"/>
      <c r="BG318" s="117"/>
      <c r="BH318" s="117"/>
      <c r="BI318" s="117"/>
      <c r="BJ318" s="117"/>
      <c r="BK318" s="117"/>
      <c r="BL318" s="117"/>
      <c r="BM318" s="117">
        <f t="shared" si="44"/>
        <v>9</v>
      </c>
      <c r="BN318" s="117">
        <f t="shared" si="45"/>
        <v>2</v>
      </c>
      <c r="BO318" s="117">
        <f t="shared" si="46"/>
        <v>3</v>
      </c>
      <c r="BP318" s="153">
        <f t="shared" si="47"/>
        <v>6</v>
      </c>
      <c r="BQ318" s="74" t="s">
        <v>171</v>
      </c>
      <c r="BR318" s="74"/>
    </row>
    <row r="319" spans="1:70" hidden="1">
      <c r="A319">
        <v>305</v>
      </c>
      <c r="B319" s="75">
        <v>45819.817777777775</v>
      </c>
      <c r="E319" s="7">
        <v>45820</v>
      </c>
      <c r="F319">
        <v>860</v>
      </c>
      <c r="I319" s="10" t="s">
        <v>1355</v>
      </c>
      <c r="J319" s="69">
        <v>45820</v>
      </c>
      <c r="K319" s="97">
        <f t="shared" si="52"/>
        <v>6</v>
      </c>
      <c r="L319" s="97">
        <v>317</v>
      </c>
      <c r="O319" s="7" t="s">
        <v>895</v>
      </c>
      <c r="T319" t="s">
        <v>1356</v>
      </c>
      <c r="X319" s="36"/>
      <c r="Y319" s="36" t="s">
        <v>141</v>
      </c>
      <c r="Z319" s="36"/>
      <c r="AA319" s="36" t="s">
        <v>141</v>
      </c>
      <c r="AB319" s="36" t="s">
        <v>141</v>
      </c>
      <c r="AC319" s="36" t="s">
        <v>141</v>
      </c>
      <c r="AD319" s="36" t="s">
        <v>141</v>
      </c>
      <c r="AE319" s="36"/>
      <c r="AF319" s="36"/>
      <c r="AG319" s="36"/>
      <c r="AH319" s="36"/>
      <c r="AI319" s="36" t="s">
        <v>141</v>
      </c>
      <c r="AJ319" s="36"/>
      <c r="AK319" s="117"/>
      <c r="AL319" s="36" t="s">
        <v>141</v>
      </c>
      <c r="AM319" s="36"/>
      <c r="AN319" s="36"/>
      <c r="AO319" s="36"/>
      <c r="AP319" s="36"/>
      <c r="AQ319" s="36"/>
      <c r="AR319" s="36"/>
      <c r="AS319" s="36" t="s">
        <v>141</v>
      </c>
      <c r="AT319" s="36" t="s">
        <v>141</v>
      </c>
      <c r="AU319" s="36"/>
      <c r="AV319" s="36"/>
      <c r="AW319" s="117"/>
      <c r="AX319" s="117"/>
      <c r="AY319" s="36"/>
      <c r="AZ319" s="36"/>
      <c r="BA319" s="117"/>
      <c r="BB319" s="117"/>
      <c r="BC319" s="117"/>
      <c r="BD319" s="117"/>
      <c r="BE319" s="117"/>
      <c r="BF319" s="117" t="s">
        <v>141</v>
      </c>
      <c r="BG319" s="117"/>
      <c r="BH319" s="117"/>
      <c r="BI319" s="117"/>
      <c r="BJ319" s="117"/>
      <c r="BK319" s="117"/>
      <c r="BL319" s="117"/>
      <c r="BM319" s="117">
        <f t="shared" si="44"/>
        <v>10</v>
      </c>
      <c r="BN319" s="117">
        <f t="shared" si="45"/>
        <v>1</v>
      </c>
      <c r="BO319" s="117">
        <f t="shared" si="46"/>
        <v>5</v>
      </c>
      <c r="BP319" s="153">
        <f t="shared" si="47"/>
        <v>4</v>
      </c>
      <c r="BQ319" s="74" t="s">
        <v>208</v>
      </c>
      <c r="BR319" s="74"/>
    </row>
    <row r="320" spans="1:70" hidden="1">
      <c r="A320">
        <v>306</v>
      </c>
      <c r="B320" s="75">
        <v>45824.153020833335</v>
      </c>
      <c r="E320" s="7">
        <v>45823</v>
      </c>
      <c r="F320">
        <v>861</v>
      </c>
      <c r="I320" s="10" t="s">
        <v>1357</v>
      </c>
      <c r="J320" s="69">
        <v>45824</v>
      </c>
      <c r="K320" s="97">
        <f t="shared" ref="K320:K326" si="53">MONTH($J320)</f>
        <v>6</v>
      </c>
      <c r="L320" s="97">
        <v>318</v>
      </c>
      <c r="O320" s="7" t="s">
        <v>1358</v>
      </c>
      <c r="T320" t="s">
        <v>1359</v>
      </c>
      <c r="X320" s="36" t="s">
        <v>141</v>
      </c>
      <c r="Y320" s="36"/>
      <c r="Z320" s="36"/>
      <c r="AA320" s="36" t="s">
        <v>141</v>
      </c>
      <c r="AB320" s="36" t="s">
        <v>141</v>
      </c>
      <c r="AC320" s="36"/>
      <c r="AD320" s="36" t="s">
        <v>141</v>
      </c>
      <c r="AE320" s="36" t="s">
        <v>141</v>
      </c>
      <c r="AF320" s="36"/>
      <c r="AG320" s="36"/>
      <c r="AH320" s="36" t="s">
        <v>141</v>
      </c>
      <c r="AI320" s="36" t="s">
        <v>141</v>
      </c>
      <c r="AJ320" s="36"/>
      <c r="AK320" s="117" t="s">
        <v>141</v>
      </c>
      <c r="AL320" s="36" t="s">
        <v>141</v>
      </c>
      <c r="AM320" s="36"/>
      <c r="AN320" s="36" t="s">
        <v>141</v>
      </c>
      <c r="AO320" s="36" t="s">
        <v>141</v>
      </c>
      <c r="AP320" s="36" t="s">
        <v>141</v>
      </c>
      <c r="AQ320" s="36"/>
      <c r="AR320" s="36" t="s">
        <v>141</v>
      </c>
      <c r="AS320" s="36"/>
      <c r="AT320" s="36"/>
      <c r="AU320" s="36"/>
      <c r="AV320" s="36"/>
      <c r="AW320" s="117"/>
      <c r="AX320" s="117"/>
      <c r="AY320" s="36"/>
      <c r="AZ320" s="36" t="s">
        <v>141</v>
      </c>
      <c r="BA320" s="117"/>
      <c r="BB320" s="117"/>
      <c r="BC320" s="117"/>
      <c r="BD320" s="117" t="s">
        <v>141</v>
      </c>
      <c r="BE320" s="117"/>
      <c r="BF320" s="117" t="s">
        <v>141</v>
      </c>
      <c r="BG320" s="117"/>
      <c r="BH320" s="117"/>
      <c r="BI320" s="117"/>
      <c r="BJ320" s="117"/>
      <c r="BK320" s="117"/>
      <c r="BL320" s="117"/>
      <c r="BM320" s="117">
        <f t="shared" si="44"/>
        <v>16</v>
      </c>
      <c r="BN320" s="117">
        <f t="shared" si="45"/>
        <v>3</v>
      </c>
      <c r="BO320" s="117">
        <f t="shared" si="46"/>
        <v>4</v>
      </c>
      <c r="BP320" s="153">
        <f t="shared" si="47"/>
        <v>10</v>
      </c>
      <c r="BQ320" s="74" t="s">
        <v>639</v>
      </c>
      <c r="BR320" s="74"/>
    </row>
    <row r="321" spans="1:70" hidden="1">
      <c r="A321">
        <v>307</v>
      </c>
      <c r="B321" s="75">
        <v>45824.461689814816</v>
      </c>
      <c r="E321" s="7">
        <v>45824</v>
      </c>
      <c r="F321">
        <v>862</v>
      </c>
      <c r="I321" s="10" t="s">
        <v>1360</v>
      </c>
      <c r="J321" s="69">
        <v>45824</v>
      </c>
      <c r="K321" s="97">
        <f t="shared" si="53"/>
        <v>6</v>
      </c>
      <c r="L321" s="97">
        <v>319</v>
      </c>
      <c r="O321" s="7" t="s">
        <v>1361</v>
      </c>
      <c r="T321" t="s">
        <v>1362</v>
      </c>
      <c r="X321" s="36"/>
      <c r="Y321" s="36"/>
      <c r="Z321" s="36"/>
      <c r="AA321" s="36" t="s">
        <v>141</v>
      </c>
      <c r="AB321" s="36" t="s">
        <v>141</v>
      </c>
      <c r="AC321" s="36" t="s">
        <v>141</v>
      </c>
      <c r="AD321" s="36" t="s">
        <v>141</v>
      </c>
      <c r="AE321" s="36"/>
      <c r="AF321" s="36"/>
      <c r="AG321" s="36"/>
      <c r="AH321" s="36" t="s">
        <v>141</v>
      </c>
      <c r="AI321" s="36" t="s">
        <v>141</v>
      </c>
      <c r="AJ321" s="36"/>
      <c r="AK321" s="117" t="s">
        <v>141</v>
      </c>
      <c r="AL321" s="36"/>
      <c r="AM321" s="36"/>
      <c r="AN321" s="36"/>
      <c r="AO321" s="36"/>
      <c r="AP321" s="36"/>
      <c r="AQ321" s="36"/>
      <c r="AR321" s="36"/>
      <c r="AS321" s="36" t="s">
        <v>141</v>
      </c>
      <c r="AT321" s="36"/>
      <c r="AU321" s="36"/>
      <c r="AV321" s="36"/>
      <c r="AW321" s="117" t="s">
        <v>141</v>
      </c>
      <c r="AX321" s="117"/>
      <c r="AY321" s="36"/>
      <c r="AZ321" s="36"/>
      <c r="BA321" s="117" t="s">
        <v>141</v>
      </c>
      <c r="BB321" s="117"/>
      <c r="BC321" s="117"/>
      <c r="BD321" s="117" t="s">
        <v>141</v>
      </c>
      <c r="BE321" s="117"/>
      <c r="BF321" s="117" t="s">
        <v>141</v>
      </c>
      <c r="BG321" s="117"/>
      <c r="BH321" s="117"/>
      <c r="BI321" s="117"/>
      <c r="BJ321" s="117"/>
      <c r="BK321" s="117"/>
      <c r="BL321" s="117"/>
      <c r="BM321" s="117">
        <f t="shared" si="44"/>
        <v>12</v>
      </c>
      <c r="BN321" s="117">
        <f t="shared" si="45"/>
        <v>2</v>
      </c>
      <c r="BO321" s="117">
        <f t="shared" si="46"/>
        <v>4</v>
      </c>
      <c r="BP321" s="153">
        <f t="shared" si="47"/>
        <v>6</v>
      </c>
      <c r="BQ321" s="74" t="s">
        <v>208</v>
      </c>
      <c r="BR321" s="74"/>
    </row>
    <row r="322" spans="1:70" hidden="1">
      <c r="A322">
        <v>308</v>
      </c>
      <c r="B322" s="75">
        <v>45825.132222222222</v>
      </c>
      <c r="E322" s="7">
        <v>45825</v>
      </c>
      <c r="F322">
        <v>863</v>
      </c>
      <c r="I322" s="10" t="s">
        <v>1363</v>
      </c>
      <c r="J322" s="69">
        <v>45825</v>
      </c>
      <c r="K322" s="97">
        <f t="shared" si="53"/>
        <v>6</v>
      </c>
      <c r="L322" s="97">
        <v>320</v>
      </c>
      <c r="O322" s="7" t="s">
        <v>156</v>
      </c>
      <c r="T322" t="s">
        <v>1364</v>
      </c>
      <c r="X322" s="36" t="s">
        <v>141</v>
      </c>
      <c r="Y322" s="36"/>
      <c r="Z322" s="36"/>
      <c r="AA322" s="36" t="s">
        <v>141</v>
      </c>
      <c r="AB322" s="36"/>
      <c r="AC322" s="36"/>
      <c r="AD322" s="36" t="s">
        <v>141</v>
      </c>
      <c r="AE322" s="36" t="s">
        <v>141</v>
      </c>
      <c r="AF322" s="36"/>
      <c r="AG322" s="36"/>
      <c r="AH322" s="36" t="s">
        <v>141</v>
      </c>
      <c r="AI322" s="36"/>
      <c r="AJ322" s="36" t="s">
        <v>141</v>
      </c>
      <c r="AK322" s="117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117"/>
      <c r="AX322" s="117" t="s">
        <v>141</v>
      </c>
      <c r="AY322" s="36"/>
      <c r="AZ322" s="36"/>
      <c r="BA322" s="117"/>
      <c r="BB322" s="117" t="s">
        <v>141</v>
      </c>
      <c r="BC322" s="117"/>
      <c r="BD322" s="117"/>
      <c r="BE322" s="117"/>
      <c r="BF322" s="117"/>
      <c r="BG322" s="117"/>
      <c r="BH322" s="117"/>
      <c r="BI322" s="117"/>
      <c r="BJ322" s="117"/>
      <c r="BK322" s="117"/>
      <c r="BL322" s="117"/>
      <c r="BM322" s="117">
        <f t="shared" si="44"/>
        <v>8</v>
      </c>
      <c r="BN322" s="117">
        <f t="shared" si="45"/>
        <v>1</v>
      </c>
      <c r="BO322" s="117">
        <f t="shared" si="46"/>
        <v>3</v>
      </c>
      <c r="BP322" s="153">
        <f t="shared" si="47"/>
        <v>5</v>
      </c>
      <c r="BQ322" s="74" t="s">
        <v>1365</v>
      </c>
      <c r="BR322" s="74"/>
    </row>
    <row r="323" spans="1:70" hidden="1">
      <c r="A323">
        <v>309</v>
      </c>
      <c r="B323" s="75">
        <v>45825.714756944442</v>
      </c>
      <c r="E323" s="7">
        <v>45826</v>
      </c>
      <c r="F323">
        <v>864</v>
      </c>
      <c r="I323" s="10" t="s">
        <v>1366</v>
      </c>
      <c r="J323" s="69">
        <v>45826</v>
      </c>
      <c r="K323" s="97">
        <f t="shared" si="53"/>
        <v>6</v>
      </c>
      <c r="L323" s="97">
        <v>321</v>
      </c>
      <c r="O323" s="7" t="s">
        <v>156</v>
      </c>
      <c r="T323" t="s">
        <v>1367</v>
      </c>
      <c r="X323" s="36"/>
      <c r="Y323" s="36" t="s">
        <v>141</v>
      </c>
      <c r="Z323" s="36"/>
      <c r="AA323" s="36"/>
      <c r="AB323" s="36" t="s">
        <v>141</v>
      </c>
      <c r="AC323" s="36"/>
      <c r="AD323" s="36"/>
      <c r="AE323" s="36" t="s">
        <v>141</v>
      </c>
      <c r="AF323" s="36"/>
      <c r="AG323" s="36"/>
      <c r="AH323" s="36" t="s">
        <v>141</v>
      </c>
      <c r="AI323" s="36" t="s">
        <v>141</v>
      </c>
      <c r="AJ323" s="36" t="s">
        <v>141</v>
      </c>
      <c r="AK323" s="117" t="s">
        <v>141</v>
      </c>
      <c r="AL323" s="36" t="s">
        <v>141</v>
      </c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117" t="s">
        <v>141</v>
      </c>
      <c r="AX323" s="117"/>
      <c r="AY323" s="36"/>
      <c r="AZ323" s="36"/>
      <c r="BA323" s="117"/>
      <c r="BB323" s="117"/>
      <c r="BC323" s="117"/>
      <c r="BD323" s="117"/>
      <c r="BE323" s="117" t="s">
        <v>141</v>
      </c>
      <c r="BF323" s="117"/>
      <c r="BG323" s="117"/>
      <c r="BH323" s="117"/>
      <c r="BI323" s="117"/>
      <c r="BJ323" s="117"/>
      <c r="BK323" s="117"/>
      <c r="BL323" s="117"/>
      <c r="BM323" s="117">
        <f t="shared" si="44"/>
        <v>10</v>
      </c>
      <c r="BN323" s="117">
        <f t="shared" si="45"/>
        <v>2</v>
      </c>
      <c r="BO323" s="117">
        <f t="shared" si="46"/>
        <v>2</v>
      </c>
      <c r="BP323" s="153">
        <f t="shared" si="47"/>
        <v>7</v>
      </c>
      <c r="BQ323" s="74" t="s">
        <v>208</v>
      </c>
      <c r="BR323" s="74"/>
    </row>
    <row r="324" spans="1:70" hidden="1">
      <c r="A324">
        <v>310</v>
      </c>
      <c r="B324" s="75">
        <v>45826.226342592592</v>
      </c>
      <c r="E324" s="7">
        <v>45826</v>
      </c>
      <c r="F324">
        <v>865</v>
      </c>
      <c r="I324" s="10" t="s">
        <v>1368</v>
      </c>
      <c r="J324" s="69">
        <v>45826</v>
      </c>
      <c r="K324" s="97">
        <f t="shared" si="53"/>
        <v>6</v>
      </c>
      <c r="L324" s="97">
        <v>322</v>
      </c>
      <c r="O324" s="7" t="s">
        <v>146</v>
      </c>
      <c r="T324" t="s">
        <v>1369</v>
      </c>
      <c r="X324" s="36" t="s">
        <v>141</v>
      </c>
      <c r="Y324" s="36"/>
      <c r="Z324" s="36" t="s">
        <v>141</v>
      </c>
      <c r="AA324" s="36" t="s">
        <v>141</v>
      </c>
      <c r="AB324" s="36" t="s">
        <v>141</v>
      </c>
      <c r="AC324" s="36"/>
      <c r="AD324" s="36"/>
      <c r="AE324" s="36"/>
      <c r="AF324" s="36"/>
      <c r="AG324" s="36" t="s">
        <v>141</v>
      </c>
      <c r="AH324" s="36" t="s">
        <v>141</v>
      </c>
      <c r="AI324" s="36"/>
      <c r="AJ324" s="36" t="s">
        <v>141</v>
      </c>
      <c r="AK324" s="117" t="s">
        <v>141</v>
      </c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117"/>
      <c r="AX324" s="117"/>
      <c r="AY324" s="36"/>
      <c r="AZ324" s="36"/>
      <c r="BA324" s="117"/>
      <c r="BB324" s="117"/>
      <c r="BC324" s="117"/>
      <c r="BD324" s="117"/>
      <c r="BE324" s="117"/>
      <c r="BF324" s="117" t="s">
        <v>141</v>
      </c>
      <c r="BG324" s="117"/>
      <c r="BH324" s="117"/>
      <c r="BI324" s="117"/>
      <c r="BJ324" s="117"/>
      <c r="BK324" s="117"/>
      <c r="BL324" s="117"/>
      <c r="BM324" s="117">
        <f t="shared" ref="BM324:BM387" si="54">COUNTIF($X324:$BF324, "I")</f>
        <v>9</v>
      </c>
      <c r="BN324" s="117">
        <f t="shared" ref="BN324:BN387" si="55">COUNTIFS($X324:$BF324, "I",$X$2:$BF$2, "DR" )</f>
        <v>3</v>
      </c>
      <c r="BO324" s="117">
        <f t="shared" ref="BO324:BO387" si="56">COUNTIFS($X324:$BF324, "I",$X$5:$BF$5, "OF" )</f>
        <v>4</v>
      </c>
      <c r="BP324" s="153">
        <f t="shared" ref="BP324:BP387" si="57">COUNTIFS($X324:$BF324, "I",$X$5:$BF$5, "FF" )</f>
        <v>4</v>
      </c>
      <c r="BQ324" s="74" t="s">
        <v>273</v>
      </c>
      <c r="BR324" s="74"/>
    </row>
    <row r="325" spans="1:70" hidden="1">
      <c r="A325">
        <v>311</v>
      </c>
      <c r="B325" s="75">
        <v>45826.30363425926</v>
      </c>
      <c r="E325" s="7">
        <v>45826</v>
      </c>
      <c r="F325">
        <v>866</v>
      </c>
      <c r="I325" s="10" t="s">
        <v>1370</v>
      </c>
      <c r="J325" s="69">
        <v>45826</v>
      </c>
      <c r="K325" s="97">
        <f t="shared" si="53"/>
        <v>6</v>
      </c>
      <c r="L325" s="97">
        <v>323</v>
      </c>
      <c r="O325" s="7" t="s">
        <v>254</v>
      </c>
      <c r="T325" t="s">
        <v>1371</v>
      </c>
      <c r="X325" s="36" t="s">
        <v>141</v>
      </c>
      <c r="Y325" s="36"/>
      <c r="Z325" s="36" t="s">
        <v>141</v>
      </c>
      <c r="AA325" s="36" t="s">
        <v>141</v>
      </c>
      <c r="AB325" s="36" t="s">
        <v>141</v>
      </c>
      <c r="AC325" s="36"/>
      <c r="AD325" s="36"/>
      <c r="AE325" s="36"/>
      <c r="AF325" s="36"/>
      <c r="AG325" s="36" t="s">
        <v>141</v>
      </c>
      <c r="AH325" s="36" t="s">
        <v>141</v>
      </c>
      <c r="AI325" s="36"/>
      <c r="AJ325" s="36" t="s">
        <v>141</v>
      </c>
      <c r="AK325" s="117" t="s">
        <v>141</v>
      </c>
      <c r="AL325" s="36"/>
      <c r="AM325" s="36"/>
      <c r="AN325" s="36"/>
      <c r="AO325" s="36" t="s">
        <v>141</v>
      </c>
      <c r="AP325" s="36"/>
      <c r="AQ325" s="36"/>
      <c r="AR325" s="36"/>
      <c r="AS325" s="36"/>
      <c r="AT325" s="36"/>
      <c r="AU325" s="36"/>
      <c r="AV325" s="36"/>
      <c r="AW325" s="117" t="s">
        <v>141</v>
      </c>
      <c r="AX325" s="117"/>
      <c r="AY325" s="36"/>
      <c r="AZ325" s="36"/>
      <c r="BA325" s="117"/>
      <c r="BB325" s="117"/>
      <c r="BC325" s="117"/>
      <c r="BD325" s="117"/>
      <c r="BE325" s="117"/>
      <c r="BF325" s="117" t="s">
        <v>141</v>
      </c>
      <c r="BG325" s="117"/>
      <c r="BH325" s="117" t="s">
        <v>141</v>
      </c>
      <c r="BI325" s="117"/>
      <c r="BJ325" s="117"/>
      <c r="BK325" s="117"/>
      <c r="BL325" s="117"/>
      <c r="BM325" s="117">
        <f t="shared" si="54"/>
        <v>11</v>
      </c>
      <c r="BN325" s="117">
        <f t="shared" si="55"/>
        <v>3</v>
      </c>
      <c r="BO325" s="117">
        <f t="shared" si="56"/>
        <v>4</v>
      </c>
      <c r="BP325" s="153">
        <f t="shared" si="57"/>
        <v>6</v>
      </c>
      <c r="BQ325" s="74" t="s">
        <v>208</v>
      </c>
      <c r="BR325" s="74"/>
    </row>
    <row r="326" spans="1:70" hidden="1">
      <c r="A326">
        <v>312</v>
      </c>
      <c r="B326" s="75">
        <v>45828.174351851849</v>
      </c>
      <c r="E326" s="7">
        <v>45826</v>
      </c>
      <c r="F326">
        <v>867</v>
      </c>
      <c r="I326" s="10" t="s">
        <v>1372</v>
      </c>
      <c r="J326" s="69">
        <v>45828</v>
      </c>
      <c r="K326" s="97">
        <f t="shared" si="53"/>
        <v>6</v>
      </c>
      <c r="L326" s="97">
        <v>324</v>
      </c>
      <c r="O326" s="7" t="s">
        <v>156</v>
      </c>
      <c r="T326" t="s">
        <v>1373</v>
      </c>
      <c r="X326" s="36" t="s">
        <v>141</v>
      </c>
      <c r="Y326" s="36" t="s">
        <v>141</v>
      </c>
      <c r="Z326" s="36"/>
      <c r="AA326" s="36"/>
      <c r="AB326" s="36"/>
      <c r="AC326" s="36"/>
      <c r="AD326" s="36"/>
      <c r="AE326" s="36" t="s">
        <v>141</v>
      </c>
      <c r="AF326" s="36"/>
      <c r="AG326" s="36"/>
      <c r="AH326" s="36" t="s">
        <v>141</v>
      </c>
      <c r="AI326" s="36"/>
      <c r="AJ326" s="36"/>
      <c r="AK326" s="117"/>
      <c r="AL326" s="36" t="s">
        <v>141</v>
      </c>
      <c r="AM326" s="36" t="s">
        <v>141</v>
      </c>
      <c r="AN326" s="36"/>
      <c r="AO326" s="36"/>
      <c r="AP326" s="36"/>
      <c r="AQ326" s="36"/>
      <c r="AR326" s="36"/>
      <c r="AS326" s="36"/>
      <c r="AT326" s="36" t="s">
        <v>141</v>
      </c>
      <c r="AU326" s="36"/>
      <c r="AV326" s="36"/>
      <c r="AW326" s="117"/>
      <c r="AX326" s="117"/>
      <c r="AY326" s="36"/>
      <c r="AZ326" s="36" t="s">
        <v>141</v>
      </c>
      <c r="BA326" s="117"/>
      <c r="BB326" s="117"/>
      <c r="BC326" s="117"/>
      <c r="BD326" s="117"/>
      <c r="BE326" s="117"/>
      <c r="BF326" s="117" t="s">
        <v>141</v>
      </c>
      <c r="BG326" s="117" t="s">
        <v>141</v>
      </c>
      <c r="BH326" s="117"/>
      <c r="BI326" s="117"/>
      <c r="BJ326" s="117"/>
      <c r="BK326" s="117"/>
      <c r="BL326" s="117"/>
      <c r="BM326" s="117">
        <f t="shared" si="54"/>
        <v>9</v>
      </c>
      <c r="BN326" s="117">
        <f t="shared" si="55"/>
        <v>1</v>
      </c>
      <c r="BO326" s="117">
        <f t="shared" si="56"/>
        <v>2</v>
      </c>
      <c r="BP326" s="153">
        <f t="shared" si="57"/>
        <v>6</v>
      </c>
      <c r="BQ326" s="74" t="s">
        <v>502</v>
      </c>
      <c r="BR326" s="74"/>
    </row>
    <row r="327" spans="1:70" hidden="1">
      <c r="A327">
        <v>313</v>
      </c>
      <c r="B327" s="75">
        <v>45833.010011574072</v>
      </c>
      <c r="E327" s="7">
        <v>45833</v>
      </c>
      <c r="F327">
        <v>868</v>
      </c>
      <c r="I327" s="10" t="s">
        <v>1374</v>
      </c>
      <c r="J327" s="69">
        <v>45833</v>
      </c>
      <c r="K327" s="97">
        <f t="shared" ref="K327:K334" si="58">MONTH($J327)</f>
        <v>6</v>
      </c>
      <c r="L327" s="97">
        <v>325</v>
      </c>
      <c r="O327" s="7" t="s">
        <v>156</v>
      </c>
      <c r="T327" t="s">
        <v>1375</v>
      </c>
      <c r="X327" s="36"/>
      <c r="Y327" s="36" t="s">
        <v>141</v>
      </c>
      <c r="Z327" s="36"/>
      <c r="AA327" s="36" t="s">
        <v>141</v>
      </c>
      <c r="AB327" s="36"/>
      <c r="AC327" s="36" t="s">
        <v>141</v>
      </c>
      <c r="AD327" s="36"/>
      <c r="AE327" s="36"/>
      <c r="AF327" s="36"/>
      <c r="AG327" s="36"/>
      <c r="AH327" s="36" t="s">
        <v>141</v>
      </c>
      <c r="AI327" s="36"/>
      <c r="AJ327" s="36" t="s">
        <v>141</v>
      </c>
      <c r="AK327" s="117"/>
      <c r="AL327" s="36"/>
      <c r="AM327" s="36" t="s">
        <v>141</v>
      </c>
      <c r="AN327" s="36"/>
      <c r="AO327" s="36"/>
      <c r="AP327" s="36"/>
      <c r="AQ327" s="36"/>
      <c r="AR327" s="36"/>
      <c r="AS327" s="36"/>
      <c r="AT327" s="36"/>
      <c r="AU327" s="36"/>
      <c r="AV327" s="36"/>
      <c r="AW327" s="117" t="s">
        <v>141</v>
      </c>
      <c r="AX327" s="117"/>
      <c r="AY327" s="36" t="s">
        <v>141</v>
      </c>
      <c r="AZ327" s="36" t="s">
        <v>141</v>
      </c>
      <c r="BA327" s="117"/>
      <c r="BB327" s="117"/>
      <c r="BC327" s="117"/>
      <c r="BD327" s="117"/>
      <c r="BE327" s="117" t="s">
        <v>141</v>
      </c>
      <c r="BF327" s="117"/>
      <c r="BG327" s="117"/>
      <c r="BH327" s="117"/>
      <c r="BI327" s="117"/>
      <c r="BJ327" s="117"/>
      <c r="BK327" s="117"/>
      <c r="BL327" s="117"/>
      <c r="BM327" s="117">
        <f t="shared" si="54"/>
        <v>10</v>
      </c>
      <c r="BN327" s="117">
        <f t="shared" si="55"/>
        <v>2</v>
      </c>
      <c r="BO327" s="117">
        <f t="shared" si="56"/>
        <v>3</v>
      </c>
      <c r="BP327" s="153">
        <f t="shared" si="57"/>
        <v>6</v>
      </c>
      <c r="BQ327" s="74" t="s">
        <v>273</v>
      </c>
      <c r="BR327" s="74"/>
    </row>
    <row r="328" spans="1:70" hidden="1">
      <c r="A328">
        <v>314</v>
      </c>
      <c r="B328" s="75">
        <v>45833.063368055555</v>
      </c>
      <c r="E328" s="7">
        <v>45833</v>
      </c>
      <c r="F328">
        <v>869</v>
      </c>
      <c r="I328" s="10" t="s">
        <v>1376</v>
      </c>
      <c r="J328" s="69">
        <v>45833</v>
      </c>
      <c r="K328" s="97">
        <f t="shared" si="58"/>
        <v>6</v>
      </c>
      <c r="L328" s="97">
        <v>326</v>
      </c>
      <c r="O328" s="7" t="s">
        <v>1377</v>
      </c>
      <c r="T328" t="s">
        <v>1378</v>
      </c>
      <c r="X328" s="36"/>
      <c r="Y328" s="36"/>
      <c r="Z328" s="36"/>
      <c r="AA328" s="36" t="s">
        <v>141</v>
      </c>
      <c r="AB328" s="36"/>
      <c r="AC328" s="36"/>
      <c r="AD328" s="36"/>
      <c r="AE328" s="36"/>
      <c r="AF328" s="36"/>
      <c r="AG328" s="36"/>
      <c r="AH328" s="36" t="s">
        <v>141</v>
      </c>
      <c r="AI328" s="36"/>
      <c r="AJ328" s="36" t="s">
        <v>141</v>
      </c>
      <c r="AK328" s="117"/>
      <c r="AL328" s="36"/>
      <c r="AM328" s="36" t="s">
        <v>141</v>
      </c>
      <c r="AN328" s="36"/>
      <c r="AO328" s="36"/>
      <c r="AP328" s="36"/>
      <c r="AQ328" s="36"/>
      <c r="AR328" s="36"/>
      <c r="AS328" s="36"/>
      <c r="AT328" s="36"/>
      <c r="AU328" s="36"/>
      <c r="AV328" s="36"/>
      <c r="AW328" s="117" t="s">
        <v>141</v>
      </c>
      <c r="AX328" s="117"/>
      <c r="AY328" s="36"/>
      <c r="AZ328" s="36" t="s">
        <v>141</v>
      </c>
      <c r="BA328" s="117"/>
      <c r="BB328" s="117"/>
      <c r="BC328" s="117"/>
      <c r="BD328" s="117"/>
      <c r="BE328" s="117" t="s">
        <v>141</v>
      </c>
      <c r="BF328" s="117"/>
      <c r="BG328" s="117"/>
      <c r="BH328" s="117"/>
      <c r="BI328" s="117"/>
      <c r="BJ328" s="117"/>
      <c r="BK328" s="117"/>
      <c r="BL328" s="117"/>
      <c r="BM328" s="117">
        <f t="shared" si="54"/>
        <v>7</v>
      </c>
      <c r="BN328" s="117">
        <f t="shared" si="55"/>
        <v>2</v>
      </c>
      <c r="BO328" s="117">
        <f t="shared" si="56"/>
        <v>1</v>
      </c>
      <c r="BP328" s="153">
        <f t="shared" si="57"/>
        <v>5</v>
      </c>
      <c r="BQ328" s="74" t="s">
        <v>178</v>
      </c>
      <c r="BR328" s="74"/>
    </row>
    <row r="329" spans="1:70" hidden="1">
      <c r="A329">
        <v>315</v>
      </c>
      <c r="B329" s="75">
        <v>45833.95952546296</v>
      </c>
      <c r="E329" s="7">
        <v>45834</v>
      </c>
      <c r="F329">
        <v>870</v>
      </c>
      <c r="I329" s="10" t="s">
        <v>1379</v>
      </c>
      <c r="J329" s="69">
        <v>45834</v>
      </c>
      <c r="K329" s="97">
        <f t="shared" si="58"/>
        <v>6</v>
      </c>
      <c r="L329" s="97">
        <v>327</v>
      </c>
      <c r="O329" s="7" t="s">
        <v>234</v>
      </c>
      <c r="T329" t="s">
        <v>1380</v>
      </c>
      <c r="X329" s="36"/>
      <c r="Y329" s="36" t="s">
        <v>141</v>
      </c>
      <c r="Z329" s="36"/>
      <c r="AA329" s="36" t="s">
        <v>141</v>
      </c>
      <c r="AB329" s="36"/>
      <c r="AC329" s="36"/>
      <c r="AD329" s="36" t="s">
        <v>141</v>
      </c>
      <c r="AE329" s="36"/>
      <c r="AF329" s="36"/>
      <c r="AG329" s="36"/>
      <c r="AH329" s="36" t="s">
        <v>141</v>
      </c>
      <c r="AI329" s="36" t="s">
        <v>141</v>
      </c>
      <c r="AJ329" s="36"/>
      <c r="AK329" s="117"/>
      <c r="AL329" s="36"/>
      <c r="AM329" s="36" t="s">
        <v>141</v>
      </c>
      <c r="AN329" s="36" t="s">
        <v>141</v>
      </c>
      <c r="AO329" s="36"/>
      <c r="AP329" s="36"/>
      <c r="AQ329" s="36"/>
      <c r="AR329" s="36"/>
      <c r="AS329" s="36"/>
      <c r="AT329" s="36"/>
      <c r="AU329" s="36"/>
      <c r="AV329" s="36"/>
      <c r="AW329" s="117"/>
      <c r="AX329" s="117"/>
      <c r="AY329" s="36"/>
      <c r="AZ329" s="36" t="s">
        <v>141</v>
      </c>
      <c r="BA329" s="117"/>
      <c r="BB329" s="117"/>
      <c r="BC329" s="117"/>
      <c r="BD329" s="117" t="s">
        <v>141</v>
      </c>
      <c r="BE329" s="117"/>
      <c r="BF329" s="117"/>
      <c r="BG329" s="117"/>
      <c r="BH329" s="117"/>
      <c r="BI329" s="117"/>
      <c r="BJ329" s="117"/>
      <c r="BK329" s="117"/>
      <c r="BL329" s="117"/>
      <c r="BM329" s="117">
        <f t="shared" si="54"/>
        <v>9</v>
      </c>
      <c r="BN329" s="117">
        <f t="shared" si="55"/>
        <v>2</v>
      </c>
      <c r="BO329" s="117">
        <f t="shared" si="56"/>
        <v>3</v>
      </c>
      <c r="BP329" s="153">
        <f t="shared" si="57"/>
        <v>5</v>
      </c>
      <c r="BQ329" s="74" t="s">
        <v>178</v>
      </c>
      <c r="BR329" s="74"/>
    </row>
    <row r="330" spans="1:70" hidden="1">
      <c r="A330">
        <v>316</v>
      </c>
      <c r="B330" s="75">
        <v>45834.116805555554</v>
      </c>
      <c r="E330" s="7">
        <v>45834</v>
      </c>
      <c r="F330">
        <v>871</v>
      </c>
      <c r="I330" s="10" t="s">
        <v>1381</v>
      </c>
      <c r="J330" s="69">
        <v>45834</v>
      </c>
      <c r="K330" s="97">
        <f t="shared" si="58"/>
        <v>6</v>
      </c>
      <c r="L330" s="97">
        <v>328</v>
      </c>
      <c r="O330" s="7" t="s">
        <v>197</v>
      </c>
      <c r="T330" t="s">
        <v>1382</v>
      </c>
      <c r="X330" s="36"/>
      <c r="Y330" s="36"/>
      <c r="Z330" s="36"/>
      <c r="AA330" s="36" t="s">
        <v>141</v>
      </c>
      <c r="AB330" s="36"/>
      <c r="AC330" s="36"/>
      <c r="AD330" s="36" t="s">
        <v>141</v>
      </c>
      <c r="AE330" s="36"/>
      <c r="AF330" s="36"/>
      <c r="AG330" s="36"/>
      <c r="AH330" s="36" t="s">
        <v>141</v>
      </c>
      <c r="AI330" s="36" t="s">
        <v>141</v>
      </c>
      <c r="AJ330" s="36" t="s">
        <v>141</v>
      </c>
      <c r="AK330" s="117"/>
      <c r="AL330" s="36"/>
      <c r="AM330" s="36" t="s">
        <v>141</v>
      </c>
      <c r="AN330" s="36"/>
      <c r="AO330" s="36"/>
      <c r="AP330" s="36"/>
      <c r="AQ330" s="36" t="s">
        <v>141</v>
      </c>
      <c r="AR330" s="36"/>
      <c r="AS330" s="36"/>
      <c r="AT330" s="36"/>
      <c r="AU330" s="36" t="s">
        <v>141</v>
      </c>
      <c r="AV330" s="36"/>
      <c r="AW330" s="117" t="s">
        <v>141</v>
      </c>
      <c r="AX330" s="117"/>
      <c r="AY330" s="36" t="s">
        <v>141</v>
      </c>
      <c r="AZ330" s="36" t="s">
        <v>141</v>
      </c>
      <c r="BA330" s="117"/>
      <c r="BB330" s="117"/>
      <c r="BC330" s="117"/>
      <c r="BD330" s="117"/>
      <c r="BE330" s="117" t="s">
        <v>141</v>
      </c>
      <c r="BF330" s="117"/>
      <c r="BG330" s="117"/>
      <c r="BH330" s="117"/>
      <c r="BI330" s="117"/>
      <c r="BJ330" s="117"/>
      <c r="BK330" s="117"/>
      <c r="BL330" s="117"/>
      <c r="BM330" s="117">
        <f t="shared" si="54"/>
        <v>12</v>
      </c>
      <c r="BN330" s="117">
        <f t="shared" si="55"/>
        <v>2</v>
      </c>
      <c r="BO330" s="117">
        <f t="shared" si="56"/>
        <v>2</v>
      </c>
      <c r="BP330" s="153">
        <f t="shared" si="57"/>
        <v>9</v>
      </c>
      <c r="BQ330" s="74" t="s">
        <v>1033</v>
      </c>
      <c r="BR330" s="74"/>
    </row>
    <row r="331" spans="1:70" hidden="1">
      <c r="A331">
        <v>317</v>
      </c>
      <c r="B331" s="75">
        <v>45835.509432870371</v>
      </c>
      <c r="E331" s="7">
        <v>45836</v>
      </c>
      <c r="F331">
        <v>872</v>
      </c>
      <c r="I331" s="10" t="s">
        <v>1383</v>
      </c>
      <c r="J331" s="69">
        <v>45836</v>
      </c>
      <c r="K331" s="97">
        <f t="shared" si="58"/>
        <v>6</v>
      </c>
      <c r="L331" s="97">
        <v>329</v>
      </c>
      <c r="O331" s="7" t="s">
        <v>134</v>
      </c>
      <c r="T331" t="s">
        <v>1384</v>
      </c>
      <c r="X331" s="36"/>
      <c r="Y331" s="36"/>
      <c r="Z331" s="36" t="s">
        <v>141</v>
      </c>
      <c r="AA331" s="36"/>
      <c r="AB331" s="36"/>
      <c r="AC331" s="36" t="s">
        <v>141</v>
      </c>
      <c r="AD331" s="36"/>
      <c r="AE331" s="36" t="s">
        <v>141</v>
      </c>
      <c r="AF331" s="36"/>
      <c r="AG331" s="36" t="s">
        <v>141</v>
      </c>
      <c r="AH331" s="36"/>
      <c r="AI331" s="36" t="s">
        <v>141</v>
      </c>
      <c r="AJ331" s="36" t="s">
        <v>141</v>
      </c>
      <c r="AK331" s="117"/>
      <c r="AL331" s="36" t="s">
        <v>141</v>
      </c>
      <c r="AM331" s="36"/>
      <c r="AN331" s="36"/>
      <c r="AO331" s="36"/>
      <c r="AP331" s="36" t="s">
        <v>141</v>
      </c>
      <c r="AQ331" s="36"/>
      <c r="AR331" s="36"/>
      <c r="AS331" s="36"/>
      <c r="AT331" s="36"/>
      <c r="AU331" s="36"/>
      <c r="AV331" s="36"/>
      <c r="AW331" s="117" t="s">
        <v>141</v>
      </c>
      <c r="AX331" s="117" t="s">
        <v>141</v>
      </c>
      <c r="AY331" s="36"/>
      <c r="AZ331" s="36"/>
      <c r="BA331" s="117" t="s">
        <v>141</v>
      </c>
      <c r="BB331" s="117"/>
      <c r="BC331" s="117"/>
      <c r="BD331" s="117"/>
      <c r="BE331" s="117"/>
      <c r="BF331" s="117"/>
      <c r="BG331" s="117"/>
      <c r="BH331" s="117"/>
      <c r="BI331" s="117"/>
      <c r="BJ331" s="117"/>
      <c r="BK331" s="117"/>
      <c r="BL331" s="117"/>
      <c r="BM331" s="117">
        <f t="shared" si="54"/>
        <v>11</v>
      </c>
      <c r="BN331" s="117">
        <f t="shared" si="55"/>
        <v>2</v>
      </c>
      <c r="BO331" s="117">
        <f t="shared" si="56"/>
        <v>2</v>
      </c>
      <c r="BP331" s="153">
        <f t="shared" si="57"/>
        <v>9</v>
      </c>
      <c r="BQ331" s="74" t="s">
        <v>627</v>
      </c>
      <c r="BR331" s="74"/>
    </row>
    <row r="332" spans="1:70" hidden="1">
      <c r="A332">
        <v>318</v>
      </c>
      <c r="B332" s="75">
        <v>45837.458414351851</v>
      </c>
      <c r="E332" s="7">
        <v>45837</v>
      </c>
      <c r="F332">
        <v>873</v>
      </c>
      <c r="I332" s="10" t="s">
        <v>1385</v>
      </c>
      <c r="J332" s="69">
        <v>45837</v>
      </c>
      <c r="K332" s="97">
        <f t="shared" si="58"/>
        <v>6</v>
      </c>
      <c r="L332" s="97">
        <v>330</v>
      </c>
      <c r="O332" s="7" t="s">
        <v>156</v>
      </c>
      <c r="T332" t="s">
        <v>1386</v>
      </c>
      <c r="X332" s="36" t="s">
        <v>141</v>
      </c>
      <c r="Y332" s="36"/>
      <c r="Z332" s="36"/>
      <c r="AA332" s="36" t="s">
        <v>141</v>
      </c>
      <c r="AB332" s="36" t="s">
        <v>141</v>
      </c>
      <c r="AC332" s="36"/>
      <c r="AD332" s="36"/>
      <c r="AE332" s="36" t="s">
        <v>141</v>
      </c>
      <c r="AF332" s="36" t="s">
        <v>141</v>
      </c>
      <c r="AG332" s="36" t="s">
        <v>141</v>
      </c>
      <c r="AH332" s="36"/>
      <c r="AI332" s="36"/>
      <c r="AJ332" s="36" t="s">
        <v>141</v>
      </c>
      <c r="AK332" s="117"/>
      <c r="AL332" s="36" t="s">
        <v>141</v>
      </c>
      <c r="AM332" s="36" t="s">
        <v>141</v>
      </c>
      <c r="AN332" s="36"/>
      <c r="AO332" s="36"/>
      <c r="AP332" s="36"/>
      <c r="AQ332" s="36"/>
      <c r="AR332" s="36" t="s">
        <v>141</v>
      </c>
      <c r="AS332" s="36"/>
      <c r="AT332" s="36" t="s">
        <v>141</v>
      </c>
      <c r="AU332" s="36"/>
      <c r="AV332" s="36"/>
      <c r="AW332" s="117"/>
      <c r="AX332" s="117"/>
      <c r="AY332" s="36"/>
      <c r="AZ332" s="36"/>
      <c r="BA332" s="117" t="s">
        <v>141</v>
      </c>
      <c r="BB332" s="117"/>
      <c r="BC332" s="117" t="s">
        <v>141</v>
      </c>
      <c r="BD332" s="117"/>
      <c r="BE332" s="117"/>
      <c r="BF332" s="117"/>
      <c r="BG332" s="117"/>
      <c r="BH332" s="117"/>
      <c r="BI332" s="117"/>
      <c r="BJ332" s="117"/>
      <c r="BK332" s="117"/>
      <c r="BL332" s="117"/>
      <c r="BM332" s="117">
        <f t="shared" si="54"/>
        <v>13</v>
      </c>
      <c r="BN332" s="117">
        <f t="shared" si="55"/>
        <v>4</v>
      </c>
      <c r="BO332" s="117">
        <f t="shared" si="56"/>
        <v>3</v>
      </c>
      <c r="BP332" s="153">
        <f t="shared" si="57"/>
        <v>10</v>
      </c>
      <c r="BQ332" s="74" t="s">
        <v>208</v>
      </c>
      <c r="BR332" s="74"/>
    </row>
    <row r="333" spans="1:70" hidden="1">
      <c r="A333">
        <v>319</v>
      </c>
      <c r="B333" s="75">
        <v>45837.784687500003</v>
      </c>
      <c r="E333" s="7">
        <v>45837</v>
      </c>
      <c r="F333">
        <v>874</v>
      </c>
      <c r="I333" s="10" t="s">
        <v>1387</v>
      </c>
      <c r="J333" s="69">
        <v>45838</v>
      </c>
      <c r="K333" s="97">
        <f t="shared" si="58"/>
        <v>6</v>
      </c>
      <c r="L333" s="97">
        <v>331</v>
      </c>
      <c r="O333" s="7" t="s">
        <v>134</v>
      </c>
      <c r="T333" t="s">
        <v>1388</v>
      </c>
      <c r="X333" s="36" t="s">
        <v>141</v>
      </c>
      <c r="Y333" s="36"/>
      <c r="Z333" s="36"/>
      <c r="AA333" s="36" t="s">
        <v>141</v>
      </c>
      <c r="AB333" s="36"/>
      <c r="AC333" s="36"/>
      <c r="AD333" s="36"/>
      <c r="AE333" s="36"/>
      <c r="AF333" s="36" t="s">
        <v>141</v>
      </c>
      <c r="AG333" s="36" t="s">
        <v>141</v>
      </c>
      <c r="AH333" s="36"/>
      <c r="AI333" s="36" t="s">
        <v>141</v>
      </c>
      <c r="AJ333" s="36" t="s">
        <v>141</v>
      </c>
      <c r="AK333" s="117"/>
      <c r="AL333" s="36" t="s">
        <v>141</v>
      </c>
      <c r="AM333" s="36" t="s">
        <v>141</v>
      </c>
      <c r="AN333" s="36"/>
      <c r="AO333" s="36"/>
      <c r="AP333" s="36"/>
      <c r="AQ333" s="36"/>
      <c r="AR333" s="36"/>
      <c r="AS333" s="36"/>
      <c r="AT333" s="36"/>
      <c r="AU333" s="36"/>
      <c r="AV333" s="36"/>
      <c r="AW333" s="117" t="s">
        <v>141</v>
      </c>
      <c r="AX333" s="117"/>
      <c r="AY333" s="36"/>
      <c r="AZ333" s="36"/>
      <c r="BA333" s="117" t="s">
        <v>141</v>
      </c>
      <c r="BB333" s="117"/>
      <c r="BC333" s="117"/>
      <c r="BD333" s="117"/>
      <c r="BE333" s="117"/>
      <c r="BF333" s="117"/>
      <c r="BG333" s="117"/>
      <c r="BH333" s="117"/>
      <c r="BI333" s="117"/>
      <c r="BJ333" s="117"/>
      <c r="BK333" s="117"/>
      <c r="BL333" s="117"/>
      <c r="BM333" s="117">
        <f t="shared" si="54"/>
        <v>10</v>
      </c>
      <c r="BN333" s="117">
        <f t="shared" si="55"/>
        <v>3</v>
      </c>
      <c r="BO333" s="117">
        <f t="shared" si="56"/>
        <v>2</v>
      </c>
      <c r="BP333" s="153">
        <f t="shared" si="57"/>
        <v>8</v>
      </c>
      <c r="BQ333" s="74" t="s">
        <v>178</v>
      </c>
      <c r="BR333" s="74"/>
    </row>
    <row r="334" spans="1:70" hidden="1">
      <c r="A334">
        <v>320</v>
      </c>
      <c r="B334" s="75">
        <v>45837.812997685185</v>
      </c>
      <c r="E334" s="7">
        <v>45838</v>
      </c>
      <c r="F334">
        <v>875</v>
      </c>
      <c r="I334" s="10" t="s">
        <v>1389</v>
      </c>
      <c r="J334" s="69">
        <v>45838</v>
      </c>
      <c r="K334" s="97">
        <f t="shared" si="58"/>
        <v>6</v>
      </c>
      <c r="L334" s="97">
        <v>332</v>
      </c>
      <c r="O334" s="7" t="s">
        <v>197</v>
      </c>
      <c r="T334" t="s">
        <v>1390</v>
      </c>
      <c r="X334" s="36"/>
      <c r="Y334" s="36" t="s">
        <v>141</v>
      </c>
      <c r="Z334" s="36" t="s">
        <v>141</v>
      </c>
      <c r="AA334" s="36"/>
      <c r="AB334" s="36"/>
      <c r="AC334" s="36"/>
      <c r="AD334" s="36"/>
      <c r="AE334" s="36"/>
      <c r="AF334" s="36"/>
      <c r="AG334" s="36"/>
      <c r="AH334" s="36" t="s">
        <v>141</v>
      </c>
      <c r="AI334" s="36"/>
      <c r="AJ334" s="36" t="s">
        <v>141</v>
      </c>
      <c r="AK334" s="117" t="s">
        <v>141</v>
      </c>
      <c r="AL334" s="36" t="s">
        <v>141</v>
      </c>
      <c r="AM334" s="36" t="s">
        <v>141</v>
      </c>
      <c r="AN334" s="36"/>
      <c r="AO334" s="36"/>
      <c r="AP334" s="36"/>
      <c r="AQ334" s="36"/>
      <c r="AR334" s="36"/>
      <c r="AS334" s="36"/>
      <c r="AT334" s="36"/>
      <c r="AU334" s="36"/>
      <c r="AV334" s="36"/>
      <c r="AW334" s="117"/>
      <c r="AX334" s="117"/>
      <c r="AY334" s="36"/>
      <c r="AZ334" s="36"/>
      <c r="BA334" s="117"/>
      <c r="BB334" s="117"/>
      <c r="BC334" s="117"/>
      <c r="BD334" s="117"/>
      <c r="BE334" s="117"/>
      <c r="BF334" s="117"/>
      <c r="BG334" s="117"/>
      <c r="BH334" s="117"/>
      <c r="BI334" s="117"/>
      <c r="BJ334" s="117"/>
      <c r="BK334" s="117"/>
      <c r="BL334" s="117"/>
      <c r="BM334" s="117">
        <f t="shared" si="54"/>
        <v>7</v>
      </c>
      <c r="BN334" s="117">
        <f t="shared" si="55"/>
        <v>3</v>
      </c>
      <c r="BO334" s="117">
        <f t="shared" si="56"/>
        <v>2</v>
      </c>
      <c r="BP334" s="153">
        <f t="shared" si="57"/>
        <v>5</v>
      </c>
      <c r="BQ334" s="74" t="s">
        <v>273</v>
      </c>
      <c r="BR334" s="74"/>
    </row>
    <row r="335" spans="1:70" hidden="1">
      <c r="A335">
        <v>321</v>
      </c>
      <c r="B335" s="75">
        <v>45838.59065972222</v>
      </c>
      <c r="E335" s="7">
        <v>45839</v>
      </c>
      <c r="F335">
        <v>876</v>
      </c>
      <c r="I335" s="10" t="s">
        <v>1391</v>
      </c>
      <c r="J335" s="69">
        <v>45839</v>
      </c>
      <c r="K335" s="97">
        <f t="shared" ref="K335:K340" si="59">MONTH($J335)</f>
        <v>7</v>
      </c>
      <c r="L335" s="97">
        <v>333</v>
      </c>
      <c r="O335" s="7" t="s">
        <v>254</v>
      </c>
      <c r="T335" t="s">
        <v>1392</v>
      </c>
      <c r="X335" s="36" t="s">
        <v>141</v>
      </c>
      <c r="Y335" s="36"/>
      <c r="Z335" s="36"/>
      <c r="AA335" s="36"/>
      <c r="AB335" s="36" t="s">
        <v>141</v>
      </c>
      <c r="AC335" s="36"/>
      <c r="AD335" s="36"/>
      <c r="AE335" s="36"/>
      <c r="AF335" s="36"/>
      <c r="AG335" s="36"/>
      <c r="AH335" s="36" t="s">
        <v>141</v>
      </c>
      <c r="AI335" s="36" t="s">
        <v>141</v>
      </c>
      <c r="AJ335" s="36"/>
      <c r="AK335" s="117"/>
      <c r="AL335" s="36" t="s">
        <v>141</v>
      </c>
      <c r="AM335" s="36"/>
      <c r="AN335" s="36"/>
      <c r="AO335" s="36" t="s">
        <v>141</v>
      </c>
      <c r="AP335" s="36"/>
      <c r="AQ335" s="36"/>
      <c r="AR335" s="36"/>
      <c r="AS335" s="36"/>
      <c r="AT335" s="36"/>
      <c r="AU335" s="36"/>
      <c r="AV335" s="36"/>
      <c r="AW335" s="117" t="s">
        <v>141</v>
      </c>
      <c r="AX335" s="117"/>
      <c r="AY335" s="36"/>
      <c r="AZ335" s="36"/>
      <c r="BA335" s="117"/>
      <c r="BB335" s="117" t="s">
        <v>141</v>
      </c>
      <c r="BC335" s="117"/>
      <c r="BD335" s="117"/>
      <c r="BE335" s="117"/>
      <c r="BF335" s="117"/>
      <c r="BG335" s="117"/>
      <c r="BH335" s="117"/>
      <c r="BI335" s="117"/>
      <c r="BJ335" s="117"/>
      <c r="BK335" s="117"/>
      <c r="BL335" s="117"/>
      <c r="BM335" s="117">
        <f t="shared" si="54"/>
        <v>8</v>
      </c>
      <c r="BN335" s="117">
        <f t="shared" si="55"/>
        <v>0</v>
      </c>
      <c r="BO335" s="117">
        <f t="shared" si="56"/>
        <v>2</v>
      </c>
      <c r="BP335" s="153">
        <f t="shared" si="57"/>
        <v>6</v>
      </c>
      <c r="BQ335" s="74" t="s">
        <v>208</v>
      </c>
      <c r="BR335" s="74"/>
    </row>
    <row r="336" spans="1:70" hidden="1">
      <c r="A336">
        <v>322</v>
      </c>
      <c r="B336" s="75">
        <v>45838.968668981484</v>
      </c>
      <c r="E336" s="7">
        <v>45839</v>
      </c>
      <c r="F336">
        <v>877</v>
      </c>
      <c r="I336" s="10" t="s">
        <v>1393</v>
      </c>
      <c r="J336" s="69">
        <v>45839</v>
      </c>
      <c r="K336" s="97">
        <f t="shared" si="59"/>
        <v>7</v>
      </c>
      <c r="L336" s="97">
        <v>334</v>
      </c>
      <c r="O336" s="7" t="s">
        <v>134</v>
      </c>
      <c r="T336" t="s">
        <v>1394</v>
      </c>
      <c r="X336" s="36"/>
      <c r="Y336" s="36"/>
      <c r="Z336" s="36"/>
      <c r="AA336" s="36"/>
      <c r="AB336" s="36" t="s">
        <v>141</v>
      </c>
      <c r="AC336" s="36"/>
      <c r="AD336" s="36" t="s">
        <v>141</v>
      </c>
      <c r="AE336" s="36" t="s">
        <v>141</v>
      </c>
      <c r="AF336" s="36" t="s">
        <v>141</v>
      </c>
      <c r="AG336" s="36"/>
      <c r="AH336" s="36" t="s">
        <v>141</v>
      </c>
      <c r="AI336" s="36"/>
      <c r="AJ336" s="36" t="s">
        <v>141</v>
      </c>
      <c r="AK336" s="117" t="s">
        <v>141</v>
      </c>
      <c r="AL336" s="36"/>
      <c r="AM336" s="36"/>
      <c r="AN336" s="36" t="s">
        <v>141</v>
      </c>
      <c r="AO336" s="36" t="s">
        <v>141</v>
      </c>
      <c r="AP336" s="36"/>
      <c r="AQ336" s="36"/>
      <c r="AR336" s="36"/>
      <c r="AS336" s="36"/>
      <c r="AT336" s="36"/>
      <c r="AU336" s="36"/>
      <c r="AV336" s="36"/>
      <c r="AW336" s="117"/>
      <c r="AX336" s="117"/>
      <c r="AY336" s="36"/>
      <c r="AZ336" s="36"/>
      <c r="BA336" s="117"/>
      <c r="BB336" s="117"/>
      <c r="BC336" s="117"/>
      <c r="BD336" s="117"/>
      <c r="BE336" s="117" t="s">
        <v>141</v>
      </c>
      <c r="BF336" s="117"/>
      <c r="BG336" s="117"/>
      <c r="BH336" s="117"/>
      <c r="BI336" s="117"/>
      <c r="BJ336" s="117"/>
      <c r="BK336" s="117"/>
      <c r="BL336" s="117"/>
      <c r="BM336" s="117">
        <f t="shared" si="54"/>
        <v>10</v>
      </c>
      <c r="BN336" s="117">
        <f t="shared" si="55"/>
        <v>3</v>
      </c>
      <c r="BO336" s="117">
        <f t="shared" si="56"/>
        <v>2</v>
      </c>
      <c r="BP336" s="153">
        <f t="shared" si="57"/>
        <v>7</v>
      </c>
      <c r="BQ336" s="74" t="s">
        <v>1181</v>
      </c>
      <c r="BR336" s="74"/>
    </row>
    <row r="337" spans="1:70" hidden="1">
      <c r="A337">
        <v>323</v>
      </c>
      <c r="B337" s="75">
        <v>45839.180462962962</v>
      </c>
      <c r="E337" s="7">
        <v>45839</v>
      </c>
      <c r="F337">
        <v>878</v>
      </c>
      <c r="I337" s="10" t="s">
        <v>1395</v>
      </c>
      <c r="J337" s="69">
        <v>45839</v>
      </c>
      <c r="K337" s="97">
        <f t="shared" si="59"/>
        <v>7</v>
      </c>
      <c r="L337" s="97">
        <v>335</v>
      </c>
      <c r="O337" s="7" t="s">
        <v>234</v>
      </c>
      <c r="T337" t="s">
        <v>1396</v>
      </c>
      <c r="X337" s="36" t="s">
        <v>141</v>
      </c>
      <c r="Y337" s="36"/>
      <c r="Z337" s="36"/>
      <c r="AA337" s="36"/>
      <c r="AB337" s="36" t="s">
        <v>141</v>
      </c>
      <c r="AC337" s="36"/>
      <c r="AD337" s="36" t="s">
        <v>141</v>
      </c>
      <c r="AE337" s="36" t="s">
        <v>141</v>
      </c>
      <c r="AF337" s="36"/>
      <c r="AG337" s="36" t="s">
        <v>141</v>
      </c>
      <c r="AH337" s="36" t="s">
        <v>141</v>
      </c>
      <c r="AI337" s="36" t="s">
        <v>141</v>
      </c>
      <c r="AJ337" s="36" t="s">
        <v>141</v>
      </c>
      <c r="AK337" s="117"/>
      <c r="AL337" s="36"/>
      <c r="AM337" s="36"/>
      <c r="AN337" s="36" t="s">
        <v>141</v>
      </c>
      <c r="AO337" s="36" t="s">
        <v>141</v>
      </c>
      <c r="AP337" s="36"/>
      <c r="AQ337" s="36"/>
      <c r="AR337" s="36"/>
      <c r="AS337" s="36"/>
      <c r="AT337" s="36"/>
      <c r="AU337" s="36"/>
      <c r="AV337" s="36"/>
      <c r="AW337" s="117" t="s">
        <v>141</v>
      </c>
      <c r="AX337" s="117"/>
      <c r="AY337" s="36"/>
      <c r="AZ337" s="36"/>
      <c r="BA337" s="117"/>
      <c r="BB337" s="117"/>
      <c r="BC337" s="117"/>
      <c r="BD337" s="117"/>
      <c r="BE337" s="117" t="s">
        <v>141</v>
      </c>
      <c r="BF337" s="117"/>
      <c r="BG337" s="117"/>
      <c r="BH337" s="117"/>
      <c r="BI337" s="117"/>
      <c r="BJ337" s="117"/>
      <c r="BK337" s="117"/>
      <c r="BL337" s="117"/>
      <c r="BM337" s="117">
        <f t="shared" si="54"/>
        <v>12</v>
      </c>
      <c r="BN337" s="117">
        <f t="shared" si="55"/>
        <v>3</v>
      </c>
      <c r="BO337" s="117">
        <f t="shared" si="56"/>
        <v>3</v>
      </c>
      <c r="BP337" s="153">
        <f t="shared" si="57"/>
        <v>8</v>
      </c>
      <c r="BQ337" s="74" t="s">
        <v>1397</v>
      </c>
      <c r="BR337" s="74"/>
    </row>
    <row r="338" spans="1:70" hidden="1">
      <c r="A338">
        <v>324</v>
      </c>
      <c r="B338" s="75">
        <v>45841.031099537038</v>
      </c>
      <c r="E338" s="7">
        <v>45841</v>
      </c>
      <c r="F338">
        <v>879</v>
      </c>
      <c r="I338" s="10" t="s">
        <v>1398</v>
      </c>
      <c r="J338" s="69">
        <v>45841</v>
      </c>
      <c r="K338" s="97">
        <f t="shared" si="59"/>
        <v>7</v>
      </c>
      <c r="L338" s="97">
        <v>336</v>
      </c>
      <c r="O338" s="7" t="s">
        <v>1399</v>
      </c>
      <c r="T338" t="s">
        <v>1400</v>
      </c>
      <c r="X338" s="36"/>
      <c r="Y338" s="36" t="s">
        <v>141</v>
      </c>
      <c r="Z338" s="36"/>
      <c r="AA338" s="36" t="s">
        <v>141</v>
      </c>
      <c r="AB338" s="36" t="s">
        <v>141</v>
      </c>
      <c r="AC338" s="36"/>
      <c r="AD338" s="36"/>
      <c r="AE338" s="36"/>
      <c r="AF338" s="36" t="s">
        <v>141</v>
      </c>
      <c r="AG338" s="36"/>
      <c r="AH338" s="36" t="s">
        <v>141</v>
      </c>
      <c r="AI338" s="36"/>
      <c r="AJ338" s="36"/>
      <c r="AK338" s="117"/>
      <c r="AL338" s="36"/>
      <c r="AM338" s="36" t="s">
        <v>141</v>
      </c>
      <c r="AN338" s="36"/>
      <c r="AO338" s="36"/>
      <c r="AP338" s="36"/>
      <c r="AQ338" s="36"/>
      <c r="AR338" s="36"/>
      <c r="AS338" s="36"/>
      <c r="AT338" s="36"/>
      <c r="AU338" s="36"/>
      <c r="AV338" s="36"/>
      <c r="AW338" s="117"/>
      <c r="AX338" s="117"/>
      <c r="AY338" s="36"/>
      <c r="AZ338" s="36" t="s">
        <v>141</v>
      </c>
      <c r="BA338" s="117"/>
      <c r="BB338" s="117" t="s">
        <v>141</v>
      </c>
      <c r="BC338" s="117"/>
      <c r="BD338" s="117"/>
      <c r="BE338" s="117"/>
      <c r="BF338" s="117"/>
      <c r="BG338" s="117"/>
      <c r="BH338" s="117"/>
      <c r="BI338" s="117"/>
      <c r="BJ338" s="117"/>
      <c r="BK338" s="117"/>
      <c r="BL338" s="117"/>
      <c r="BM338" s="117">
        <f t="shared" si="54"/>
        <v>8</v>
      </c>
      <c r="BN338" s="117">
        <f t="shared" si="55"/>
        <v>1</v>
      </c>
      <c r="BO338" s="117">
        <f t="shared" si="56"/>
        <v>3</v>
      </c>
      <c r="BP338" s="153">
        <f t="shared" si="57"/>
        <v>5</v>
      </c>
      <c r="BQ338" s="74" t="s">
        <v>208</v>
      </c>
      <c r="BR338" s="74"/>
    </row>
    <row r="339" spans="1:70" hidden="1">
      <c r="A339">
        <v>325</v>
      </c>
      <c r="B339" s="75">
        <v>45841.390150462961</v>
      </c>
      <c r="E339" s="7">
        <v>45841</v>
      </c>
      <c r="F339">
        <v>880</v>
      </c>
      <c r="I339" s="10" t="s">
        <v>1401</v>
      </c>
      <c r="J339" s="69">
        <v>45841</v>
      </c>
      <c r="K339" s="97">
        <f t="shared" si="59"/>
        <v>7</v>
      </c>
      <c r="L339" s="97">
        <v>337</v>
      </c>
      <c r="O339" s="7" t="s">
        <v>197</v>
      </c>
      <c r="T339" t="s">
        <v>1402</v>
      </c>
      <c r="X339" s="36"/>
      <c r="Y339" s="36" t="s">
        <v>141</v>
      </c>
      <c r="Z339" s="36" t="s">
        <v>141</v>
      </c>
      <c r="AA339" s="36" t="s">
        <v>141</v>
      </c>
      <c r="AB339" s="36" t="s">
        <v>141</v>
      </c>
      <c r="AC339" s="36" t="s">
        <v>141</v>
      </c>
      <c r="AD339" s="36"/>
      <c r="AE339" s="36"/>
      <c r="AF339" s="36"/>
      <c r="AG339" s="36"/>
      <c r="AH339" s="36"/>
      <c r="AI339" s="36"/>
      <c r="AJ339" s="36"/>
      <c r="AK339" s="117" t="s">
        <v>141</v>
      </c>
      <c r="AL339" s="36"/>
      <c r="AM339" s="36"/>
      <c r="AN339" s="36"/>
      <c r="AO339" s="36"/>
      <c r="AP339" s="36"/>
      <c r="AQ339" s="36"/>
      <c r="AR339" s="36"/>
      <c r="AS339" s="36" t="s">
        <v>141</v>
      </c>
      <c r="AT339" s="36" t="s">
        <v>141</v>
      </c>
      <c r="AU339" s="36"/>
      <c r="AV339" s="36"/>
      <c r="AW339" s="117"/>
      <c r="AX339" s="117"/>
      <c r="AY339" s="36"/>
      <c r="AZ339" s="36"/>
      <c r="BA339" s="117" t="s">
        <v>141</v>
      </c>
      <c r="BB339" s="117"/>
      <c r="BC339" s="117" t="s">
        <v>141</v>
      </c>
      <c r="BD339" s="117"/>
      <c r="BE339" s="117"/>
      <c r="BF339" s="117"/>
      <c r="BG339" s="117" t="s">
        <v>141</v>
      </c>
      <c r="BH339" s="117"/>
      <c r="BI339" s="117"/>
      <c r="BJ339" s="117"/>
      <c r="BK339" s="117"/>
      <c r="BL339" s="117"/>
      <c r="BM339" s="117">
        <f t="shared" si="54"/>
        <v>10</v>
      </c>
      <c r="BN339" s="117">
        <f t="shared" si="55"/>
        <v>2</v>
      </c>
      <c r="BO339" s="117">
        <f t="shared" si="56"/>
        <v>5</v>
      </c>
      <c r="BP339" s="153">
        <f t="shared" si="57"/>
        <v>5</v>
      </c>
      <c r="BQ339" s="74" t="s">
        <v>208</v>
      </c>
      <c r="BR339" s="74"/>
    </row>
    <row r="340" spans="1:70" hidden="1">
      <c r="A340">
        <v>326</v>
      </c>
      <c r="B340" s="75">
        <v>45841.568969907406</v>
      </c>
      <c r="E340" s="7">
        <v>45842</v>
      </c>
      <c r="F340">
        <v>881</v>
      </c>
      <c r="I340" s="10" t="s">
        <v>1403</v>
      </c>
      <c r="J340" s="69">
        <v>45842</v>
      </c>
      <c r="K340" s="97">
        <f t="shared" si="59"/>
        <v>7</v>
      </c>
      <c r="L340" s="97">
        <v>338</v>
      </c>
      <c r="O340" s="7" t="s">
        <v>134</v>
      </c>
      <c r="T340" t="s">
        <v>1404</v>
      </c>
      <c r="X340" s="36"/>
      <c r="Y340" s="36" t="s">
        <v>141</v>
      </c>
      <c r="Z340" s="36"/>
      <c r="AA340" s="36"/>
      <c r="AB340" s="36" t="s">
        <v>141</v>
      </c>
      <c r="AC340" s="36"/>
      <c r="AD340" s="36" t="s">
        <v>141</v>
      </c>
      <c r="AE340" s="36"/>
      <c r="AF340" s="36"/>
      <c r="AG340" s="36"/>
      <c r="AH340" s="36" t="s">
        <v>141</v>
      </c>
      <c r="AI340" s="36" t="s">
        <v>141</v>
      </c>
      <c r="AJ340" s="36"/>
      <c r="AK340" s="117" t="s">
        <v>141</v>
      </c>
      <c r="AL340" s="36" t="s">
        <v>141</v>
      </c>
      <c r="AM340" s="36"/>
      <c r="AN340" s="36"/>
      <c r="AO340" s="36"/>
      <c r="AP340" s="36"/>
      <c r="AQ340" s="36"/>
      <c r="AR340" s="36"/>
      <c r="AS340" s="36" t="s">
        <v>141</v>
      </c>
      <c r="AT340" s="36"/>
      <c r="AU340" s="36"/>
      <c r="AV340" s="36"/>
      <c r="AW340" s="117"/>
      <c r="AX340" s="117"/>
      <c r="AY340" s="36"/>
      <c r="AZ340" s="36"/>
      <c r="BA340" s="117" t="s">
        <v>141</v>
      </c>
      <c r="BB340" s="117"/>
      <c r="BC340" s="117"/>
      <c r="BD340" s="117"/>
      <c r="BE340" s="117"/>
      <c r="BF340" s="117"/>
      <c r="BG340" s="117"/>
      <c r="BH340" s="117"/>
      <c r="BI340" s="117"/>
      <c r="BJ340" s="117"/>
      <c r="BK340" s="117"/>
      <c r="BL340" s="117"/>
      <c r="BM340" s="117">
        <f t="shared" si="54"/>
        <v>9</v>
      </c>
      <c r="BN340" s="117">
        <f t="shared" si="55"/>
        <v>2</v>
      </c>
      <c r="BO340" s="117">
        <f t="shared" si="56"/>
        <v>3</v>
      </c>
      <c r="BP340" s="153">
        <f t="shared" si="57"/>
        <v>6</v>
      </c>
      <c r="BQ340" s="74" t="s">
        <v>208</v>
      </c>
      <c r="BR340" s="74"/>
    </row>
    <row r="341" spans="1:70" hidden="1">
      <c r="A341">
        <v>327</v>
      </c>
      <c r="B341" s="75">
        <v>45841.962025462963</v>
      </c>
      <c r="E341" s="7">
        <v>45842</v>
      </c>
      <c r="F341">
        <v>882</v>
      </c>
      <c r="I341" s="10" t="s">
        <v>1405</v>
      </c>
      <c r="J341" s="69">
        <v>45842</v>
      </c>
      <c r="K341" s="97">
        <f t="shared" ref="K341:K349" si="60">MONTH($J341)</f>
        <v>7</v>
      </c>
      <c r="L341" s="97">
        <v>339</v>
      </c>
      <c r="O341" s="7" t="s">
        <v>156</v>
      </c>
      <c r="T341" t="s">
        <v>1406</v>
      </c>
      <c r="X341" s="36" t="s">
        <v>141</v>
      </c>
      <c r="Y341" s="36" t="s">
        <v>141</v>
      </c>
      <c r="Z341" s="36"/>
      <c r="AA341" s="36"/>
      <c r="AB341" s="36"/>
      <c r="AC341" s="36"/>
      <c r="AD341" s="36" t="s">
        <v>141</v>
      </c>
      <c r="AE341" s="36" t="s">
        <v>141</v>
      </c>
      <c r="AF341" s="36"/>
      <c r="AG341" s="36"/>
      <c r="AH341" s="36" t="s">
        <v>141</v>
      </c>
      <c r="AI341" s="36"/>
      <c r="AJ341" s="36" t="s">
        <v>141</v>
      </c>
      <c r="AK341" s="117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117"/>
      <c r="AX341" s="117"/>
      <c r="AY341" s="36"/>
      <c r="AZ341" s="36"/>
      <c r="BA341" s="117"/>
      <c r="BB341" s="117"/>
      <c r="BC341" s="117"/>
      <c r="BD341" s="117"/>
      <c r="BE341" s="117"/>
      <c r="BF341" s="117"/>
      <c r="BG341" s="117"/>
      <c r="BH341" s="117"/>
      <c r="BI341" s="117"/>
      <c r="BJ341" s="117"/>
      <c r="BK341" s="117"/>
      <c r="BL341" s="117"/>
      <c r="BM341" s="117">
        <f t="shared" si="54"/>
        <v>6</v>
      </c>
      <c r="BN341" s="117">
        <f t="shared" si="55"/>
        <v>1</v>
      </c>
      <c r="BO341" s="117">
        <f t="shared" si="56"/>
        <v>3</v>
      </c>
      <c r="BP341" s="153">
        <f t="shared" si="57"/>
        <v>3</v>
      </c>
      <c r="BQ341" s="74" t="s">
        <v>273</v>
      </c>
      <c r="BR341" s="74"/>
    </row>
    <row r="342" spans="1:70" hidden="1">
      <c r="A342">
        <v>328</v>
      </c>
      <c r="B342" s="75">
        <v>45842.459745370368</v>
      </c>
      <c r="E342" s="7">
        <v>45842</v>
      </c>
      <c r="F342">
        <v>883</v>
      </c>
      <c r="I342" s="10" t="s">
        <v>1407</v>
      </c>
      <c r="J342" s="69">
        <v>45842</v>
      </c>
      <c r="K342" s="97">
        <f t="shared" si="60"/>
        <v>7</v>
      </c>
      <c r="L342" s="97">
        <v>340</v>
      </c>
      <c r="O342" s="7" t="s">
        <v>197</v>
      </c>
      <c r="T342" t="s">
        <v>1408</v>
      </c>
      <c r="X342" s="36"/>
      <c r="Y342" s="36" t="s">
        <v>141</v>
      </c>
      <c r="Z342" s="36" t="s">
        <v>141</v>
      </c>
      <c r="AA342" s="36" t="s">
        <v>141</v>
      </c>
      <c r="AB342" s="36" t="s">
        <v>141</v>
      </c>
      <c r="AC342" s="36" t="s">
        <v>141</v>
      </c>
      <c r="AD342" s="36"/>
      <c r="AE342" s="36"/>
      <c r="AF342" s="36"/>
      <c r="AG342" s="36"/>
      <c r="AH342" s="36"/>
      <c r="AI342" s="36"/>
      <c r="AJ342" s="36"/>
      <c r="AK342" s="117" t="s">
        <v>141</v>
      </c>
      <c r="AL342" s="36"/>
      <c r="AM342" s="36"/>
      <c r="AN342" s="36" t="s">
        <v>141</v>
      </c>
      <c r="AO342" s="36"/>
      <c r="AP342" s="36"/>
      <c r="AQ342" s="36"/>
      <c r="AR342" s="36"/>
      <c r="AS342" s="36" t="s">
        <v>141</v>
      </c>
      <c r="AT342" s="36"/>
      <c r="AU342" s="36"/>
      <c r="AV342" s="36"/>
      <c r="AW342" s="117"/>
      <c r="AX342" s="117"/>
      <c r="AY342" s="36" t="s">
        <v>141</v>
      </c>
      <c r="AZ342" s="36"/>
      <c r="BA342" s="117"/>
      <c r="BB342" s="117"/>
      <c r="BC342" s="117"/>
      <c r="BD342" s="117"/>
      <c r="BE342" s="117"/>
      <c r="BF342" s="117"/>
      <c r="BG342" s="117"/>
      <c r="BH342" s="117"/>
      <c r="BI342" s="117"/>
      <c r="BJ342" s="117"/>
      <c r="BK342" s="117"/>
      <c r="BL342" s="117"/>
      <c r="BM342" s="117">
        <f t="shared" si="54"/>
        <v>9</v>
      </c>
      <c r="BN342" s="117">
        <f t="shared" si="55"/>
        <v>3</v>
      </c>
      <c r="BO342" s="117">
        <f t="shared" si="56"/>
        <v>5</v>
      </c>
      <c r="BP342" s="153">
        <f t="shared" si="57"/>
        <v>4</v>
      </c>
      <c r="BQ342" s="74" t="s">
        <v>208</v>
      </c>
      <c r="BR342" s="74"/>
    </row>
    <row r="343" spans="1:70" hidden="1">
      <c r="A343">
        <v>329</v>
      </c>
      <c r="B343" s="75">
        <v>45842.462523148148</v>
      </c>
      <c r="E343" s="7">
        <v>45842</v>
      </c>
      <c r="F343">
        <v>884</v>
      </c>
      <c r="I343" s="10" t="s">
        <v>1409</v>
      </c>
      <c r="J343" s="69">
        <v>45842</v>
      </c>
      <c r="K343" s="97">
        <f t="shared" si="60"/>
        <v>7</v>
      </c>
      <c r="L343" s="97">
        <v>341</v>
      </c>
      <c r="O343" s="7" t="s">
        <v>219</v>
      </c>
      <c r="T343" t="s">
        <v>1410</v>
      </c>
      <c r="X343" s="36"/>
      <c r="Y343" s="36" t="s">
        <v>141</v>
      </c>
      <c r="Z343" s="36" t="s">
        <v>141</v>
      </c>
      <c r="AA343" s="36" t="s">
        <v>141</v>
      </c>
      <c r="AB343" s="36" t="s">
        <v>141</v>
      </c>
      <c r="AC343" s="36" t="s">
        <v>141</v>
      </c>
      <c r="AD343" s="36"/>
      <c r="AE343" s="36"/>
      <c r="AF343" s="36"/>
      <c r="AG343" s="36"/>
      <c r="AH343" s="36"/>
      <c r="AI343" s="36"/>
      <c r="AJ343" s="36"/>
      <c r="AK343" s="117" t="s">
        <v>141</v>
      </c>
      <c r="AL343" s="36"/>
      <c r="AM343" s="36"/>
      <c r="AN343" s="36" t="s">
        <v>141</v>
      </c>
      <c r="AO343" s="36"/>
      <c r="AP343" s="36"/>
      <c r="AQ343" s="36"/>
      <c r="AR343" s="36"/>
      <c r="AS343" s="36" t="s">
        <v>141</v>
      </c>
      <c r="AT343" s="36"/>
      <c r="AU343" s="36"/>
      <c r="AV343" s="36"/>
      <c r="AW343" s="117"/>
      <c r="AX343" s="117"/>
      <c r="AY343" s="36" t="s">
        <v>141</v>
      </c>
      <c r="AZ343" s="36"/>
      <c r="BA343" s="117"/>
      <c r="BB343" s="117"/>
      <c r="BC343" s="117"/>
      <c r="BD343" s="117"/>
      <c r="BE343" s="117"/>
      <c r="BF343" s="117"/>
      <c r="BG343" s="117"/>
      <c r="BH343" s="117"/>
      <c r="BI343" s="117"/>
      <c r="BJ343" s="117"/>
      <c r="BK343" s="117"/>
      <c r="BL343" s="117"/>
      <c r="BM343" s="117">
        <f t="shared" si="54"/>
        <v>9</v>
      </c>
      <c r="BN343" s="117">
        <f t="shared" si="55"/>
        <v>3</v>
      </c>
      <c r="BO343" s="117">
        <f t="shared" si="56"/>
        <v>5</v>
      </c>
      <c r="BP343" s="153">
        <f t="shared" si="57"/>
        <v>4</v>
      </c>
      <c r="BQ343" s="74" t="s">
        <v>208</v>
      </c>
      <c r="BR343" s="74"/>
    </row>
    <row r="344" spans="1:70" hidden="1">
      <c r="A344">
        <v>330</v>
      </c>
      <c r="B344" s="75">
        <v>45843.191504629627</v>
      </c>
      <c r="E344" s="7">
        <v>45842</v>
      </c>
      <c r="F344">
        <v>885</v>
      </c>
      <c r="I344" s="10" t="s">
        <v>1411</v>
      </c>
      <c r="J344" s="69">
        <v>45843</v>
      </c>
      <c r="K344" s="97">
        <f t="shared" si="60"/>
        <v>7</v>
      </c>
      <c r="L344" s="97">
        <v>342</v>
      </c>
      <c r="O344" s="7" t="s">
        <v>1412</v>
      </c>
      <c r="T344" t="s">
        <v>1413</v>
      </c>
      <c r="X344" s="36" t="s">
        <v>141</v>
      </c>
      <c r="Y344" s="36" t="s">
        <v>141</v>
      </c>
      <c r="Z344" s="36" t="s">
        <v>141</v>
      </c>
      <c r="AA344" s="36"/>
      <c r="AB344" s="36"/>
      <c r="AC344" s="36" t="s">
        <v>141</v>
      </c>
      <c r="AD344" s="36"/>
      <c r="AE344" s="36"/>
      <c r="AF344" s="36"/>
      <c r="AG344" s="36"/>
      <c r="AH344" s="36" t="s">
        <v>141</v>
      </c>
      <c r="AI344" s="36"/>
      <c r="AJ344" s="36"/>
      <c r="AK344" s="117"/>
      <c r="AL344" s="36" t="s">
        <v>141</v>
      </c>
      <c r="AM344" s="36" t="s">
        <v>141</v>
      </c>
      <c r="AN344" s="36"/>
      <c r="AO344" s="36"/>
      <c r="AP344" s="36"/>
      <c r="AQ344" s="36"/>
      <c r="AR344" s="36"/>
      <c r="AS344" s="36"/>
      <c r="AT344" s="36"/>
      <c r="AU344" s="36"/>
      <c r="AV344" s="36"/>
      <c r="AW344" s="117" t="s">
        <v>141</v>
      </c>
      <c r="AX344" s="117"/>
      <c r="AY344" s="36" t="s">
        <v>141</v>
      </c>
      <c r="AZ344" s="36"/>
      <c r="BA344" s="117"/>
      <c r="BB344" s="117"/>
      <c r="BC344" s="117"/>
      <c r="BD344" s="117" t="s">
        <v>141</v>
      </c>
      <c r="BE344" s="117"/>
      <c r="BF344" s="117"/>
      <c r="BG344" s="117" t="s">
        <v>141</v>
      </c>
      <c r="BH344" s="117"/>
      <c r="BI344" s="117"/>
      <c r="BJ344" s="117"/>
      <c r="BK344" s="117"/>
      <c r="BL344" s="117"/>
      <c r="BM344" s="117">
        <f t="shared" si="54"/>
        <v>10</v>
      </c>
      <c r="BN344" s="117">
        <f t="shared" si="55"/>
        <v>1</v>
      </c>
      <c r="BO344" s="117">
        <f t="shared" si="56"/>
        <v>4</v>
      </c>
      <c r="BP344" s="153">
        <f t="shared" si="57"/>
        <v>5</v>
      </c>
      <c r="BQ344" s="74" t="s">
        <v>171</v>
      </c>
      <c r="BR344" s="74"/>
    </row>
    <row r="345" spans="1:70" hidden="1">
      <c r="A345">
        <v>331</v>
      </c>
      <c r="B345" s="75">
        <v>45844.080983796295</v>
      </c>
      <c r="E345" s="7">
        <v>45843</v>
      </c>
      <c r="F345">
        <v>886</v>
      </c>
      <c r="I345" s="10" t="s">
        <v>1414</v>
      </c>
      <c r="J345" s="69">
        <v>45844</v>
      </c>
      <c r="K345" s="97">
        <f t="shared" si="60"/>
        <v>7</v>
      </c>
      <c r="L345" s="97">
        <v>343</v>
      </c>
      <c r="O345" s="7" t="s">
        <v>710</v>
      </c>
      <c r="T345" t="s">
        <v>1415</v>
      </c>
      <c r="X345" s="36" t="s">
        <v>141</v>
      </c>
      <c r="Y345" s="36"/>
      <c r="Z345" s="36" t="s">
        <v>141</v>
      </c>
      <c r="AA345" s="36" t="s">
        <v>141</v>
      </c>
      <c r="AB345" s="36"/>
      <c r="AC345" s="36"/>
      <c r="AD345" s="36" t="s">
        <v>141</v>
      </c>
      <c r="AE345" s="36"/>
      <c r="AF345" s="36" t="s">
        <v>141</v>
      </c>
      <c r="AG345" s="36"/>
      <c r="AH345" s="36" t="s">
        <v>141</v>
      </c>
      <c r="AI345" s="36"/>
      <c r="AJ345" s="36"/>
      <c r="AK345" s="117"/>
      <c r="AL345" s="36" t="s">
        <v>141</v>
      </c>
      <c r="AM345" s="36" t="s">
        <v>141</v>
      </c>
      <c r="AN345" s="36"/>
      <c r="AO345" s="36"/>
      <c r="AP345" s="36"/>
      <c r="AQ345" s="36"/>
      <c r="AR345" s="36"/>
      <c r="AS345" s="36" t="s">
        <v>141</v>
      </c>
      <c r="AT345" s="36"/>
      <c r="AU345" s="36"/>
      <c r="AV345" s="36"/>
      <c r="AW345" s="117" t="s">
        <v>141</v>
      </c>
      <c r="AX345" s="117" t="s">
        <v>141</v>
      </c>
      <c r="AY345" s="36" t="s">
        <v>141</v>
      </c>
      <c r="AZ345" s="36"/>
      <c r="BA345" s="117"/>
      <c r="BB345" s="117"/>
      <c r="BC345" s="117"/>
      <c r="BD345" s="117"/>
      <c r="BE345" s="117" t="s">
        <v>141</v>
      </c>
      <c r="BF345" s="117"/>
      <c r="BG345" s="117" t="s">
        <v>141</v>
      </c>
      <c r="BH345" s="117"/>
      <c r="BI345" s="117"/>
      <c r="BJ345" s="117"/>
      <c r="BK345" s="117"/>
      <c r="BL345" s="117"/>
      <c r="BM345" s="117">
        <f t="shared" si="54"/>
        <v>13</v>
      </c>
      <c r="BN345" s="117">
        <f t="shared" si="55"/>
        <v>2</v>
      </c>
      <c r="BO345" s="117">
        <f t="shared" si="56"/>
        <v>4</v>
      </c>
      <c r="BP345" s="153">
        <f t="shared" si="57"/>
        <v>8</v>
      </c>
      <c r="BQ345" s="74" t="s">
        <v>152</v>
      </c>
      <c r="BR345" s="74"/>
    </row>
    <row r="346" spans="1:70" hidden="1">
      <c r="A346">
        <v>332</v>
      </c>
      <c r="B346" s="75">
        <v>45844.156863425924</v>
      </c>
      <c r="E346" s="7">
        <v>45844</v>
      </c>
      <c r="F346">
        <v>887</v>
      </c>
      <c r="I346" s="10" t="s">
        <v>1416</v>
      </c>
      <c r="J346" s="69">
        <v>45844</v>
      </c>
      <c r="K346" s="97">
        <f t="shared" si="60"/>
        <v>7</v>
      </c>
      <c r="L346" s="97">
        <v>344</v>
      </c>
      <c r="O346" s="7" t="s">
        <v>156</v>
      </c>
      <c r="T346" t="s">
        <v>1417</v>
      </c>
      <c r="X346" s="36" t="s">
        <v>141</v>
      </c>
      <c r="Y346" s="36"/>
      <c r="Z346" s="36" t="s">
        <v>141</v>
      </c>
      <c r="AA346" s="36" t="s">
        <v>141</v>
      </c>
      <c r="AB346" s="36"/>
      <c r="AC346" s="36"/>
      <c r="AD346" s="36" t="s">
        <v>141</v>
      </c>
      <c r="AE346" s="36"/>
      <c r="AF346" s="36" t="s">
        <v>141</v>
      </c>
      <c r="AG346" s="36"/>
      <c r="AH346" s="36" t="s">
        <v>141</v>
      </c>
      <c r="AI346" s="36" t="s">
        <v>141</v>
      </c>
      <c r="AJ346" s="36"/>
      <c r="AK346" s="117"/>
      <c r="AL346" s="36" t="s">
        <v>141</v>
      </c>
      <c r="AM346" s="36" t="s">
        <v>141</v>
      </c>
      <c r="AN346" s="36"/>
      <c r="AO346" s="36"/>
      <c r="AP346" s="36"/>
      <c r="AQ346" s="36"/>
      <c r="AR346" s="36"/>
      <c r="AS346" s="36" t="s">
        <v>141</v>
      </c>
      <c r="AT346" s="36"/>
      <c r="AU346" s="36"/>
      <c r="AV346" s="36"/>
      <c r="AW346" s="117"/>
      <c r="AX346" s="117"/>
      <c r="AY346" s="36" t="s">
        <v>141</v>
      </c>
      <c r="AZ346" s="36"/>
      <c r="BA346" s="117"/>
      <c r="BB346" s="117"/>
      <c r="BC346" s="117"/>
      <c r="BD346" s="117"/>
      <c r="BE346" s="117" t="s">
        <v>141</v>
      </c>
      <c r="BF346" s="117"/>
      <c r="BG346" s="117" t="s">
        <v>141</v>
      </c>
      <c r="BH346" s="117"/>
      <c r="BI346" s="117"/>
      <c r="BJ346" s="117"/>
      <c r="BK346" s="117"/>
      <c r="BL346" s="117"/>
      <c r="BM346" s="117">
        <f t="shared" si="54"/>
        <v>12</v>
      </c>
      <c r="BN346" s="117">
        <f t="shared" si="55"/>
        <v>2</v>
      </c>
      <c r="BO346" s="117">
        <f t="shared" si="56"/>
        <v>4</v>
      </c>
      <c r="BP346" s="153">
        <f t="shared" si="57"/>
        <v>7</v>
      </c>
      <c r="BQ346" s="74" t="s">
        <v>152</v>
      </c>
      <c r="BR346" s="74"/>
    </row>
    <row r="347" spans="1:70" hidden="1">
      <c r="A347">
        <v>333</v>
      </c>
      <c r="B347" s="75">
        <v>45844.920277777775</v>
      </c>
      <c r="E347" s="7">
        <v>45844</v>
      </c>
      <c r="F347">
        <v>890</v>
      </c>
      <c r="I347" s="10" t="s">
        <v>1418</v>
      </c>
      <c r="J347" s="69">
        <v>45845</v>
      </c>
      <c r="K347" s="97">
        <f>MONTH($J347)</f>
        <v>7</v>
      </c>
      <c r="L347" s="97">
        <v>347</v>
      </c>
      <c r="O347" s="7" t="s">
        <v>1419</v>
      </c>
      <c r="T347" t="s">
        <v>1420</v>
      </c>
      <c r="X347" s="36" t="s">
        <v>141</v>
      </c>
      <c r="Y347" s="36"/>
      <c r="Z347" s="36" t="s">
        <v>141</v>
      </c>
      <c r="AA347" s="36" t="s">
        <v>141</v>
      </c>
      <c r="AB347" s="36"/>
      <c r="AC347" s="36"/>
      <c r="AD347" s="36" t="s">
        <v>141</v>
      </c>
      <c r="AE347" s="36"/>
      <c r="AF347" s="36" t="s">
        <v>141</v>
      </c>
      <c r="AG347" s="36"/>
      <c r="AH347" s="36" t="s">
        <v>141</v>
      </c>
      <c r="AI347" s="36" t="s">
        <v>141</v>
      </c>
      <c r="AJ347" s="36"/>
      <c r="AK347" s="117"/>
      <c r="AL347" s="36" t="s">
        <v>141</v>
      </c>
      <c r="AM347" s="36" t="s">
        <v>141</v>
      </c>
      <c r="AN347" s="36"/>
      <c r="AO347" s="36"/>
      <c r="AP347" s="36"/>
      <c r="AQ347" s="36"/>
      <c r="AR347" s="36"/>
      <c r="AS347" s="36" t="s">
        <v>141</v>
      </c>
      <c r="AT347" s="36"/>
      <c r="AU347" s="36"/>
      <c r="AV347" s="36"/>
      <c r="AW347" s="117"/>
      <c r="AX347" s="117"/>
      <c r="AY347" s="36" t="s">
        <v>141</v>
      </c>
      <c r="AZ347" s="36"/>
      <c r="BA347" s="117"/>
      <c r="BB347" s="117"/>
      <c r="BC347" s="117"/>
      <c r="BD347" s="117"/>
      <c r="BE347" s="117" t="s">
        <v>141</v>
      </c>
      <c r="BF347" s="117"/>
      <c r="BG347" s="117" t="s">
        <v>141</v>
      </c>
      <c r="BH347" s="117"/>
      <c r="BI347" s="117"/>
      <c r="BJ347" s="117"/>
      <c r="BK347" s="117"/>
      <c r="BL347" s="117"/>
      <c r="BM347" s="117">
        <f t="shared" si="54"/>
        <v>12</v>
      </c>
      <c r="BN347" s="117">
        <f t="shared" si="55"/>
        <v>2</v>
      </c>
      <c r="BO347" s="117">
        <f t="shared" si="56"/>
        <v>4</v>
      </c>
      <c r="BP347" s="153">
        <f t="shared" si="57"/>
        <v>7</v>
      </c>
      <c r="BQ347" s="74" t="s">
        <v>273</v>
      </c>
      <c r="BR347" s="74"/>
    </row>
    <row r="348" spans="1:70" hidden="1">
      <c r="A348">
        <v>334</v>
      </c>
      <c r="B348" s="75">
        <v>45844.921932870369</v>
      </c>
      <c r="E348" s="7">
        <v>45844</v>
      </c>
      <c r="F348">
        <v>891</v>
      </c>
      <c r="I348" s="10" t="s">
        <v>1421</v>
      </c>
      <c r="J348" s="69">
        <v>45845</v>
      </c>
      <c r="K348" s="97">
        <f>MONTH($J348)</f>
        <v>7</v>
      </c>
      <c r="L348" s="97">
        <v>348</v>
      </c>
      <c r="O348" s="7" t="s">
        <v>197</v>
      </c>
      <c r="T348" t="s">
        <v>1422</v>
      </c>
      <c r="X348" s="36" t="s">
        <v>141</v>
      </c>
      <c r="Y348" s="36"/>
      <c r="Z348" s="36" t="s">
        <v>141</v>
      </c>
      <c r="AA348" s="36" t="s">
        <v>141</v>
      </c>
      <c r="AB348" s="36"/>
      <c r="AC348" s="36"/>
      <c r="AD348" s="36" t="s">
        <v>141</v>
      </c>
      <c r="AE348" s="36"/>
      <c r="AF348" s="36" t="s">
        <v>141</v>
      </c>
      <c r="AG348" s="36"/>
      <c r="AH348" s="36" t="s">
        <v>141</v>
      </c>
      <c r="AI348" s="36" t="s">
        <v>141</v>
      </c>
      <c r="AJ348" s="36"/>
      <c r="AK348" s="117"/>
      <c r="AL348" s="36" t="s">
        <v>141</v>
      </c>
      <c r="AM348" s="36" t="s">
        <v>141</v>
      </c>
      <c r="AN348" s="36"/>
      <c r="AO348" s="36"/>
      <c r="AP348" s="36"/>
      <c r="AQ348" s="36"/>
      <c r="AR348" s="36"/>
      <c r="AS348" s="36" t="s">
        <v>141</v>
      </c>
      <c r="AT348" s="36"/>
      <c r="AU348" s="36"/>
      <c r="AV348" s="36"/>
      <c r="AW348" s="117"/>
      <c r="AX348" s="117"/>
      <c r="AY348" s="36" t="s">
        <v>141</v>
      </c>
      <c r="AZ348" s="36"/>
      <c r="BA348" s="117"/>
      <c r="BB348" s="117"/>
      <c r="BC348" s="117"/>
      <c r="BD348" s="117"/>
      <c r="BE348" s="117" t="s">
        <v>141</v>
      </c>
      <c r="BF348" s="117"/>
      <c r="BG348" s="117" t="s">
        <v>141</v>
      </c>
      <c r="BH348" s="117"/>
      <c r="BI348" s="117"/>
      <c r="BJ348" s="117"/>
      <c r="BK348" s="117"/>
      <c r="BL348" s="117"/>
      <c r="BM348" s="117">
        <f t="shared" si="54"/>
        <v>12</v>
      </c>
      <c r="BN348" s="117">
        <f t="shared" si="55"/>
        <v>2</v>
      </c>
      <c r="BO348" s="117">
        <f t="shared" si="56"/>
        <v>4</v>
      </c>
      <c r="BP348" s="153">
        <f t="shared" si="57"/>
        <v>7</v>
      </c>
      <c r="BQ348" s="74" t="s">
        <v>273</v>
      </c>
      <c r="BR348" s="74"/>
    </row>
    <row r="349" spans="1:70" hidden="1">
      <c r="A349">
        <v>335</v>
      </c>
      <c r="B349" s="75">
        <v>45844.897812499999</v>
      </c>
      <c r="E349" s="7">
        <v>45845</v>
      </c>
      <c r="F349">
        <v>888</v>
      </c>
      <c r="I349" s="10" t="s">
        <v>1423</v>
      </c>
      <c r="J349" s="69">
        <v>45845</v>
      </c>
      <c r="K349" s="97">
        <f t="shared" si="60"/>
        <v>7</v>
      </c>
      <c r="L349" s="97">
        <v>345</v>
      </c>
      <c r="O349" s="7" t="s">
        <v>156</v>
      </c>
      <c r="T349" t="s">
        <v>1424</v>
      </c>
      <c r="X349" s="36"/>
      <c r="Y349" s="36" t="s">
        <v>141</v>
      </c>
      <c r="Z349" s="36"/>
      <c r="AA349" s="36" t="s">
        <v>141</v>
      </c>
      <c r="AB349" s="36" t="s">
        <v>141</v>
      </c>
      <c r="AC349" s="36" t="s">
        <v>141</v>
      </c>
      <c r="AD349" s="36" t="s">
        <v>141</v>
      </c>
      <c r="AE349" s="36"/>
      <c r="AF349" s="36" t="s">
        <v>141</v>
      </c>
      <c r="AG349" s="36"/>
      <c r="AH349" s="36" t="s">
        <v>141</v>
      </c>
      <c r="AI349" s="36"/>
      <c r="AJ349" s="36" t="s">
        <v>141</v>
      </c>
      <c r="AK349" s="117" t="s">
        <v>141</v>
      </c>
      <c r="AL349" s="36"/>
      <c r="AM349" s="36" t="s">
        <v>141</v>
      </c>
      <c r="AN349" s="36"/>
      <c r="AO349" s="36"/>
      <c r="AP349" s="36"/>
      <c r="AQ349" s="36"/>
      <c r="AR349" s="36"/>
      <c r="AS349" s="36"/>
      <c r="AT349" s="36"/>
      <c r="AU349" s="36"/>
      <c r="AV349" s="36"/>
      <c r="AW349" s="117"/>
      <c r="AX349" s="117"/>
      <c r="AY349" s="36"/>
      <c r="AZ349" s="36"/>
      <c r="BA349" s="117"/>
      <c r="BB349" s="117"/>
      <c r="BC349" s="117"/>
      <c r="BD349" s="117"/>
      <c r="BE349" s="117"/>
      <c r="BF349" s="117"/>
      <c r="BG349" s="117" t="s">
        <v>141</v>
      </c>
      <c r="BH349" s="117"/>
      <c r="BI349" s="117"/>
      <c r="BJ349" s="117"/>
      <c r="BK349" s="117"/>
      <c r="BL349" s="117"/>
      <c r="BM349" s="117">
        <f t="shared" si="54"/>
        <v>10</v>
      </c>
      <c r="BN349" s="117">
        <f t="shared" si="55"/>
        <v>3</v>
      </c>
      <c r="BO349" s="117">
        <f t="shared" si="56"/>
        <v>5</v>
      </c>
      <c r="BP349" s="153">
        <f t="shared" si="57"/>
        <v>5</v>
      </c>
      <c r="BQ349" s="74" t="s">
        <v>502</v>
      </c>
      <c r="BR349" s="74"/>
    </row>
    <row r="350" spans="1:70" hidden="1">
      <c r="A350">
        <v>336</v>
      </c>
      <c r="B350" s="75">
        <v>45844.917708333334</v>
      </c>
      <c r="E350" s="7">
        <v>45845</v>
      </c>
      <c r="F350">
        <v>889</v>
      </c>
      <c r="I350" s="10" t="s">
        <v>1425</v>
      </c>
      <c r="J350" s="69">
        <v>45845</v>
      </c>
      <c r="K350" s="97">
        <f t="shared" ref="K350:K365" si="61">MONTH($J350)</f>
        <v>7</v>
      </c>
      <c r="L350" s="97">
        <v>346</v>
      </c>
      <c r="O350" s="7" t="s">
        <v>156</v>
      </c>
      <c r="T350" t="s">
        <v>1426</v>
      </c>
      <c r="X350" s="36"/>
      <c r="Y350" s="36" t="s">
        <v>141</v>
      </c>
      <c r="Z350" s="36"/>
      <c r="AA350" s="36" t="s">
        <v>141</v>
      </c>
      <c r="AB350" s="36" t="s">
        <v>141</v>
      </c>
      <c r="AC350" s="36" t="s">
        <v>141</v>
      </c>
      <c r="AD350" s="36" t="s">
        <v>141</v>
      </c>
      <c r="AE350" s="36"/>
      <c r="AF350" s="36" t="s">
        <v>141</v>
      </c>
      <c r="AG350" s="36"/>
      <c r="AH350" s="36" t="s">
        <v>141</v>
      </c>
      <c r="AI350" s="36"/>
      <c r="AJ350" s="36" t="s">
        <v>141</v>
      </c>
      <c r="AK350" s="117"/>
      <c r="AL350" s="36"/>
      <c r="AM350" s="36" t="s">
        <v>141</v>
      </c>
      <c r="AN350" s="36"/>
      <c r="AO350" s="36"/>
      <c r="AP350" s="36"/>
      <c r="AQ350" s="36"/>
      <c r="AR350" s="36"/>
      <c r="AS350" s="36"/>
      <c r="AT350" s="36"/>
      <c r="AU350" s="36"/>
      <c r="AV350" s="36"/>
      <c r="AW350" s="117"/>
      <c r="AX350" s="117"/>
      <c r="AY350" s="36"/>
      <c r="AZ350" s="36"/>
      <c r="BA350" s="117"/>
      <c r="BB350" s="117"/>
      <c r="BC350" s="117"/>
      <c r="BD350" s="117"/>
      <c r="BE350" s="117"/>
      <c r="BF350" s="117"/>
      <c r="BG350" s="117" t="s">
        <v>141</v>
      </c>
      <c r="BH350" s="117"/>
      <c r="BI350" s="117"/>
      <c r="BJ350" s="117"/>
      <c r="BK350" s="117"/>
      <c r="BL350" s="117"/>
      <c r="BM350" s="117">
        <f t="shared" si="54"/>
        <v>9</v>
      </c>
      <c r="BN350" s="117">
        <f t="shared" si="55"/>
        <v>2</v>
      </c>
      <c r="BO350" s="117">
        <f t="shared" si="56"/>
        <v>5</v>
      </c>
      <c r="BP350" s="153">
        <f t="shared" si="57"/>
        <v>4</v>
      </c>
      <c r="BQ350" s="74" t="s">
        <v>273</v>
      </c>
      <c r="BR350" s="74"/>
    </row>
    <row r="351" spans="1:70" hidden="1">
      <c r="A351">
        <v>337</v>
      </c>
      <c r="B351" s="75">
        <v>45845.970347222225</v>
      </c>
      <c r="E351" s="7">
        <v>45846</v>
      </c>
      <c r="F351">
        <v>892</v>
      </c>
      <c r="I351" s="10" t="s">
        <v>1427</v>
      </c>
      <c r="J351" s="69">
        <v>45846</v>
      </c>
      <c r="K351" s="97">
        <f t="shared" si="61"/>
        <v>7</v>
      </c>
      <c r="L351" s="97">
        <v>349</v>
      </c>
      <c r="O351" s="7" t="s">
        <v>156</v>
      </c>
      <c r="T351" t="s">
        <v>1428</v>
      </c>
      <c r="X351" s="36"/>
      <c r="Y351" s="36"/>
      <c r="Z351" s="36"/>
      <c r="AA351" s="36" t="s">
        <v>141</v>
      </c>
      <c r="AB351" s="36"/>
      <c r="AC351" s="36" t="s">
        <v>141</v>
      </c>
      <c r="AD351" s="36" t="s">
        <v>141</v>
      </c>
      <c r="AE351" s="36" t="s">
        <v>141</v>
      </c>
      <c r="AF351" s="36"/>
      <c r="AG351" s="36"/>
      <c r="AH351" s="36" t="s">
        <v>141</v>
      </c>
      <c r="AI351" s="36" t="s">
        <v>141</v>
      </c>
      <c r="AJ351" s="36" t="s">
        <v>141</v>
      </c>
      <c r="AK351" s="117" t="s">
        <v>141</v>
      </c>
      <c r="AL351" s="36"/>
      <c r="AM351" s="36"/>
      <c r="AN351" s="36"/>
      <c r="AO351" s="36"/>
      <c r="AP351" s="36"/>
      <c r="AQ351" s="36"/>
      <c r="AR351" s="36"/>
      <c r="AS351" s="36" t="s">
        <v>141</v>
      </c>
      <c r="AT351" s="36"/>
      <c r="AU351" s="36"/>
      <c r="AV351" s="36"/>
      <c r="AW351" s="117"/>
      <c r="AX351" s="117" t="s">
        <v>141</v>
      </c>
      <c r="AY351" s="36"/>
      <c r="AZ351" s="36" t="s">
        <v>141</v>
      </c>
      <c r="BA351" s="117"/>
      <c r="BB351" s="117"/>
      <c r="BC351" s="117"/>
      <c r="BD351" s="117"/>
      <c r="BE351" s="117"/>
      <c r="BF351" s="117"/>
      <c r="BG351" s="117"/>
      <c r="BH351" s="117"/>
      <c r="BI351" s="117"/>
      <c r="BJ351" s="117"/>
      <c r="BK351" s="117"/>
      <c r="BL351" s="117"/>
      <c r="BM351" s="117">
        <f t="shared" si="54"/>
        <v>11</v>
      </c>
      <c r="BN351" s="117">
        <f t="shared" si="55"/>
        <v>3</v>
      </c>
      <c r="BO351" s="117">
        <f t="shared" si="56"/>
        <v>3</v>
      </c>
      <c r="BP351" s="153">
        <f t="shared" si="57"/>
        <v>8</v>
      </c>
      <c r="BQ351" s="74" t="s">
        <v>152</v>
      </c>
      <c r="BR351" s="74"/>
    </row>
    <row r="352" spans="1:70" hidden="1">
      <c r="A352">
        <v>338</v>
      </c>
      <c r="B352" s="75">
        <v>45846.289560185185</v>
      </c>
      <c r="E352" s="7">
        <v>45846</v>
      </c>
      <c r="F352">
        <v>893</v>
      </c>
      <c r="I352" s="10" t="s">
        <v>1429</v>
      </c>
      <c r="J352" s="69">
        <v>45846</v>
      </c>
      <c r="K352" s="97">
        <f t="shared" si="61"/>
        <v>7</v>
      </c>
      <c r="L352" s="97">
        <v>350</v>
      </c>
      <c r="O352" s="7" t="s">
        <v>197</v>
      </c>
      <c r="T352" t="s">
        <v>1430</v>
      </c>
      <c r="X352" s="36" t="s">
        <v>141</v>
      </c>
      <c r="Y352" s="36" t="s">
        <v>141</v>
      </c>
      <c r="Z352" s="36"/>
      <c r="AA352" s="36" t="s">
        <v>141</v>
      </c>
      <c r="AB352" s="36"/>
      <c r="AC352" s="36"/>
      <c r="AD352" s="36"/>
      <c r="AE352" s="36" t="s">
        <v>141</v>
      </c>
      <c r="AF352" s="36"/>
      <c r="AG352" s="36" t="s">
        <v>141</v>
      </c>
      <c r="AH352" s="36"/>
      <c r="AI352" s="36" t="s">
        <v>141</v>
      </c>
      <c r="AJ352" s="36" t="s">
        <v>141</v>
      </c>
      <c r="AK352" s="117"/>
      <c r="AL352" s="36"/>
      <c r="AM352" s="36" t="s">
        <v>141</v>
      </c>
      <c r="AN352" s="36"/>
      <c r="AO352" s="36"/>
      <c r="AP352" s="36"/>
      <c r="AQ352" s="36"/>
      <c r="AR352" s="36" t="s">
        <v>141</v>
      </c>
      <c r="AS352" s="36"/>
      <c r="AT352" s="36" t="s">
        <v>141</v>
      </c>
      <c r="AU352" s="36"/>
      <c r="AV352" s="36"/>
      <c r="AW352" s="117"/>
      <c r="AX352" s="117"/>
      <c r="AY352" s="36"/>
      <c r="AZ352" s="36"/>
      <c r="BA352" s="117" t="s">
        <v>141</v>
      </c>
      <c r="BB352" s="117"/>
      <c r="BC352" s="117"/>
      <c r="BD352" s="117"/>
      <c r="BE352" s="117" t="s">
        <v>141</v>
      </c>
      <c r="BF352" s="117"/>
      <c r="BG352" s="117"/>
      <c r="BH352" s="117"/>
      <c r="BI352" s="117"/>
      <c r="BJ352" s="117"/>
      <c r="BK352" s="117"/>
      <c r="BL352" s="117"/>
      <c r="BM352" s="117">
        <f t="shared" si="54"/>
        <v>12</v>
      </c>
      <c r="BN352" s="117">
        <f t="shared" si="55"/>
        <v>4</v>
      </c>
      <c r="BO352" s="117">
        <f t="shared" si="56"/>
        <v>3</v>
      </c>
      <c r="BP352" s="153">
        <f t="shared" si="57"/>
        <v>8</v>
      </c>
      <c r="BQ352" s="74" t="s">
        <v>178</v>
      </c>
      <c r="BR352" s="74"/>
    </row>
    <row r="353" spans="1:70" hidden="1">
      <c r="A353">
        <v>339</v>
      </c>
      <c r="B353" s="75">
        <v>45847.094108796293</v>
      </c>
      <c r="E353" s="7">
        <v>45847</v>
      </c>
      <c r="F353">
        <v>894</v>
      </c>
      <c r="I353" s="10" t="s">
        <v>1431</v>
      </c>
      <c r="J353" s="69">
        <v>45847</v>
      </c>
      <c r="K353" s="97">
        <f t="shared" si="61"/>
        <v>7</v>
      </c>
      <c r="L353" s="97">
        <v>351</v>
      </c>
      <c r="O353" s="7" t="s">
        <v>156</v>
      </c>
      <c r="T353" t="s">
        <v>1432</v>
      </c>
      <c r="X353" s="36"/>
      <c r="Y353" s="36"/>
      <c r="Z353" s="36"/>
      <c r="AA353" s="36" t="s">
        <v>141</v>
      </c>
      <c r="AB353" s="36"/>
      <c r="AC353" s="36"/>
      <c r="AD353" s="36"/>
      <c r="AE353" s="36" t="s">
        <v>141</v>
      </c>
      <c r="AF353" s="36"/>
      <c r="AG353" s="36"/>
      <c r="AH353" s="36" t="s">
        <v>141</v>
      </c>
      <c r="AI353" s="36"/>
      <c r="AJ353" s="36"/>
      <c r="AK353" s="117" t="s">
        <v>141</v>
      </c>
      <c r="AL353" s="36" t="s">
        <v>141</v>
      </c>
      <c r="AM353" s="36"/>
      <c r="AN353" s="36"/>
      <c r="AO353" s="36"/>
      <c r="AP353" s="36"/>
      <c r="AQ353" s="36"/>
      <c r="AR353" s="36"/>
      <c r="AS353" s="36"/>
      <c r="AT353" s="36"/>
      <c r="AU353" s="36" t="s">
        <v>141</v>
      </c>
      <c r="AV353" s="36"/>
      <c r="AW353" s="117" t="s">
        <v>141</v>
      </c>
      <c r="AX353" s="117"/>
      <c r="AY353" s="36"/>
      <c r="AZ353" s="36" t="s">
        <v>141</v>
      </c>
      <c r="BA353" s="117"/>
      <c r="BB353" s="117" t="s">
        <v>141</v>
      </c>
      <c r="BC353" s="117" t="s">
        <v>141</v>
      </c>
      <c r="BD353" s="117" t="s">
        <v>141</v>
      </c>
      <c r="BE353" s="117" t="s">
        <v>141</v>
      </c>
      <c r="BF353" s="117"/>
      <c r="BG353" s="117"/>
      <c r="BH353" s="117"/>
      <c r="BI353" s="117"/>
      <c r="BJ353" s="117"/>
      <c r="BK353" s="117"/>
      <c r="BL353" s="117"/>
      <c r="BM353" s="117">
        <f t="shared" si="54"/>
        <v>12</v>
      </c>
      <c r="BN353" s="117">
        <f t="shared" si="55"/>
        <v>1</v>
      </c>
      <c r="BO353" s="117">
        <f t="shared" si="56"/>
        <v>1</v>
      </c>
      <c r="BP353" s="153">
        <f t="shared" si="57"/>
        <v>9</v>
      </c>
      <c r="BQ353" s="74" t="s">
        <v>178</v>
      </c>
      <c r="BR353" s="74"/>
    </row>
    <row r="354" spans="1:70" hidden="1">
      <c r="A354">
        <v>340</v>
      </c>
      <c r="B354" s="75">
        <v>45847.109398148146</v>
      </c>
      <c r="E354" s="7">
        <v>45847</v>
      </c>
      <c r="F354">
        <v>895</v>
      </c>
      <c r="I354" s="10" t="s">
        <v>1433</v>
      </c>
      <c r="J354" s="69">
        <v>45847</v>
      </c>
      <c r="K354" s="97">
        <f t="shared" si="61"/>
        <v>7</v>
      </c>
      <c r="L354" s="97">
        <v>352</v>
      </c>
      <c r="O354" s="7" t="s">
        <v>156</v>
      </c>
      <c r="T354" t="s">
        <v>1118</v>
      </c>
      <c r="X354" s="36"/>
      <c r="Y354" s="36"/>
      <c r="Z354" s="36"/>
      <c r="AA354" s="36" t="s">
        <v>141</v>
      </c>
      <c r="AB354" s="36"/>
      <c r="AC354" s="36"/>
      <c r="AD354" s="36"/>
      <c r="AE354" s="36" t="s">
        <v>141</v>
      </c>
      <c r="AF354" s="36"/>
      <c r="AG354" s="36"/>
      <c r="AH354" s="36" t="s">
        <v>141</v>
      </c>
      <c r="AI354" s="36"/>
      <c r="AJ354" s="36"/>
      <c r="AK354" s="117" t="s">
        <v>141</v>
      </c>
      <c r="AL354" s="36" t="s">
        <v>141</v>
      </c>
      <c r="AM354" s="36"/>
      <c r="AN354" s="36"/>
      <c r="AO354" s="36"/>
      <c r="AP354" s="36"/>
      <c r="AQ354" s="36"/>
      <c r="AR354" s="36"/>
      <c r="AS354" s="36" t="s">
        <v>141</v>
      </c>
      <c r="AT354" s="36"/>
      <c r="AU354" s="36" t="s">
        <v>141</v>
      </c>
      <c r="AV354" s="36"/>
      <c r="AW354" s="117" t="s">
        <v>141</v>
      </c>
      <c r="AX354" s="117"/>
      <c r="AY354" s="36"/>
      <c r="AZ354" s="36" t="s">
        <v>141</v>
      </c>
      <c r="BA354" s="117"/>
      <c r="BB354" s="117" t="s">
        <v>141</v>
      </c>
      <c r="BC354" s="117" t="s">
        <v>141</v>
      </c>
      <c r="BD354" s="117" t="s">
        <v>141</v>
      </c>
      <c r="BE354" s="117" t="s">
        <v>141</v>
      </c>
      <c r="BF354" s="117"/>
      <c r="BG354" s="117"/>
      <c r="BH354" s="117"/>
      <c r="BI354" s="117"/>
      <c r="BJ354" s="117"/>
      <c r="BK354" s="117"/>
      <c r="BL354" s="117"/>
      <c r="BM354" s="117">
        <f t="shared" si="54"/>
        <v>13</v>
      </c>
      <c r="BN354" s="117">
        <f t="shared" si="55"/>
        <v>2</v>
      </c>
      <c r="BO354" s="117">
        <f t="shared" si="56"/>
        <v>1</v>
      </c>
      <c r="BP354" s="153">
        <f t="shared" si="57"/>
        <v>10</v>
      </c>
      <c r="BQ354" s="74" t="s">
        <v>215</v>
      </c>
      <c r="BR354" s="74"/>
    </row>
    <row r="355" spans="1:70" hidden="1">
      <c r="A355">
        <v>341</v>
      </c>
      <c r="B355" s="75">
        <v>45847.364178240743</v>
      </c>
      <c r="E355" s="7">
        <v>45847</v>
      </c>
      <c r="F355">
        <v>896</v>
      </c>
      <c r="I355" s="10" t="s">
        <v>1434</v>
      </c>
      <c r="J355" s="69">
        <v>45847</v>
      </c>
      <c r="K355" s="97">
        <f t="shared" si="61"/>
        <v>7</v>
      </c>
      <c r="L355" s="97">
        <v>353</v>
      </c>
      <c r="O355" s="7" t="s">
        <v>156</v>
      </c>
      <c r="T355" t="s">
        <v>1435</v>
      </c>
      <c r="X355" s="36"/>
      <c r="Y355" s="36" t="s">
        <v>141</v>
      </c>
      <c r="Z355" s="36"/>
      <c r="AA355" s="36" t="s">
        <v>141</v>
      </c>
      <c r="AB355" s="36"/>
      <c r="AC355" s="36"/>
      <c r="AD355" s="36" t="s">
        <v>141</v>
      </c>
      <c r="AE355" s="36"/>
      <c r="AF355" s="36"/>
      <c r="AG355" s="36" t="s">
        <v>141</v>
      </c>
      <c r="AH355" s="36"/>
      <c r="AI355" s="36"/>
      <c r="AJ355" s="36"/>
      <c r="AK355" s="117"/>
      <c r="AL355" s="36" t="s">
        <v>141</v>
      </c>
      <c r="AM355" s="36" t="s">
        <v>141</v>
      </c>
      <c r="AN355" s="36"/>
      <c r="AO355" s="36" t="s">
        <v>141</v>
      </c>
      <c r="AP355" s="36"/>
      <c r="AQ355" s="36"/>
      <c r="AR355" s="36"/>
      <c r="AS355" s="36" t="s">
        <v>141</v>
      </c>
      <c r="AT355" s="36" t="s">
        <v>141</v>
      </c>
      <c r="AU355" s="36"/>
      <c r="AV355" s="36"/>
      <c r="AW355" s="117"/>
      <c r="AX355" s="117"/>
      <c r="AY355" s="36"/>
      <c r="AZ355" s="36" t="s">
        <v>141</v>
      </c>
      <c r="BA355" s="117"/>
      <c r="BB355" s="117"/>
      <c r="BC355" s="117" t="s">
        <v>141</v>
      </c>
      <c r="BD355" s="117" t="s">
        <v>141</v>
      </c>
      <c r="BE355" s="117"/>
      <c r="BF355" s="117"/>
      <c r="BG355" s="117"/>
      <c r="BH355" s="117"/>
      <c r="BI355" s="117"/>
      <c r="BJ355" s="117"/>
      <c r="BK355" s="117"/>
      <c r="BL355" s="117"/>
      <c r="BM355" s="117">
        <f t="shared" si="54"/>
        <v>12</v>
      </c>
      <c r="BN355" s="117">
        <f t="shared" si="55"/>
        <v>3</v>
      </c>
      <c r="BO355" s="117">
        <f t="shared" si="56"/>
        <v>3</v>
      </c>
      <c r="BP355" s="153">
        <f t="shared" si="57"/>
        <v>8</v>
      </c>
      <c r="BQ355" s="74" t="s">
        <v>639</v>
      </c>
      <c r="BR355" s="74"/>
    </row>
    <row r="356" spans="1:70" hidden="1">
      <c r="A356">
        <v>342</v>
      </c>
      <c r="B356" s="75">
        <v>45848.095983796295</v>
      </c>
      <c r="E356" s="7">
        <v>45848</v>
      </c>
      <c r="F356">
        <v>897</v>
      </c>
      <c r="I356" s="10" t="s">
        <v>1436</v>
      </c>
      <c r="J356" s="69">
        <v>45848</v>
      </c>
      <c r="K356" s="97">
        <f t="shared" si="61"/>
        <v>7</v>
      </c>
      <c r="L356" s="97">
        <v>354</v>
      </c>
      <c r="O356" s="7" t="s">
        <v>739</v>
      </c>
      <c r="T356" t="s">
        <v>1437</v>
      </c>
      <c r="X356" s="36"/>
      <c r="Y356" s="36" t="s">
        <v>141</v>
      </c>
      <c r="Z356" s="36"/>
      <c r="AA356" s="36" t="s">
        <v>141</v>
      </c>
      <c r="AB356" s="36"/>
      <c r="AC356" s="36"/>
      <c r="AD356" s="36" t="s">
        <v>141</v>
      </c>
      <c r="AE356" s="36"/>
      <c r="AF356" s="36"/>
      <c r="AG356" s="36"/>
      <c r="AH356" s="36" t="s">
        <v>141</v>
      </c>
      <c r="AI356" s="36"/>
      <c r="AJ356" s="36" t="s">
        <v>141</v>
      </c>
      <c r="AK356" s="117" t="s">
        <v>141</v>
      </c>
      <c r="AL356" s="36" t="s">
        <v>141</v>
      </c>
      <c r="AM356" s="36"/>
      <c r="AN356" s="36"/>
      <c r="AO356" s="36" t="s">
        <v>141</v>
      </c>
      <c r="AP356" s="36"/>
      <c r="AQ356" s="36"/>
      <c r="AR356" s="36"/>
      <c r="AS356" s="36"/>
      <c r="AT356" s="36"/>
      <c r="AU356" s="36" t="s">
        <v>141</v>
      </c>
      <c r="AV356" s="36"/>
      <c r="AW356" s="117"/>
      <c r="AX356" s="117"/>
      <c r="AY356" s="36" t="s">
        <v>141</v>
      </c>
      <c r="AZ356" s="36" t="s">
        <v>141</v>
      </c>
      <c r="BA356" s="117"/>
      <c r="BB356" s="117" t="s">
        <v>141</v>
      </c>
      <c r="BC356" s="117"/>
      <c r="BD356" s="117"/>
      <c r="BE356" s="117" t="s">
        <v>141</v>
      </c>
      <c r="BF356" s="117"/>
      <c r="BG356" s="117"/>
      <c r="BH356" s="117"/>
      <c r="BI356" s="117"/>
      <c r="BJ356" s="117"/>
      <c r="BK356" s="117"/>
      <c r="BL356" s="117"/>
      <c r="BM356" s="117">
        <f t="shared" si="54"/>
        <v>13</v>
      </c>
      <c r="BN356" s="117">
        <f t="shared" si="55"/>
        <v>2</v>
      </c>
      <c r="BO356" s="117">
        <f t="shared" si="56"/>
        <v>3</v>
      </c>
      <c r="BP356" s="153">
        <f t="shared" si="57"/>
        <v>9</v>
      </c>
      <c r="BQ356" s="74" t="s">
        <v>178</v>
      </c>
      <c r="BR356" s="74"/>
    </row>
    <row r="357" spans="1:70" hidden="1">
      <c r="A357">
        <v>343</v>
      </c>
      <c r="B357" s="75">
        <v>45849.1409375</v>
      </c>
      <c r="E357" s="7">
        <v>45849</v>
      </c>
      <c r="F357">
        <v>898</v>
      </c>
      <c r="I357" s="10" t="s">
        <v>1438</v>
      </c>
      <c r="J357" s="69">
        <v>45849</v>
      </c>
      <c r="K357" s="97">
        <f t="shared" si="61"/>
        <v>7</v>
      </c>
      <c r="L357" s="97">
        <v>355</v>
      </c>
      <c r="O357" s="7" t="s">
        <v>134</v>
      </c>
      <c r="T357" t="s">
        <v>1439</v>
      </c>
      <c r="X357" s="36"/>
      <c r="Y357" s="36" t="s">
        <v>141</v>
      </c>
      <c r="Z357" s="36" t="s">
        <v>141</v>
      </c>
      <c r="AA357" s="36" t="s">
        <v>141</v>
      </c>
      <c r="AB357" s="36" t="s">
        <v>141</v>
      </c>
      <c r="AC357" s="36"/>
      <c r="AD357" s="36" t="s">
        <v>141</v>
      </c>
      <c r="AE357" s="36" t="s">
        <v>141</v>
      </c>
      <c r="AF357" s="36"/>
      <c r="AG357" s="36" t="s">
        <v>141</v>
      </c>
      <c r="AH357" s="36" t="s">
        <v>141</v>
      </c>
      <c r="AI357" s="36"/>
      <c r="AJ357" s="36" t="s">
        <v>141</v>
      </c>
      <c r="AK357" s="117"/>
      <c r="AL357" s="36"/>
      <c r="AM357" s="36" t="s">
        <v>141</v>
      </c>
      <c r="AN357" s="36"/>
      <c r="AO357" s="36"/>
      <c r="AP357" s="36"/>
      <c r="AQ357" s="36"/>
      <c r="AR357" s="36"/>
      <c r="AS357" s="36"/>
      <c r="AT357" s="36" t="s">
        <v>141</v>
      </c>
      <c r="AU357" s="36"/>
      <c r="AV357" s="36"/>
      <c r="AW357" s="117" t="s">
        <v>141</v>
      </c>
      <c r="AX357" s="117"/>
      <c r="AY357" s="36"/>
      <c r="AZ357" s="36"/>
      <c r="BA357" s="117"/>
      <c r="BB357" s="117" t="s">
        <v>141</v>
      </c>
      <c r="BC357" s="117"/>
      <c r="BD357" s="117"/>
      <c r="BE357" s="117"/>
      <c r="BF357" s="117"/>
      <c r="BG357" s="117"/>
      <c r="BH357" s="117"/>
      <c r="BI357" s="117"/>
      <c r="BJ357" s="117"/>
      <c r="BK357" s="117"/>
      <c r="BL357" s="117"/>
      <c r="BM357" s="117">
        <f t="shared" si="54"/>
        <v>13</v>
      </c>
      <c r="BN357" s="117">
        <f t="shared" si="55"/>
        <v>3</v>
      </c>
      <c r="BO357" s="117">
        <f t="shared" si="56"/>
        <v>5</v>
      </c>
      <c r="BP357" s="153">
        <f t="shared" si="57"/>
        <v>8</v>
      </c>
      <c r="BQ357" s="74" t="s">
        <v>215</v>
      </c>
      <c r="BR357" s="74"/>
    </row>
    <row r="358" spans="1:70" hidden="1">
      <c r="A358">
        <v>344</v>
      </c>
      <c r="B358" s="75">
        <v>45849.270462962966</v>
      </c>
      <c r="E358" s="7">
        <v>45849</v>
      </c>
      <c r="F358">
        <v>899</v>
      </c>
      <c r="I358" s="10" t="s">
        <v>1440</v>
      </c>
      <c r="J358" s="69">
        <v>45849</v>
      </c>
      <c r="K358" s="97">
        <f t="shared" si="61"/>
        <v>7</v>
      </c>
      <c r="L358" s="97">
        <v>356</v>
      </c>
      <c r="O358" s="7" t="s">
        <v>219</v>
      </c>
      <c r="T358" t="s">
        <v>1441</v>
      </c>
      <c r="X358" s="36" t="s">
        <v>141</v>
      </c>
      <c r="Y358" s="36" t="s">
        <v>141</v>
      </c>
      <c r="Z358" s="36" t="s">
        <v>141</v>
      </c>
      <c r="AA358" s="36" t="s">
        <v>141</v>
      </c>
      <c r="AB358" s="36" t="s">
        <v>141</v>
      </c>
      <c r="AC358" s="36"/>
      <c r="AD358" s="36" t="s">
        <v>141</v>
      </c>
      <c r="AE358" s="36" t="s">
        <v>141</v>
      </c>
      <c r="AF358" s="36"/>
      <c r="AG358" s="36"/>
      <c r="AH358" s="36" t="s">
        <v>141</v>
      </c>
      <c r="AI358" s="36"/>
      <c r="AJ358" s="36" t="s">
        <v>141</v>
      </c>
      <c r="AK358" s="117"/>
      <c r="AL358" s="36" t="s">
        <v>141</v>
      </c>
      <c r="AM358" s="36" t="s">
        <v>141</v>
      </c>
      <c r="AN358" s="36"/>
      <c r="AO358" s="36"/>
      <c r="AP358" s="36"/>
      <c r="AQ358" s="36"/>
      <c r="AR358" s="36"/>
      <c r="AS358" s="36"/>
      <c r="AT358" s="36"/>
      <c r="AU358" s="36"/>
      <c r="AV358" s="36"/>
      <c r="AW358" s="117"/>
      <c r="AX358" s="117"/>
      <c r="AY358" s="36"/>
      <c r="AZ358" s="36"/>
      <c r="BA358" s="117" t="s">
        <v>141</v>
      </c>
      <c r="BB358" s="117"/>
      <c r="BC358" s="117"/>
      <c r="BD358" s="117"/>
      <c r="BE358" s="117"/>
      <c r="BF358" s="117"/>
      <c r="BG358" s="117"/>
      <c r="BH358" s="117"/>
      <c r="BI358" s="117"/>
      <c r="BJ358" s="117"/>
      <c r="BK358" s="117"/>
      <c r="BL358" s="117"/>
      <c r="BM358" s="117">
        <f t="shared" si="54"/>
        <v>12</v>
      </c>
      <c r="BN358" s="117">
        <f t="shared" si="55"/>
        <v>2</v>
      </c>
      <c r="BO358" s="117">
        <f t="shared" si="56"/>
        <v>6</v>
      </c>
      <c r="BP358" s="153">
        <f t="shared" si="57"/>
        <v>6</v>
      </c>
      <c r="BQ358" s="74" t="s">
        <v>208</v>
      </c>
      <c r="BR358" s="74"/>
    </row>
    <row r="359" spans="1:70" hidden="1">
      <c r="A359">
        <v>345</v>
      </c>
      <c r="B359" s="75">
        <v>45849.306296296294</v>
      </c>
      <c r="E359" s="7">
        <v>45849</v>
      </c>
      <c r="F359">
        <v>900</v>
      </c>
      <c r="I359" s="10" t="s">
        <v>1442</v>
      </c>
      <c r="J359" s="69">
        <v>45849</v>
      </c>
      <c r="K359" s="97">
        <f t="shared" si="61"/>
        <v>7</v>
      </c>
      <c r="L359" s="97">
        <v>357</v>
      </c>
      <c r="O359" s="7" t="s">
        <v>1443</v>
      </c>
      <c r="T359" t="s">
        <v>1444</v>
      </c>
      <c r="X359" s="36" t="s">
        <v>141</v>
      </c>
      <c r="Y359" s="36" t="s">
        <v>141</v>
      </c>
      <c r="Z359" s="36"/>
      <c r="AA359" s="36" t="s">
        <v>141</v>
      </c>
      <c r="AB359" s="36" t="s">
        <v>141</v>
      </c>
      <c r="AC359" s="36" t="s">
        <v>141</v>
      </c>
      <c r="AD359" s="36"/>
      <c r="AE359" s="36"/>
      <c r="AF359" s="36"/>
      <c r="AG359" s="36"/>
      <c r="AH359" s="36"/>
      <c r="AI359" s="36"/>
      <c r="AJ359" s="36" t="s">
        <v>141</v>
      </c>
      <c r="AK359" s="117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117"/>
      <c r="AX359" s="117" t="s">
        <v>141</v>
      </c>
      <c r="AY359" s="36" t="s">
        <v>141</v>
      </c>
      <c r="AZ359" s="36"/>
      <c r="BA359" s="117" t="s">
        <v>141</v>
      </c>
      <c r="BB359" s="117"/>
      <c r="BC359" s="117" t="s">
        <v>141</v>
      </c>
      <c r="BD359" s="117"/>
      <c r="BE359" s="117"/>
      <c r="BF359" s="117"/>
      <c r="BG359" s="117"/>
      <c r="BH359" s="117"/>
      <c r="BI359" s="117"/>
      <c r="BJ359" s="117"/>
      <c r="BK359" s="117"/>
      <c r="BL359" s="117"/>
      <c r="BM359" s="117">
        <f t="shared" si="54"/>
        <v>10</v>
      </c>
      <c r="BN359" s="117">
        <f t="shared" si="55"/>
        <v>1</v>
      </c>
      <c r="BO359" s="117">
        <f t="shared" si="56"/>
        <v>5</v>
      </c>
      <c r="BP359" s="153">
        <f t="shared" si="57"/>
        <v>5</v>
      </c>
      <c r="BQ359" s="74" t="s">
        <v>208</v>
      </c>
      <c r="BR359" s="74"/>
    </row>
    <row r="360" spans="1:70" hidden="1">
      <c r="A360">
        <v>346</v>
      </c>
      <c r="B360" s="75">
        <v>45849.307905092595</v>
      </c>
      <c r="E360" s="7">
        <v>45849</v>
      </c>
      <c r="F360">
        <v>901</v>
      </c>
      <c r="I360" s="10" t="s">
        <v>1445</v>
      </c>
      <c r="J360" s="69">
        <v>45849</v>
      </c>
      <c r="K360" s="97">
        <f t="shared" si="61"/>
        <v>7</v>
      </c>
      <c r="L360" s="97">
        <v>358</v>
      </c>
      <c r="O360" s="7" t="s">
        <v>156</v>
      </c>
      <c r="T360" t="s">
        <v>1446</v>
      </c>
      <c r="X360" s="36"/>
      <c r="Y360" s="36" t="s">
        <v>141</v>
      </c>
      <c r="Z360" s="36"/>
      <c r="AA360" s="36" t="s">
        <v>141</v>
      </c>
      <c r="AB360" s="36" t="s">
        <v>141</v>
      </c>
      <c r="AC360" s="36" t="s">
        <v>141</v>
      </c>
      <c r="AD360" s="36"/>
      <c r="AE360" s="36"/>
      <c r="AF360" s="36"/>
      <c r="AG360" s="36"/>
      <c r="AH360" s="36"/>
      <c r="AI360" s="36"/>
      <c r="AJ360" s="36" t="s">
        <v>141</v>
      </c>
      <c r="AK360" s="117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117"/>
      <c r="AX360" s="117" t="s">
        <v>141</v>
      </c>
      <c r="AY360" s="36" t="s">
        <v>141</v>
      </c>
      <c r="AZ360" s="36"/>
      <c r="BA360" s="117" t="s">
        <v>141</v>
      </c>
      <c r="BB360" s="117"/>
      <c r="BC360" s="117" t="s">
        <v>141</v>
      </c>
      <c r="BD360" s="117" t="s">
        <v>141</v>
      </c>
      <c r="BE360" s="117"/>
      <c r="BF360" s="117"/>
      <c r="BG360" s="117"/>
      <c r="BH360" s="117"/>
      <c r="BI360" s="117"/>
      <c r="BJ360" s="117"/>
      <c r="BK360" s="117"/>
      <c r="BL360" s="117"/>
      <c r="BM360" s="117">
        <f t="shared" si="54"/>
        <v>10</v>
      </c>
      <c r="BN360" s="117">
        <f t="shared" si="55"/>
        <v>1</v>
      </c>
      <c r="BO360" s="117">
        <f t="shared" si="56"/>
        <v>4</v>
      </c>
      <c r="BP360" s="153">
        <f t="shared" si="57"/>
        <v>5</v>
      </c>
      <c r="BQ360" s="74" t="s">
        <v>208</v>
      </c>
      <c r="BR360" s="74"/>
    </row>
    <row r="361" spans="1:70" hidden="1">
      <c r="A361">
        <v>347</v>
      </c>
      <c r="B361" s="75">
        <v>45850.060520833336</v>
      </c>
      <c r="E361" s="7">
        <v>45850</v>
      </c>
      <c r="F361">
        <v>902</v>
      </c>
      <c r="I361" s="10" t="s">
        <v>1447</v>
      </c>
      <c r="J361" s="69">
        <v>45850</v>
      </c>
      <c r="K361" s="97">
        <f t="shared" si="61"/>
        <v>7</v>
      </c>
      <c r="L361" s="97">
        <v>359</v>
      </c>
      <c r="O361" s="7" t="s">
        <v>156</v>
      </c>
      <c r="T361" t="s">
        <v>1448</v>
      </c>
      <c r="X361" s="36"/>
      <c r="Y361" s="36" t="s">
        <v>141</v>
      </c>
      <c r="Z361" s="36" t="s">
        <v>141</v>
      </c>
      <c r="AA361" s="36" t="s">
        <v>141</v>
      </c>
      <c r="AB361" s="36" t="s">
        <v>141</v>
      </c>
      <c r="AC361" s="36"/>
      <c r="AD361" s="36" t="s">
        <v>141</v>
      </c>
      <c r="AE361" s="36" t="s">
        <v>141</v>
      </c>
      <c r="AF361" s="36"/>
      <c r="AG361" s="36"/>
      <c r="AH361" s="36" t="s">
        <v>141</v>
      </c>
      <c r="AI361" s="36"/>
      <c r="AJ361" s="36" t="s">
        <v>141</v>
      </c>
      <c r="AK361" s="117"/>
      <c r="AL361" s="36" t="s">
        <v>141</v>
      </c>
      <c r="AM361" s="36" t="s">
        <v>141</v>
      </c>
      <c r="AN361" s="36"/>
      <c r="AO361" s="36"/>
      <c r="AP361" s="36"/>
      <c r="AQ361" s="36"/>
      <c r="AR361" s="36"/>
      <c r="AS361" s="36"/>
      <c r="AT361" s="36"/>
      <c r="AU361" s="36"/>
      <c r="AV361" s="36"/>
      <c r="AW361" s="117"/>
      <c r="AX361" s="117" t="s">
        <v>141</v>
      </c>
      <c r="AY361" s="36"/>
      <c r="AZ361" s="36"/>
      <c r="BA361" s="117" t="s">
        <v>141</v>
      </c>
      <c r="BB361" s="117"/>
      <c r="BC361" s="117" t="s">
        <v>141</v>
      </c>
      <c r="BD361" s="117"/>
      <c r="BE361" s="117"/>
      <c r="BF361" s="117"/>
      <c r="BG361" s="117"/>
      <c r="BH361" s="117"/>
      <c r="BI361" s="117"/>
      <c r="BJ361" s="117"/>
      <c r="BK361" s="117"/>
      <c r="BL361" s="117"/>
      <c r="BM361" s="117">
        <f t="shared" si="54"/>
        <v>13</v>
      </c>
      <c r="BN361" s="117">
        <f t="shared" si="55"/>
        <v>2</v>
      </c>
      <c r="BO361" s="117">
        <f t="shared" si="56"/>
        <v>5</v>
      </c>
      <c r="BP361" s="153">
        <f t="shared" si="57"/>
        <v>8</v>
      </c>
      <c r="BQ361" s="74" t="s">
        <v>208</v>
      </c>
      <c r="BR361" s="74"/>
    </row>
    <row r="362" spans="1:70" hidden="1">
      <c r="A362">
        <v>348</v>
      </c>
      <c r="B362" s="75">
        <v>45850.246979166666</v>
      </c>
      <c r="E362" s="7">
        <v>45850</v>
      </c>
      <c r="F362">
        <v>903</v>
      </c>
      <c r="I362" s="10" t="s">
        <v>1449</v>
      </c>
      <c r="J362" s="69">
        <v>45850</v>
      </c>
      <c r="K362" s="97">
        <f t="shared" si="61"/>
        <v>7</v>
      </c>
      <c r="L362" s="97">
        <v>360</v>
      </c>
      <c r="O362" s="7" t="s">
        <v>1450</v>
      </c>
      <c r="T362" t="s">
        <v>1451</v>
      </c>
      <c r="X362" s="36"/>
      <c r="Y362" s="36"/>
      <c r="Z362" s="36" t="s">
        <v>141</v>
      </c>
      <c r="AA362" s="36" t="s">
        <v>141</v>
      </c>
      <c r="AB362" s="36"/>
      <c r="AC362" s="36"/>
      <c r="AD362" s="36" t="s">
        <v>141</v>
      </c>
      <c r="AE362" s="36"/>
      <c r="AF362" s="36"/>
      <c r="AG362" s="36"/>
      <c r="AH362" s="36"/>
      <c r="AI362" s="36"/>
      <c r="AJ362" s="36" t="s">
        <v>141</v>
      </c>
      <c r="AK362" s="117"/>
      <c r="AL362" s="36" t="s">
        <v>141</v>
      </c>
      <c r="AM362" s="36"/>
      <c r="AN362" s="36"/>
      <c r="AO362" s="36"/>
      <c r="AP362" s="36"/>
      <c r="AQ362" s="36"/>
      <c r="AR362" s="36" t="s">
        <v>141</v>
      </c>
      <c r="AS362" s="36"/>
      <c r="AT362" s="36"/>
      <c r="AU362" s="36"/>
      <c r="AV362" s="36"/>
      <c r="AW362" s="117" t="s">
        <v>141</v>
      </c>
      <c r="AX362" s="117"/>
      <c r="AY362" s="36"/>
      <c r="AZ362" s="36"/>
      <c r="BA362" s="117" t="s">
        <v>141</v>
      </c>
      <c r="BB362" s="117"/>
      <c r="BC362" s="117"/>
      <c r="BD362" s="117"/>
      <c r="BE362" s="117"/>
      <c r="BF362" s="117"/>
      <c r="BG362" s="117"/>
      <c r="BH362" s="117"/>
      <c r="BI362" s="117"/>
      <c r="BJ362" s="117"/>
      <c r="BK362" s="117"/>
      <c r="BL362" s="117"/>
      <c r="BM362" s="117">
        <f t="shared" si="54"/>
        <v>8</v>
      </c>
      <c r="BN362" s="117">
        <f t="shared" si="55"/>
        <v>2</v>
      </c>
      <c r="BO362" s="117">
        <f t="shared" si="56"/>
        <v>3</v>
      </c>
      <c r="BP362" s="153">
        <f t="shared" si="57"/>
        <v>5</v>
      </c>
      <c r="BQ362" s="74" t="s">
        <v>178</v>
      </c>
      <c r="BR362" s="74"/>
    </row>
    <row r="363" spans="1:70" hidden="1">
      <c r="A363">
        <v>349</v>
      </c>
      <c r="B363" s="75">
        <v>45850.437557870369</v>
      </c>
      <c r="E363" s="7">
        <v>45849</v>
      </c>
      <c r="F363">
        <v>904</v>
      </c>
      <c r="I363" s="10" t="s">
        <v>1452</v>
      </c>
      <c r="J363" s="69">
        <v>45850</v>
      </c>
      <c r="K363" s="97">
        <f t="shared" si="61"/>
        <v>7</v>
      </c>
      <c r="L363" s="97">
        <v>361</v>
      </c>
      <c r="O363" s="7" t="s">
        <v>970</v>
      </c>
      <c r="T363" t="s">
        <v>1453</v>
      </c>
      <c r="X363" s="36"/>
      <c r="Y363" s="36" t="s">
        <v>141</v>
      </c>
      <c r="Z363" s="36"/>
      <c r="AA363" s="36" t="s">
        <v>141</v>
      </c>
      <c r="AB363" s="36"/>
      <c r="AC363" s="36" t="s">
        <v>141</v>
      </c>
      <c r="AD363" s="36" t="s">
        <v>141</v>
      </c>
      <c r="AE363" s="36"/>
      <c r="AF363" s="36"/>
      <c r="AG363" s="36" t="s">
        <v>141</v>
      </c>
      <c r="AH363" s="36"/>
      <c r="AI363" s="36"/>
      <c r="AJ363" s="36" t="s">
        <v>141</v>
      </c>
      <c r="AK363" s="117"/>
      <c r="AL363" s="36"/>
      <c r="AM363" s="36"/>
      <c r="AN363" s="36"/>
      <c r="AO363" s="36"/>
      <c r="AP363" s="36"/>
      <c r="AQ363" s="36"/>
      <c r="AR363" s="36"/>
      <c r="AS363" s="36" t="s">
        <v>141</v>
      </c>
      <c r="AT363" s="36"/>
      <c r="AU363" s="36"/>
      <c r="AV363" s="36"/>
      <c r="AW363" s="117"/>
      <c r="AX363" s="117"/>
      <c r="AY363" s="36"/>
      <c r="AZ363" s="36"/>
      <c r="BA363" s="117" t="s">
        <v>141</v>
      </c>
      <c r="BB363" s="117"/>
      <c r="BC363" s="117"/>
      <c r="BD363" s="117" t="s">
        <v>141</v>
      </c>
      <c r="BE363" s="117"/>
      <c r="BF363" s="117"/>
      <c r="BG363" s="117"/>
      <c r="BH363" s="117"/>
      <c r="BI363" s="117"/>
      <c r="BJ363" s="117"/>
      <c r="BK363" s="117"/>
      <c r="BL363" s="117"/>
      <c r="BM363" s="117">
        <f t="shared" si="54"/>
        <v>9</v>
      </c>
      <c r="BN363" s="117">
        <f t="shared" si="55"/>
        <v>3</v>
      </c>
      <c r="BO363" s="117">
        <f t="shared" si="56"/>
        <v>4</v>
      </c>
      <c r="BP363" s="153">
        <f t="shared" si="57"/>
        <v>4</v>
      </c>
      <c r="BQ363" s="74" t="s">
        <v>1454</v>
      </c>
      <c r="BR363" s="74"/>
    </row>
    <row r="364" spans="1:70" hidden="1">
      <c r="A364">
        <v>350</v>
      </c>
      <c r="B364" s="75">
        <v>45850.982581018521</v>
      </c>
      <c r="E364" s="7">
        <v>45851</v>
      </c>
      <c r="F364">
        <v>905</v>
      </c>
      <c r="I364" s="10" t="s">
        <v>1455</v>
      </c>
      <c r="J364" s="69">
        <v>45851</v>
      </c>
      <c r="K364" s="97">
        <f t="shared" si="61"/>
        <v>7</v>
      </c>
      <c r="L364" s="97">
        <v>362</v>
      </c>
      <c r="O364" s="7" t="s">
        <v>134</v>
      </c>
      <c r="T364" t="s">
        <v>1456</v>
      </c>
      <c r="X364" s="36" t="s">
        <v>141</v>
      </c>
      <c r="Y364" s="36"/>
      <c r="Z364" s="36"/>
      <c r="AA364" s="36" t="s">
        <v>141</v>
      </c>
      <c r="AB364" s="36"/>
      <c r="AC364" s="36"/>
      <c r="AD364" s="36"/>
      <c r="AE364" s="36" t="s">
        <v>141</v>
      </c>
      <c r="AF364" s="36"/>
      <c r="AG364" s="36" t="s">
        <v>141</v>
      </c>
      <c r="AH364" s="36" t="s">
        <v>141</v>
      </c>
      <c r="AI364" s="36"/>
      <c r="AJ364" s="36"/>
      <c r="AK364" s="117"/>
      <c r="AL364" s="36"/>
      <c r="AM364" s="36"/>
      <c r="AN364" s="36"/>
      <c r="AO364" s="36"/>
      <c r="AP364" s="36"/>
      <c r="AQ364" s="36"/>
      <c r="AR364" s="36" t="s">
        <v>141</v>
      </c>
      <c r="AS364" s="36"/>
      <c r="AT364" s="36"/>
      <c r="AU364" s="36"/>
      <c r="AV364" s="36"/>
      <c r="AW364" s="117"/>
      <c r="AX364" s="117"/>
      <c r="AY364" s="36"/>
      <c r="AZ364" s="36"/>
      <c r="BA364" s="117" t="s">
        <v>141</v>
      </c>
      <c r="BB364" s="117" t="s">
        <v>141</v>
      </c>
      <c r="BC364" s="117"/>
      <c r="BD364" s="117" t="s">
        <v>141</v>
      </c>
      <c r="BE364" s="117"/>
      <c r="BF364" s="117"/>
      <c r="BG364" s="117"/>
      <c r="BH364" s="117"/>
      <c r="BI364" s="117"/>
      <c r="BJ364" s="117"/>
      <c r="BK364" s="117"/>
      <c r="BL364" s="117"/>
      <c r="BM364" s="117">
        <f t="shared" si="54"/>
        <v>9</v>
      </c>
      <c r="BN364" s="117">
        <f t="shared" si="55"/>
        <v>2</v>
      </c>
      <c r="BO364" s="117">
        <f t="shared" si="56"/>
        <v>2</v>
      </c>
      <c r="BP364" s="153">
        <f t="shared" si="57"/>
        <v>6</v>
      </c>
      <c r="BQ364" s="74" t="s">
        <v>639</v>
      </c>
      <c r="BR364" s="74"/>
    </row>
    <row r="365" spans="1:70" hidden="1">
      <c r="A365">
        <v>351</v>
      </c>
      <c r="B365" s="75">
        <v>45851.367673611108</v>
      </c>
      <c r="E365" s="7">
        <v>45851</v>
      </c>
      <c r="F365">
        <v>906</v>
      </c>
      <c r="I365" s="10" t="s">
        <v>1457</v>
      </c>
      <c r="J365" s="69">
        <v>45851</v>
      </c>
      <c r="K365" s="97">
        <f t="shared" si="61"/>
        <v>7</v>
      </c>
      <c r="L365" s="97">
        <v>363</v>
      </c>
      <c r="O365" s="7" t="s">
        <v>134</v>
      </c>
      <c r="T365" t="s">
        <v>1458</v>
      </c>
      <c r="X365" s="36"/>
      <c r="Y365" s="36" t="s">
        <v>141</v>
      </c>
      <c r="Z365" s="36" t="s">
        <v>141</v>
      </c>
      <c r="AA365" s="36" t="s">
        <v>141</v>
      </c>
      <c r="AB365" s="36" t="s">
        <v>141</v>
      </c>
      <c r="AC365" s="36" t="s">
        <v>141</v>
      </c>
      <c r="AD365" s="36"/>
      <c r="AE365" s="36"/>
      <c r="AF365" s="36" t="s">
        <v>141</v>
      </c>
      <c r="AG365" s="36" t="s">
        <v>141</v>
      </c>
      <c r="AH365" s="36"/>
      <c r="AI365" s="36"/>
      <c r="AJ365" s="36"/>
      <c r="AK365" s="117" t="s">
        <v>141</v>
      </c>
      <c r="AL365" s="36"/>
      <c r="AM365" s="36" t="s">
        <v>141</v>
      </c>
      <c r="AN365" s="36"/>
      <c r="AO365" s="36"/>
      <c r="AP365" s="36"/>
      <c r="AQ365" s="36"/>
      <c r="AR365" s="36"/>
      <c r="AS365" s="36"/>
      <c r="AT365" s="36"/>
      <c r="AU365" s="36"/>
      <c r="AV365" s="36"/>
      <c r="AW365" s="117"/>
      <c r="AX365" s="117"/>
      <c r="AY365" s="36"/>
      <c r="AZ365" s="36"/>
      <c r="BA365" s="117"/>
      <c r="BB365" s="117"/>
      <c r="BC365" s="117"/>
      <c r="BD365" s="117" t="s">
        <v>141</v>
      </c>
      <c r="BE365" s="117"/>
      <c r="BF365" s="117"/>
      <c r="BG365" s="117"/>
      <c r="BH365" s="117"/>
      <c r="BI365" s="117"/>
      <c r="BJ365" s="117"/>
      <c r="BK365" s="117"/>
      <c r="BL365" s="117"/>
      <c r="BM365" s="117">
        <f t="shared" si="54"/>
        <v>10</v>
      </c>
      <c r="BN365" s="117">
        <f t="shared" si="55"/>
        <v>3</v>
      </c>
      <c r="BO365" s="117">
        <f t="shared" si="56"/>
        <v>5</v>
      </c>
      <c r="BP365" s="153">
        <f t="shared" si="57"/>
        <v>4</v>
      </c>
      <c r="BQ365" s="74" t="s">
        <v>178</v>
      </c>
      <c r="BR365" s="74"/>
    </row>
    <row r="366" spans="1:70" hidden="1">
      <c r="A366">
        <v>352</v>
      </c>
      <c r="B366" s="75">
        <v>45852.118020833332</v>
      </c>
      <c r="E366" s="7">
        <v>45851</v>
      </c>
      <c r="F366">
        <v>907</v>
      </c>
      <c r="I366" s="10" t="s">
        <v>1459</v>
      </c>
      <c r="J366" s="69">
        <v>45852</v>
      </c>
      <c r="K366" s="97">
        <f t="shared" ref="K366:K371" si="62">MONTH($J366)</f>
        <v>7</v>
      </c>
      <c r="L366" s="97">
        <v>364</v>
      </c>
      <c r="O366" s="7" t="s">
        <v>134</v>
      </c>
      <c r="T366" t="s">
        <v>1460</v>
      </c>
      <c r="X366" s="36"/>
      <c r="Y366" s="36" t="s">
        <v>141</v>
      </c>
      <c r="Z366" s="36"/>
      <c r="AA366" s="36" t="s">
        <v>141</v>
      </c>
      <c r="AB366" s="36"/>
      <c r="AC366" s="36" t="s">
        <v>141</v>
      </c>
      <c r="AD366" s="36" t="s">
        <v>141</v>
      </c>
      <c r="AE366" s="36"/>
      <c r="AF366" s="36"/>
      <c r="AG366" s="36"/>
      <c r="AH366" s="36" t="s">
        <v>141</v>
      </c>
      <c r="AI366" s="36"/>
      <c r="AJ366" s="36" t="s">
        <v>141</v>
      </c>
      <c r="AK366" s="117"/>
      <c r="AL366" s="36" t="s">
        <v>141</v>
      </c>
      <c r="AM366" s="36" t="s">
        <v>141</v>
      </c>
      <c r="AN366" s="36"/>
      <c r="AO366" s="36"/>
      <c r="AP366" s="36"/>
      <c r="AQ366" s="36"/>
      <c r="AR366" s="36"/>
      <c r="AS366" s="36" t="s">
        <v>141</v>
      </c>
      <c r="AT366" s="36" t="s">
        <v>141</v>
      </c>
      <c r="AU366" s="36"/>
      <c r="AV366" s="36"/>
      <c r="AW366" s="117"/>
      <c r="AX366" s="117"/>
      <c r="AY366" s="36"/>
      <c r="AZ366" s="36" t="s">
        <v>141</v>
      </c>
      <c r="BA366" s="117"/>
      <c r="BB366" s="117"/>
      <c r="BC366" s="117"/>
      <c r="BD366" s="117" t="s">
        <v>141</v>
      </c>
      <c r="BE366" s="117" t="s">
        <v>141</v>
      </c>
      <c r="BF366" s="117"/>
      <c r="BG366" s="117"/>
      <c r="BH366" s="117"/>
      <c r="BI366" s="117"/>
      <c r="BJ366" s="117"/>
      <c r="BK366" s="117"/>
      <c r="BL366" s="117"/>
      <c r="BM366" s="117">
        <f t="shared" si="54"/>
        <v>13</v>
      </c>
      <c r="BN366" s="117">
        <f t="shared" si="55"/>
        <v>3</v>
      </c>
      <c r="BO366" s="117">
        <f t="shared" si="56"/>
        <v>4</v>
      </c>
      <c r="BP366" s="153">
        <f t="shared" si="57"/>
        <v>7</v>
      </c>
      <c r="BQ366" s="74" t="s">
        <v>178</v>
      </c>
      <c r="BR366" s="74"/>
    </row>
    <row r="367" spans="1:70" hidden="1">
      <c r="A367">
        <v>353</v>
      </c>
      <c r="B367" s="75">
        <v>45852.716724537036</v>
      </c>
      <c r="E367" s="7">
        <v>45853</v>
      </c>
      <c r="F367">
        <v>908</v>
      </c>
      <c r="I367" s="10" t="s">
        <v>1461</v>
      </c>
      <c r="J367" s="69">
        <v>45853</v>
      </c>
      <c r="K367" s="97">
        <f t="shared" si="62"/>
        <v>7</v>
      </c>
      <c r="L367" s="97">
        <v>365</v>
      </c>
      <c r="O367" s="7" t="s">
        <v>156</v>
      </c>
      <c r="T367" t="s">
        <v>271</v>
      </c>
      <c r="X367" s="36" t="s">
        <v>141</v>
      </c>
      <c r="Y367" s="36"/>
      <c r="Z367" s="36" t="s">
        <v>141</v>
      </c>
      <c r="AA367" s="36"/>
      <c r="AB367" s="36"/>
      <c r="AC367" s="36" t="s">
        <v>141</v>
      </c>
      <c r="AD367" s="36" t="s">
        <v>141</v>
      </c>
      <c r="AE367" s="36" t="s">
        <v>141</v>
      </c>
      <c r="AF367" s="36"/>
      <c r="AG367" s="36"/>
      <c r="AH367" s="36" t="s">
        <v>141</v>
      </c>
      <c r="AI367" s="36"/>
      <c r="AJ367" s="36"/>
      <c r="AK367" s="117" t="s">
        <v>141</v>
      </c>
      <c r="AL367" s="36" t="s">
        <v>141</v>
      </c>
      <c r="AM367" s="36" t="s">
        <v>141</v>
      </c>
      <c r="AN367" s="36"/>
      <c r="AO367" s="36"/>
      <c r="AP367" s="36"/>
      <c r="AQ367" s="36"/>
      <c r="AR367" s="36"/>
      <c r="AS367" s="36"/>
      <c r="AT367" s="36"/>
      <c r="AU367" s="36" t="s">
        <v>141</v>
      </c>
      <c r="AV367" s="36"/>
      <c r="AW367" s="117" t="s">
        <v>141</v>
      </c>
      <c r="AX367" s="117"/>
      <c r="AY367" s="36"/>
      <c r="AZ367" s="36"/>
      <c r="BA367" s="117"/>
      <c r="BB367" s="117"/>
      <c r="BC367" s="117"/>
      <c r="BD367" s="117"/>
      <c r="BE367" s="117" t="s">
        <v>141</v>
      </c>
      <c r="BF367" s="117"/>
      <c r="BG367" s="117"/>
      <c r="BH367" s="117"/>
      <c r="BI367" s="117"/>
      <c r="BJ367" s="117"/>
      <c r="BK367" s="117"/>
      <c r="BL367" s="117"/>
      <c r="BM367" s="117">
        <f t="shared" si="54"/>
        <v>12</v>
      </c>
      <c r="BN367" s="117">
        <f t="shared" si="55"/>
        <v>2</v>
      </c>
      <c r="BO367" s="117">
        <f t="shared" si="56"/>
        <v>4</v>
      </c>
      <c r="BP367" s="153">
        <f t="shared" si="57"/>
        <v>7</v>
      </c>
      <c r="BQ367" s="74" t="s">
        <v>273</v>
      </c>
      <c r="BR367" s="74"/>
    </row>
    <row r="368" spans="1:70" hidden="1">
      <c r="A368">
        <v>354</v>
      </c>
      <c r="B368" s="75">
        <v>45853.286192129628</v>
      </c>
      <c r="E368" s="7">
        <v>45853</v>
      </c>
      <c r="F368">
        <v>909</v>
      </c>
      <c r="I368" s="10" t="s">
        <v>1462</v>
      </c>
      <c r="J368" s="69">
        <v>45853</v>
      </c>
      <c r="K368" s="97">
        <f t="shared" si="62"/>
        <v>7</v>
      </c>
      <c r="L368" s="97">
        <v>366</v>
      </c>
      <c r="O368" s="7" t="s">
        <v>197</v>
      </c>
      <c r="T368" t="s">
        <v>1463</v>
      </c>
      <c r="X368" s="36" t="s">
        <v>141</v>
      </c>
      <c r="Y368" s="36" t="s">
        <v>141</v>
      </c>
      <c r="Z368" s="36"/>
      <c r="AA368" s="36" t="s">
        <v>141</v>
      </c>
      <c r="AB368" s="36"/>
      <c r="AC368" s="36"/>
      <c r="AD368" s="36" t="s">
        <v>141</v>
      </c>
      <c r="AE368" s="36" t="s">
        <v>141</v>
      </c>
      <c r="AF368" s="36" t="s">
        <v>141</v>
      </c>
      <c r="AG368" s="36"/>
      <c r="AH368" s="36" t="s">
        <v>141</v>
      </c>
      <c r="AI368" s="36"/>
      <c r="AJ368" s="36" t="s">
        <v>141</v>
      </c>
      <c r="AK368" s="117"/>
      <c r="AL368" s="36"/>
      <c r="AM368" s="36" t="s">
        <v>141</v>
      </c>
      <c r="AN368" s="36"/>
      <c r="AO368" s="36" t="s">
        <v>141</v>
      </c>
      <c r="AP368" s="36" t="s">
        <v>141</v>
      </c>
      <c r="AQ368" s="36"/>
      <c r="AR368" s="36"/>
      <c r="AS368" s="36"/>
      <c r="AT368" s="36"/>
      <c r="AU368" s="36" t="s">
        <v>141</v>
      </c>
      <c r="AV368" s="36"/>
      <c r="AW368" s="117"/>
      <c r="AX368" s="117"/>
      <c r="AY368" s="36"/>
      <c r="AZ368" s="36" t="s">
        <v>141</v>
      </c>
      <c r="BA368" s="117"/>
      <c r="BB368" s="117"/>
      <c r="BC368" s="117"/>
      <c r="BD368" s="117" t="s">
        <v>141</v>
      </c>
      <c r="BE368" s="117" t="s">
        <v>141</v>
      </c>
      <c r="BF368" s="117"/>
      <c r="BG368" s="117"/>
      <c r="BH368" s="117"/>
      <c r="BI368" s="117"/>
      <c r="BJ368" s="117"/>
      <c r="BK368" s="117"/>
      <c r="BL368" s="117"/>
      <c r="BM368" s="117">
        <f t="shared" si="54"/>
        <v>15</v>
      </c>
      <c r="BN368" s="117">
        <f t="shared" si="55"/>
        <v>2</v>
      </c>
      <c r="BO368" s="117">
        <f t="shared" si="56"/>
        <v>4</v>
      </c>
      <c r="BP368" s="153">
        <f t="shared" si="57"/>
        <v>9</v>
      </c>
      <c r="BQ368" s="74" t="s">
        <v>273</v>
      </c>
      <c r="BR368" s="74"/>
    </row>
    <row r="369" spans="1:70" hidden="1">
      <c r="A369">
        <v>355</v>
      </c>
      <c r="B369" s="75">
        <v>45854.168738425928</v>
      </c>
      <c r="E369" s="7">
        <v>45854</v>
      </c>
      <c r="F369">
        <v>910</v>
      </c>
      <c r="I369" s="10" t="s">
        <v>1464</v>
      </c>
      <c r="J369" s="69">
        <v>45854</v>
      </c>
      <c r="K369" s="97">
        <f t="shared" si="62"/>
        <v>7</v>
      </c>
      <c r="L369" s="97">
        <v>367</v>
      </c>
      <c r="O369" s="7" t="s">
        <v>234</v>
      </c>
      <c r="T369" t="s">
        <v>1465</v>
      </c>
      <c r="X369" s="36" t="s">
        <v>141</v>
      </c>
      <c r="Y369" s="36"/>
      <c r="Z369" s="36"/>
      <c r="AA369" s="36"/>
      <c r="AB369" s="36"/>
      <c r="AC369" s="36"/>
      <c r="AD369" s="36"/>
      <c r="AE369" s="36" t="s">
        <v>141</v>
      </c>
      <c r="AF369" s="36" t="s">
        <v>141</v>
      </c>
      <c r="AG369" s="36"/>
      <c r="AH369" s="36" t="s">
        <v>141</v>
      </c>
      <c r="AI369" s="36"/>
      <c r="AJ369" s="36" t="s">
        <v>141</v>
      </c>
      <c r="AK369" s="117"/>
      <c r="AL369" s="36"/>
      <c r="AM369" s="36" t="s">
        <v>141</v>
      </c>
      <c r="AN369" s="36"/>
      <c r="AO369" s="36" t="s">
        <v>141</v>
      </c>
      <c r="AP369" s="36"/>
      <c r="AQ369" s="36"/>
      <c r="AR369" s="36"/>
      <c r="AS369" s="36"/>
      <c r="AT369" s="36"/>
      <c r="AU369" s="36"/>
      <c r="AV369" s="36"/>
      <c r="AW369" s="117" t="s">
        <v>141</v>
      </c>
      <c r="AX369" s="117"/>
      <c r="AY369" s="36"/>
      <c r="AZ369" s="36"/>
      <c r="BA369" s="117"/>
      <c r="BB369" s="117"/>
      <c r="BC369" s="117"/>
      <c r="BD369" s="117" t="s">
        <v>141</v>
      </c>
      <c r="BE369" s="117"/>
      <c r="BF369" s="117"/>
      <c r="BG369" s="117"/>
      <c r="BH369" s="117"/>
      <c r="BI369" s="117"/>
      <c r="BJ369" s="117"/>
      <c r="BK369" s="117"/>
      <c r="BL369" s="117"/>
      <c r="BM369" s="117">
        <f t="shared" si="54"/>
        <v>9</v>
      </c>
      <c r="BN369" s="117">
        <f t="shared" si="55"/>
        <v>2</v>
      </c>
      <c r="BO369" s="117">
        <f t="shared" si="56"/>
        <v>1</v>
      </c>
      <c r="BP369" s="153">
        <f t="shared" si="57"/>
        <v>7</v>
      </c>
      <c r="BQ369" s="74" t="s">
        <v>1245</v>
      </c>
      <c r="BR369" s="74"/>
    </row>
    <row r="370" spans="1:70" hidden="1">
      <c r="A370">
        <v>356</v>
      </c>
      <c r="B370" s="75">
        <v>45854.497361111113</v>
      </c>
      <c r="E370" s="7">
        <v>45854</v>
      </c>
      <c r="F370">
        <v>911</v>
      </c>
      <c r="I370" s="10" t="s">
        <v>1466</v>
      </c>
      <c r="J370" s="69">
        <v>45854</v>
      </c>
      <c r="K370" s="97">
        <f t="shared" si="62"/>
        <v>7</v>
      </c>
      <c r="L370" s="97">
        <v>368</v>
      </c>
      <c r="O370" s="7" t="s">
        <v>156</v>
      </c>
      <c r="T370" t="s">
        <v>1467</v>
      </c>
      <c r="X370" s="36" t="s">
        <v>141</v>
      </c>
      <c r="Y370" s="36"/>
      <c r="Z370" s="36"/>
      <c r="AA370" s="36"/>
      <c r="AB370" s="36"/>
      <c r="AC370" s="36"/>
      <c r="AD370" s="36"/>
      <c r="AE370" s="36"/>
      <c r="AF370" s="36" t="s">
        <v>141</v>
      </c>
      <c r="AG370" s="36"/>
      <c r="AH370" s="36" t="s">
        <v>141</v>
      </c>
      <c r="AI370" s="36"/>
      <c r="AJ370" s="36" t="s">
        <v>141</v>
      </c>
      <c r="AK370" s="117"/>
      <c r="AL370" s="36"/>
      <c r="AM370" s="36" t="s">
        <v>141</v>
      </c>
      <c r="AN370" s="36"/>
      <c r="AO370" s="36" t="s">
        <v>141</v>
      </c>
      <c r="AP370" s="36"/>
      <c r="AQ370" s="36"/>
      <c r="AR370" s="36"/>
      <c r="AS370" s="36"/>
      <c r="AT370" s="36" t="s">
        <v>141</v>
      </c>
      <c r="AU370" s="36"/>
      <c r="AV370" s="36"/>
      <c r="AW370" s="117"/>
      <c r="AX370" s="117"/>
      <c r="AY370" s="36"/>
      <c r="AZ370" s="36"/>
      <c r="BA370" s="117" t="s">
        <v>141</v>
      </c>
      <c r="BB370" s="117"/>
      <c r="BC370" s="117"/>
      <c r="BD370" s="117"/>
      <c r="BE370" s="117" t="s">
        <v>141</v>
      </c>
      <c r="BF370" s="117"/>
      <c r="BG370" s="117"/>
      <c r="BH370" s="117"/>
      <c r="BI370" s="117"/>
      <c r="BJ370" s="117"/>
      <c r="BK370" s="117"/>
      <c r="BL370" s="117"/>
      <c r="BM370" s="117">
        <f t="shared" si="54"/>
        <v>9</v>
      </c>
      <c r="BN370" s="117">
        <f t="shared" si="55"/>
        <v>2</v>
      </c>
      <c r="BO370" s="117">
        <f t="shared" si="56"/>
        <v>1</v>
      </c>
      <c r="BP370" s="153">
        <f t="shared" si="57"/>
        <v>7</v>
      </c>
      <c r="BQ370" s="74" t="s">
        <v>1181</v>
      </c>
      <c r="BR370" s="74"/>
    </row>
    <row r="371" spans="1:70" hidden="1">
      <c r="A371">
        <v>357</v>
      </c>
      <c r="B371" s="75">
        <v>45854.866886574076</v>
      </c>
      <c r="E371" s="7">
        <v>45855</v>
      </c>
      <c r="F371">
        <v>912</v>
      </c>
      <c r="I371" s="10" t="s">
        <v>1468</v>
      </c>
      <c r="J371" s="69">
        <v>45855</v>
      </c>
      <c r="K371" s="97">
        <f t="shared" si="62"/>
        <v>7</v>
      </c>
      <c r="L371" s="97">
        <v>369</v>
      </c>
      <c r="O371" s="7" t="s">
        <v>1469</v>
      </c>
      <c r="T371" t="s">
        <v>1470</v>
      </c>
      <c r="X371" s="36"/>
      <c r="Y371" s="36" t="s">
        <v>141</v>
      </c>
      <c r="Z371" s="36"/>
      <c r="AA371" s="36" t="s">
        <v>141</v>
      </c>
      <c r="AB371" s="36" t="s">
        <v>141</v>
      </c>
      <c r="AC371" s="36"/>
      <c r="AD371" s="36"/>
      <c r="AE371" s="36"/>
      <c r="AF371" s="36"/>
      <c r="AG371" s="36"/>
      <c r="AH371" s="36" t="s">
        <v>141</v>
      </c>
      <c r="AI371" s="36"/>
      <c r="AJ371" s="36" t="s">
        <v>141</v>
      </c>
      <c r="AK371" s="117" t="s">
        <v>141</v>
      </c>
      <c r="AL371" s="36"/>
      <c r="AM371" s="36"/>
      <c r="AN371" s="36"/>
      <c r="AO371" s="36" t="s">
        <v>141</v>
      </c>
      <c r="AP371" s="36"/>
      <c r="AQ371" s="36"/>
      <c r="AR371" s="36"/>
      <c r="AS371" s="36"/>
      <c r="AT371" s="36" t="s">
        <v>141</v>
      </c>
      <c r="AU371" s="36"/>
      <c r="AV371" s="36"/>
      <c r="AW371" s="117"/>
      <c r="AX371" s="117" t="s">
        <v>141</v>
      </c>
      <c r="AY371" s="36"/>
      <c r="AZ371" s="36"/>
      <c r="BA371" s="117"/>
      <c r="BB371" s="117"/>
      <c r="BC371" s="117"/>
      <c r="BD371" s="117"/>
      <c r="BE371" s="117"/>
      <c r="BF371" s="117" t="s">
        <v>141</v>
      </c>
      <c r="BG371" s="117"/>
      <c r="BH371" s="117"/>
      <c r="BI371" s="117"/>
      <c r="BJ371" s="117"/>
      <c r="BK371" s="117"/>
      <c r="BL371" s="117"/>
      <c r="BM371" s="117">
        <f t="shared" si="54"/>
        <v>10</v>
      </c>
      <c r="BN371" s="117">
        <f t="shared" si="55"/>
        <v>2</v>
      </c>
      <c r="BO371" s="117">
        <f t="shared" si="56"/>
        <v>3</v>
      </c>
      <c r="BP371" s="153">
        <f t="shared" si="57"/>
        <v>6</v>
      </c>
      <c r="BQ371" s="74" t="s">
        <v>1365</v>
      </c>
      <c r="BR371" s="74"/>
    </row>
    <row r="372" spans="1:70" hidden="1">
      <c r="A372">
        <v>358</v>
      </c>
      <c r="B372" s="75">
        <v>45854.972280092596</v>
      </c>
      <c r="E372" s="7">
        <v>45855</v>
      </c>
      <c r="F372">
        <v>913</v>
      </c>
      <c r="I372" s="10" t="s">
        <v>1471</v>
      </c>
      <c r="J372" s="69">
        <v>45855</v>
      </c>
      <c r="K372" s="97">
        <f t="shared" ref="K372:K377" si="63">MONTH($J372)</f>
        <v>7</v>
      </c>
      <c r="L372" s="97">
        <v>370</v>
      </c>
      <c r="O372" s="7" t="s">
        <v>156</v>
      </c>
      <c r="T372" t="s">
        <v>1472</v>
      </c>
      <c r="X372" s="36"/>
      <c r="Y372" s="36"/>
      <c r="Z372" s="36"/>
      <c r="AA372" s="36" t="s">
        <v>141</v>
      </c>
      <c r="AB372" s="36"/>
      <c r="AC372" s="36"/>
      <c r="AD372" s="36"/>
      <c r="AE372" s="36"/>
      <c r="AF372" s="36" t="s">
        <v>141</v>
      </c>
      <c r="AG372" s="36"/>
      <c r="AH372" s="36" t="s">
        <v>141</v>
      </c>
      <c r="AI372" s="36"/>
      <c r="AJ372" s="36" t="s">
        <v>141</v>
      </c>
      <c r="AK372" s="117"/>
      <c r="AL372" s="36"/>
      <c r="AM372" s="36"/>
      <c r="AN372" s="36"/>
      <c r="AO372" s="36" t="s">
        <v>141</v>
      </c>
      <c r="AP372" s="36"/>
      <c r="AQ372" s="36"/>
      <c r="AR372" s="36"/>
      <c r="AS372" s="36" t="s">
        <v>141</v>
      </c>
      <c r="AT372" s="36" t="s">
        <v>141</v>
      </c>
      <c r="AU372" s="36"/>
      <c r="AV372" s="36"/>
      <c r="AW372" s="117"/>
      <c r="AX372" s="117"/>
      <c r="AY372" s="36"/>
      <c r="AZ372" s="36" t="s">
        <v>141</v>
      </c>
      <c r="BA372" s="117"/>
      <c r="BB372" s="117"/>
      <c r="BC372" s="117"/>
      <c r="BD372" s="117"/>
      <c r="BE372" s="117"/>
      <c r="BF372" s="117" t="s">
        <v>141</v>
      </c>
      <c r="BG372" s="117"/>
      <c r="BH372" s="117"/>
      <c r="BI372" s="117"/>
      <c r="BJ372" s="117"/>
      <c r="BK372" s="117"/>
      <c r="BL372" s="117"/>
      <c r="BM372" s="117">
        <f t="shared" si="54"/>
        <v>9</v>
      </c>
      <c r="BN372" s="117">
        <f t="shared" si="55"/>
        <v>2</v>
      </c>
      <c r="BO372" s="117">
        <f t="shared" si="56"/>
        <v>1</v>
      </c>
      <c r="BP372" s="153">
        <f t="shared" si="57"/>
        <v>7</v>
      </c>
      <c r="BQ372" s="74" t="s">
        <v>178</v>
      </c>
      <c r="BR372" s="74"/>
    </row>
    <row r="373" spans="1:70" hidden="1">
      <c r="A373">
        <v>359</v>
      </c>
      <c r="B373" s="75">
        <v>45855.111562500002</v>
      </c>
      <c r="E373" s="7">
        <v>45855</v>
      </c>
      <c r="F373">
        <v>914</v>
      </c>
      <c r="I373" s="10" t="s">
        <v>1473</v>
      </c>
      <c r="J373" s="69">
        <v>45855</v>
      </c>
      <c r="K373" s="97">
        <f t="shared" si="63"/>
        <v>7</v>
      </c>
      <c r="L373" s="97">
        <v>371</v>
      </c>
      <c r="O373" s="7" t="s">
        <v>134</v>
      </c>
      <c r="T373" t="s">
        <v>1474</v>
      </c>
      <c r="X373" s="36"/>
      <c r="Y373" s="36" t="s">
        <v>141</v>
      </c>
      <c r="Z373" s="36"/>
      <c r="AA373" s="36" t="s">
        <v>141</v>
      </c>
      <c r="AB373" s="36"/>
      <c r="AC373" s="36"/>
      <c r="AD373" s="36"/>
      <c r="AE373" s="36"/>
      <c r="AF373" s="36" t="s">
        <v>141</v>
      </c>
      <c r="AG373" s="36"/>
      <c r="AH373" s="36" t="s">
        <v>141</v>
      </c>
      <c r="AI373" s="36"/>
      <c r="AJ373" s="36" t="s">
        <v>141</v>
      </c>
      <c r="AK373" s="117"/>
      <c r="AL373" s="36" t="s">
        <v>141</v>
      </c>
      <c r="AM373" s="36"/>
      <c r="AN373" s="36"/>
      <c r="AO373" s="36" t="s">
        <v>141</v>
      </c>
      <c r="AP373" s="36"/>
      <c r="AQ373" s="36"/>
      <c r="AR373" s="36"/>
      <c r="AS373" s="36" t="s">
        <v>141</v>
      </c>
      <c r="AT373" s="36" t="s">
        <v>141</v>
      </c>
      <c r="AU373" s="36"/>
      <c r="AV373" s="36"/>
      <c r="AW373" s="117"/>
      <c r="AX373" s="117"/>
      <c r="AY373" s="36"/>
      <c r="AZ373" s="36" t="s">
        <v>141</v>
      </c>
      <c r="BA373" s="117"/>
      <c r="BB373" s="117"/>
      <c r="BC373" s="117"/>
      <c r="BD373" s="117"/>
      <c r="BE373" s="117" t="s">
        <v>141</v>
      </c>
      <c r="BF373" s="117" t="s">
        <v>141</v>
      </c>
      <c r="BG373" s="117"/>
      <c r="BH373" s="117"/>
      <c r="BI373" s="117"/>
      <c r="BJ373" s="117"/>
      <c r="BK373" s="117"/>
      <c r="BL373" s="117"/>
      <c r="BM373" s="117">
        <f t="shared" si="54"/>
        <v>12</v>
      </c>
      <c r="BN373" s="117">
        <f t="shared" si="55"/>
        <v>2</v>
      </c>
      <c r="BO373" s="117">
        <f t="shared" si="56"/>
        <v>2</v>
      </c>
      <c r="BP373" s="153">
        <f t="shared" si="57"/>
        <v>8</v>
      </c>
      <c r="BQ373" s="74" t="s">
        <v>171</v>
      </c>
      <c r="BR373" s="74"/>
    </row>
    <row r="374" spans="1:70" hidden="1">
      <c r="A374">
        <v>360</v>
      </c>
      <c r="B374" s="75">
        <v>45856.327037037037</v>
      </c>
      <c r="E374" s="7">
        <v>45856</v>
      </c>
      <c r="F374">
        <v>915</v>
      </c>
      <c r="I374" s="10" t="s">
        <v>1475</v>
      </c>
      <c r="J374" s="69">
        <v>45856</v>
      </c>
      <c r="K374" s="97">
        <f t="shared" si="63"/>
        <v>7</v>
      </c>
      <c r="L374" s="97">
        <v>372</v>
      </c>
      <c r="O374" s="7" t="s">
        <v>156</v>
      </c>
      <c r="T374" t="s">
        <v>1476</v>
      </c>
      <c r="X374" s="36" t="s">
        <v>141</v>
      </c>
      <c r="Y374" s="36"/>
      <c r="Z374" s="36"/>
      <c r="AA374" s="36" t="s">
        <v>141</v>
      </c>
      <c r="AB374" s="36" t="s">
        <v>141</v>
      </c>
      <c r="AC374" s="36"/>
      <c r="AD374" s="36"/>
      <c r="AE374" s="36"/>
      <c r="AF374" s="36"/>
      <c r="AG374" s="36" t="s">
        <v>141</v>
      </c>
      <c r="AH374" s="36"/>
      <c r="AI374" s="36"/>
      <c r="AJ374" s="36" t="s">
        <v>141</v>
      </c>
      <c r="AK374" s="117"/>
      <c r="AL374" s="36"/>
      <c r="AM374" s="36" t="s">
        <v>141</v>
      </c>
      <c r="AN374" s="36"/>
      <c r="AO374" s="36" t="s">
        <v>141</v>
      </c>
      <c r="AP374" s="36"/>
      <c r="AQ374" s="36"/>
      <c r="AR374" s="36"/>
      <c r="AS374" s="36" t="s">
        <v>141</v>
      </c>
      <c r="AT374" s="36"/>
      <c r="AU374" s="36"/>
      <c r="AV374" s="36"/>
      <c r="AW374" s="117"/>
      <c r="AX374" s="117"/>
      <c r="AY374" s="36"/>
      <c r="AZ374" s="36" t="s">
        <v>141</v>
      </c>
      <c r="BA374" s="117" t="s">
        <v>141</v>
      </c>
      <c r="BB374" s="117"/>
      <c r="BC374" s="117" t="s">
        <v>141</v>
      </c>
      <c r="BD374" s="117"/>
      <c r="BE374" s="117"/>
      <c r="BF374" s="117"/>
      <c r="BG374" s="117"/>
      <c r="BH374" s="117"/>
      <c r="BI374" s="117"/>
      <c r="BJ374" s="117"/>
      <c r="BK374" s="117"/>
      <c r="BL374" s="117"/>
      <c r="BM374" s="117">
        <f t="shared" si="54"/>
        <v>11</v>
      </c>
      <c r="BN374" s="117">
        <f t="shared" si="55"/>
        <v>4</v>
      </c>
      <c r="BO374" s="117">
        <f t="shared" si="56"/>
        <v>3</v>
      </c>
      <c r="BP374" s="153">
        <f t="shared" si="57"/>
        <v>8</v>
      </c>
      <c r="BQ374" s="74" t="s">
        <v>208</v>
      </c>
      <c r="BR374" s="74"/>
    </row>
    <row r="375" spans="1:70" hidden="1">
      <c r="A375">
        <v>361</v>
      </c>
      <c r="B375" s="75">
        <v>45856.939803240741</v>
      </c>
      <c r="E375" s="7">
        <v>45856</v>
      </c>
      <c r="F375">
        <v>916</v>
      </c>
      <c r="I375" s="10" t="s">
        <v>1477</v>
      </c>
      <c r="J375" s="69">
        <v>45857</v>
      </c>
      <c r="K375" s="97">
        <f t="shared" si="63"/>
        <v>7</v>
      </c>
      <c r="L375" s="97">
        <v>373</v>
      </c>
      <c r="O375" s="7" t="s">
        <v>156</v>
      </c>
      <c r="T375" t="s">
        <v>1478</v>
      </c>
      <c r="X375" s="36"/>
      <c r="Y375" s="36" t="s">
        <v>141</v>
      </c>
      <c r="Z375" s="36" t="s">
        <v>141</v>
      </c>
      <c r="AA375" s="36" t="s">
        <v>141</v>
      </c>
      <c r="AB375" s="36" t="s">
        <v>141</v>
      </c>
      <c r="AC375" s="36"/>
      <c r="AD375" s="36"/>
      <c r="AE375" s="36"/>
      <c r="AF375" s="36"/>
      <c r="AG375" s="36" t="s">
        <v>141</v>
      </c>
      <c r="AH375" s="36"/>
      <c r="AI375" s="36"/>
      <c r="AJ375" s="36"/>
      <c r="AK375" s="117" t="s">
        <v>141</v>
      </c>
      <c r="AL375" s="36"/>
      <c r="AM375" s="36" t="s">
        <v>141</v>
      </c>
      <c r="AN375" s="36"/>
      <c r="AO375" s="36"/>
      <c r="AP375" s="36"/>
      <c r="AQ375" s="36"/>
      <c r="AR375" s="36"/>
      <c r="AS375" s="36"/>
      <c r="AT375" s="36"/>
      <c r="AU375" s="36" t="s">
        <v>141</v>
      </c>
      <c r="AV375" s="36"/>
      <c r="AW375" s="117"/>
      <c r="AX375" s="117"/>
      <c r="AY375" s="36"/>
      <c r="AZ375" s="36"/>
      <c r="BA375" s="117" t="s">
        <v>141</v>
      </c>
      <c r="BB375" s="117"/>
      <c r="BC375" s="117"/>
      <c r="BD375" s="117"/>
      <c r="BE375" s="117"/>
      <c r="BF375" s="117" t="s">
        <v>141</v>
      </c>
      <c r="BG375" s="117"/>
      <c r="BH375" s="117"/>
      <c r="BI375" s="117"/>
      <c r="BJ375" s="117"/>
      <c r="BK375" s="117"/>
      <c r="BL375" s="117"/>
      <c r="BM375" s="117">
        <f t="shared" si="54"/>
        <v>10</v>
      </c>
      <c r="BN375" s="117">
        <f t="shared" si="55"/>
        <v>3</v>
      </c>
      <c r="BO375" s="117">
        <f t="shared" si="56"/>
        <v>4</v>
      </c>
      <c r="BP375" s="153">
        <f t="shared" si="57"/>
        <v>5</v>
      </c>
      <c r="BQ375" s="74" t="s">
        <v>208</v>
      </c>
      <c r="BR375" s="74"/>
    </row>
    <row r="376" spans="1:70" hidden="1">
      <c r="A376">
        <v>362</v>
      </c>
      <c r="B376" s="75">
        <v>45858.045347222222</v>
      </c>
      <c r="E376" s="7">
        <v>45858</v>
      </c>
      <c r="F376">
        <v>917</v>
      </c>
      <c r="I376" s="10" t="s">
        <v>1479</v>
      </c>
      <c r="J376" s="69">
        <v>45858</v>
      </c>
      <c r="K376" s="97">
        <f t="shared" si="63"/>
        <v>7</v>
      </c>
      <c r="L376" s="97">
        <v>374</v>
      </c>
      <c r="O376" s="7" t="s">
        <v>156</v>
      </c>
      <c r="T376" t="s">
        <v>1480</v>
      </c>
      <c r="X376" s="36" t="s">
        <v>141</v>
      </c>
      <c r="Y376" s="36" t="s">
        <v>141</v>
      </c>
      <c r="Z376" s="36"/>
      <c r="AA376" s="36"/>
      <c r="AB376" s="36" t="s">
        <v>141</v>
      </c>
      <c r="AC376" s="36" t="s">
        <v>141</v>
      </c>
      <c r="AD376" s="36"/>
      <c r="AE376" s="36"/>
      <c r="AF376" s="36"/>
      <c r="AG376" s="36" t="s">
        <v>141</v>
      </c>
      <c r="AH376" s="36"/>
      <c r="AI376" s="36"/>
      <c r="AJ376" s="36" t="s">
        <v>141</v>
      </c>
      <c r="AK376" s="117" t="s">
        <v>141</v>
      </c>
      <c r="AL376" s="36"/>
      <c r="AM376" s="36" t="s">
        <v>141</v>
      </c>
      <c r="AN376" s="36"/>
      <c r="AO376" s="36"/>
      <c r="AP376" s="36"/>
      <c r="AQ376" s="36"/>
      <c r="AR376" s="36"/>
      <c r="AS376" s="36"/>
      <c r="AT376" s="36"/>
      <c r="AU376" s="36"/>
      <c r="AV376" s="36"/>
      <c r="AW376" s="117" t="s">
        <v>141</v>
      </c>
      <c r="AX376" s="117" t="s">
        <v>141</v>
      </c>
      <c r="AY376" s="36" t="s">
        <v>141</v>
      </c>
      <c r="AZ376" s="36"/>
      <c r="BA376" s="117" t="s">
        <v>141</v>
      </c>
      <c r="BB376" s="117"/>
      <c r="BC376" s="117"/>
      <c r="BD376" s="117"/>
      <c r="BE376" s="117"/>
      <c r="BF376" s="117" t="s">
        <v>141</v>
      </c>
      <c r="BG376" s="117"/>
      <c r="BH376" s="117"/>
      <c r="BI376" s="117"/>
      <c r="BJ376" s="117"/>
      <c r="BK376" s="117"/>
      <c r="BL376" s="117"/>
      <c r="BM376" s="117">
        <f t="shared" si="54"/>
        <v>13</v>
      </c>
      <c r="BN376" s="117">
        <f t="shared" si="55"/>
        <v>4</v>
      </c>
      <c r="BO376" s="117">
        <f t="shared" si="56"/>
        <v>4</v>
      </c>
      <c r="BP376" s="153">
        <f t="shared" si="57"/>
        <v>8</v>
      </c>
      <c r="BQ376" s="74" t="s">
        <v>208</v>
      </c>
      <c r="BR376" s="74"/>
    </row>
    <row r="377" spans="1:70" hidden="1">
      <c r="A377">
        <v>363</v>
      </c>
      <c r="B377" s="75">
        <v>45858.157800925925</v>
      </c>
      <c r="E377" s="7">
        <v>45858</v>
      </c>
      <c r="F377">
        <v>918</v>
      </c>
      <c r="I377" s="10" t="s">
        <v>1481</v>
      </c>
      <c r="J377" s="69">
        <v>45858</v>
      </c>
      <c r="K377" s="97">
        <f t="shared" si="63"/>
        <v>7</v>
      </c>
      <c r="L377" s="97">
        <v>375</v>
      </c>
      <c r="O377" s="7" t="s">
        <v>181</v>
      </c>
      <c r="T377" t="s">
        <v>1482</v>
      </c>
      <c r="X377" s="36"/>
      <c r="Y377" s="36" t="s">
        <v>141</v>
      </c>
      <c r="Z377" s="36" t="s">
        <v>141</v>
      </c>
      <c r="AA377" s="36" t="s">
        <v>141</v>
      </c>
      <c r="AB377" s="36" t="s">
        <v>141</v>
      </c>
      <c r="AC377" s="36"/>
      <c r="AD377" s="36"/>
      <c r="AE377" s="36"/>
      <c r="AF377" s="36"/>
      <c r="AG377" s="36" t="s">
        <v>141</v>
      </c>
      <c r="AH377" s="36" t="s">
        <v>141</v>
      </c>
      <c r="AI377" s="36"/>
      <c r="AJ377" s="36" t="s">
        <v>141</v>
      </c>
      <c r="AK377" s="117" t="s">
        <v>141</v>
      </c>
      <c r="AL377" s="36"/>
      <c r="AM377" s="36" t="s">
        <v>141</v>
      </c>
      <c r="AN377" s="36"/>
      <c r="AO377" s="36"/>
      <c r="AP377" s="36"/>
      <c r="AQ377" s="36"/>
      <c r="AR377" s="36"/>
      <c r="AS377" s="36"/>
      <c r="AT377" s="36"/>
      <c r="AU377" s="36"/>
      <c r="AV377" s="36"/>
      <c r="AW377" s="117"/>
      <c r="AX377" s="117"/>
      <c r="AY377" s="36"/>
      <c r="AZ377" s="36"/>
      <c r="BA377" s="117" t="s">
        <v>141</v>
      </c>
      <c r="BB377" s="117"/>
      <c r="BC377" s="117"/>
      <c r="BD377" s="117"/>
      <c r="BE377" s="117"/>
      <c r="BF377" s="117" t="s">
        <v>141</v>
      </c>
      <c r="BG377" s="117"/>
      <c r="BH377" s="117"/>
      <c r="BI377" s="117"/>
      <c r="BJ377" s="117"/>
      <c r="BK377" s="117"/>
      <c r="BL377" s="117"/>
      <c r="BM377" s="117">
        <f t="shared" si="54"/>
        <v>11</v>
      </c>
      <c r="BN377" s="117">
        <f t="shared" si="55"/>
        <v>4</v>
      </c>
      <c r="BO377" s="117">
        <f t="shared" si="56"/>
        <v>4</v>
      </c>
      <c r="BP377" s="153">
        <f t="shared" si="57"/>
        <v>6</v>
      </c>
      <c r="BQ377" s="74" t="s">
        <v>525</v>
      </c>
      <c r="BR377" s="74"/>
    </row>
    <row r="378" spans="1:70" hidden="1">
      <c r="A378">
        <v>364</v>
      </c>
      <c r="B378" s="75">
        <v>45858.722638888888</v>
      </c>
      <c r="E378" s="7">
        <v>45858</v>
      </c>
      <c r="F378">
        <v>919</v>
      </c>
      <c r="I378" s="10" t="s">
        <v>1483</v>
      </c>
      <c r="J378" s="69">
        <v>45859</v>
      </c>
      <c r="K378" s="97">
        <f t="shared" ref="K378:K383" si="64">MONTH($J378)</f>
        <v>7</v>
      </c>
      <c r="L378" s="97">
        <v>376</v>
      </c>
      <c r="O378" s="7" t="s">
        <v>156</v>
      </c>
      <c r="T378" t="s">
        <v>1484</v>
      </c>
      <c r="X378" s="36"/>
      <c r="Y378" s="36" t="s">
        <v>141</v>
      </c>
      <c r="Z378" s="36"/>
      <c r="AA378" s="36"/>
      <c r="AB378" s="36" t="s">
        <v>141</v>
      </c>
      <c r="AC378" s="36"/>
      <c r="AD378" s="36"/>
      <c r="AE378" s="36"/>
      <c r="AF378" s="36"/>
      <c r="AG378" s="36"/>
      <c r="AH378" s="36" t="s">
        <v>141</v>
      </c>
      <c r="AI378" s="36"/>
      <c r="AJ378" s="36" t="s">
        <v>141</v>
      </c>
      <c r="AK378" s="117"/>
      <c r="AL378" s="36" t="s">
        <v>141</v>
      </c>
      <c r="AM378" s="36"/>
      <c r="AN378" s="36"/>
      <c r="AO378" s="36"/>
      <c r="AP378" s="36"/>
      <c r="AQ378" s="36"/>
      <c r="AR378" s="36"/>
      <c r="AS378" s="36" t="s">
        <v>141</v>
      </c>
      <c r="AT378" s="36"/>
      <c r="AU378" s="36"/>
      <c r="AV378" s="36"/>
      <c r="AW378" s="117"/>
      <c r="AX378" s="117"/>
      <c r="AY378" s="36"/>
      <c r="AZ378" s="36"/>
      <c r="BA378" s="117"/>
      <c r="BB378" s="117"/>
      <c r="BC378" s="117"/>
      <c r="BD378" s="117"/>
      <c r="BE378" s="117"/>
      <c r="BF378" s="117"/>
      <c r="BG378" s="117"/>
      <c r="BH378" s="117"/>
      <c r="BI378" s="117"/>
      <c r="BJ378" s="117"/>
      <c r="BK378" s="117"/>
      <c r="BL378" s="117"/>
      <c r="BM378" s="117">
        <f t="shared" si="54"/>
        <v>6</v>
      </c>
      <c r="BN378" s="117">
        <f t="shared" si="55"/>
        <v>2</v>
      </c>
      <c r="BO378" s="117">
        <f t="shared" si="56"/>
        <v>2</v>
      </c>
      <c r="BP378" s="153">
        <f t="shared" si="57"/>
        <v>4</v>
      </c>
      <c r="BQ378" s="74" t="s">
        <v>502</v>
      </c>
      <c r="BR378" s="74"/>
    </row>
    <row r="379" spans="1:70" hidden="1">
      <c r="A379">
        <v>365</v>
      </c>
      <c r="B379" s="75">
        <v>45859.285543981481</v>
      </c>
      <c r="E379" s="7">
        <v>45859</v>
      </c>
      <c r="F379">
        <v>920</v>
      </c>
      <c r="I379" s="10" t="s">
        <v>1485</v>
      </c>
      <c r="J379" s="69">
        <v>45859</v>
      </c>
      <c r="K379" s="97">
        <f t="shared" si="64"/>
        <v>7</v>
      </c>
      <c r="L379" s="97">
        <v>377</v>
      </c>
      <c r="O379" s="7" t="s">
        <v>146</v>
      </c>
      <c r="T379" t="s">
        <v>1486</v>
      </c>
      <c r="X379" s="36" t="s">
        <v>141</v>
      </c>
      <c r="Y379" s="36" t="s">
        <v>141</v>
      </c>
      <c r="Z379" s="36"/>
      <c r="AA379" s="36"/>
      <c r="AB379" s="36" t="s">
        <v>141</v>
      </c>
      <c r="AC379" s="36"/>
      <c r="AD379" s="36"/>
      <c r="AE379" s="36"/>
      <c r="AF379" s="36"/>
      <c r="AG379" s="36"/>
      <c r="AH379" s="36" t="s">
        <v>141</v>
      </c>
      <c r="AI379" s="36"/>
      <c r="AJ379" s="36" t="s">
        <v>141</v>
      </c>
      <c r="AK379" s="117"/>
      <c r="AL379" s="36"/>
      <c r="AM379" s="36"/>
      <c r="AN379" s="36"/>
      <c r="AO379" s="36"/>
      <c r="AP379" s="36" t="s">
        <v>141</v>
      </c>
      <c r="AQ379" s="36"/>
      <c r="AR379" s="36"/>
      <c r="AS379" s="36"/>
      <c r="AT379" s="36"/>
      <c r="AU379" s="36"/>
      <c r="AV379" s="36"/>
      <c r="AW379" s="117"/>
      <c r="AX379" s="117" t="s">
        <v>141</v>
      </c>
      <c r="AY379" s="36"/>
      <c r="AZ379" s="36" t="s">
        <v>141</v>
      </c>
      <c r="BA379" s="117"/>
      <c r="BB379" s="117"/>
      <c r="BC379" s="117"/>
      <c r="BD379" s="117"/>
      <c r="BE379" s="117" t="s">
        <v>141</v>
      </c>
      <c r="BF379" s="117" t="s">
        <v>141</v>
      </c>
      <c r="BG379" s="117"/>
      <c r="BH379" s="117"/>
      <c r="BI379" s="117"/>
      <c r="BJ379" s="117"/>
      <c r="BK379" s="117"/>
      <c r="BL379" s="117"/>
      <c r="BM379" s="117">
        <f t="shared" si="54"/>
        <v>10</v>
      </c>
      <c r="BN379" s="117">
        <f t="shared" si="55"/>
        <v>1</v>
      </c>
      <c r="BO379" s="117">
        <f t="shared" si="56"/>
        <v>3</v>
      </c>
      <c r="BP379" s="153">
        <f t="shared" si="57"/>
        <v>5</v>
      </c>
      <c r="BQ379" s="74" t="s">
        <v>1397</v>
      </c>
      <c r="BR379" s="74"/>
    </row>
    <row r="380" spans="1:70" hidden="1">
      <c r="A380">
        <v>366</v>
      </c>
      <c r="B380" s="75">
        <v>45859.37809027778</v>
      </c>
      <c r="E380" s="7">
        <v>45859</v>
      </c>
      <c r="F380">
        <v>921</v>
      </c>
      <c r="I380" s="10" t="s">
        <v>1487</v>
      </c>
      <c r="J380" s="69">
        <v>45859</v>
      </c>
      <c r="K380" s="97">
        <f t="shared" si="64"/>
        <v>7</v>
      </c>
      <c r="L380" s="97">
        <v>378</v>
      </c>
      <c r="O380" s="7" t="s">
        <v>146</v>
      </c>
      <c r="T380" t="s">
        <v>1488</v>
      </c>
      <c r="X380" s="36" t="s">
        <v>141</v>
      </c>
      <c r="Y380" s="36" t="s">
        <v>141</v>
      </c>
      <c r="Z380" s="36" t="s">
        <v>141</v>
      </c>
      <c r="AA380" s="36" t="s">
        <v>141</v>
      </c>
      <c r="AB380" s="36" t="s">
        <v>141</v>
      </c>
      <c r="AC380" s="36" t="s">
        <v>141</v>
      </c>
      <c r="AD380" s="36"/>
      <c r="AE380" s="36"/>
      <c r="AF380" s="36"/>
      <c r="AG380" s="36"/>
      <c r="AH380" s="36" t="s">
        <v>141</v>
      </c>
      <c r="AI380" s="36"/>
      <c r="AJ380" s="36" t="s">
        <v>141</v>
      </c>
      <c r="AK380" s="117" t="s">
        <v>141</v>
      </c>
      <c r="AL380" s="36" t="s">
        <v>141</v>
      </c>
      <c r="AM380" s="36"/>
      <c r="AN380" s="36"/>
      <c r="AO380" s="36"/>
      <c r="AP380" s="36" t="s">
        <v>141</v>
      </c>
      <c r="AQ380" s="36"/>
      <c r="AR380" s="36"/>
      <c r="AS380" s="36"/>
      <c r="AT380" s="36"/>
      <c r="AU380" s="36" t="s">
        <v>141</v>
      </c>
      <c r="AV380" s="36" t="s">
        <v>141</v>
      </c>
      <c r="AW380" s="117" t="s">
        <v>141</v>
      </c>
      <c r="AX380" s="117" t="s">
        <v>141</v>
      </c>
      <c r="AY380" s="36"/>
      <c r="AZ380" s="36" t="s">
        <v>141</v>
      </c>
      <c r="BA380" s="117" t="s">
        <v>141</v>
      </c>
      <c r="BB380" s="117" t="s">
        <v>141</v>
      </c>
      <c r="BC380" s="117" t="s">
        <v>141</v>
      </c>
      <c r="BD380" s="117" t="s">
        <v>141</v>
      </c>
      <c r="BE380" s="117" t="s">
        <v>141</v>
      </c>
      <c r="BF380" s="117" t="s">
        <v>141</v>
      </c>
      <c r="BG380" s="117"/>
      <c r="BH380" s="117"/>
      <c r="BI380" s="117"/>
      <c r="BJ380" s="117"/>
      <c r="BK380" s="117"/>
      <c r="BL380" s="117"/>
      <c r="BM380" s="117">
        <f t="shared" si="54"/>
        <v>22</v>
      </c>
      <c r="BN380" s="117">
        <f t="shared" si="55"/>
        <v>2</v>
      </c>
      <c r="BO380" s="117">
        <f t="shared" si="56"/>
        <v>6</v>
      </c>
      <c r="BP380" s="153">
        <f t="shared" si="57"/>
        <v>13</v>
      </c>
      <c r="BQ380" s="74" t="s">
        <v>273</v>
      </c>
      <c r="BR380" s="74"/>
    </row>
    <row r="381" spans="1:70" hidden="1">
      <c r="A381">
        <v>367</v>
      </c>
      <c r="B381" s="75">
        <v>45859.791145833333</v>
      </c>
      <c r="E381" s="7">
        <v>45860</v>
      </c>
      <c r="F381">
        <v>922</v>
      </c>
      <c r="I381" s="10" t="s">
        <v>1489</v>
      </c>
      <c r="J381" s="69">
        <v>45860</v>
      </c>
      <c r="K381" s="97">
        <f t="shared" si="64"/>
        <v>7</v>
      </c>
      <c r="L381" s="97">
        <v>379</v>
      </c>
      <c r="O381" s="7" t="s">
        <v>197</v>
      </c>
      <c r="T381" t="s">
        <v>1490</v>
      </c>
      <c r="X381" s="36"/>
      <c r="Y381" s="36" t="s">
        <v>141</v>
      </c>
      <c r="Z381" s="36"/>
      <c r="AA381" s="36" t="s">
        <v>141</v>
      </c>
      <c r="AB381" s="36"/>
      <c r="AC381" s="36"/>
      <c r="AD381" s="36"/>
      <c r="AE381" s="36"/>
      <c r="AF381" s="36"/>
      <c r="AG381" s="36"/>
      <c r="AH381" s="36" t="s">
        <v>141</v>
      </c>
      <c r="AI381" s="36"/>
      <c r="AJ381" s="36"/>
      <c r="AK381" s="117"/>
      <c r="AL381" s="36" t="s">
        <v>141</v>
      </c>
      <c r="AM381" s="36"/>
      <c r="AN381" s="36"/>
      <c r="AO381" s="36"/>
      <c r="AP381" s="36"/>
      <c r="AQ381" s="36"/>
      <c r="AR381" s="36"/>
      <c r="AS381" s="36" t="s">
        <v>141</v>
      </c>
      <c r="AT381" s="36" t="s">
        <v>141</v>
      </c>
      <c r="AU381" s="36"/>
      <c r="AV381" s="36"/>
      <c r="AW381" s="117" t="s">
        <v>141</v>
      </c>
      <c r="AX381" s="117"/>
      <c r="AY381" s="36"/>
      <c r="AZ381" s="36"/>
      <c r="BA381" s="117"/>
      <c r="BB381" s="117" t="s">
        <v>141</v>
      </c>
      <c r="BC381" s="117"/>
      <c r="BD381" s="117" t="s">
        <v>141</v>
      </c>
      <c r="BE381" s="117" t="s">
        <v>141</v>
      </c>
      <c r="BF381" s="117"/>
      <c r="BG381" s="117"/>
      <c r="BH381" s="117"/>
      <c r="BI381" s="117"/>
      <c r="BJ381" s="117"/>
      <c r="BK381" s="117"/>
      <c r="BL381" s="117"/>
      <c r="BM381" s="117">
        <f t="shared" si="54"/>
        <v>10</v>
      </c>
      <c r="BN381" s="117">
        <f t="shared" si="55"/>
        <v>1</v>
      </c>
      <c r="BO381" s="117">
        <f t="shared" si="56"/>
        <v>2</v>
      </c>
      <c r="BP381" s="153">
        <f t="shared" si="57"/>
        <v>6</v>
      </c>
      <c r="BQ381" s="74" t="s">
        <v>793</v>
      </c>
      <c r="BR381" s="74"/>
    </row>
    <row r="382" spans="1:70" hidden="1">
      <c r="A382">
        <v>368</v>
      </c>
      <c r="B382" s="75">
        <v>45859.811597222222</v>
      </c>
      <c r="E382" s="7">
        <v>45860</v>
      </c>
      <c r="F382">
        <v>923</v>
      </c>
      <c r="I382" s="10" t="s">
        <v>1491</v>
      </c>
      <c r="J382" s="69">
        <v>45860</v>
      </c>
      <c r="K382" s="97">
        <f t="shared" si="64"/>
        <v>7</v>
      </c>
      <c r="L382" s="97">
        <v>380</v>
      </c>
      <c r="O382" s="7" t="s">
        <v>156</v>
      </c>
      <c r="T382" t="s">
        <v>1492</v>
      </c>
      <c r="X382" s="36"/>
      <c r="Y382" s="36" t="s">
        <v>141</v>
      </c>
      <c r="Z382" s="36"/>
      <c r="AA382" s="36" t="s">
        <v>141</v>
      </c>
      <c r="AB382" s="36"/>
      <c r="AC382" s="36"/>
      <c r="AD382" s="36"/>
      <c r="AE382" s="36"/>
      <c r="AF382" s="36"/>
      <c r="AG382" s="36"/>
      <c r="AH382" s="36" t="s">
        <v>141</v>
      </c>
      <c r="AI382" s="36"/>
      <c r="AJ382" s="36"/>
      <c r="AK382" s="117"/>
      <c r="AL382" s="36" t="s">
        <v>141</v>
      </c>
      <c r="AM382" s="36"/>
      <c r="AN382" s="36"/>
      <c r="AO382" s="36"/>
      <c r="AP382" s="36"/>
      <c r="AQ382" s="36"/>
      <c r="AR382" s="36"/>
      <c r="AS382" s="36" t="s">
        <v>141</v>
      </c>
      <c r="AT382" s="36" t="s">
        <v>141</v>
      </c>
      <c r="AU382" s="36"/>
      <c r="AV382" s="36"/>
      <c r="AW382" s="117" t="s">
        <v>141</v>
      </c>
      <c r="AX382" s="117"/>
      <c r="AY382" s="36"/>
      <c r="AZ382" s="36"/>
      <c r="BA382" s="117"/>
      <c r="BB382" s="117" t="s">
        <v>141</v>
      </c>
      <c r="BC382" s="117"/>
      <c r="BD382" s="117" t="s">
        <v>141</v>
      </c>
      <c r="BE382" s="117" t="s">
        <v>141</v>
      </c>
      <c r="BF382" s="117"/>
      <c r="BG382" s="117"/>
      <c r="BH382" s="117"/>
      <c r="BI382" s="117"/>
      <c r="BJ382" s="117"/>
      <c r="BK382" s="117"/>
      <c r="BL382" s="117"/>
      <c r="BM382" s="117">
        <f t="shared" si="54"/>
        <v>10</v>
      </c>
      <c r="BN382" s="117">
        <f t="shared" si="55"/>
        <v>1</v>
      </c>
      <c r="BO382" s="117">
        <f t="shared" si="56"/>
        <v>2</v>
      </c>
      <c r="BP382" s="153">
        <f t="shared" si="57"/>
        <v>6</v>
      </c>
      <c r="BQ382" s="74" t="s">
        <v>793</v>
      </c>
      <c r="BR382" s="74"/>
    </row>
    <row r="383" spans="1:70" hidden="1">
      <c r="A383">
        <v>369</v>
      </c>
      <c r="B383" s="75">
        <v>45859.835405092592</v>
      </c>
      <c r="E383" s="7">
        <v>45860</v>
      </c>
      <c r="F383">
        <v>924</v>
      </c>
      <c r="I383" s="10" t="s">
        <v>1493</v>
      </c>
      <c r="J383" s="69">
        <v>45860</v>
      </c>
      <c r="K383" s="97">
        <f t="shared" si="64"/>
        <v>7</v>
      </c>
      <c r="L383" s="97">
        <v>381</v>
      </c>
      <c r="O383" s="7" t="s">
        <v>156</v>
      </c>
      <c r="T383" t="s">
        <v>1494</v>
      </c>
      <c r="X383" s="36"/>
      <c r="Y383" s="36" t="s">
        <v>141</v>
      </c>
      <c r="Z383" s="36"/>
      <c r="AA383" s="36" t="s">
        <v>141</v>
      </c>
      <c r="AB383" s="36"/>
      <c r="AC383" s="36"/>
      <c r="AD383" s="36"/>
      <c r="AE383" s="36"/>
      <c r="AF383" s="36"/>
      <c r="AG383" s="36"/>
      <c r="AH383" s="36" t="s">
        <v>141</v>
      </c>
      <c r="AI383" s="36"/>
      <c r="AJ383" s="36"/>
      <c r="AK383" s="117"/>
      <c r="AL383" s="36" t="s">
        <v>141</v>
      </c>
      <c r="AM383" s="36"/>
      <c r="AN383" s="36"/>
      <c r="AO383" s="36"/>
      <c r="AP383" s="36"/>
      <c r="AQ383" s="36"/>
      <c r="AR383" s="36"/>
      <c r="AS383" s="36" t="s">
        <v>141</v>
      </c>
      <c r="AT383" s="36" t="s">
        <v>141</v>
      </c>
      <c r="AU383" s="36"/>
      <c r="AV383" s="36"/>
      <c r="AW383" s="117" t="s">
        <v>141</v>
      </c>
      <c r="AX383" s="117"/>
      <c r="AY383" s="36"/>
      <c r="AZ383" s="36"/>
      <c r="BA383" s="117"/>
      <c r="BB383" s="117" t="s">
        <v>141</v>
      </c>
      <c r="BC383" s="117"/>
      <c r="BD383" s="117" t="s">
        <v>141</v>
      </c>
      <c r="BE383" s="117" t="s">
        <v>141</v>
      </c>
      <c r="BF383" s="117"/>
      <c r="BG383" s="117"/>
      <c r="BH383" s="117"/>
      <c r="BI383" s="117"/>
      <c r="BJ383" s="117"/>
      <c r="BK383" s="117"/>
      <c r="BL383" s="117"/>
      <c r="BM383" s="117">
        <f t="shared" si="54"/>
        <v>10</v>
      </c>
      <c r="BN383" s="117">
        <f t="shared" si="55"/>
        <v>1</v>
      </c>
      <c r="BO383" s="117">
        <f t="shared" si="56"/>
        <v>2</v>
      </c>
      <c r="BP383" s="153">
        <f t="shared" si="57"/>
        <v>6</v>
      </c>
      <c r="BQ383" s="74" t="s">
        <v>178</v>
      </c>
      <c r="BR383" s="74"/>
    </row>
    <row r="384" spans="1:70" hidden="1">
      <c r="A384">
        <v>370</v>
      </c>
      <c r="B384" s="75">
        <v>45862.267025462963</v>
      </c>
      <c r="E384" s="7">
        <v>45862</v>
      </c>
      <c r="F384">
        <v>925</v>
      </c>
      <c r="I384" s="10" t="s">
        <v>1495</v>
      </c>
      <c r="J384" s="69">
        <v>45862</v>
      </c>
      <c r="K384" s="97">
        <f t="shared" ref="K384:K390" si="65">MONTH($J384)</f>
        <v>7</v>
      </c>
      <c r="L384" s="97">
        <v>382</v>
      </c>
      <c r="O384" s="7" t="s">
        <v>1496</v>
      </c>
      <c r="T384" t="s">
        <v>1497</v>
      </c>
      <c r="X384" s="36"/>
      <c r="Y384" s="36" t="s">
        <v>141</v>
      </c>
      <c r="Z384" s="36"/>
      <c r="AA384" s="36" t="s">
        <v>141</v>
      </c>
      <c r="AB384" s="36" t="s">
        <v>141</v>
      </c>
      <c r="AC384" s="36"/>
      <c r="AD384" s="36"/>
      <c r="AE384" s="36"/>
      <c r="AF384" s="36" t="s">
        <v>141</v>
      </c>
      <c r="AG384" s="36"/>
      <c r="AH384" s="36" t="s">
        <v>141</v>
      </c>
      <c r="AI384" s="36"/>
      <c r="AJ384" s="36"/>
      <c r="AK384" s="117"/>
      <c r="AL384" s="36"/>
      <c r="AM384" s="36"/>
      <c r="AN384" s="36"/>
      <c r="AO384" s="36" t="s">
        <v>141</v>
      </c>
      <c r="AP384" s="36"/>
      <c r="AQ384" s="36"/>
      <c r="AR384" s="36"/>
      <c r="AS384" s="36"/>
      <c r="AT384" s="36"/>
      <c r="AU384" s="36"/>
      <c r="AV384" s="36"/>
      <c r="AW384" s="117"/>
      <c r="AX384" s="117" t="s">
        <v>141</v>
      </c>
      <c r="AY384" s="36"/>
      <c r="AZ384" s="36" t="s">
        <v>141</v>
      </c>
      <c r="BA384" s="117" t="s">
        <v>141</v>
      </c>
      <c r="BB384" s="117"/>
      <c r="BC384" s="117"/>
      <c r="BD384" s="117"/>
      <c r="BE384" s="117"/>
      <c r="BF384" s="117" t="s">
        <v>141</v>
      </c>
      <c r="BG384" s="117"/>
      <c r="BH384" s="117"/>
      <c r="BI384" s="117"/>
      <c r="BJ384" s="117"/>
      <c r="BK384" s="117"/>
      <c r="BL384" s="117"/>
      <c r="BM384" s="117">
        <f t="shared" si="54"/>
        <v>10</v>
      </c>
      <c r="BN384" s="117">
        <f t="shared" si="55"/>
        <v>0</v>
      </c>
      <c r="BO384" s="117">
        <f t="shared" si="56"/>
        <v>3</v>
      </c>
      <c r="BP384" s="153">
        <f t="shared" si="57"/>
        <v>6</v>
      </c>
      <c r="BQ384" s="74" t="s">
        <v>1365</v>
      </c>
      <c r="BR384" s="74"/>
    </row>
    <row r="385" spans="1:70" hidden="1">
      <c r="A385">
        <v>371</v>
      </c>
      <c r="B385" s="75">
        <v>45862.999502314815</v>
      </c>
      <c r="E385" s="7">
        <v>45863</v>
      </c>
      <c r="F385">
        <v>926</v>
      </c>
      <c r="I385" s="10" t="s">
        <v>1498</v>
      </c>
      <c r="J385" s="69">
        <v>45863</v>
      </c>
      <c r="K385" s="97">
        <f t="shared" si="65"/>
        <v>7</v>
      </c>
      <c r="L385" s="97">
        <v>383</v>
      </c>
      <c r="O385" s="7" t="s">
        <v>234</v>
      </c>
      <c r="T385" t="s">
        <v>1499</v>
      </c>
      <c r="X385" s="36"/>
      <c r="Y385" s="36"/>
      <c r="Z385" s="36"/>
      <c r="AA385" s="36" t="s">
        <v>141</v>
      </c>
      <c r="AB385" s="36"/>
      <c r="AC385" s="36" t="s">
        <v>141</v>
      </c>
      <c r="AD385" s="36"/>
      <c r="AE385" s="36"/>
      <c r="AF385" s="36" t="s">
        <v>141</v>
      </c>
      <c r="AG385" s="36"/>
      <c r="AH385" s="36"/>
      <c r="AI385" s="36"/>
      <c r="AJ385" s="36" t="s">
        <v>141</v>
      </c>
      <c r="AK385" s="117" t="s">
        <v>141</v>
      </c>
      <c r="AL385" s="36"/>
      <c r="AM385" s="36"/>
      <c r="AN385" s="36" t="s">
        <v>141</v>
      </c>
      <c r="AO385" s="36"/>
      <c r="AP385" s="36"/>
      <c r="AQ385" s="36"/>
      <c r="AR385" s="36"/>
      <c r="AS385" s="36" t="s">
        <v>141</v>
      </c>
      <c r="AT385" s="36"/>
      <c r="AU385" s="36"/>
      <c r="AV385" s="36"/>
      <c r="AW385" s="117" t="s">
        <v>141</v>
      </c>
      <c r="AX385" s="117"/>
      <c r="AY385" s="36"/>
      <c r="AZ385" s="36" t="s">
        <v>141</v>
      </c>
      <c r="BA385" s="117"/>
      <c r="BB385" s="117"/>
      <c r="BC385" s="117"/>
      <c r="BD385" s="117" t="s">
        <v>141</v>
      </c>
      <c r="BE385" s="117"/>
      <c r="BF385" s="117" t="s">
        <v>141</v>
      </c>
      <c r="BG385" s="117"/>
      <c r="BH385" s="117"/>
      <c r="BI385" s="117"/>
      <c r="BJ385" s="117"/>
      <c r="BK385" s="117"/>
      <c r="BL385" s="117"/>
      <c r="BM385" s="117">
        <f t="shared" si="54"/>
        <v>11</v>
      </c>
      <c r="BN385" s="117">
        <f t="shared" si="55"/>
        <v>4</v>
      </c>
      <c r="BO385" s="117">
        <f t="shared" si="56"/>
        <v>2</v>
      </c>
      <c r="BP385" s="153">
        <f t="shared" si="57"/>
        <v>7</v>
      </c>
      <c r="BQ385" s="74" t="s">
        <v>152</v>
      </c>
      <c r="BR385" s="74"/>
    </row>
    <row r="386" spans="1:70" hidden="1">
      <c r="A386">
        <v>372</v>
      </c>
      <c r="B386" s="75">
        <v>45863.000798611109</v>
      </c>
      <c r="E386" s="7">
        <v>45863</v>
      </c>
      <c r="F386">
        <v>927</v>
      </c>
      <c r="I386" s="10" t="s">
        <v>1500</v>
      </c>
      <c r="J386" s="69">
        <v>45863</v>
      </c>
      <c r="K386" s="97">
        <f t="shared" si="65"/>
        <v>7</v>
      </c>
      <c r="L386" s="97">
        <v>384</v>
      </c>
      <c r="O386" s="7" t="s">
        <v>156</v>
      </c>
      <c r="T386" t="s">
        <v>1501</v>
      </c>
      <c r="X386" s="36"/>
      <c r="Y386" s="36"/>
      <c r="Z386" s="36"/>
      <c r="AA386" s="36" t="s">
        <v>141</v>
      </c>
      <c r="AB386" s="36"/>
      <c r="AC386" s="36" t="s">
        <v>141</v>
      </c>
      <c r="AD386" s="36"/>
      <c r="AE386" s="36"/>
      <c r="AF386" s="36" t="s">
        <v>141</v>
      </c>
      <c r="AG386" s="36"/>
      <c r="AH386" s="36"/>
      <c r="AI386" s="36"/>
      <c r="AJ386" s="36" t="s">
        <v>141</v>
      </c>
      <c r="AK386" s="117" t="s">
        <v>141</v>
      </c>
      <c r="AL386" s="36"/>
      <c r="AM386" s="36"/>
      <c r="AN386" s="36" t="s">
        <v>141</v>
      </c>
      <c r="AO386" s="36"/>
      <c r="AP386" s="36"/>
      <c r="AQ386" s="36"/>
      <c r="AR386" s="36"/>
      <c r="AS386" s="36" t="s">
        <v>141</v>
      </c>
      <c r="AT386" s="36"/>
      <c r="AU386" s="36"/>
      <c r="AV386" s="36"/>
      <c r="AW386" s="117" t="s">
        <v>141</v>
      </c>
      <c r="AX386" s="117"/>
      <c r="AY386" s="36"/>
      <c r="AZ386" s="36" t="s">
        <v>141</v>
      </c>
      <c r="BA386" s="117"/>
      <c r="BB386" s="117"/>
      <c r="BC386" s="117"/>
      <c r="BD386" s="117" t="s">
        <v>141</v>
      </c>
      <c r="BE386" s="117"/>
      <c r="BF386" s="117" t="s">
        <v>141</v>
      </c>
      <c r="BG386" s="117"/>
      <c r="BH386" s="117"/>
      <c r="BI386" s="117"/>
      <c r="BJ386" s="117"/>
      <c r="BK386" s="117"/>
      <c r="BL386" s="117"/>
      <c r="BM386" s="117">
        <f t="shared" si="54"/>
        <v>11</v>
      </c>
      <c r="BN386" s="117">
        <f t="shared" si="55"/>
        <v>4</v>
      </c>
      <c r="BO386" s="117">
        <f t="shared" si="56"/>
        <v>2</v>
      </c>
      <c r="BP386" s="153">
        <f t="shared" si="57"/>
        <v>7</v>
      </c>
      <c r="BQ386" s="74" t="s">
        <v>152</v>
      </c>
      <c r="BR386" s="74"/>
    </row>
    <row r="387" spans="1:70" hidden="1">
      <c r="A387">
        <v>373</v>
      </c>
      <c r="B387" s="75">
        <v>45864.502997685187</v>
      </c>
      <c r="E387" s="7">
        <v>45864</v>
      </c>
      <c r="F387">
        <v>928</v>
      </c>
      <c r="I387" s="10" t="s">
        <v>1502</v>
      </c>
      <c r="J387" s="69">
        <v>45865</v>
      </c>
      <c r="K387" s="97">
        <f t="shared" si="65"/>
        <v>7</v>
      </c>
      <c r="L387" s="97">
        <v>385</v>
      </c>
      <c r="O387" s="7" t="s">
        <v>197</v>
      </c>
      <c r="T387" t="s">
        <v>1108</v>
      </c>
      <c r="X387" s="36" t="s">
        <v>141</v>
      </c>
      <c r="Y387" s="36"/>
      <c r="Z387" s="36" t="s">
        <v>141</v>
      </c>
      <c r="AA387" s="36" t="s">
        <v>141</v>
      </c>
      <c r="AB387" s="36" t="s">
        <v>141</v>
      </c>
      <c r="AC387" s="36"/>
      <c r="AD387" s="36"/>
      <c r="AE387" s="36"/>
      <c r="AF387" s="36"/>
      <c r="AG387" s="36"/>
      <c r="AH387" s="36" t="s">
        <v>141</v>
      </c>
      <c r="AI387" s="36"/>
      <c r="AJ387" s="36" t="s">
        <v>141</v>
      </c>
      <c r="AK387" s="117"/>
      <c r="AL387" s="36" t="s">
        <v>141</v>
      </c>
      <c r="AM387" s="36" t="s">
        <v>141</v>
      </c>
      <c r="AN387" s="36"/>
      <c r="AO387" s="36"/>
      <c r="AP387" s="36"/>
      <c r="AQ387" s="36"/>
      <c r="AR387" s="36"/>
      <c r="AS387" s="36"/>
      <c r="AT387" s="36"/>
      <c r="AU387" s="36"/>
      <c r="AV387" s="36"/>
      <c r="AW387" s="117"/>
      <c r="AX387" s="117"/>
      <c r="AY387" s="36"/>
      <c r="AZ387" s="36"/>
      <c r="BA387" s="117"/>
      <c r="BB387" s="117"/>
      <c r="BC387" s="117"/>
      <c r="BD387" s="117"/>
      <c r="BE387" s="117"/>
      <c r="BF387" s="117"/>
      <c r="BG387" s="117"/>
      <c r="BH387" s="117"/>
      <c r="BI387" s="117"/>
      <c r="BJ387" s="117"/>
      <c r="BK387" s="117"/>
      <c r="BL387" s="117"/>
      <c r="BM387" s="117">
        <f t="shared" si="54"/>
        <v>8</v>
      </c>
      <c r="BN387" s="117">
        <f t="shared" si="55"/>
        <v>2</v>
      </c>
      <c r="BO387" s="117">
        <f t="shared" si="56"/>
        <v>4</v>
      </c>
      <c r="BP387" s="153">
        <f t="shared" si="57"/>
        <v>4</v>
      </c>
      <c r="BQ387" s="74" t="s">
        <v>208</v>
      </c>
      <c r="BR387" s="74"/>
    </row>
    <row r="388" spans="1:70" hidden="1">
      <c r="A388">
        <v>374</v>
      </c>
      <c r="B388" s="75">
        <v>45865.948796296296</v>
      </c>
      <c r="E388" s="7">
        <v>45866</v>
      </c>
      <c r="F388">
        <v>929</v>
      </c>
      <c r="I388" s="10" t="s">
        <v>1503</v>
      </c>
      <c r="J388" s="69">
        <v>45866</v>
      </c>
      <c r="K388" s="97">
        <f t="shared" si="65"/>
        <v>7</v>
      </c>
      <c r="L388" s="97">
        <v>386</v>
      </c>
      <c r="O388" s="7" t="s">
        <v>134</v>
      </c>
      <c r="T388" t="s">
        <v>1504</v>
      </c>
      <c r="X388" s="36"/>
      <c r="Y388" s="36" t="s">
        <v>141</v>
      </c>
      <c r="Z388" s="36"/>
      <c r="AA388" s="36" t="s">
        <v>141</v>
      </c>
      <c r="AB388" s="36" t="s">
        <v>141</v>
      </c>
      <c r="AC388" s="36"/>
      <c r="AD388" s="36" t="s">
        <v>141</v>
      </c>
      <c r="AE388" s="36"/>
      <c r="AF388" s="36"/>
      <c r="AG388" s="36"/>
      <c r="AH388" s="36" t="s">
        <v>141</v>
      </c>
      <c r="AI388" s="36"/>
      <c r="AJ388" s="36" t="s">
        <v>141</v>
      </c>
      <c r="AK388" s="117" t="s">
        <v>141</v>
      </c>
      <c r="AL388" s="36" t="s">
        <v>141</v>
      </c>
      <c r="AM388" s="36"/>
      <c r="AN388" s="36" t="s">
        <v>141</v>
      </c>
      <c r="AO388" s="36"/>
      <c r="AP388" s="36"/>
      <c r="AQ388" s="36"/>
      <c r="AR388" s="36"/>
      <c r="AS388" s="36"/>
      <c r="AT388" s="36" t="s">
        <v>141</v>
      </c>
      <c r="AU388" s="36"/>
      <c r="AV388" s="36"/>
      <c r="AW388" s="117"/>
      <c r="AX388" s="117"/>
      <c r="AY388" s="36" t="s">
        <v>141</v>
      </c>
      <c r="AZ388" s="36" t="s">
        <v>141</v>
      </c>
      <c r="BA388" s="117"/>
      <c r="BB388" s="117"/>
      <c r="BC388" s="117"/>
      <c r="BD388" s="117"/>
      <c r="BE388" s="117"/>
      <c r="BF388" s="117"/>
      <c r="BG388" s="117"/>
      <c r="BH388" s="117"/>
      <c r="BI388" s="117"/>
      <c r="BJ388" s="117"/>
      <c r="BK388" s="117"/>
      <c r="BL388" s="117"/>
      <c r="BM388" s="117">
        <f t="shared" ref="BM388:BM451" si="66">COUNTIF($X388:$BF388, "I")</f>
        <v>12</v>
      </c>
      <c r="BN388" s="117">
        <f t="shared" ref="BN388:BN451" si="67">COUNTIFS($X388:$BF388, "I",$X$2:$BF$2, "DR" )</f>
        <v>3</v>
      </c>
      <c r="BO388" s="117">
        <f t="shared" ref="BO388:BO451" si="68">COUNTIFS($X388:$BF388, "I",$X$5:$BF$5, "OF" )</f>
        <v>4</v>
      </c>
      <c r="BP388" s="153">
        <f t="shared" ref="BP388:BP451" si="69">COUNTIFS($X388:$BF388, "I",$X$5:$BF$5, "FF" )</f>
        <v>8</v>
      </c>
      <c r="BQ388" s="74" t="s">
        <v>178</v>
      </c>
      <c r="BR388" s="74"/>
    </row>
    <row r="389" spans="1:70" hidden="1">
      <c r="A389">
        <v>375</v>
      </c>
      <c r="B389" s="75">
        <v>45866.79074074074</v>
      </c>
      <c r="E389" s="7">
        <v>45867</v>
      </c>
      <c r="F389">
        <v>930</v>
      </c>
      <c r="I389" s="10" t="s">
        <v>1505</v>
      </c>
      <c r="J389" s="69">
        <v>45867</v>
      </c>
      <c r="K389" s="97">
        <f t="shared" si="65"/>
        <v>7</v>
      </c>
      <c r="L389" s="97">
        <v>387</v>
      </c>
      <c r="O389" s="7" t="s">
        <v>1506</v>
      </c>
      <c r="T389" t="s">
        <v>1507</v>
      </c>
      <c r="X389" s="36"/>
      <c r="Y389" s="36" t="s">
        <v>141</v>
      </c>
      <c r="Z389" s="36"/>
      <c r="AA389" s="36" t="s">
        <v>141</v>
      </c>
      <c r="AB389" s="36" t="s">
        <v>141</v>
      </c>
      <c r="AC389" s="36"/>
      <c r="AD389" s="36" t="s">
        <v>141</v>
      </c>
      <c r="AE389" s="36"/>
      <c r="AF389" s="36"/>
      <c r="AG389" s="36"/>
      <c r="AH389" s="36" t="s">
        <v>141</v>
      </c>
      <c r="AI389" s="36"/>
      <c r="AJ389" s="36"/>
      <c r="AK389" s="117" t="s">
        <v>141</v>
      </c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117"/>
      <c r="AX389" s="117" t="s">
        <v>141</v>
      </c>
      <c r="AY389" s="36"/>
      <c r="AZ389" s="36"/>
      <c r="BA389" s="117"/>
      <c r="BB389" s="117"/>
      <c r="BC389" s="117"/>
      <c r="BD389" s="117"/>
      <c r="BE389" s="117" t="s">
        <v>141</v>
      </c>
      <c r="BF389" s="117"/>
      <c r="BG389" s="117"/>
      <c r="BH389" s="117"/>
      <c r="BI389" s="117"/>
      <c r="BJ389" s="117"/>
      <c r="BK389" s="117"/>
      <c r="BL389" s="117"/>
      <c r="BM389" s="117">
        <f t="shared" si="66"/>
        <v>8</v>
      </c>
      <c r="BN389" s="117">
        <f t="shared" si="67"/>
        <v>1</v>
      </c>
      <c r="BO389" s="117">
        <f t="shared" si="68"/>
        <v>4</v>
      </c>
      <c r="BP389" s="153">
        <f t="shared" si="69"/>
        <v>3</v>
      </c>
      <c r="BQ389" s="74" t="s">
        <v>208</v>
      </c>
      <c r="BR389" s="74"/>
    </row>
    <row r="390" spans="1:70" hidden="1">
      <c r="A390">
        <v>376</v>
      </c>
      <c r="B390" s="75">
        <v>45867.603981481479</v>
      </c>
      <c r="E390" s="7">
        <v>45867</v>
      </c>
      <c r="F390">
        <v>931</v>
      </c>
      <c r="I390" s="10" t="s">
        <v>1508</v>
      </c>
      <c r="J390" s="69">
        <v>45868</v>
      </c>
      <c r="K390" s="97">
        <f t="shared" si="65"/>
        <v>7</v>
      </c>
      <c r="L390" s="97">
        <v>388</v>
      </c>
      <c r="O390" s="7" t="s">
        <v>234</v>
      </c>
      <c r="T390" t="s">
        <v>1509</v>
      </c>
      <c r="X390" s="36"/>
      <c r="Y390" s="36"/>
      <c r="Z390" s="36" t="s">
        <v>141</v>
      </c>
      <c r="AA390" s="36"/>
      <c r="AB390" s="36" t="s">
        <v>141</v>
      </c>
      <c r="AC390" s="36" t="s">
        <v>141</v>
      </c>
      <c r="AD390" s="36"/>
      <c r="AE390" s="36"/>
      <c r="AF390" s="36"/>
      <c r="AG390" s="36"/>
      <c r="AH390" s="36"/>
      <c r="AI390" s="36"/>
      <c r="AJ390" s="36" t="s">
        <v>141</v>
      </c>
      <c r="AK390" s="117" t="s">
        <v>141</v>
      </c>
      <c r="AL390" s="36" t="s">
        <v>141</v>
      </c>
      <c r="AM390" s="36" t="s">
        <v>141</v>
      </c>
      <c r="AN390" s="36"/>
      <c r="AO390" s="36"/>
      <c r="AP390" s="36"/>
      <c r="AQ390" s="36"/>
      <c r="AR390" s="36"/>
      <c r="AS390" s="36"/>
      <c r="AT390" s="36"/>
      <c r="AU390" s="36"/>
      <c r="AV390" s="36"/>
      <c r="AW390" s="117"/>
      <c r="AX390" s="117"/>
      <c r="AY390" s="36" t="s">
        <v>141</v>
      </c>
      <c r="AZ390" s="36"/>
      <c r="BA390" s="117"/>
      <c r="BB390" s="117"/>
      <c r="BC390" s="117"/>
      <c r="BD390" s="117" t="s">
        <v>141</v>
      </c>
      <c r="BE390" s="117" t="s">
        <v>141</v>
      </c>
      <c r="BF390" s="117"/>
      <c r="BG390" s="117"/>
      <c r="BH390" s="117"/>
      <c r="BI390" s="117"/>
      <c r="BJ390" s="117"/>
      <c r="BK390" s="117"/>
      <c r="BL390" s="117"/>
      <c r="BM390" s="117">
        <f t="shared" si="66"/>
        <v>10</v>
      </c>
      <c r="BN390" s="117">
        <f t="shared" si="67"/>
        <v>3</v>
      </c>
      <c r="BO390" s="117">
        <f t="shared" si="68"/>
        <v>3</v>
      </c>
      <c r="BP390" s="153">
        <f t="shared" si="69"/>
        <v>5</v>
      </c>
      <c r="BQ390" s="74" t="s">
        <v>208</v>
      </c>
      <c r="BR390" s="74"/>
    </row>
    <row r="391" spans="1:70" hidden="1">
      <c r="A391">
        <v>377</v>
      </c>
      <c r="B391" s="75">
        <v>45869.699930555558</v>
      </c>
      <c r="E391" s="7">
        <v>45870</v>
      </c>
      <c r="F391">
        <v>932</v>
      </c>
      <c r="I391" s="10" t="s">
        <v>1510</v>
      </c>
      <c r="J391" s="69">
        <v>45870</v>
      </c>
      <c r="K391" s="97">
        <f t="shared" ref="K391:K396" si="70">MONTH($J391)</f>
        <v>8</v>
      </c>
      <c r="L391" s="97">
        <v>389</v>
      </c>
      <c r="O391" s="7" t="s">
        <v>197</v>
      </c>
      <c r="T391" t="s">
        <v>1511</v>
      </c>
      <c r="X391" s="36" t="s">
        <v>141</v>
      </c>
      <c r="Y391" s="36" t="s">
        <v>141</v>
      </c>
      <c r="Z391" s="36"/>
      <c r="AA391" s="36"/>
      <c r="AB391" s="36"/>
      <c r="AC391" s="36"/>
      <c r="AD391" s="36"/>
      <c r="AE391" s="36" t="s">
        <v>141</v>
      </c>
      <c r="AF391" s="36"/>
      <c r="AG391" s="36"/>
      <c r="AH391" s="36" t="s">
        <v>141</v>
      </c>
      <c r="AI391" s="36"/>
      <c r="AJ391" s="36"/>
      <c r="AK391" s="117" t="s">
        <v>141</v>
      </c>
      <c r="AL391" s="36" t="s">
        <v>141</v>
      </c>
      <c r="AM391" s="36" t="s">
        <v>141</v>
      </c>
      <c r="AN391" s="36"/>
      <c r="AO391" s="36" t="s">
        <v>141</v>
      </c>
      <c r="AP391" s="36"/>
      <c r="AQ391" s="36"/>
      <c r="AR391" s="36"/>
      <c r="AS391" s="36"/>
      <c r="AT391" s="36"/>
      <c r="AU391" s="36"/>
      <c r="AV391" s="36"/>
      <c r="AW391" s="117"/>
      <c r="AX391" s="117"/>
      <c r="AY391" s="36"/>
      <c r="AZ391" s="36"/>
      <c r="BA391" s="117"/>
      <c r="BB391" s="117"/>
      <c r="BC391" s="117"/>
      <c r="BD391" s="117"/>
      <c r="BE391" s="117"/>
      <c r="BF391" s="117"/>
      <c r="BG391" s="117"/>
      <c r="BH391" s="117"/>
      <c r="BI391" s="117"/>
      <c r="BJ391" s="117"/>
      <c r="BK391" s="117"/>
      <c r="BL391" s="117"/>
      <c r="BM391" s="117">
        <f t="shared" si="66"/>
        <v>8</v>
      </c>
      <c r="BN391" s="117">
        <f t="shared" si="67"/>
        <v>2</v>
      </c>
      <c r="BO391" s="117">
        <f t="shared" si="68"/>
        <v>2</v>
      </c>
      <c r="BP391" s="153">
        <f t="shared" si="69"/>
        <v>6</v>
      </c>
      <c r="BQ391" s="74" t="s">
        <v>273</v>
      </c>
      <c r="BR391" s="74"/>
    </row>
    <row r="392" spans="1:70" hidden="1">
      <c r="A392">
        <v>378</v>
      </c>
      <c r="B392" s="75">
        <v>45869.705069444448</v>
      </c>
      <c r="E392" s="7">
        <v>45870</v>
      </c>
      <c r="F392">
        <v>933</v>
      </c>
      <c r="I392" s="10" t="s">
        <v>1512</v>
      </c>
      <c r="J392" s="69">
        <v>45870</v>
      </c>
      <c r="K392" s="97">
        <f t="shared" si="70"/>
        <v>8</v>
      </c>
      <c r="L392" s="97">
        <v>390</v>
      </c>
      <c r="O392" s="7" t="s">
        <v>156</v>
      </c>
      <c r="T392" t="s">
        <v>1513</v>
      </c>
      <c r="X392" s="36" t="s">
        <v>141</v>
      </c>
      <c r="Y392" s="36" t="s">
        <v>141</v>
      </c>
      <c r="Z392" s="36" t="s">
        <v>141</v>
      </c>
      <c r="AA392" s="36"/>
      <c r="AB392" s="36"/>
      <c r="AC392" s="36"/>
      <c r="AD392" s="36"/>
      <c r="AE392" s="36" t="s">
        <v>141</v>
      </c>
      <c r="AF392" s="36"/>
      <c r="AG392" s="36"/>
      <c r="AH392" s="36" t="s">
        <v>141</v>
      </c>
      <c r="AI392" s="36"/>
      <c r="AJ392" s="36"/>
      <c r="AK392" s="117" t="s">
        <v>141</v>
      </c>
      <c r="AL392" s="36" t="s">
        <v>141</v>
      </c>
      <c r="AM392" s="36" t="s">
        <v>141</v>
      </c>
      <c r="AN392" s="36"/>
      <c r="AO392" s="36" t="s">
        <v>141</v>
      </c>
      <c r="AP392" s="36"/>
      <c r="AQ392" s="36"/>
      <c r="AR392" s="36" t="s">
        <v>141</v>
      </c>
      <c r="AS392" s="36" t="s">
        <v>141</v>
      </c>
      <c r="AT392" s="36"/>
      <c r="AU392" s="36"/>
      <c r="AV392" s="36"/>
      <c r="AW392" s="117"/>
      <c r="AX392" s="117"/>
      <c r="AY392" s="36"/>
      <c r="AZ392" s="36"/>
      <c r="BA392" s="117"/>
      <c r="BB392" s="117"/>
      <c r="BC392" s="117"/>
      <c r="BD392" s="117"/>
      <c r="BE392" s="117"/>
      <c r="BF392" s="117"/>
      <c r="BG392" s="117"/>
      <c r="BH392" s="117"/>
      <c r="BI392" s="117"/>
      <c r="BJ392" s="117"/>
      <c r="BK392" s="117"/>
      <c r="BL392" s="117"/>
      <c r="BM392" s="117">
        <f t="shared" si="66"/>
        <v>11</v>
      </c>
      <c r="BN392" s="117">
        <f t="shared" si="67"/>
        <v>4</v>
      </c>
      <c r="BO392" s="117">
        <f t="shared" si="68"/>
        <v>3</v>
      </c>
      <c r="BP392" s="153">
        <f t="shared" si="69"/>
        <v>8</v>
      </c>
      <c r="BQ392" s="74" t="s">
        <v>1063</v>
      </c>
      <c r="BR392" s="74"/>
    </row>
    <row r="393" spans="1:70" hidden="1">
      <c r="A393">
        <v>379</v>
      </c>
      <c r="B393" s="75">
        <v>45869.854803240742</v>
      </c>
      <c r="E393" s="7">
        <v>45870</v>
      </c>
      <c r="F393">
        <v>934</v>
      </c>
      <c r="I393" s="10" t="s">
        <v>1514</v>
      </c>
      <c r="J393" s="69">
        <v>45870</v>
      </c>
      <c r="K393" s="97">
        <f t="shared" si="70"/>
        <v>8</v>
      </c>
      <c r="L393" s="97">
        <v>391</v>
      </c>
      <c r="O393" s="7" t="s">
        <v>134</v>
      </c>
      <c r="T393" t="s">
        <v>1515</v>
      </c>
      <c r="X393" s="36" t="s">
        <v>141</v>
      </c>
      <c r="Y393" s="36" t="s">
        <v>141</v>
      </c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 t="s">
        <v>141</v>
      </c>
      <c r="AK393" s="117" t="s">
        <v>141</v>
      </c>
      <c r="AL393" s="36"/>
      <c r="AM393" s="36" t="s">
        <v>141</v>
      </c>
      <c r="AN393" s="36"/>
      <c r="AO393" s="36" t="s">
        <v>141</v>
      </c>
      <c r="AP393" s="36"/>
      <c r="AQ393" s="36"/>
      <c r="AR393" s="36"/>
      <c r="AS393" s="36"/>
      <c r="AT393" s="36"/>
      <c r="AU393" s="36"/>
      <c r="AV393" s="36"/>
      <c r="AW393" s="117"/>
      <c r="AX393" s="117"/>
      <c r="AY393" s="36"/>
      <c r="AZ393" s="36"/>
      <c r="BA393" s="117"/>
      <c r="BB393" s="117"/>
      <c r="BC393" s="117"/>
      <c r="BD393" s="117"/>
      <c r="BE393" s="117"/>
      <c r="BF393" s="117" t="s">
        <v>141</v>
      </c>
      <c r="BG393" s="117"/>
      <c r="BH393" s="117"/>
      <c r="BI393" s="117"/>
      <c r="BJ393" s="117"/>
      <c r="BK393" s="117"/>
      <c r="BL393" s="117"/>
      <c r="BM393" s="117">
        <f t="shared" si="66"/>
        <v>7</v>
      </c>
      <c r="BN393" s="117">
        <f t="shared" si="67"/>
        <v>3</v>
      </c>
      <c r="BO393" s="117">
        <f t="shared" si="68"/>
        <v>2</v>
      </c>
      <c r="BP393" s="153">
        <f t="shared" si="69"/>
        <v>4</v>
      </c>
      <c r="BQ393" s="74" t="s">
        <v>502</v>
      </c>
      <c r="BR393" s="74"/>
    </row>
    <row r="394" spans="1:70" hidden="1">
      <c r="A394">
        <v>380</v>
      </c>
      <c r="B394" s="75">
        <v>45870.031284722223</v>
      </c>
      <c r="E394" s="7">
        <v>45870</v>
      </c>
      <c r="F394">
        <v>935</v>
      </c>
      <c r="I394" s="10" t="s">
        <v>1516</v>
      </c>
      <c r="J394" s="69">
        <v>45870</v>
      </c>
      <c r="K394" s="97">
        <f t="shared" si="70"/>
        <v>8</v>
      </c>
      <c r="L394" s="97">
        <v>392</v>
      </c>
      <c r="O394" s="7" t="s">
        <v>1517</v>
      </c>
      <c r="T394" t="s">
        <v>1518</v>
      </c>
      <c r="X394" s="36" t="s">
        <v>141</v>
      </c>
      <c r="Y394" s="36" t="s">
        <v>141</v>
      </c>
      <c r="Z394" s="36"/>
      <c r="AA394" s="36" t="s">
        <v>141</v>
      </c>
      <c r="AB394" s="36"/>
      <c r="AC394" s="36"/>
      <c r="AD394" s="36"/>
      <c r="AE394" s="36"/>
      <c r="AF394" s="36"/>
      <c r="AG394" s="36"/>
      <c r="AH394" s="36"/>
      <c r="AI394" s="36"/>
      <c r="AJ394" s="36" t="s">
        <v>141</v>
      </c>
      <c r="AK394" s="117" t="s">
        <v>141</v>
      </c>
      <c r="AL394" s="36"/>
      <c r="AM394" s="36" t="s">
        <v>141</v>
      </c>
      <c r="AN394" s="36"/>
      <c r="AO394" s="36"/>
      <c r="AP394" s="36"/>
      <c r="AQ394" s="36"/>
      <c r="AR394" s="36"/>
      <c r="AS394" s="36"/>
      <c r="AT394" s="36"/>
      <c r="AU394" s="36"/>
      <c r="AV394" s="36"/>
      <c r="AW394" s="117"/>
      <c r="AX394" s="117" t="s">
        <v>141</v>
      </c>
      <c r="AY394" s="36"/>
      <c r="AZ394" s="36" t="s">
        <v>141</v>
      </c>
      <c r="BA394" s="117"/>
      <c r="BB394" s="117" t="s">
        <v>141</v>
      </c>
      <c r="BC394" s="117"/>
      <c r="BD394" s="117"/>
      <c r="BE394" s="117"/>
      <c r="BF394" s="117" t="s">
        <v>141</v>
      </c>
      <c r="BG394" s="117"/>
      <c r="BH394" s="117"/>
      <c r="BI394" s="117"/>
      <c r="BJ394" s="117"/>
      <c r="BK394" s="117"/>
      <c r="BL394" s="117"/>
      <c r="BM394" s="117">
        <f t="shared" si="66"/>
        <v>10</v>
      </c>
      <c r="BN394" s="117">
        <f t="shared" si="67"/>
        <v>3</v>
      </c>
      <c r="BO394" s="117">
        <f t="shared" si="68"/>
        <v>3</v>
      </c>
      <c r="BP394" s="153">
        <f t="shared" si="69"/>
        <v>6</v>
      </c>
      <c r="BQ394" s="74" t="s">
        <v>840</v>
      </c>
      <c r="BR394" s="74"/>
    </row>
    <row r="395" spans="1:70" hidden="1">
      <c r="A395">
        <v>381</v>
      </c>
      <c r="B395" s="75">
        <v>45870.081493055557</v>
      </c>
      <c r="E395" s="7">
        <v>45870</v>
      </c>
      <c r="F395">
        <v>936</v>
      </c>
      <c r="I395" s="10" t="s">
        <v>1519</v>
      </c>
      <c r="J395" s="69">
        <v>45870</v>
      </c>
      <c r="K395" s="97">
        <f t="shared" si="70"/>
        <v>8</v>
      </c>
      <c r="L395" s="97">
        <v>393</v>
      </c>
      <c r="O395" s="7" t="s">
        <v>197</v>
      </c>
      <c r="T395" t="s">
        <v>1520</v>
      </c>
      <c r="X395" s="36" t="s">
        <v>141</v>
      </c>
      <c r="Y395" s="36" t="s">
        <v>141</v>
      </c>
      <c r="Z395" s="36"/>
      <c r="AA395" s="36" t="s">
        <v>141</v>
      </c>
      <c r="AB395" s="36"/>
      <c r="AC395" s="36"/>
      <c r="AD395" s="36"/>
      <c r="AE395" s="36"/>
      <c r="AF395" s="36"/>
      <c r="AG395" s="36"/>
      <c r="AH395" s="36" t="s">
        <v>141</v>
      </c>
      <c r="AI395" s="36"/>
      <c r="AJ395" s="36" t="s">
        <v>141</v>
      </c>
      <c r="AK395" s="117"/>
      <c r="AL395" s="36" t="s">
        <v>141</v>
      </c>
      <c r="AM395" s="36" t="s">
        <v>141</v>
      </c>
      <c r="AN395" s="36"/>
      <c r="AO395" s="36"/>
      <c r="AP395" s="36"/>
      <c r="AQ395" s="36"/>
      <c r="AR395" s="36"/>
      <c r="AS395" s="36"/>
      <c r="AT395" s="36"/>
      <c r="AU395" s="36"/>
      <c r="AV395" s="36"/>
      <c r="AW395" s="117"/>
      <c r="AX395" s="117" t="s">
        <v>141</v>
      </c>
      <c r="AY395" s="36"/>
      <c r="AZ395" s="36" t="s">
        <v>141</v>
      </c>
      <c r="BA395" s="117"/>
      <c r="BB395" s="117"/>
      <c r="BC395" s="117"/>
      <c r="BD395" s="117"/>
      <c r="BE395" s="117"/>
      <c r="BF395" s="117" t="s">
        <v>141</v>
      </c>
      <c r="BG395" s="117"/>
      <c r="BH395" s="117"/>
      <c r="BI395" s="117"/>
      <c r="BJ395" s="117"/>
      <c r="BK395" s="117"/>
      <c r="BL395" s="117"/>
      <c r="BM395" s="117">
        <f t="shared" si="66"/>
        <v>10</v>
      </c>
      <c r="BN395" s="117">
        <f t="shared" si="67"/>
        <v>2</v>
      </c>
      <c r="BO395" s="117">
        <f t="shared" si="68"/>
        <v>3</v>
      </c>
      <c r="BP395" s="153">
        <f t="shared" si="69"/>
        <v>6</v>
      </c>
      <c r="BQ395" s="74" t="s">
        <v>771</v>
      </c>
      <c r="BR395" s="74"/>
    </row>
    <row r="396" spans="1:70" hidden="1">
      <c r="A396">
        <v>382</v>
      </c>
      <c r="B396" s="75">
        <v>45870.52753472222</v>
      </c>
      <c r="E396" s="7">
        <v>45871</v>
      </c>
      <c r="F396">
        <v>937</v>
      </c>
      <c r="I396" s="10" t="s">
        <v>1521</v>
      </c>
      <c r="J396" s="69">
        <v>45871</v>
      </c>
      <c r="K396" s="97">
        <f t="shared" si="70"/>
        <v>8</v>
      </c>
      <c r="L396" s="97">
        <v>394</v>
      </c>
      <c r="O396" s="7" t="s">
        <v>156</v>
      </c>
      <c r="T396" t="s">
        <v>1522</v>
      </c>
      <c r="X396" s="36" t="s">
        <v>141</v>
      </c>
      <c r="Y396" s="36"/>
      <c r="Z396" s="36"/>
      <c r="AA396" s="36"/>
      <c r="AB396" s="36"/>
      <c r="AC396" s="36"/>
      <c r="AD396" s="36"/>
      <c r="AE396" s="36" t="s">
        <v>141</v>
      </c>
      <c r="AF396" s="36"/>
      <c r="AG396" s="36"/>
      <c r="AH396" s="36" t="s">
        <v>141</v>
      </c>
      <c r="AI396" s="36"/>
      <c r="AJ396" s="36" t="s">
        <v>141</v>
      </c>
      <c r="AK396" s="117" t="s">
        <v>141</v>
      </c>
      <c r="AL396" s="36" t="s">
        <v>141</v>
      </c>
      <c r="AM396" s="36"/>
      <c r="AN396" s="36"/>
      <c r="AO396" s="36" t="s">
        <v>141</v>
      </c>
      <c r="AP396" s="36"/>
      <c r="AQ396" s="36"/>
      <c r="AR396" s="36"/>
      <c r="AS396" s="36" t="s">
        <v>141</v>
      </c>
      <c r="AT396" s="36"/>
      <c r="AU396" s="36"/>
      <c r="AV396" s="36"/>
      <c r="AW396" s="117"/>
      <c r="AX396" s="117"/>
      <c r="AY396" s="36"/>
      <c r="AZ396" s="36"/>
      <c r="BA396" s="117"/>
      <c r="BB396" s="117"/>
      <c r="BC396" s="117"/>
      <c r="BD396" s="117"/>
      <c r="BE396" s="117" t="s">
        <v>141</v>
      </c>
      <c r="BF396" s="117"/>
      <c r="BG396" s="117"/>
      <c r="BH396" s="117"/>
      <c r="BI396" s="117"/>
      <c r="BJ396" s="117"/>
      <c r="BK396" s="117"/>
      <c r="BL396" s="117"/>
      <c r="BM396" s="117">
        <f t="shared" si="66"/>
        <v>9</v>
      </c>
      <c r="BN396" s="117">
        <f t="shared" si="67"/>
        <v>3</v>
      </c>
      <c r="BO396" s="117">
        <f t="shared" si="68"/>
        <v>1</v>
      </c>
      <c r="BP396" s="153">
        <f t="shared" si="69"/>
        <v>7</v>
      </c>
      <c r="BQ396" s="74" t="s">
        <v>152</v>
      </c>
      <c r="BR396" s="74"/>
    </row>
    <row r="397" spans="1:70" hidden="1">
      <c r="A397">
        <v>383</v>
      </c>
      <c r="B397" s="75">
        <v>45871.652060185188</v>
      </c>
      <c r="E397" s="7">
        <v>45872</v>
      </c>
      <c r="F397">
        <v>938</v>
      </c>
      <c r="I397" s="10" t="s">
        <v>1523</v>
      </c>
      <c r="J397" s="69">
        <v>45872</v>
      </c>
      <c r="K397" s="97">
        <f t="shared" ref="K397:K410" si="71">MONTH($J397)</f>
        <v>8</v>
      </c>
      <c r="L397" s="97">
        <v>395</v>
      </c>
      <c r="O397" s="7" t="s">
        <v>197</v>
      </c>
      <c r="T397" t="s">
        <v>1524</v>
      </c>
      <c r="X397" s="36"/>
      <c r="Y397" s="36" t="s">
        <v>141</v>
      </c>
      <c r="Z397" s="36"/>
      <c r="AA397" s="36" t="s">
        <v>141</v>
      </c>
      <c r="AB397" s="36"/>
      <c r="AC397" s="36"/>
      <c r="AD397" s="36"/>
      <c r="AE397" s="36"/>
      <c r="AF397" s="36"/>
      <c r="AG397" s="36"/>
      <c r="AH397" s="36"/>
      <c r="AI397" s="36"/>
      <c r="AJ397" s="36" t="s">
        <v>141</v>
      </c>
      <c r="AK397" s="117" t="s">
        <v>141</v>
      </c>
      <c r="AL397" s="36" t="s">
        <v>141</v>
      </c>
      <c r="AM397" s="36"/>
      <c r="AN397" s="36"/>
      <c r="AO397" s="36"/>
      <c r="AP397" s="36"/>
      <c r="AQ397" s="36"/>
      <c r="AR397" s="36"/>
      <c r="AS397" s="36" t="s">
        <v>141</v>
      </c>
      <c r="AT397" s="36" t="s">
        <v>141</v>
      </c>
      <c r="AU397" s="36"/>
      <c r="AV397" s="36" t="s">
        <v>141</v>
      </c>
      <c r="AW397" s="117"/>
      <c r="AX397" s="117"/>
      <c r="AY397" s="36"/>
      <c r="AZ397" s="36"/>
      <c r="BA397" s="117"/>
      <c r="BB397" s="117"/>
      <c r="BC397" s="117"/>
      <c r="BD397" s="117"/>
      <c r="BE397" s="117"/>
      <c r="BF397" s="117"/>
      <c r="BG397" s="117"/>
      <c r="BH397" s="117"/>
      <c r="BI397" s="117"/>
      <c r="BJ397" s="117"/>
      <c r="BK397" s="117"/>
      <c r="BL397" s="117"/>
      <c r="BM397" s="117">
        <f t="shared" si="66"/>
        <v>8</v>
      </c>
      <c r="BN397" s="117">
        <f t="shared" si="67"/>
        <v>3</v>
      </c>
      <c r="BO397" s="117">
        <f t="shared" si="68"/>
        <v>2</v>
      </c>
      <c r="BP397" s="153">
        <f t="shared" si="69"/>
        <v>6</v>
      </c>
      <c r="BQ397" s="74" t="s">
        <v>178</v>
      </c>
      <c r="BR397" s="74"/>
    </row>
    <row r="398" spans="1:70" hidden="1">
      <c r="A398">
        <v>384</v>
      </c>
      <c r="B398" s="75">
        <v>45872.223807870374</v>
      </c>
      <c r="E398" s="7">
        <v>45872</v>
      </c>
      <c r="F398">
        <v>939</v>
      </c>
      <c r="I398" s="10" t="s">
        <v>1525</v>
      </c>
      <c r="J398" s="69">
        <v>45872</v>
      </c>
      <c r="K398" s="97">
        <f t="shared" si="71"/>
        <v>8</v>
      </c>
      <c r="L398" s="97">
        <v>396</v>
      </c>
      <c r="O398" s="7" t="s">
        <v>1526</v>
      </c>
      <c r="T398" t="s">
        <v>1527</v>
      </c>
      <c r="X398" s="36"/>
      <c r="Y398" s="36" t="s">
        <v>141</v>
      </c>
      <c r="Z398" s="36"/>
      <c r="AA398" s="36" t="s">
        <v>141</v>
      </c>
      <c r="AB398" s="36"/>
      <c r="AC398" s="36"/>
      <c r="AD398" s="36"/>
      <c r="AE398" s="36"/>
      <c r="AF398" s="36"/>
      <c r="AG398" s="36" t="s">
        <v>141</v>
      </c>
      <c r="AH398" s="36"/>
      <c r="AI398" s="36"/>
      <c r="AJ398" s="36"/>
      <c r="AK398" s="117" t="s">
        <v>141</v>
      </c>
      <c r="AL398" s="36" t="s">
        <v>141</v>
      </c>
      <c r="AM398" s="36"/>
      <c r="AN398" s="36"/>
      <c r="AO398" s="36"/>
      <c r="AP398" s="36"/>
      <c r="AQ398" s="36"/>
      <c r="AR398" s="36"/>
      <c r="AS398" s="36" t="s">
        <v>141</v>
      </c>
      <c r="AT398" s="36" t="s">
        <v>141</v>
      </c>
      <c r="AU398" s="36"/>
      <c r="AV398" s="36"/>
      <c r="AW398" s="117"/>
      <c r="AX398" s="117" t="s">
        <v>141</v>
      </c>
      <c r="AY398" s="36" t="s">
        <v>141</v>
      </c>
      <c r="AZ398" s="36"/>
      <c r="BA398" s="117" t="s">
        <v>141</v>
      </c>
      <c r="BB398" s="117"/>
      <c r="BC398" s="117" t="s">
        <v>141</v>
      </c>
      <c r="BD398" s="117"/>
      <c r="BE398" s="117" t="s">
        <v>141</v>
      </c>
      <c r="BF398" s="117" t="s">
        <v>141</v>
      </c>
      <c r="BG398" s="117"/>
      <c r="BH398" s="117"/>
      <c r="BI398" s="117"/>
      <c r="BJ398" s="117"/>
      <c r="BK398" s="117"/>
      <c r="BL398" s="117"/>
      <c r="BM398" s="117">
        <f t="shared" si="66"/>
        <v>13</v>
      </c>
      <c r="BN398" s="117">
        <f t="shared" si="67"/>
        <v>3</v>
      </c>
      <c r="BO398" s="117">
        <f t="shared" si="68"/>
        <v>2</v>
      </c>
      <c r="BP398" s="153">
        <f t="shared" si="69"/>
        <v>9</v>
      </c>
      <c r="BQ398" s="74" t="s">
        <v>201</v>
      </c>
      <c r="BR398" s="74"/>
    </row>
    <row r="399" spans="1:70" hidden="1">
      <c r="A399">
        <v>385</v>
      </c>
      <c r="B399" s="75">
        <v>45872.587858796294</v>
      </c>
      <c r="E399" s="7">
        <v>45873</v>
      </c>
      <c r="F399">
        <v>940</v>
      </c>
      <c r="I399" s="10" t="s">
        <v>1528</v>
      </c>
      <c r="J399" s="69">
        <v>45873</v>
      </c>
      <c r="K399" s="97">
        <f t="shared" si="71"/>
        <v>8</v>
      </c>
      <c r="L399" s="97">
        <v>397</v>
      </c>
      <c r="O399" s="7" t="s">
        <v>1529</v>
      </c>
      <c r="T399" t="s">
        <v>1530</v>
      </c>
      <c r="X399" s="36"/>
      <c r="Y399" s="36"/>
      <c r="Z399" s="36"/>
      <c r="AA399" s="36" t="s">
        <v>141</v>
      </c>
      <c r="AB399" s="36"/>
      <c r="AC399" s="36"/>
      <c r="AD399" s="36"/>
      <c r="AE399" s="36" t="s">
        <v>141</v>
      </c>
      <c r="AF399" s="36"/>
      <c r="AG399" s="36" t="s">
        <v>141</v>
      </c>
      <c r="AH399" s="36" t="s">
        <v>141</v>
      </c>
      <c r="AI399" s="36"/>
      <c r="AJ399" s="36"/>
      <c r="AK399" s="117" t="s">
        <v>141</v>
      </c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 t="s">
        <v>141</v>
      </c>
      <c r="AW399" s="117"/>
      <c r="AX399" s="117"/>
      <c r="AY399" s="36"/>
      <c r="AZ399" s="36"/>
      <c r="BA399" s="117" t="s">
        <v>141</v>
      </c>
      <c r="BB399" s="117"/>
      <c r="BC399" s="117"/>
      <c r="BD399" s="117"/>
      <c r="BE399" s="117"/>
      <c r="BF399" s="117" t="s">
        <v>141</v>
      </c>
      <c r="BG399" s="117"/>
      <c r="BH399" s="117"/>
      <c r="BI399" s="117"/>
      <c r="BJ399" s="117"/>
      <c r="BK399" s="117"/>
      <c r="BL399" s="117"/>
      <c r="BM399" s="117">
        <f t="shared" si="66"/>
        <v>8</v>
      </c>
      <c r="BN399" s="117">
        <f t="shared" si="67"/>
        <v>2</v>
      </c>
      <c r="BO399" s="117">
        <f t="shared" si="68"/>
        <v>1</v>
      </c>
      <c r="BP399" s="153">
        <f t="shared" si="69"/>
        <v>6</v>
      </c>
      <c r="BQ399" s="74" t="s">
        <v>525</v>
      </c>
      <c r="BR399" s="74"/>
    </row>
    <row r="400" spans="1:70" hidden="1">
      <c r="A400">
        <v>386</v>
      </c>
      <c r="B400" s="75">
        <v>45873.668946759259</v>
      </c>
      <c r="E400" s="7">
        <v>45874</v>
      </c>
      <c r="F400">
        <v>941</v>
      </c>
      <c r="I400" s="10" t="s">
        <v>1531</v>
      </c>
      <c r="J400" s="69">
        <v>45874</v>
      </c>
      <c r="K400" s="97">
        <f t="shared" si="71"/>
        <v>8</v>
      </c>
      <c r="L400" s="97">
        <v>398</v>
      </c>
      <c r="O400" s="7" t="s">
        <v>197</v>
      </c>
      <c r="T400" t="s">
        <v>1532</v>
      </c>
      <c r="X400" s="36"/>
      <c r="Y400" s="36" t="s">
        <v>141</v>
      </c>
      <c r="Z400" s="36" t="s">
        <v>141</v>
      </c>
      <c r="AA400" s="36"/>
      <c r="AB400" s="36"/>
      <c r="AC400" s="36"/>
      <c r="AD400" s="36"/>
      <c r="AE400" s="36"/>
      <c r="AF400" s="36"/>
      <c r="AG400" s="36"/>
      <c r="AH400" s="36" t="s">
        <v>141</v>
      </c>
      <c r="AI400" s="36"/>
      <c r="AJ400" s="36"/>
      <c r="AK400" s="117" t="s">
        <v>141</v>
      </c>
      <c r="AL400" s="36" t="s">
        <v>141</v>
      </c>
      <c r="AM400" s="36"/>
      <c r="AN400" s="36"/>
      <c r="AO400" s="36"/>
      <c r="AP400" s="36"/>
      <c r="AQ400" s="36"/>
      <c r="AR400" s="36"/>
      <c r="AS400" s="36" t="s">
        <v>141</v>
      </c>
      <c r="AT400" s="36"/>
      <c r="AU400" s="36"/>
      <c r="AV400" s="36" t="s">
        <v>141</v>
      </c>
      <c r="AW400" s="117"/>
      <c r="AX400" s="117"/>
      <c r="AY400" s="36"/>
      <c r="AZ400" s="36"/>
      <c r="BA400" s="117"/>
      <c r="BB400" s="117" t="s">
        <v>141</v>
      </c>
      <c r="BC400" s="117"/>
      <c r="BD400" s="117"/>
      <c r="BE400" s="117"/>
      <c r="BF400" s="117" t="s">
        <v>141</v>
      </c>
      <c r="BG400" s="117"/>
      <c r="BH400" s="117"/>
      <c r="BI400" s="117"/>
      <c r="BJ400" s="117"/>
      <c r="BK400" s="117"/>
      <c r="BL400" s="117"/>
      <c r="BM400" s="117">
        <f t="shared" si="66"/>
        <v>9</v>
      </c>
      <c r="BN400" s="117">
        <f t="shared" si="67"/>
        <v>2</v>
      </c>
      <c r="BO400" s="117">
        <f t="shared" si="68"/>
        <v>2</v>
      </c>
      <c r="BP400" s="153">
        <f t="shared" si="69"/>
        <v>6</v>
      </c>
      <c r="BQ400" s="74" t="s">
        <v>502</v>
      </c>
      <c r="BR400" s="74"/>
    </row>
    <row r="401" spans="1:70" hidden="1">
      <c r="A401">
        <v>387</v>
      </c>
      <c r="B401" s="75">
        <v>45874.197546296295</v>
      </c>
      <c r="E401" s="7">
        <v>45874</v>
      </c>
      <c r="F401">
        <v>942</v>
      </c>
      <c r="I401" s="10" t="s">
        <v>1533</v>
      </c>
      <c r="J401" s="69">
        <v>45874</v>
      </c>
      <c r="K401" s="97">
        <f t="shared" si="71"/>
        <v>8</v>
      </c>
      <c r="L401" s="97">
        <v>399</v>
      </c>
      <c r="O401" s="7" t="s">
        <v>146</v>
      </c>
      <c r="T401" t="s">
        <v>1534</v>
      </c>
      <c r="X401" s="36" t="s">
        <v>141</v>
      </c>
      <c r="Y401" s="36" t="s">
        <v>141</v>
      </c>
      <c r="Z401" s="36"/>
      <c r="AA401" s="36"/>
      <c r="AB401" s="36"/>
      <c r="AC401" s="36"/>
      <c r="AD401" s="36" t="s">
        <v>141</v>
      </c>
      <c r="AE401" s="36"/>
      <c r="AF401" s="36"/>
      <c r="AG401" s="36"/>
      <c r="AH401" s="36" t="s">
        <v>141</v>
      </c>
      <c r="AI401" s="36" t="s">
        <v>141</v>
      </c>
      <c r="AJ401" s="36" t="s">
        <v>141</v>
      </c>
      <c r="AK401" s="117" t="s">
        <v>141</v>
      </c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 t="s">
        <v>141</v>
      </c>
      <c r="AW401" s="117"/>
      <c r="AX401" s="117"/>
      <c r="AY401" s="36"/>
      <c r="AZ401" s="36"/>
      <c r="BA401" s="117"/>
      <c r="BB401" s="117"/>
      <c r="BC401" s="117"/>
      <c r="BD401" s="117"/>
      <c r="BE401" s="117" t="s">
        <v>141</v>
      </c>
      <c r="BF401" s="117" t="s">
        <v>141</v>
      </c>
      <c r="BG401" s="117"/>
      <c r="BH401" s="117"/>
      <c r="BI401" s="117"/>
      <c r="BJ401" s="117"/>
      <c r="BK401" s="117"/>
      <c r="BL401" s="117"/>
      <c r="BM401" s="117">
        <f t="shared" si="66"/>
        <v>10</v>
      </c>
      <c r="BN401" s="117">
        <f t="shared" si="67"/>
        <v>2</v>
      </c>
      <c r="BO401" s="117">
        <f t="shared" si="68"/>
        <v>3</v>
      </c>
      <c r="BP401" s="153">
        <f t="shared" si="69"/>
        <v>5</v>
      </c>
      <c r="BQ401" s="74" t="s">
        <v>502</v>
      </c>
      <c r="BR401" s="74"/>
    </row>
    <row r="402" spans="1:70" hidden="1">
      <c r="A402">
        <v>388</v>
      </c>
      <c r="B402" s="75">
        <v>45874.363009259258</v>
      </c>
      <c r="E402" s="7">
        <v>45874</v>
      </c>
      <c r="F402">
        <v>943</v>
      </c>
      <c r="I402" s="10" t="s">
        <v>1535</v>
      </c>
      <c r="J402" s="69">
        <v>45874</v>
      </c>
      <c r="K402" s="97">
        <f t="shared" si="71"/>
        <v>8</v>
      </c>
      <c r="L402" s="97">
        <v>400</v>
      </c>
      <c r="O402" s="7" t="s">
        <v>234</v>
      </c>
      <c r="T402" t="s">
        <v>1536</v>
      </c>
      <c r="X402" s="36"/>
      <c r="Y402" s="36" t="s">
        <v>141</v>
      </c>
      <c r="Z402" s="36" t="s">
        <v>141</v>
      </c>
      <c r="AA402" s="36" t="s">
        <v>141</v>
      </c>
      <c r="AB402" s="36"/>
      <c r="AC402" s="36"/>
      <c r="AD402" s="36"/>
      <c r="AE402" s="36" t="s">
        <v>141</v>
      </c>
      <c r="AF402" s="36"/>
      <c r="AG402" s="36"/>
      <c r="AH402" s="36" t="s">
        <v>141</v>
      </c>
      <c r="AI402" s="36" t="s">
        <v>141</v>
      </c>
      <c r="AJ402" s="36" t="s">
        <v>141</v>
      </c>
      <c r="AK402" s="117" t="s">
        <v>141</v>
      </c>
      <c r="AL402" s="36"/>
      <c r="AM402" s="36"/>
      <c r="AN402" s="36"/>
      <c r="AO402" s="36"/>
      <c r="AP402" s="36" t="s">
        <v>141</v>
      </c>
      <c r="AQ402" s="36"/>
      <c r="AR402" s="36"/>
      <c r="AS402" s="36" t="s">
        <v>141</v>
      </c>
      <c r="AT402" s="36"/>
      <c r="AU402" s="36"/>
      <c r="AV402" s="36" t="s">
        <v>141</v>
      </c>
      <c r="AW402" s="117"/>
      <c r="AX402" s="117"/>
      <c r="AY402" s="36" t="s">
        <v>141</v>
      </c>
      <c r="AZ402" s="36" t="s">
        <v>141</v>
      </c>
      <c r="BA402" s="117"/>
      <c r="BB402" s="117"/>
      <c r="BC402" s="117"/>
      <c r="BD402" s="117"/>
      <c r="BE402" s="117" t="s">
        <v>141</v>
      </c>
      <c r="BF402" s="117"/>
      <c r="BG402" s="117"/>
      <c r="BH402" s="117"/>
      <c r="BI402" s="117"/>
      <c r="BJ402" s="117"/>
      <c r="BK402" s="117"/>
      <c r="BL402" s="117"/>
      <c r="BM402" s="117">
        <f t="shared" si="66"/>
        <v>14</v>
      </c>
      <c r="BN402" s="117">
        <f t="shared" si="67"/>
        <v>3</v>
      </c>
      <c r="BO402" s="117">
        <f t="shared" si="68"/>
        <v>3</v>
      </c>
      <c r="BP402" s="153">
        <f t="shared" si="69"/>
        <v>10</v>
      </c>
      <c r="BQ402" s="74" t="s">
        <v>627</v>
      </c>
      <c r="BR402" s="74"/>
    </row>
    <row r="403" spans="1:70" hidden="1">
      <c r="A403">
        <v>389</v>
      </c>
      <c r="B403" s="75">
        <v>45877.02952546296</v>
      </c>
      <c r="E403" s="7">
        <v>45877</v>
      </c>
      <c r="F403">
        <v>944</v>
      </c>
      <c r="I403" s="10" t="s">
        <v>1537</v>
      </c>
      <c r="J403" s="69">
        <v>45877</v>
      </c>
      <c r="K403" s="97">
        <f t="shared" si="71"/>
        <v>8</v>
      </c>
      <c r="L403" s="97">
        <v>401</v>
      </c>
      <c r="O403" s="7" t="s">
        <v>156</v>
      </c>
      <c r="T403" t="s">
        <v>1538</v>
      </c>
      <c r="X403" s="36" t="s">
        <v>141</v>
      </c>
      <c r="Y403" s="36" t="s">
        <v>141</v>
      </c>
      <c r="Z403" s="36"/>
      <c r="AA403" s="36" t="s">
        <v>141</v>
      </c>
      <c r="AB403" s="36"/>
      <c r="AC403" s="36"/>
      <c r="AD403" s="36"/>
      <c r="AE403" s="36"/>
      <c r="AF403" s="36"/>
      <c r="AG403" s="36" t="s">
        <v>141</v>
      </c>
      <c r="AH403" s="36"/>
      <c r="AI403" s="36"/>
      <c r="AJ403" s="36" t="s">
        <v>141</v>
      </c>
      <c r="AK403" s="117" t="s">
        <v>141</v>
      </c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117"/>
      <c r="AX403" s="117"/>
      <c r="AY403" s="36" t="s">
        <v>141</v>
      </c>
      <c r="AZ403" s="36" t="s">
        <v>141</v>
      </c>
      <c r="BA403" s="117"/>
      <c r="BB403" s="117"/>
      <c r="BC403" s="117"/>
      <c r="BD403" s="117"/>
      <c r="BE403" s="117"/>
      <c r="BF403" s="117" t="s">
        <v>141</v>
      </c>
      <c r="BG403" s="117"/>
      <c r="BH403" s="117"/>
      <c r="BI403" s="117"/>
      <c r="BJ403" s="117"/>
      <c r="BK403" s="117"/>
      <c r="BL403" s="117"/>
      <c r="BM403" s="117">
        <f t="shared" si="66"/>
        <v>9</v>
      </c>
      <c r="BN403" s="117">
        <f t="shared" si="67"/>
        <v>3</v>
      </c>
      <c r="BO403" s="117">
        <f t="shared" si="68"/>
        <v>3</v>
      </c>
      <c r="BP403" s="153">
        <f t="shared" si="69"/>
        <v>5</v>
      </c>
      <c r="BQ403" s="74" t="s">
        <v>308</v>
      </c>
      <c r="BR403" s="74"/>
    </row>
    <row r="404" spans="1:70" hidden="1">
      <c r="A404">
        <v>390</v>
      </c>
      <c r="B404" s="75">
        <v>45878.572453703702</v>
      </c>
      <c r="E404" s="7">
        <v>45879</v>
      </c>
      <c r="F404">
        <v>945</v>
      </c>
      <c r="I404" s="10" t="s">
        <v>1539</v>
      </c>
      <c r="J404" s="69">
        <v>45879</v>
      </c>
      <c r="K404" s="97">
        <f t="shared" si="71"/>
        <v>8</v>
      </c>
      <c r="L404" s="97">
        <v>402</v>
      </c>
      <c r="O404" s="7" t="s">
        <v>156</v>
      </c>
      <c r="T404" t="s">
        <v>1540</v>
      </c>
      <c r="X404" s="36" t="s">
        <v>141</v>
      </c>
      <c r="Y404" s="36"/>
      <c r="Z404" s="36" t="s">
        <v>141</v>
      </c>
      <c r="AA404" s="36"/>
      <c r="AB404" s="36"/>
      <c r="AC404" s="36"/>
      <c r="AD404" s="36"/>
      <c r="AE404" s="36" t="s">
        <v>141</v>
      </c>
      <c r="AF404" s="36"/>
      <c r="AG404" s="36" t="s">
        <v>141</v>
      </c>
      <c r="AH404" s="36"/>
      <c r="AI404" s="36" t="s">
        <v>141</v>
      </c>
      <c r="AJ404" s="36"/>
      <c r="AK404" s="117"/>
      <c r="AL404" s="36" t="s">
        <v>141</v>
      </c>
      <c r="AM404" s="36"/>
      <c r="AN404" s="36"/>
      <c r="AO404" s="36"/>
      <c r="AP404" s="36"/>
      <c r="AQ404" s="36"/>
      <c r="AR404" s="36"/>
      <c r="AS404" s="36"/>
      <c r="AT404" s="36" t="s">
        <v>141</v>
      </c>
      <c r="AU404" s="36"/>
      <c r="AV404" s="36" t="s">
        <v>141</v>
      </c>
      <c r="AW404" s="117"/>
      <c r="AX404" s="117"/>
      <c r="AY404" s="36"/>
      <c r="AZ404" s="36"/>
      <c r="BA404" s="117" t="s">
        <v>141</v>
      </c>
      <c r="BB404" s="117"/>
      <c r="BC404" s="117" t="s">
        <v>141</v>
      </c>
      <c r="BD404" s="117"/>
      <c r="BE404" s="117"/>
      <c r="BF404" s="117"/>
      <c r="BG404" s="117"/>
      <c r="BH404" s="117"/>
      <c r="BI404" s="117"/>
      <c r="BJ404" s="117"/>
      <c r="BK404" s="117"/>
      <c r="BL404" s="117"/>
      <c r="BM404" s="117">
        <f t="shared" si="66"/>
        <v>10</v>
      </c>
      <c r="BN404" s="117">
        <f t="shared" si="67"/>
        <v>1</v>
      </c>
      <c r="BO404" s="117">
        <f t="shared" si="68"/>
        <v>2</v>
      </c>
      <c r="BP404" s="153">
        <f t="shared" si="69"/>
        <v>8</v>
      </c>
      <c r="BQ404" s="74" t="s">
        <v>532</v>
      </c>
      <c r="BR404" s="74"/>
    </row>
    <row r="405" spans="1:70" hidden="1">
      <c r="A405">
        <v>391</v>
      </c>
      <c r="B405" s="75">
        <v>45879.067361111112</v>
      </c>
      <c r="E405" s="7">
        <v>45879</v>
      </c>
      <c r="F405">
        <v>946</v>
      </c>
      <c r="I405" s="10" t="s">
        <v>1541</v>
      </c>
      <c r="J405" s="69">
        <v>45879</v>
      </c>
      <c r="K405" s="97">
        <f t="shared" si="71"/>
        <v>8</v>
      </c>
      <c r="L405" s="97">
        <v>403</v>
      </c>
      <c r="O405" s="7" t="s">
        <v>156</v>
      </c>
      <c r="T405" t="s">
        <v>1542</v>
      </c>
      <c r="X405" s="36"/>
      <c r="Y405" s="36" t="s">
        <v>141</v>
      </c>
      <c r="Z405" s="36" t="s">
        <v>141</v>
      </c>
      <c r="AA405" s="36"/>
      <c r="AB405" s="36"/>
      <c r="AC405" s="36"/>
      <c r="AD405" s="36"/>
      <c r="AE405" s="36" t="s">
        <v>141</v>
      </c>
      <c r="AF405" s="36"/>
      <c r="AG405" s="36" t="s">
        <v>141</v>
      </c>
      <c r="AH405" s="36" t="s">
        <v>141</v>
      </c>
      <c r="AI405" s="36"/>
      <c r="AJ405" s="36" t="s">
        <v>141</v>
      </c>
      <c r="AK405" s="117"/>
      <c r="AL405" s="36"/>
      <c r="AM405" s="36"/>
      <c r="AN405" s="36" t="s">
        <v>141</v>
      </c>
      <c r="AO405" s="36" t="s">
        <v>141</v>
      </c>
      <c r="AP405" s="36"/>
      <c r="AQ405" s="36"/>
      <c r="AR405" s="36" t="s">
        <v>141</v>
      </c>
      <c r="AS405" s="36"/>
      <c r="AT405" s="36" t="s">
        <v>141</v>
      </c>
      <c r="AU405" s="36"/>
      <c r="AV405" s="36"/>
      <c r="AW405" s="117"/>
      <c r="AX405" s="117" t="s">
        <v>141</v>
      </c>
      <c r="AY405" s="36"/>
      <c r="AZ405" s="36"/>
      <c r="BA405" s="117"/>
      <c r="BB405" s="117"/>
      <c r="BC405" s="117"/>
      <c r="BD405" s="117"/>
      <c r="BE405" s="117"/>
      <c r="BF405" s="117" t="s">
        <v>141</v>
      </c>
      <c r="BG405" s="117"/>
      <c r="BH405" s="117"/>
      <c r="BI405" s="117"/>
      <c r="BJ405" s="117"/>
      <c r="BK405" s="117"/>
      <c r="BL405" s="117"/>
      <c r="BM405" s="117">
        <f t="shared" si="66"/>
        <v>12</v>
      </c>
      <c r="BN405" s="117">
        <f t="shared" si="67"/>
        <v>4</v>
      </c>
      <c r="BO405" s="117">
        <f t="shared" si="68"/>
        <v>2</v>
      </c>
      <c r="BP405" s="153">
        <f t="shared" si="69"/>
        <v>9</v>
      </c>
      <c r="BQ405" s="74" t="s">
        <v>627</v>
      </c>
      <c r="BR405" s="74"/>
    </row>
    <row r="406" spans="1:70" hidden="1">
      <c r="A406">
        <v>392</v>
      </c>
      <c r="B406" s="75">
        <v>45879.127835648149</v>
      </c>
      <c r="E406" s="7">
        <v>45879</v>
      </c>
      <c r="F406">
        <v>947</v>
      </c>
      <c r="I406" s="10" t="s">
        <v>1543</v>
      </c>
      <c r="J406" s="69">
        <v>45879</v>
      </c>
      <c r="K406" s="97">
        <f t="shared" si="71"/>
        <v>8</v>
      </c>
      <c r="L406" s="97">
        <v>404</v>
      </c>
      <c r="O406" s="7" t="s">
        <v>645</v>
      </c>
      <c r="T406" t="s">
        <v>1544</v>
      </c>
      <c r="X406" s="36"/>
      <c r="Y406" s="36" t="s">
        <v>141</v>
      </c>
      <c r="Z406" s="36" t="s">
        <v>141</v>
      </c>
      <c r="AA406" s="36" t="s">
        <v>141</v>
      </c>
      <c r="AB406" s="36"/>
      <c r="AC406" s="36"/>
      <c r="AD406" s="36"/>
      <c r="AE406" s="36"/>
      <c r="AF406" s="36"/>
      <c r="AG406" s="36"/>
      <c r="AH406" s="36" t="s">
        <v>141</v>
      </c>
      <c r="AI406" s="36"/>
      <c r="AJ406" s="36" t="s">
        <v>141</v>
      </c>
      <c r="AK406" s="117" t="s">
        <v>141</v>
      </c>
      <c r="AL406" s="36"/>
      <c r="AM406" s="36"/>
      <c r="AN406" s="36"/>
      <c r="AO406" s="36"/>
      <c r="AP406" s="36" t="s">
        <v>141</v>
      </c>
      <c r="AQ406" s="36"/>
      <c r="AR406" s="36"/>
      <c r="AS406" s="36"/>
      <c r="AT406" s="36"/>
      <c r="AU406" s="36"/>
      <c r="AV406" s="36"/>
      <c r="AW406" s="117"/>
      <c r="AX406" s="117" t="s">
        <v>141</v>
      </c>
      <c r="AY406" s="36" t="s">
        <v>141</v>
      </c>
      <c r="AZ406" s="36"/>
      <c r="BA406" s="117"/>
      <c r="BB406" s="117"/>
      <c r="BC406" s="117"/>
      <c r="BD406" s="117"/>
      <c r="BE406" s="117"/>
      <c r="BF406" s="117" t="s">
        <v>141</v>
      </c>
      <c r="BG406" s="117"/>
      <c r="BH406" s="117"/>
      <c r="BI406" s="117"/>
      <c r="BJ406" s="117"/>
      <c r="BK406" s="117"/>
      <c r="BL406" s="117"/>
      <c r="BM406" s="117">
        <f t="shared" si="66"/>
        <v>10</v>
      </c>
      <c r="BN406" s="117">
        <f t="shared" si="67"/>
        <v>2</v>
      </c>
      <c r="BO406" s="117">
        <f t="shared" si="68"/>
        <v>3</v>
      </c>
      <c r="BP406" s="153">
        <f t="shared" si="69"/>
        <v>6</v>
      </c>
      <c r="BQ406" s="74" t="s">
        <v>1545</v>
      </c>
      <c r="BR406" s="74"/>
    </row>
    <row r="407" spans="1:70" hidden="1">
      <c r="A407">
        <v>393</v>
      </c>
      <c r="B407" s="75">
        <v>45879.221354166664</v>
      </c>
      <c r="E407" s="7">
        <v>45879</v>
      </c>
      <c r="F407">
        <v>948</v>
      </c>
      <c r="I407" s="10" t="s">
        <v>1546</v>
      </c>
      <c r="J407" s="69">
        <v>45879</v>
      </c>
      <c r="K407" s="97">
        <f t="shared" si="71"/>
        <v>8</v>
      </c>
      <c r="L407" s="97">
        <v>405</v>
      </c>
      <c r="O407" s="7" t="s">
        <v>134</v>
      </c>
      <c r="T407" t="s">
        <v>1547</v>
      </c>
      <c r="X407" s="36"/>
      <c r="Y407" s="36" t="s">
        <v>141</v>
      </c>
      <c r="Z407" s="36"/>
      <c r="AA407" s="36" t="s">
        <v>141</v>
      </c>
      <c r="AB407" s="36"/>
      <c r="AC407" s="36"/>
      <c r="AD407" s="36"/>
      <c r="AE407" s="36"/>
      <c r="AF407" s="36"/>
      <c r="AG407" s="36"/>
      <c r="AH407" s="36"/>
      <c r="AI407" s="36" t="s">
        <v>141</v>
      </c>
      <c r="AJ407" s="36" t="s">
        <v>141</v>
      </c>
      <c r="AK407" s="117" t="s">
        <v>141</v>
      </c>
      <c r="AL407" s="36" t="s">
        <v>141</v>
      </c>
      <c r="AM407" s="36"/>
      <c r="AN407" s="36"/>
      <c r="AO407" s="36" t="s">
        <v>141</v>
      </c>
      <c r="AP407" s="36" t="s">
        <v>141</v>
      </c>
      <c r="AQ407" s="36"/>
      <c r="AR407" s="36"/>
      <c r="AS407" s="36"/>
      <c r="AT407" s="36"/>
      <c r="AU407" s="36"/>
      <c r="AV407" s="36" t="s">
        <v>141</v>
      </c>
      <c r="AW407" s="117"/>
      <c r="AX407" s="117"/>
      <c r="AY407" s="36"/>
      <c r="AZ407" s="36"/>
      <c r="BA407" s="117" t="s">
        <v>141</v>
      </c>
      <c r="BB407" s="117"/>
      <c r="BC407" s="117"/>
      <c r="BD407" s="117"/>
      <c r="BE407" s="117"/>
      <c r="BF407" s="117"/>
      <c r="BG407" s="117"/>
      <c r="BH407" s="117"/>
      <c r="BI407" s="117"/>
      <c r="BJ407" s="117"/>
      <c r="BK407" s="117"/>
      <c r="BL407" s="117"/>
      <c r="BM407" s="117">
        <f t="shared" si="66"/>
        <v>10</v>
      </c>
      <c r="BN407" s="117">
        <f t="shared" si="67"/>
        <v>2</v>
      </c>
      <c r="BO407" s="117">
        <f t="shared" si="68"/>
        <v>2</v>
      </c>
      <c r="BP407" s="153">
        <f t="shared" si="69"/>
        <v>8</v>
      </c>
      <c r="BQ407" s="74" t="s">
        <v>171</v>
      </c>
      <c r="BR407" s="74"/>
    </row>
    <row r="408" spans="1:70" hidden="1">
      <c r="A408">
        <v>394</v>
      </c>
      <c r="B408" s="75">
        <v>45879.402314814812</v>
      </c>
      <c r="E408" s="7">
        <v>45879</v>
      </c>
      <c r="F408">
        <v>949</v>
      </c>
      <c r="I408" s="10" t="s">
        <v>1548</v>
      </c>
      <c r="J408" s="69">
        <v>45879</v>
      </c>
      <c r="K408" s="97">
        <f t="shared" si="71"/>
        <v>8</v>
      </c>
      <c r="L408" s="97">
        <v>406</v>
      </c>
      <c r="O408" s="7" t="s">
        <v>234</v>
      </c>
      <c r="T408" t="s">
        <v>1549</v>
      </c>
      <c r="X408" s="36"/>
      <c r="Y408" s="36" t="s">
        <v>141</v>
      </c>
      <c r="Z408" s="36" t="s">
        <v>141</v>
      </c>
      <c r="AA408" s="36" t="s">
        <v>141</v>
      </c>
      <c r="AB408" s="36"/>
      <c r="AC408" s="36"/>
      <c r="AD408" s="36"/>
      <c r="AE408" s="36" t="s">
        <v>141</v>
      </c>
      <c r="AF408" s="36"/>
      <c r="AG408" s="36"/>
      <c r="AH408" s="36"/>
      <c r="AI408" s="36"/>
      <c r="AJ408" s="36" t="s">
        <v>141</v>
      </c>
      <c r="AK408" s="117" t="s">
        <v>141</v>
      </c>
      <c r="AL408" s="36" t="s">
        <v>141</v>
      </c>
      <c r="AM408" s="36" t="s">
        <v>141</v>
      </c>
      <c r="AN408" s="36"/>
      <c r="AO408" s="36" t="s">
        <v>141</v>
      </c>
      <c r="AP408" s="36" t="s">
        <v>141</v>
      </c>
      <c r="AQ408" s="36"/>
      <c r="AR408" s="36" t="s">
        <v>141</v>
      </c>
      <c r="AS408" s="36"/>
      <c r="AT408" s="36"/>
      <c r="AU408" s="36"/>
      <c r="AV408" s="36" t="s">
        <v>141</v>
      </c>
      <c r="AW408" s="117"/>
      <c r="AX408" s="117"/>
      <c r="AY408" s="36" t="s">
        <v>141</v>
      </c>
      <c r="AZ408" s="36"/>
      <c r="BA408" s="117"/>
      <c r="BB408" s="117"/>
      <c r="BC408" s="117"/>
      <c r="BD408" s="117"/>
      <c r="BE408" s="117"/>
      <c r="BF408" s="117"/>
      <c r="BG408" s="117"/>
      <c r="BH408" s="117"/>
      <c r="BI408" s="117"/>
      <c r="BJ408" s="117"/>
      <c r="BK408" s="117"/>
      <c r="BL408" s="117"/>
      <c r="BM408" s="117">
        <f t="shared" si="66"/>
        <v>13</v>
      </c>
      <c r="BN408" s="117">
        <f t="shared" si="67"/>
        <v>4</v>
      </c>
      <c r="BO408" s="117">
        <f t="shared" si="68"/>
        <v>3</v>
      </c>
      <c r="BP408" s="153">
        <f t="shared" si="69"/>
        <v>10</v>
      </c>
      <c r="BQ408" s="74" t="s">
        <v>1279</v>
      </c>
      <c r="BR408" s="74"/>
    </row>
    <row r="409" spans="1:70" hidden="1">
      <c r="A409">
        <v>395</v>
      </c>
      <c r="B409" s="75">
        <v>45879.5544212963</v>
      </c>
      <c r="E409" s="7">
        <v>45880</v>
      </c>
      <c r="F409">
        <v>950</v>
      </c>
      <c r="I409" s="10" t="s">
        <v>1550</v>
      </c>
      <c r="J409" s="69">
        <v>45880</v>
      </c>
      <c r="K409" s="97">
        <f t="shared" si="71"/>
        <v>8</v>
      </c>
      <c r="L409" s="97">
        <v>407</v>
      </c>
      <c r="O409" s="7" t="s">
        <v>134</v>
      </c>
      <c r="T409" t="s">
        <v>1551</v>
      </c>
      <c r="X409" s="36"/>
      <c r="Y409" s="36"/>
      <c r="Z409" s="36" t="s">
        <v>141</v>
      </c>
      <c r="AA409" s="36" t="s">
        <v>141</v>
      </c>
      <c r="AB409" s="36"/>
      <c r="AC409" s="36"/>
      <c r="AD409" s="36"/>
      <c r="AE409" s="36"/>
      <c r="AF409" s="36"/>
      <c r="AG409" s="36"/>
      <c r="AH409" s="36" t="s">
        <v>141</v>
      </c>
      <c r="AI409" s="36" t="s">
        <v>141</v>
      </c>
      <c r="AJ409" s="36" t="s">
        <v>141</v>
      </c>
      <c r="AK409" s="117" t="s">
        <v>141</v>
      </c>
      <c r="AL409" s="36"/>
      <c r="AM409" s="36"/>
      <c r="AN409" s="36"/>
      <c r="AO409" s="36" t="s">
        <v>141</v>
      </c>
      <c r="AP409" s="36"/>
      <c r="AQ409" s="36"/>
      <c r="AR409" s="36"/>
      <c r="AS409" s="36"/>
      <c r="AT409" s="36"/>
      <c r="AU409" s="36"/>
      <c r="AV409" s="36"/>
      <c r="AW409" s="117"/>
      <c r="AX409" s="117"/>
      <c r="AY409" s="36"/>
      <c r="AZ409" s="36"/>
      <c r="BA409" s="117"/>
      <c r="BB409" s="117"/>
      <c r="BC409" s="117"/>
      <c r="BD409" s="117"/>
      <c r="BE409" s="117"/>
      <c r="BF409" s="117"/>
      <c r="BG409" s="117"/>
      <c r="BH409" s="117"/>
      <c r="BI409" s="117"/>
      <c r="BJ409" s="117"/>
      <c r="BK409" s="117"/>
      <c r="BL409" s="117"/>
      <c r="BM409" s="117">
        <f t="shared" si="66"/>
        <v>7</v>
      </c>
      <c r="BN409" s="117">
        <f t="shared" si="67"/>
        <v>2</v>
      </c>
      <c r="BO409" s="117">
        <f t="shared" si="68"/>
        <v>2</v>
      </c>
      <c r="BP409" s="153">
        <f t="shared" si="69"/>
        <v>5</v>
      </c>
      <c r="BQ409" s="74" t="s">
        <v>178</v>
      </c>
      <c r="BR409" s="74"/>
    </row>
    <row r="410" spans="1:70" hidden="1">
      <c r="A410">
        <v>396</v>
      </c>
      <c r="B410" s="75">
        <v>45880.219571759262</v>
      </c>
      <c r="E410" s="7">
        <v>45880</v>
      </c>
      <c r="F410">
        <v>951</v>
      </c>
      <c r="I410" s="10" t="s">
        <v>1552</v>
      </c>
      <c r="J410" s="69">
        <v>45880</v>
      </c>
      <c r="K410" s="97">
        <f t="shared" si="71"/>
        <v>8</v>
      </c>
      <c r="L410" s="97">
        <v>408</v>
      </c>
      <c r="O410" s="7" t="s">
        <v>1553</v>
      </c>
      <c r="T410" t="s">
        <v>1554</v>
      </c>
      <c r="X410" s="36"/>
      <c r="Y410" s="36" t="s">
        <v>141</v>
      </c>
      <c r="Z410" s="36"/>
      <c r="AA410" s="36" t="s">
        <v>141</v>
      </c>
      <c r="AB410" s="36"/>
      <c r="AC410" s="36"/>
      <c r="AD410" s="36" t="s">
        <v>141</v>
      </c>
      <c r="AE410" s="36" t="s">
        <v>141</v>
      </c>
      <c r="AF410" s="36" t="s">
        <v>141</v>
      </c>
      <c r="AG410" s="36" t="s">
        <v>141</v>
      </c>
      <c r="AH410" s="36" t="s">
        <v>141</v>
      </c>
      <c r="AI410" s="36"/>
      <c r="AJ410" s="36" t="s">
        <v>141</v>
      </c>
      <c r="AK410" s="117" t="s">
        <v>141</v>
      </c>
      <c r="AL410" s="36"/>
      <c r="AM410" s="36"/>
      <c r="AN410" s="36"/>
      <c r="AO410" s="36" t="s">
        <v>141</v>
      </c>
      <c r="AP410" s="36" t="s">
        <v>141</v>
      </c>
      <c r="AQ410" s="36"/>
      <c r="AR410" s="36"/>
      <c r="AS410" s="36"/>
      <c r="AT410" s="36" t="s">
        <v>141</v>
      </c>
      <c r="AU410" s="36"/>
      <c r="AV410" s="36" t="s">
        <v>141</v>
      </c>
      <c r="AW410" s="117" t="s">
        <v>141</v>
      </c>
      <c r="AX410" s="117"/>
      <c r="AY410" s="36"/>
      <c r="AZ410" s="36" t="s">
        <v>141</v>
      </c>
      <c r="BA410" s="117"/>
      <c r="BB410" s="117"/>
      <c r="BC410" s="117"/>
      <c r="BD410" s="117" t="s">
        <v>141</v>
      </c>
      <c r="BE410" s="117"/>
      <c r="BF410" s="117"/>
      <c r="BG410" s="117"/>
      <c r="BH410" s="117"/>
      <c r="BI410" s="117"/>
      <c r="BJ410" s="117"/>
      <c r="BK410" s="117"/>
      <c r="BL410" s="117"/>
      <c r="BM410" s="117">
        <f t="shared" si="66"/>
        <v>16</v>
      </c>
      <c r="BN410" s="117">
        <f t="shared" si="67"/>
        <v>3</v>
      </c>
      <c r="BO410" s="117">
        <f t="shared" si="68"/>
        <v>3</v>
      </c>
      <c r="BP410" s="153">
        <f t="shared" si="69"/>
        <v>12</v>
      </c>
      <c r="BQ410" s="74" t="s">
        <v>1545</v>
      </c>
      <c r="BR410" s="74"/>
    </row>
    <row r="411" spans="1:70" hidden="1">
      <c r="A411">
        <v>397</v>
      </c>
      <c r="B411" s="75">
        <v>45880.493298611109</v>
      </c>
      <c r="E411" s="7">
        <v>45880</v>
      </c>
      <c r="F411">
        <v>952</v>
      </c>
      <c r="I411" s="10" t="s">
        <v>1555</v>
      </c>
      <c r="J411" s="69">
        <v>45880</v>
      </c>
      <c r="K411" s="97">
        <f t="shared" ref="K411:K419" si="72">MONTH($J411)</f>
        <v>8</v>
      </c>
      <c r="L411" s="97">
        <v>409</v>
      </c>
      <c r="O411" s="7" t="s">
        <v>134</v>
      </c>
      <c r="T411" t="s">
        <v>1556</v>
      </c>
      <c r="X411" s="36"/>
      <c r="Y411" s="36"/>
      <c r="Z411" s="36"/>
      <c r="AA411" s="36" t="s">
        <v>141</v>
      </c>
      <c r="AB411" s="36"/>
      <c r="AC411" s="36"/>
      <c r="AD411" s="36" t="s">
        <v>141</v>
      </c>
      <c r="AE411" s="36"/>
      <c r="AF411" s="36"/>
      <c r="AG411" s="36" t="s">
        <v>141</v>
      </c>
      <c r="AH411" s="36" t="s">
        <v>141</v>
      </c>
      <c r="AI411" s="36"/>
      <c r="AJ411" s="36"/>
      <c r="AK411" s="117"/>
      <c r="AL411" s="36"/>
      <c r="AM411" s="36" t="s">
        <v>141</v>
      </c>
      <c r="AN411" s="36"/>
      <c r="AO411" s="36"/>
      <c r="AP411" s="36" t="s">
        <v>141</v>
      </c>
      <c r="AQ411" s="36"/>
      <c r="AR411" s="36"/>
      <c r="AS411" s="36"/>
      <c r="AT411" s="36"/>
      <c r="AU411" s="36"/>
      <c r="AV411" s="36" t="s">
        <v>141</v>
      </c>
      <c r="AW411" s="117"/>
      <c r="AX411" s="117"/>
      <c r="AY411" s="36"/>
      <c r="AZ411" s="36"/>
      <c r="BA411" s="117"/>
      <c r="BB411" s="117"/>
      <c r="BC411" s="117"/>
      <c r="BD411" s="117"/>
      <c r="BE411" s="117" t="s">
        <v>141</v>
      </c>
      <c r="BF411" s="117" t="s">
        <v>141</v>
      </c>
      <c r="BG411" s="117"/>
      <c r="BH411" s="117"/>
      <c r="BI411" s="117"/>
      <c r="BJ411" s="117"/>
      <c r="BK411" s="117"/>
      <c r="BL411" s="117"/>
      <c r="BM411" s="117">
        <f t="shared" si="66"/>
        <v>9</v>
      </c>
      <c r="BN411" s="117">
        <f t="shared" si="67"/>
        <v>2</v>
      </c>
      <c r="BO411" s="117">
        <f t="shared" si="68"/>
        <v>2</v>
      </c>
      <c r="BP411" s="153">
        <f t="shared" si="69"/>
        <v>5</v>
      </c>
      <c r="BQ411" s="74" t="s">
        <v>178</v>
      </c>
      <c r="BR411" s="74"/>
    </row>
    <row r="412" spans="1:70" hidden="1">
      <c r="A412">
        <v>398</v>
      </c>
      <c r="B412" s="75">
        <v>45883.003020833334</v>
      </c>
      <c r="E412" s="7">
        <v>45883</v>
      </c>
      <c r="F412">
        <v>953</v>
      </c>
      <c r="I412" s="10" t="s">
        <v>1557</v>
      </c>
      <c r="J412" s="69">
        <v>45883</v>
      </c>
      <c r="K412" s="97">
        <f t="shared" si="72"/>
        <v>8</v>
      </c>
      <c r="L412" s="97">
        <v>410</v>
      </c>
      <c r="O412" s="7" t="s">
        <v>156</v>
      </c>
      <c r="T412" t="s">
        <v>1558</v>
      </c>
      <c r="X412" s="36"/>
      <c r="Y412" s="36" t="s">
        <v>141</v>
      </c>
      <c r="Z412" s="36"/>
      <c r="AA412" s="36" t="s">
        <v>141</v>
      </c>
      <c r="AB412" s="36"/>
      <c r="AC412" s="36"/>
      <c r="AD412" s="36" t="s">
        <v>141</v>
      </c>
      <c r="AE412" s="36"/>
      <c r="AF412" s="36"/>
      <c r="AG412" s="36"/>
      <c r="AH412" s="36" t="s">
        <v>141</v>
      </c>
      <c r="AI412" s="36" t="s">
        <v>141</v>
      </c>
      <c r="AJ412" s="36" t="s">
        <v>141</v>
      </c>
      <c r="AK412" s="117"/>
      <c r="AL412" s="36"/>
      <c r="AM412" s="36" t="s">
        <v>141</v>
      </c>
      <c r="AN412" s="36" t="s">
        <v>141</v>
      </c>
      <c r="AO412" s="36"/>
      <c r="AP412" s="36"/>
      <c r="AQ412" s="36"/>
      <c r="AR412" s="36"/>
      <c r="AS412" s="36"/>
      <c r="AT412" s="36" t="s">
        <v>141</v>
      </c>
      <c r="AU412" s="36" t="s">
        <v>141</v>
      </c>
      <c r="AV412" s="36"/>
      <c r="AW412" s="117"/>
      <c r="AX412" s="117"/>
      <c r="AY412" s="36"/>
      <c r="AZ412" s="36" t="s">
        <v>141</v>
      </c>
      <c r="BA412" s="117"/>
      <c r="BB412" s="117"/>
      <c r="BC412" s="117"/>
      <c r="BD412" s="117"/>
      <c r="BE412" s="117" t="s">
        <v>141</v>
      </c>
      <c r="BF412" s="117" t="s">
        <v>141</v>
      </c>
      <c r="BG412" s="117"/>
      <c r="BH412" s="117"/>
      <c r="BI412" s="117"/>
      <c r="BJ412" s="117"/>
      <c r="BK412" s="117"/>
      <c r="BL412" s="117"/>
      <c r="BM412" s="117">
        <f t="shared" si="66"/>
        <v>13</v>
      </c>
      <c r="BN412" s="117">
        <f t="shared" si="67"/>
        <v>3</v>
      </c>
      <c r="BO412" s="117">
        <f t="shared" si="68"/>
        <v>3</v>
      </c>
      <c r="BP412" s="153">
        <f t="shared" si="69"/>
        <v>8</v>
      </c>
      <c r="BQ412" s="74" t="s">
        <v>1559</v>
      </c>
      <c r="BR412" s="74"/>
    </row>
    <row r="413" spans="1:70">
      <c r="A413">
        <v>399</v>
      </c>
      <c r="B413" s="75">
        <v>45883.057500000003</v>
      </c>
      <c r="E413" s="7">
        <v>45883</v>
      </c>
      <c r="F413">
        <v>954</v>
      </c>
      <c r="I413" s="10" t="s">
        <v>1560</v>
      </c>
      <c r="J413" s="69">
        <v>45883</v>
      </c>
      <c r="K413" s="97">
        <f t="shared" si="72"/>
        <v>8</v>
      </c>
      <c r="L413" s="97">
        <v>411</v>
      </c>
      <c r="O413" s="7" t="s">
        <v>1013</v>
      </c>
      <c r="T413" t="s">
        <v>1561</v>
      </c>
      <c r="X413" s="36"/>
      <c r="Y413" s="36" t="s">
        <v>141</v>
      </c>
      <c r="Z413" s="36"/>
      <c r="AA413" s="36" t="s">
        <v>141</v>
      </c>
      <c r="AB413" s="36"/>
      <c r="AC413" s="36"/>
      <c r="AD413" s="36" t="s">
        <v>141</v>
      </c>
      <c r="AE413" s="36"/>
      <c r="AF413" s="36"/>
      <c r="AG413" s="36"/>
      <c r="AH413" s="36" t="s">
        <v>141</v>
      </c>
      <c r="AI413" s="36" t="s">
        <v>141</v>
      </c>
      <c r="AJ413" s="36" t="s">
        <v>141</v>
      </c>
      <c r="AK413" s="117"/>
      <c r="AL413" s="36"/>
      <c r="AM413" s="36" t="s">
        <v>141</v>
      </c>
      <c r="AN413" s="36" t="s">
        <v>141</v>
      </c>
      <c r="AO413" s="36"/>
      <c r="AP413" s="36"/>
      <c r="AQ413" s="36"/>
      <c r="AR413" s="36"/>
      <c r="AS413" s="36"/>
      <c r="AT413" s="36" t="s">
        <v>141</v>
      </c>
      <c r="AU413" s="36" t="s">
        <v>141</v>
      </c>
      <c r="AV413" s="36"/>
      <c r="AW413" s="117"/>
      <c r="AX413" s="117"/>
      <c r="AY413" s="36"/>
      <c r="AZ413" s="36"/>
      <c r="BA413" s="117"/>
      <c r="BB413" s="117"/>
      <c r="BC413" s="117"/>
      <c r="BD413" s="117" t="s">
        <v>141</v>
      </c>
      <c r="BE413" s="117" t="s">
        <v>141</v>
      </c>
      <c r="BF413" s="117" t="s">
        <v>141</v>
      </c>
      <c r="BG413" s="117"/>
      <c r="BH413" s="117"/>
      <c r="BI413" s="117"/>
      <c r="BJ413" s="117"/>
      <c r="BK413" s="117"/>
      <c r="BL413" s="117"/>
      <c r="BM413" s="117">
        <f t="shared" si="66"/>
        <v>13</v>
      </c>
      <c r="BN413" s="117">
        <f t="shared" si="67"/>
        <v>3</v>
      </c>
      <c r="BO413" s="117">
        <f t="shared" si="68"/>
        <v>3</v>
      </c>
      <c r="BP413" s="153">
        <f t="shared" si="69"/>
        <v>7</v>
      </c>
      <c r="BQ413" s="74" t="s">
        <v>1562</v>
      </c>
      <c r="BR413" s="74"/>
    </row>
    <row r="414" spans="1:70" hidden="1">
      <c r="A414">
        <v>400</v>
      </c>
      <c r="B414" s="75">
        <v>45883.837129629632</v>
      </c>
      <c r="E414" s="7">
        <v>45884</v>
      </c>
      <c r="F414">
        <v>955</v>
      </c>
      <c r="I414" s="10" t="s">
        <v>1563</v>
      </c>
      <c r="J414" s="69">
        <v>45884</v>
      </c>
      <c r="K414" s="97">
        <f t="shared" si="72"/>
        <v>8</v>
      </c>
      <c r="L414" s="97">
        <v>412</v>
      </c>
      <c r="O414" s="7" t="s">
        <v>1564</v>
      </c>
      <c r="T414" t="s">
        <v>1565</v>
      </c>
      <c r="X414" s="36"/>
      <c r="Y414" s="36"/>
      <c r="Z414" s="36"/>
      <c r="AA414" s="36"/>
      <c r="AB414" s="36"/>
      <c r="AC414" s="36"/>
      <c r="AD414" s="36" t="s">
        <v>141</v>
      </c>
      <c r="AE414" s="36"/>
      <c r="AF414" s="36"/>
      <c r="AG414" s="36"/>
      <c r="AH414" s="36"/>
      <c r="AI414" s="36" t="s">
        <v>141</v>
      </c>
      <c r="AJ414" s="36"/>
      <c r="AK414" s="117"/>
      <c r="AL414" s="36"/>
      <c r="AM414" s="36"/>
      <c r="AN414" s="36"/>
      <c r="AO414" s="36"/>
      <c r="AP414" s="36"/>
      <c r="AQ414" s="36"/>
      <c r="AR414" s="36"/>
      <c r="AS414" s="36"/>
      <c r="AT414" s="36" t="s">
        <v>141</v>
      </c>
      <c r="AU414" s="36" t="s">
        <v>141</v>
      </c>
      <c r="AV414" s="36"/>
      <c r="AW414" s="117" t="s">
        <v>141</v>
      </c>
      <c r="AX414" s="117"/>
      <c r="AY414" s="36"/>
      <c r="AZ414" s="36"/>
      <c r="BA414" s="117"/>
      <c r="BB414" s="117" t="s">
        <v>141</v>
      </c>
      <c r="BC414" s="117"/>
      <c r="BD414" s="117"/>
      <c r="BE414" s="117"/>
      <c r="BF414" s="117"/>
      <c r="BG414" s="117"/>
      <c r="BH414" s="117"/>
      <c r="BI414" s="117"/>
      <c r="BJ414" s="117"/>
      <c r="BK414" s="117"/>
      <c r="BL414" s="117"/>
      <c r="BM414" s="117">
        <f t="shared" si="66"/>
        <v>6</v>
      </c>
      <c r="BN414" s="117">
        <f t="shared" si="67"/>
        <v>0</v>
      </c>
      <c r="BO414" s="117">
        <f t="shared" si="68"/>
        <v>1</v>
      </c>
      <c r="BP414" s="153">
        <f t="shared" si="69"/>
        <v>5</v>
      </c>
      <c r="BQ414" s="74" t="s">
        <v>1033</v>
      </c>
      <c r="BR414" s="74"/>
    </row>
    <row r="415" spans="1:70" hidden="1">
      <c r="A415">
        <v>401</v>
      </c>
      <c r="B415" s="75">
        <v>45884.594652777778</v>
      </c>
      <c r="E415" s="7">
        <v>45885</v>
      </c>
      <c r="F415">
        <v>956</v>
      </c>
      <c r="I415" s="10" t="s">
        <v>1566</v>
      </c>
      <c r="J415" s="69">
        <v>45885</v>
      </c>
      <c r="K415" s="97">
        <f t="shared" si="72"/>
        <v>8</v>
      </c>
      <c r="L415" s="97">
        <v>413</v>
      </c>
      <c r="O415" s="7" t="s">
        <v>986</v>
      </c>
      <c r="T415" t="s">
        <v>1567</v>
      </c>
      <c r="X415" s="36" t="s">
        <v>141</v>
      </c>
      <c r="Y415" s="36"/>
      <c r="Z415" s="36"/>
      <c r="AA415" s="36" t="s">
        <v>141</v>
      </c>
      <c r="AB415" s="36"/>
      <c r="AC415" s="36" t="s">
        <v>141</v>
      </c>
      <c r="AD415" s="36"/>
      <c r="AE415" s="36"/>
      <c r="AF415" s="36"/>
      <c r="AG415" s="36"/>
      <c r="AH415" s="36"/>
      <c r="AI415" s="36" t="s">
        <v>141</v>
      </c>
      <c r="AJ415" s="36" t="s">
        <v>141</v>
      </c>
      <c r="AK415" s="117" t="s">
        <v>141</v>
      </c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 t="s">
        <v>141</v>
      </c>
      <c r="AW415" s="117"/>
      <c r="AX415" s="117"/>
      <c r="AY415" s="36"/>
      <c r="AZ415" s="36"/>
      <c r="BA415" s="117"/>
      <c r="BB415" s="117"/>
      <c r="BC415" s="117"/>
      <c r="BD415" s="117"/>
      <c r="BE415" s="117" t="s">
        <v>141</v>
      </c>
      <c r="BF415" s="117"/>
      <c r="BG415" s="117"/>
      <c r="BH415" s="117"/>
      <c r="BI415" s="117"/>
      <c r="BJ415" s="117"/>
      <c r="BK415" s="117"/>
      <c r="BL415" s="117"/>
      <c r="BM415" s="117">
        <f t="shared" si="66"/>
        <v>8</v>
      </c>
      <c r="BN415" s="117">
        <f t="shared" si="67"/>
        <v>2</v>
      </c>
      <c r="BO415" s="117">
        <f t="shared" si="68"/>
        <v>3</v>
      </c>
      <c r="BP415" s="153">
        <f t="shared" si="69"/>
        <v>4</v>
      </c>
      <c r="BQ415" s="74" t="s">
        <v>178</v>
      </c>
      <c r="BR415" s="74"/>
    </row>
    <row r="416" spans="1:70" hidden="1">
      <c r="A416">
        <v>402</v>
      </c>
      <c r="B416" s="75">
        <v>45885.11990740741</v>
      </c>
      <c r="E416" s="7">
        <v>45885</v>
      </c>
      <c r="F416">
        <v>957</v>
      </c>
      <c r="I416" s="10" t="s">
        <v>1568</v>
      </c>
      <c r="J416" s="69">
        <v>45885</v>
      </c>
      <c r="K416" s="97">
        <f t="shared" si="72"/>
        <v>8</v>
      </c>
      <c r="L416" s="97">
        <v>414</v>
      </c>
      <c r="O416" s="7" t="s">
        <v>156</v>
      </c>
      <c r="T416" t="s">
        <v>1569</v>
      </c>
      <c r="X416" s="36"/>
      <c r="Y416" s="36" t="s">
        <v>141</v>
      </c>
      <c r="Z416" s="36"/>
      <c r="AA416" s="36" t="s">
        <v>141</v>
      </c>
      <c r="AB416" s="36"/>
      <c r="AC416" s="36"/>
      <c r="AD416" s="36" t="s">
        <v>141</v>
      </c>
      <c r="AE416" s="36" t="s">
        <v>141</v>
      </c>
      <c r="AF416" s="36"/>
      <c r="AG416" s="36" t="s">
        <v>141</v>
      </c>
      <c r="AH416" s="36"/>
      <c r="AI416" s="36"/>
      <c r="AJ416" s="36" t="s">
        <v>141</v>
      </c>
      <c r="AK416" s="117"/>
      <c r="AL416" s="36"/>
      <c r="AM416" s="36" t="s">
        <v>141</v>
      </c>
      <c r="AN416" s="36"/>
      <c r="AO416" s="36"/>
      <c r="AP416" s="36"/>
      <c r="AQ416" s="36"/>
      <c r="AR416" s="36"/>
      <c r="AS416" s="36"/>
      <c r="AT416" s="36"/>
      <c r="AU416" s="36"/>
      <c r="AV416" s="36" t="s">
        <v>141</v>
      </c>
      <c r="AW416" s="117"/>
      <c r="AX416" s="117"/>
      <c r="AY416" s="36"/>
      <c r="AZ416" s="36"/>
      <c r="BA416" s="117" t="s">
        <v>141</v>
      </c>
      <c r="BB416" s="117"/>
      <c r="BC416" s="117" t="s">
        <v>141</v>
      </c>
      <c r="BD416" s="117" t="s">
        <v>141</v>
      </c>
      <c r="BE416" s="117" t="s">
        <v>141</v>
      </c>
      <c r="BF416" s="117" t="s">
        <v>141</v>
      </c>
      <c r="BG416" s="117"/>
      <c r="BH416" s="117"/>
      <c r="BI416" s="117"/>
      <c r="BJ416" s="117"/>
      <c r="BK416" s="117"/>
      <c r="BL416" s="117"/>
      <c r="BM416" s="117">
        <f t="shared" si="66"/>
        <v>13</v>
      </c>
      <c r="BN416" s="117">
        <f t="shared" si="67"/>
        <v>3</v>
      </c>
      <c r="BO416" s="117">
        <f t="shared" si="68"/>
        <v>3</v>
      </c>
      <c r="BP416" s="153">
        <f t="shared" si="69"/>
        <v>7</v>
      </c>
      <c r="BQ416" s="74" t="s">
        <v>178</v>
      </c>
      <c r="BR416" s="74"/>
    </row>
    <row r="417" spans="1:70" hidden="1">
      <c r="A417">
        <v>403</v>
      </c>
      <c r="B417" s="75">
        <v>45886.754594907405</v>
      </c>
      <c r="E417" s="7">
        <v>45887</v>
      </c>
      <c r="F417">
        <v>958</v>
      </c>
      <c r="I417" s="10" t="s">
        <v>1570</v>
      </c>
      <c r="J417" s="69">
        <v>45887</v>
      </c>
      <c r="K417" s="97">
        <f t="shared" si="72"/>
        <v>8</v>
      </c>
      <c r="L417" s="97">
        <v>415</v>
      </c>
      <c r="O417" s="7" t="s">
        <v>1571</v>
      </c>
      <c r="T417" t="s">
        <v>1572</v>
      </c>
      <c r="X417" s="36"/>
      <c r="Y417" s="36" t="s">
        <v>141</v>
      </c>
      <c r="Z417" s="36"/>
      <c r="AA417" s="36"/>
      <c r="AB417" s="36"/>
      <c r="AC417" s="36"/>
      <c r="AD417" s="36" t="s">
        <v>141</v>
      </c>
      <c r="AE417" s="36" t="s">
        <v>141</v>
      </c>
      <c r="AF417" s="36"/>
      <c r="AG417" s="36"/>
      <c r="AH417" s="36" t="s">
        <v>141</v>
      </c>
      <c r="AI417" s="36"/>
      <c r="AJ417" s="36" t="s">
        <v>141</v>
      </c>
      <c r="AK417" s="117"/>
      <c r="AL417" s="36"/>
      <c r="AM417" s="36"/>
      <c r="AN417" s="36" t="s">
        <v>141</v>
      </c>
      <c r="AO417" s="36"/>
      <c r="AP417" s="36"/>
      <c r="AQ417" s="36"/>
      <c r="AR417" s="36"/>
      <c r="AS417" s="36"/>
      <c r="AT417" s="36"/>
      <c r="AU417" s="36" t="s">
        <v>141</v>
      </c>
      <c r="AV417" s="36" t="s">
        <v>141</v>
      </c>
      <c r="AW417" s="117" t="s">
        <v>141</v>
      </c>
      <c r="AX417" s="117"/>
      <c r="AY417" s="36"/>
      <c r="AZ417" s="36" t="s">
        <v>141</v>
      </c>
      <c r="BA417" s="117"/>
      <c r="BB417" s="117"/>
      <c r="BC417" s="117"/>
      <c r="BD417" s="117" t="s">
        <v>141</v>
      </c>
      <c r="BE417" s="117"/>
      <c r="BF417" s="117" t="s">
        <v>141</v>
      </c>
      <c r="BG417" s="117"/>
      <c r="BH417" s="117"/>
      <c r="BI417" s="117"/>
      <c r="BJ417" s="117"/>
      <c r="BK417" s="117"/>
      <c r="BL417" s="117"/>
      <c r="BM417" s="117">
        <f t="shared" si="66"/>
        <v>12</v>
      </c>
      <c r="BN417" s="117">
        <f t="shared" si="67"/>
        <v>2</v>
      </c>
      <c r="BO417" s="117">
        <f t="shared" si="68"/>
        <v>2</v>
      </c>
      <c r="BP417" s="153">
        <f t="shared" si="69"/>
        <v>8</v>
      </c>
      <c r="BQ417" s="74" t="s">
        <v>840</v>
      </c>
      <c r="BR417" s="74"/>
    </row>
    <row r="418" spans="1:70" hidden="1">
      <c r="A418">
        <v>404</v>
      </c>
      <c r="B418" s="75">
        <v>45886.991354166668</v>
      </c>
      <c r="E418" s="7">
        <v>45887</v>
      </c>
      <c r="F418">
        <v>959</v>
      </c>
      <c r="I418" s="10" t="s">
        <v>1573</v>
      </c>
      <c r="J418" s="69">
        <v>45887</v>
      </c>
      <c r="K418" s="97">
        <f t="shared" si="72"/>
        <v>8</v>
      </c>
      <c r="L418" s="97">
        <v>416</v>
      </c>
      <c r="O418" s="7" t="s">
        <v>156</v>
      </c>
      <c r="T418" t="s">
        <v>1574</v>
      </c>
      <c r="X418" s="36"/>
      <c r="Y418" s="36" t="s">
        <v>141</v>
      </c>
      <c r="Z418" s="36"/>
      <c r="AA418" s="36" t="s">
        <v>141</v>
      </c>
      <c r="AB418" s="36"/>
      <c r="AC418" s="36"/>
      <c r="AD418" s="36" t="s">
        <v>141</v>
      </c>
      <c r="AE418" s="36" t="s">
        <v>141</v>
      </c>
      <c r="AF418" s="36"/>
      <c r="AG418" s="36"/>
      <c r="AH418" s="36" t="s">
        <v>141</v>
      </c>
      <c r="AI418" s="36" t="s">
        <v>141</v>
      </c>
      <c r="AJ418" s="36" t="s">
        <v>141</v>
      </c>
      <c r="AK418" s="117"/>
      <c r="AL418" s="36"/>
      <c r="AM418" s="36"/>
      <c r="AN418" s="36" t="s">
        <v>141</v>
      </c>
      <c r="AO418" s="36" t="s">
        <v>141</v>
      </c>
      <c r="AP418" s="36"/>
      <c r="AQ418" s="36"/>
      <c r="AR418" s="36"/>
      <c r="AS418" s="36" t="s">
        <v>141</v>
      </c>
      <c r="AT418" s="36"/>
      <c r="AU418" s="36" t="s">
        <v>141</v>
      </c>
      <c r="AV418" s="36" t="s">
        <v>141</v>
      </c>
      <c r="AW418" s="117"/>
      <c r="AX418" s="117"/>
      <c r="AY418" s="36"/>
      <c r="AZ418" s="36" t="s">
        <v>141</v>
      </c>
      <c r="BA418" s="117"/>
      <c r="BB418" s="117"/>
      <c r="BC418" s="117"/>
      <c r="BD418" s="117"/>
      <c r="BE418" s="117"/>
      <c r="BF418" s="117"/>
      <c r="BG418" s="117"/>
      <c r="BH418" s="117"/>
      <c r="BI418" s="117"/>
      <c r="BJ418" s="117"/>
      <c r="BK418" s="117"/>
      <c r="BL418" s="117"/>
      <c r="BM418" s="117">
        <f t="shared" si="66"/>
        <v>13</v>
      </c>
      <c r="BN418" s="117">
        <f t="shared" si="67"/>
        <v>3</v>
      </c>
      <c r="BO418" s="117">
        <f t="shared" si="68"/>
        <v>3</v>
      </c>
      <c r="BP418" s="153">
        <f t="shared" si="69"/>
        <v>10</v>
      </c>
      <c r="BQ418" s="74" t="s">
        <v>163</v>
      </c>
      <c r="BR418" s="74"/>
    </row>
    <row r="419" spans="1:70" hidden="1">
      <c r="A419">
        <v>405</v>
      </c>
      <c r="B419" s="75">
        <v>45887.263819444444</v>
      </c>
      <c r="E419" s="7">
        <v>45887</v>
      </c>
      <c r="F419">
        <v>960</v>
      </c>
      <c r="I419" s="10" t="s">
        <v>1575</v>
      </c>
      <c r="J419" s="69">
        <v>45887</v>
      </c>
      <c r="K419" s="97">
        <f t="shared" si="72"/>
        <v>8</v>
      </c>
      <c r="L419" s="97">
        <v>417</v>
      </c>
      <c r="O419" s="7" t="s">
        <v>1576</v>
      </c>
      <c r="T419" t="s">
        <v>1577</v>
      </c>
      <c r="X419" s="36" t="s">
        <v>141</v>
      </c>
      <c r="Y419" s="36" t="s">
        <v>141</v>
      </c>
      <c r="Z419" s="36"/>
      <c r="AA419" s="36" t="s">
        <v>141</v>
      </c>
      <c r="AB419" s="36"/>
      <c r="AC419" s="36"/>
      <c r="AD419" s="36" t="s">
        <v>141</v>
      </c>
      <c r="AE419" s="36"/>
      <c r="AF419" s="36"/>
      <c r="AG419" s="36"/>
      <c r="AH419" s="36" t="s">
        <v>141</v>
      </c>
      <c r="AI419" s="36" t="s">
        <v>141</v>
      </c>
      <c r="AJ419" s="36" t="s">
        <v>141</v>
      </c>
      <c r="AK419" s="117" t="s">
        <v>141</v>
      </c>
      <c r="AL419" s="36"/>
      <c r="AM419" s="36"/>
      <c r="AN419" s="36"/>
      <c r="AO419" s="36"/>
      <c r="AP419" s="36" t="s">
        <v>141</v>
      </c>
      <c r="AQ419" s="36"/>
      <c r="AR419" s="36"/>
      <c r="AS419" s="36" t="s">
        <v>141</v>
      </c>
      <c r="AT419" s="36" t="s">
        <v>141</v>
      </c>
      <c r="AU419" s="36" t="s">
        <v>141</v>
      </c>
      <c r="AV419" s="36" t="s">
        <v>141</v>
      </c>
      <c r="AW419" s="117"/>
      <c r="AX419" s="117"/>
      <c r="AY419" s="36"/>
      <c r="AZ419" s="36"/>
      <c r="BA419" s="117" t="s">
        <v>141</v>
      </c>
      <c r="BB419" s="117" t="s">
        <v>141</v>
      </c>
      <c r="BC419" s="117" t="s">
        <v>141</v>
      </c>
      <c r="BD419" s="117"/>
      <c r="BE419" s="117" t="s">
        <v>141</v>
      </c>
      <c r="BF419" s="117" t="s">
        <v>141</v>
      </c>
      <c r="BG419" s="117"/>
      <c r="BH419" s="117" t="s">
        <v>141</v>
      </c>
      <c r="BI419" s="117"/>
      <c r="BJ419" s="117"/>
      <c r="BK419" s="117"/>
      <c r="BL419" s="117"/>
      <c r="BM419" s="117">
        <f t="shared" si="66"/>
        <v>18</v>
      </c>
      <c r="BN419" s="117">
        <f t="shared" si="67"/>
        <v>3</v>
      </c>
      <c r="BO419" s="117">
        <f t="shared" si="68"/>
        <v>4</v>
      </c>
      <c r="BP419" s="153">
        <f t="shared" si="69"/>
        <v>12</v>
      </c>
      <c r="BQ419" s="74" t="s">
        <v>1578</v>
      </c>
      <c r="BR419" s="74"/>
    </row>
    <row r="420" spans="1:70" hidden="1">
      <c r="A420">
        <v>406</v>
      </c>
      <c r="B420" s="75">
        <v>45887.371111111112</v>
      </c>
      <c r="E420" s="7">
        <v>45887</v>
      </c>
      <c r="F420">
        <v>961</v>
      </c>
      <c r="I420" s="10" t="s">
        <v>1579</v>
      </c>
      <c r="J420" s="69">
        <v>45887</v>
      </c>
      <c r="K420" s="97">
        <f t="shared" ref="K420:K429" si="73">MONTH($J420)</f>
        <v>8</v>
      </c>
      <c r="L420" s="97">
        <v>418</v>
      </c>
      <c r="O420" s="7" t="s">
        <v>1580</v>
      </c>
      <c r="T420" t="s">
        <v>1581</v>
      </c>
      <c r="X420" s="36" t="s">
        <v>141</v>
      </c>
      <c r="Y420" s="36" t="s">
        <v>141</v>
      </c>
      <c r="Z420" s="36" t="s">
        <v>141</v>
      </c>
      <c r="AA420" s="36" t="s">
        <v>141</v>
      </c>
      <c r="AB420" s="36"/>
      <c r="AC420" s="36"/>
      <c r="AD420" s="36" t="s">
        <v>141</v>
      </c>
      <c r="AE420" s="36" t="s">
        <v>141</v>
      </c>
      <c r="AF420" s="36" t="s">
        <v>141</v>
      </c>
      <c r="AG420" s="36"/>
      <c r="AH420" s="36" t="s">
        <v>141</v>
      </c>
      <c r="AI420" s="36" t="s">
        <v>141</v>
      </c>
      <c r="AJ420" s="36" t="s">
        <v>141</v>
      </c>
      <c r="AK420" s="117" t="s">
        <v>141</v>
      </c>
      <c r="AL420" s="36"/>
      <c r="AM420" s="36" t="s">
        <v>141</v>
      </c>
      <c r="AN420" s="36"/>
      <c r="AO420" s="36" t="s">
        <v>141</v>
      </c>
      <c r="AP420" s="36" t="s">
        <v>141</v>
      </c>
      <c r="AQ420" s="36"/>
      <c r="AR420" s="36"/>
      <c r="AS420" s="36" t="s">
        <v>141</v>
      </c>
      <c r="AT420" s="36" t="s">
        <v>141</v>
      </c>
      <c r="AU420" s="36" t="s">
        <v>141</v>
      </c>
      <c r="AV420" s="36" t="s">
        <v>141</v>
      </c>
      <c r="AW420" s="117" t="s">
        <v>141</v>
      </c>
      <c r="AX420" s="117" t="s">
        <v>141</v>
      </c>
      <c r="AY420" s="36" t="s">
        <v>141</v>
      </c>
      <c r="AZ420" s="36" t="s">
        <v>141</v>
      </c>
      <c r="BA420" s="117" t="s">
        <v>141</v>
      </c>
      <c r="BB420" s="117" t="s">
        <v>141</v>
      </c>
      <c r="BC420" s="117" t="s">
        <v>141</v>
      </c>
      <c r="BD420" s="117"/>
      <c r="BE420" s="117" t="s">
        <v>141</v>
      </c>
      <c r="BF420" s="117" t="s">
        <v>141</v>
      </c>
      <c r="BG420" s="117"/>
      <c r="BH420" s="117" t="s">
        <v>141</v>
      </c>
      <c r="BI420" s="117"/>
      <c r="BJ420" s="117"/>
      <c r="BK420" s="117"/>
      <c r="BL420" s="117"/>
      <c r="BM420" s="117">
        <f t="shared" si="66"/>
        <v>27</v>
      </c>
      <c r="BN420" s="117">
        <f t="shared" si="67"/>
        <v>4</v>
      </c>
      <c r="BO420" s="117">
        <f t="shared" si="68"/>
        <v>5</v>
      </c>
      <c r="BP420" s="153">
        <f t="shared" si="69"/>
        <v>20</v>
      </c>
      <c r="BQ420" s="74" t="s">
        <v>525</v>
      </c>
      <c r="BR420" s="74"/>
    </row>
    <row r="421" spans="1:70" hidden="1">
      <c r="A421">
        <v>407</v>
      </c>
      <c r="B421" s="75">
        <v>45888.057673611111</v>
      </c>
      <c r="E421" s="7">
        <v>45888</v>
      </c>
      <c r="F421">
        <v>962</v>
      </c>
      <c r="I421" s="10" t="s">
        <v>1582</v>
      </c>
      <c r="J421" s="69">
        <v>45888</v>
      </c>
      <c r="K421" s="97">
        <f t="shared" si="73"/>
        <v>8</v>
      </c>
      <c r="L421" s="97">
        <v>419</v>
      </c>
      <c r="O421" s="7" t="s">
        <v>156</v>
      </c>
      <c r="T421" t="s">
        <v>1583</v>
      </c>
      <c r="X421" s="36"/>
      <c r="Y421" s="36"/>
      <c r="Z421" s="36"/>
      <c r="AA421" s="36"/>
      <c r="AB421" s="36"/>
      <c r="AC421" s="36" t="s">
        <v>141</v>
      </c>
      <c r="AD421" s="36" t="s">
        <v>141</v>
      </c>
      <c r="AE421" s="36"/>
      <c r="AF421" s="36"/>
      <c r="AG421" s="36"/>
      <c r="AH421" s="36" t="s">
        <v>141</v>
      </c>
      <c r="AI421" s="36" t="s">
        <v>141</v>
      </c>
      <c r="AJ421" s="36" t="s">
        <v>141</v>
      </c>
      <c r="AK421" s="117" t="s">
        <v>141</v>
      </c>
      <c r="AL421" s="36"/>
      <c r="AM421" s="36"/>
      <c r="AN421" s="36" t="s">
        <v>141</v>
      </c>
      <c r="AO421" s="36" t="s">
        <v>141</v>
      </c>
      <c r="AP421" s="36"/>
      <c r="AQ421" s="36"/>
      <c r="AR421" s="36"/>
      <c r="AS421" s="36" t="s">
        <v>141</v>
      </c>
      <c r="AT421" s="36" t="s">
        <v>141</v>
      </c>
      <c r="AU421" s="36" t="s">
        <v>141</v>
      </c>
      <c r="AV421" s="36" t="s">
        <v>141</v>
      </c>
      <c r="AW421" s="117"/>
      <c r="AX421" s="117"/>
      <c r="AY421" s="36"/>
      <c r="AZ421" s="36"/>
      <c r="BA421" s="117"/>
      <c r="BB421" s="117"/>
      <c r="BC421" s="117"/>
      <c r="BD421" s="117"/>
      <c r="BE421" s="117" t="s">
        <v>141</v>
      </c>
      <c r="BF421" s="117" t="s">
        <v>141</v>
      </c>
      <c r="BG421" s="117"/>
      <c r="BH421" s="117"/>
      <c r="BI421" s="117"/>
      <c r="BJ421" s="117"/>
      <c r="BK421" s="117"/>
      <c r="BL421" s="117"/>
      <c r="BM421" s="117">
        <f t="shared" si="66"/>
        <v>14</v>
      </c>
      <c r="BN421" s="117">
        <f t="shared" si="67"/>
        <v>4</v>
      </c>
      <c r="BO421" s="117">
        <f t="shared" si="68"/>
        <v>2</v>
      </c>
      <c r="BP421" s="153">
        <f t="shared" si="69"/>
        <v>10</v>
      </c>
      <c r="BQ421" s="74" t="s">
        <v>1562</v>
      </c>
      <c r="BR421" s="74"/>
    </row>
    <row r="422" spans="1:70" hidden="1">
      <c r="A422">
        <v>408</v>
      </c>
      <c r="B422" s="75">
        <v>45889.030648148146</v>
      </c>
      <c r="E422" s="7">
        <v>45889</v>
      </c>
      <c r="F422">
        <v>963</v>
      </c>
      <c r="I422" s="10" t="s">
        <v>1584</v>
      </c>
      <c r="J422" s="69">
        <v>45889</v>
      </c>
      <c r="K422" s="97">
        <f t="shared" si="73"/>
        <v>8</v>
      </c>
      <c r="L422" s="97">
        <v>420</v>
      </c>
      <c r="O422" s="7" t="s">
        <v>1585</v>
      </c>
      <c r="T422" t="s">
        <v>1586</v>
      </c>
      <c r="X422" s="36"/>
      <c r="Y422" s="36"/>
      <c r="Z422" s="36"/>
      <c r="AA422" s="36"/>
      <c r="AB422" s="36"/>
      <c r="AC422" s="36"/>
      <c r="AD422" s="36"/>
      <c r="AE422" s="36"/>
      <c r="AF422" s="36" t="s">
        <v>141</v>
      </c>
      <c r="AG422" s="36"/>
      <c r="AH422" s="36" t="s">
        <v>141</v>
      </c>
      <c r="AI422" s="36" t="s">
        <v>141</v>
      </c>
      <c r="AJ422" s="36" t="s">
        <v>141</v>
      </c>
      <c r="AK422" s="117"/>
      <c r="AL422" s="36"/>
      <c r="AM422" s="36" t="s">
        <v>141</v>
      </c>
      <c r="AN422" s="36"/>
      <c r="AO422" s="36"/>
      <c r="AP422" s="36"/>
      <c r="AQ422" s="36"/>
      <c r="AR422" s="36"/>
      <c r="AS422" s="36"/>
      <c r="AT422" s="36"/>
      <c r="AU422" s="36"/>
      <c r="AV422" s="36"/>
      <c r="AW422" s="117"/>
      <c r="AX422" s="117"/>
      <c r="AY422" s="36"/>
      <c r="AZ422" s="36"/>
      <c r="BA422" s="117"/>
      <c r="BB422" s="117"/>
      <c r="BC422" s="117"/>
      <c r="BD422" s="117"/>
      <c r="BE422" s="117" t="s">
        <v>141</v>
      </c>
      <c r="BF422" s="117" t="s">
        <v>141</v>
      </c>
      <c r="BG422" s="117"/>
      <c r="BH422" s="117"/>
      <c r="BI422" s="117"/>
      <c r="BJ422" s="117"/>
      <c r="BK422" s="117"/>
      <c r="BL422" s="117"/>
      <c r="BM422" s="117">
        <f t="shared" si="66"/>
        <v>7</v>
      </c>
      <c r="BN422" s="117">
        <f t="shared" si="67"/>
        <v>2</v>
      </c>
      <c r="BO422" s="117">
        <f t="shared" si="68"/>
        <v>0</v>
      </c>
      <c r="BP422" s="153">
        <f t="shared" si="69"/>
        <v>5</v>
      </c>
      <c r="BQ422" s="74" t="s">
        <v>793</v>
      </c>
      <c r="BR422" s="74"/>
    </row>
    <row r="423" spans="1:70" hidden="1">
      <c r="A423">
        <v>409</v>
      </c>
      <c r="B423" s="75">
        <v>45889.255347222221</v>
      </c>
      <c r="E423" s="7">
        <v>45889</v>
      </c>
      <c r="F423">
        <v>964</v>
      </c>
      <c r="I423" s="10" t="s">
        <v>1587</v>
      </c>
      <c r="J423" s="69">
        <v>45889</v>
      </c>
      <c r="K423" s="97">
        <f t="shared" si="73"/>
        <v>8</v>
      </c>
      <c r="L423" s="97">
        <v>421</v>
      </c>
      <c r="O423" s="7" t="s">
        <v>156</v>
      </c>
      <c r="T423" t="s">
        <v>1588</v>
      </c>
      <c r="X423" s="36"/>
      <c r="Y423" s="36" t="s">
        <v>141</v>
      </c>
      <c r="Z423" s="36"/>
      <c r="AA423" s="36" t="s">
        <v>141</v>
      </c>
      <c r="AB423" s="36"/>
      <c r="AC423" s="36"/>
      <c r="AD423" s="36"/>
      <c r="AE423" s="36"/>
      <c r="AF423" s="36" t="s">
        <v>141</v>
      </c>
      <c r="AG423" s="36"/>
      <c r="AH423" s="36" t="s">
        <v>141</v>
      </c>
      <c r="AI423" s="36"/>
      <c r="AJ423" s="36" t="s">
        <v>141</v>
      </c>
      <c r="AK423" s="117" t="s">
        <v>141</v>
      </c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 t="s">
        <v>141</v>
      </c>
      <c r="AW423" s="117"/>
      <c r="AX423" s="117"/>
      <c r="AY423" s="36" t="s">
        <v>141</v>
      </c>
      <c r="AZ423" s="36" t="s">
        <v>141</v>
      </c>
      <c r="BA423" s="117"/>
      <c r="BB423" s="117"/>
      <c r="BC423" s="117"/>
      <c r="BD423" s="117"/>
      <c r="BE423" s="117"/>
      <c r="BF423" s="117"/>
      <c r="BG423" s="117"/>
      <c r="BH423" s="117"/>
      <c r="BI423" s="117"/>
      <c r="BJ423" s="117"/>
      <c r="BK423" s="117"/>
      <c r="BL423" s="117"/>
      <c r="BM423" s="117">
        <f t="shared" si="66"/>
        <v>9</v>
      </c>
      <c r="BN423" s="117">
        <f t="shared" si="67"/>
        <v>2</v>
      </c>
      <c r="BO423" s="117">
        <f t="shared" si="68"/>
        <v>2</v>
      </c>
      <c r="BP423" s="153">
        <f t="shared" si="69"/>
        <v>7</v>
      </c>
      <c r="BQ423" s="74" t="s">
        <v>502</v>
      </c>
      <c r="BR423" s="74"/>
    </row>
    <row r="424" spans="1:70" hidden="1">
      <c r="A424">
        <v>410</v>
      </c>
      <c r="B424" s="75">
        <v>45889.289722222224</v>
      </c>
      <c r="E424" s="7">
        <v>45889</v>
      </c>
      <c r="F424">
        <v>965</v>
      </c>
      <c r="I424" s="10" t="s">
        <v>1589</v>
      </c>
      <c r="J424" s="69">
        <v>45889</v>
      </c>
      <c r="K424" s="97">
        <f t="shared" si="73"/>
        <v>8</v>
      </c>
      <c r="L424" s="97">
        <v>422</v>
      </c>
      <c r="O424" s="7" t="s">
        <v>1590</v>
      </c>
      <c r="T424" t="s">
        <v>1591</v>
      </c>
      <c r="X424" s="36"/>
      <c r="Y424" s="36" t="s">
        <v>141</v>
      </c>
      <c r="Z424" s="36" t="s">
        <v>141</v>
      </c>
      <c r="AA424" s="36" t="s">
        <v>141</v>
      </c>
      <c r="AB424" s="36"/>
      <c r="AC424" s="36"/>
      <c r="AD424" s="36"/>
      <c r="AE424" s="36"/>
      <c r="AF424" s="36" t="s">
        <v>141</v>
      </c>
      <c r="AG424" s="36"/>
      <c r="AH424" s="36" t="s">
        <v>141</v>
      </c>
      <c r="AI424" s="36"/>
      <c r="AJ424" s="36" t="s">
        <v>141</v>
      </c>
      <c r="AK424" s="117" t="s">
        <v>141</v>
      </c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117"/>
      <c r="AX424" s="117"/>
      <c r="AY424" s="36" t="s">
        <v>141</v>
      </c>
      <c r="AZ424" s="36" t="s">
        <v>141</v>
      </c>
      <c r="BA424" s="117"/>
      <c r="BB424" s="117"/>
      <c r="BC424" s="117"/>
      <c r="BD424" s="117"/>
      <c r="BE424" s="117"/>
      <c r="BF424" s="117" t="s">
        <v>141</v>
      </c>
      <c r="BG424" s="117"/>
      <c r="BH424" s="117"/>
      <c r="BI424" s="117"/>
      <c r="BJ424" s="117"/>
      <c r="BK424" s="117"/>
      <c r="BL424" s="117"/>
      <c r="BM424" s="117">
        <f t="shared" si="66"/>
        <v>10</v>
      </c>
      <c r="BN424" s="117">
        <f t="shared" si="67"/>
        <v>2</v>
      </c>
      <c r="BO424" s="117">
        <f t="shared" si="68"/>
        <v>3</v>
      </c>
      <c r="BP424" s="153">
        <f t="shared" si="69"/>
        <v>6</v>
      </c>
      <c r="BQ424" s="74" t="s">
        <v>502</v>
      </c>
      <c r="BR424" s="74"/>
    </row>
    <row r="425" spans="1:70" hidden="1">
      <c r="A425">
        <v>411</v>
      </c>
      <c r="B425" s="75">
        <v>45889.878564814811</v>
      </c>
      <c r="E425" s="7">
        <v>45890</v>
      </c>
      <c r="F425">
        <v>966</v>
      </c>
      <c r="I425" s="10" t="s">
        <v>1592</v>
      </c>
      <c r="J425" s="69">
        <v>45890</v>
      </c>
      <c r="K425" s="97">
        <f t="shared" si="73"/>
        <v>8</v>
      </c>
      <c r="L425" s="97">
        <v>423</v>
      </c>
      <c r="O425" s="7" t="s">
        <v>134</v>
      </c>
      <c r="T425" t="s">
        <v>1593</v>
      </c>
      <c r="X425" s="36"/>
      <c r="Y425" s="36" t="s">
        <v>141</v>
      </c>
      <c r="Z425" s="36"/>
      <c r="AA425" s="36" t="s">
        <v>141</v>
      </c>
      <c r="AB425" s="36"/>
      <c r="AC425" s="36"/>
      <c r="AD425" s="36" t="s">
        <v>141</v>
      </c>
      <c r="AE425" s="36"/>
      <c r="AF425" s="36"/>
      <c r="AG425" s="36"/>
      <c r="AH425" s="36" t="s">
        <v>141</v>
      </c>
      <c r="AI425" s="36" t="s">
        <v>141</v>
      </c>
      <c r="AJ425" s="36" t="s">
        <v>141</v>
      </c>
      <c r="AK425" s="117"/>
      <c r="AL425" s="36"/>
      <c r="AM425" s="36"/>
      <c r="AN425" s="36" t="s">
        <v>141</v>
      </c>
      <c r="AO425" s="36"/>
      <c r="AP425" s="36"/>
      <c r="AQ425" s="36"/>
      <c r="AR425" s="36"/>
      <c r="AS425" s="36"/>
      <c r="AT425" s="36" t="s">
        <v>141</v>
      </c>
      <c r="AU425" s="36"/>
      <c r="AV425" s="36"/>
      <c r="AW425" s="117" t="s">
        <v>141</v>
      </c>
      <c r="AX425" s="117"/>
      <c r="AY425" s="36"/>
      <c r="AZ425" s="36"/>
      <c r="BA425" s="117"/>
      <c r="BB425" s="117"/>
      <c r="BC425" s="117"/>
      <c r="BD425" s="117"/>
      <c r="BE425" s="117"/>
      <c r="BF425" s="117"/>
      <c r="BG425" s="117"/>
      <c r="BH425" s="117"/>
      <c r="BI425" s="117"/>
      <c r="BJ425" s="117"/>
      <c r="BK425" s="117"/>
      <c r="BL425" s="117"/>
      <c r="BM425" s="117">
        <f t="shared" si="66"/>
        <v>9</v>
      </c>
      <c r="BN425" s="117">
        <f t="shared" si="67"/>
        <v>2</v>
      </c>
      <c r="BO425" s="117">
        <f t="shared" si="68"/>
        <v>3</v>
      </c>
      <c r="BP425" s="153">
        <f t="shared" si="69"/>
        <v>6</v>
      </c>
      <c r="BQ425" s="74" t="s">
        <v>308</v>
      </c>
      <c r="BR425" s="74"/>
    </row>
    <row r="426" spans="1:70" hidden="1">
      <c r="A426">
        <v>412</v>
      </c>
      <c r="B426" s="75">
        <v>45890.418958333335</v>
      </c>
      <c r="E426" s="7">
        <v>45890</v>
      </c>
      <c r="F426">
        <v>967</v>
      </c>
      <c r="I426" s="10" t="s">
        <v>1594</v>
      </c>
      <c r="J426" s="69">
        <v>45890</v>
      </c>
      <c r="K426" s="97">
        <f t="shared" si="73"/>
        <v>8</v>
      </c>
      <c r="L426" s="97">
        <v>424</v>
      </c>
      <c r="O426" s="7" t="s">
        <v>197</v>
      </c>
      <c r="T426" t="s">
        <v>1595</v>
      </c>
      <c r="X426" s="36"/>
      <c r="Y426" s="36" t="s">
        <v>141</v>
      </c>
      <c r="Z426" s="36" t="s">
        <v>141</v>
      </c>
      <c r="AA426" s="36" t="s">
        <v>141</v>
      </c>
      <c r="AB426" s="36"/>
      <c r="AC426" s="36" t="s">
        <v>141</v>
      </c>
      <c r="AD426" s="36" t="s">
        <v>141</v>
      </c>
      <c r="AE426" s="36" t="s">
        <v>141</v>
      </c>
      <c r="AF426" s="36"/>
      <c r="AG426" s="36"/>
      <c r="AH426" s="36" t="s">
        <v>141</v>
      </c>
      <c r="AI426" s="36"/>
      <c r="AJ426" s="36"/>
      <c r="AK426" s="117" t="s">
        <v>141</v>
      </c>
      <c r="AL426" s="36"/>
      <c r="AM426" s="36"/>
      <c r="AN426" s="36"/>
      <c r="AO426" s="36"/>
      <c r="AP426" s="36"/>
      <c r="AQ426" s="36"/>
      <c r="AR426" s="36" t="s">
        <v>141</v>
      </c>
      <c r="AS426" s="36" t="s">
        <v>141</v>
      </c>
      <c r="AT426" s="36"/>
      <c r="AU426" s="36"/>
      <c r="AV426" s="36" t="s">
        <v>141</v>
      </c>
      <c r="AW426" s="117"/>
      <c r="AX426" s="117"/>
      <c r="AY426" s="36"/>
      <c r="AZ426" s="36" t="s">
        <v>141</v>
      </c>
      <c r="BA426" s="117"/>
      <c r="BB426" s="117"/>
      <c r="BC426" s="117"/>
      <c r="BD426" s="117"/>
      <c r="BE426" s="117"/>
      <c r="BF426" s="117" t="s">
        <v>141</v>
      </c>
      <c r="BG426" s="117"/>
      <c r="BH426" s="117"/>
      <c r="BI426" s="117"/>
      <c r="BJ426" s="117"/>
      <c r="BK426" s="117"/>
      <c r="BL426" s="117"/>
      <c r="BM426" s="117">
        <f t="shared" si="66"/>
        <v>13</v>
      </c>
      <c r="BN426" s="117">
        <f t="shared" si="67"/>
        <v>3</v>
      </c>
      <c r="BO426" s="117">
        <f t="shared" si="68"/>
        <v>5</v>
      </c>
      <c r="BP426" s="153">
        <f t="shared" si="69"/>
        <v>7</v>
      </c>
      <c r="BQ426" s="74" t="s">
        <v>178</v>
      </c>
      <c r="BR426" s="74"/>
    </row>
    <row r="427" spans="1:70" hidden="1">
      <c r="A427">
        <v>413</v>
      </c>
      <c r="B427" s="75">
        <v>45892.713738425926</v>
      </c>
      <c r="E427" s="7">
        <v>45893</v>
      </c>
      <c r="F427">
        <v>968</v>
      </c>
      <c r="I427" s="10" t="s">
        <v>1596</v>
      </c>
      <c r="J427" s="69">
        <v>45893</v>
      </c>
      <c r="K427" s="97">
        <f t="shared" si="73"/>
        <v>8</v>
      </c>
      <c r="L427" s="97">
        <v>425</v>
      </c>
      <c r="O427" s="7" t="s">
        <v>197</v>
      </c>
      <c r="T427" t="s">
        <v>1597</v>
      </c>
      <c r="X427" s="36"/>
      <c r="Y427" s="36"/>
      <c r="Z427" s="36" t="s">
        <v>141</v>
      </c>
      <c r="AA427" s="36"/>
      <c r="AB427" s="36"/>
      <c r="AC427" s="36" t="s">
        <v>141</v>
      </c>
      <c r="AD427" s="36"/>
      <c r="AE427" s="36"/>
      <c r="AF427" s="36"/>
      <c r="AG427" s="36"/>
      <c r="AH427" s="36" t="s">
        <v>141</v>
      </c>
      <c r="AI427" s="36"/>
      <c r="AJ427" s="36" t="s">
        <v>141</v>
      </c>
      <c r="AK427" s="117"/>
      <c r="AL427" s="36" t="s">
        <v>141</v>
      </c>
      <c r="AM427" s="36"/>
      <c r="AN427" s="36"/>
      <c r="AO427" s="36"/>
      <c r="AP427" s="36" t="s">
        <v>141</v>
      </c>
      <c r="AQ427" s="36"/>
      <c r="AR427" s="36"/>
      <c r="AS427" s="36"/>
      <c r="AT427" s="36"/>
      <c r="AU427" s="36" t="s">
        <v>141</v>
      </c>
      <c r="AV427" s="36" t="s">
        <v>141</v>
      </c>
      <c r="AW427" s="117" t="s">
        <v>141</v>
      </c>
      <c r="AX427" s="117"/>
      <c r="AY427" s="36" t="s">
        <v>141</v>
      </c>
      <c r="AZ427" s="36"/>
      <c r="BA427" s="117"/>
      <c r="BB427" s="117"/>
      <c r="BC427" s="117"/>
      <c r="BD427" s="117"/>
      <c r="BE427" s="117"/>
      <c r="BF427" s="117"/>
      <c r="BG427" s="117"/>
      <c r="BH427" s="117"/>
      <c r="BI427" s="117"/>
      <c r="BJ427" s="117"/>
      <c r="BK427" s="117"/>
      <c r="BL427" s="117"/>
      <c r="BM427" s="117">
        <f t="shared" si="66"/>
        <v>10</v>
      </c>
      <c r="BN427" s="117">
        <f t="shared" si="67"/>
        <v>1</v>
      </c>
      <c r="BO427" s="117">
        <f t="shared" si="68"/>
        <v>2</v>
      </c>
      <c r="BP427" s="153">
        <f t="shared" si="69"/>
        <v>8</v>
      </c>
      <c r="BQ427" s="74" t="s">
        <v>1598</v>
      </c>
      <c r="BR427" s="74"/>
    </row>
    <row r="428" spans="1:70" hidden="1">
      <c r="A428">
        <v>414</v>
      </c>
      <c r="B428" s="75">
        <v>45893.085462962961</v>
      </c>
      <c r="E428" s="7">
        <v>45893</v>
      </c>
      <c r="F428">
        <v>969</v>
      </c>
      <c r="I428" s="10" t="s">
        <v>1599</v>
      </c>
      <c r="J428" s="69">
        <v>45893</v>
      </c>
      <c r="K428" s="97">
        <f t="shared" si="73"/>
        <v>8</v>
      </c>
      <c r="L428" s="97">
        <v>426</v>
      </c>
      <c r="O428" s="7" t="s">
        <v>156</v>
      </c>
      <c r="T428" t="s">
        <v>1600</v>
      </c>
      <c r="X428" s="36"/>
      <c r="Y428" s="36"/>
      <c r="Z428" s="36"/>
      <c r="AA428" s="36" t="s">
        <v>141</v>
      </c>
      <c r="AB428" s="36"/>
      <c r="AC428" s="36"/>
      <c r="AD428" s="36"/>
      <c r="AE428" s="36" t="s">
        <v>141</v>
      </c>
      <c r="AF428" s="36"/>
      <c r="AG428" s="36"/>
      <c r="AH428" s="36" t="s">
        <v>141</v>
      </c>
      <c r="AI428" s="36" t="s">
        <v>141</v>
      </c>
      <c r="AJ428" s="36"/>
      <c r="AK428" s="117"/>
      <c r="AL428" s="36" t="s">
        <v>141</v>
      </c>
      <c r="AM428" s="36"/>
      <c r="AN428" s="36"/>
      <c r="AO428" s="36"/>
      <c r="AP428" s="36" t="s">
        <v>141</v>
      </c>
      <c r="AQ428" s="36"/>
      <c r="AR428" s="36"/>
      <c r="AS428" s="36"/>
      <c r="AT428" s="36"/>
      <c r="AU428" s="36"/>
      <c r="AV428" s="36" t="s">
        <v>141</v>
      </c>
      <c r="AW428" s="117"/>
      <c r="AX428" s="117"/>
      <c r="AY428" s="36" t="s">
        <v>141</v>
      </c>
      <c r="AZ428" s="36"/>
      <c r="BA428" s="117" t="s">
        <v>141</v>
      </c>
      <c r="BB428" s="117"/>
      <c r="BC428" s="117" t="s">
        <v>141</v>
      </c>
      <c r="BD428" s="117"/>
      <c r="BE428" s="117"/>
      <c r="BF428" s="117"/>
      <c r="BG428" s="117"/>
      <c r="BH428" s="117"/>
      <c r="BI428" s="117"/>
      <c r="BJ428" s="117"/>
      <c r="BK428" s="117"/>
      <c r="BL428" s="117"/>
      <c r="BM428" s="117">
        <f t="shared" si="66"/>
        <v>10</v>
      </c>
      <c r="BN428" s="117">
        <f t="shared" si="67"/>
        <v>0</v>
      </c>
      <c r="BO428" s="117">
        <f t="shared" si="68"/>
        <v>1</v>
      </c>
      <c r="BP428" s="153">
        <f t="shared" si="69"/>
        <v>9</v>
      </c>
      <c r="BQ428" s="74" t="s">
        <v>1545</v>
      </c>
      <c r="BR428" s="74"/>
    </row>
    <row r="429" spans="1:70" hidden="1">
      <c r="A429">
        <v>415</v>
      </c>
      <c r="B429" s="75">
        <v>45893.175798611112</v>
      </c>
      <c r="E429" s="7">
        <v>45893</v>
      </c>
      <c r="F429">
        <v>970</v>
      </c>
      <c r="I429" s="10" t="s">
        <v>1601</v>
      </c>
      <c r="J429" s="69">
        <v>45893</v>
      </c>
      <c r="K429" s="97">
        <f t="shared" si="73"/>
        <v>8</v>
      </c>
      <c r="L429" s="97">
        <v>427</v>
      </c>
      <c r="O429" s="7" t="s">
        <v>197</v>
      </c>
      <c r="T429" t="s">
        <v>1602</v>
      </c>
      <c r="X429" s="36" t="s">
        <v>141</v>
      </c>
      <c r="Y429" s="36"/>
      <c r="Z429" s="36"/>
      <c r="AA429" s="36" t="s">
        <v>141</v>
      </c>
      <c r="AB429" s="36"/>
      <c r="AC429" s="36"/>
      <c r="AD429" s="36" t="s">
        <v>141</v>
      </c>
      <c r="AE429" s="36" t="s">
        <v>141</v>
      </c>
      <c r="AF429" s="36"/>
      <c r="AG429" s="36" t="s">
        <v>141</v>
      </c>
      <c r="AH429" s="36" t="s">
        <v>141</v>
      </c>
      <c r="AI429" s="36" t="s">
        <v>141</v>
      </c>
      <c r="AJ429" s="36"/>
      <c r="AK429" s="117"/>
      <c r="AL429" s="36" t="s">
        <v>141</v>
      </c>
      <c r="AM429" s="36"/>
      <c r="AN429" s="36"/>
      <c r="AO429" s="36"/>
      <c r="AP429" s="36" t="s">
        <v>141</v>
      </c>
      <c r="AQ429" s="36"/>
      <c r="AR429" s="36"/>
      <c r="AS429" s="36"/>
      <c r="AT429" s="36"/>
      <c r="AU429" s="36"/>
      <c r="AV429" s="36" t="s">
        <v>141</v>
      </c>
      <c r="AW429" s="117" t="s">
        <v>141</v>
      </c>
      <c r="AX429" s="117"/>
      <c r="AY429" s="36" t="s">
        <v>141</v>
      </c>
      <c r="AZ429" s="36"/>
      <c r="BA429" s="117" t="s">
        <v>141</v>
      </c>
      <c r="BB429" s="117"/>
      <c r="BC429" s="117" t="s">
        <v>141</v>
      </c>
      <c r="BD429" s="117"/>
      <c r="BE429" s="117"/>
      <c r="BF429" s="117"/>
      <c r="BG429" s="117"/>
      <c r="BH429" s="117"/>
      <c r="BI429" s="117"/>
      <c r="BJ429" s="117"/>
      <c r="BK429" s="117"/>
      <c r="BL429" s="117"/>
      <c r="BM429" s="117">
        <f t="shared" si="66"/>
        <v>14</v>
      </c>
      <c r="BN429" s="117">
        <f t="shared" si="67"/>
        <v>1</v>
      </c>
      <c r="BO429" s="117">
        <f t="shared" si="68"/>
        <v>3</v>
      </c>
      <c r="BP429" s="153">
        <f t="shared" si="69"/>
        <v>11</v>
      </c>
      <c r="BQ429" s="74" t="s">
        <v>215</v>
      </c>
      <c r="BR429" s="74"/>
    </row>
    <row r="430" spans="1:70" hidden="1">
      <c r="A430">
        <v>416</v>
      </c>
      <c r="B430" s="75">
        <v>45894.862442129626</v>
      </c>
      <c r="E430" s="7">
        <v>45895</v>
      </c>
      <c r="F430">
        <v>971</v>
      </c>
      <c r="I430" s="10" t="s">
        <v>1603</v>
      </c>
      <c r="J430" s="69">
        <v>45895</v>
      </c>
      <c r="K430" s="97">
        <f t="shared" ref="K430:K438" si="74">MONTH($J430)</f>
        <v>8</v>
      </c>
      <c r="L430" s="97">
        <v>428</v>
      </c>
      <c r="O430" s="7" t="s">
        <v>134</v>
      </c>
      <c r="T430" t="s">
        <v>1604</v>
      </c>
      <c r="X430" s="36"/>
      <c r="Y430" s="36" t="s">
        <v>141</v>
      </c>
      <c r="Z430" s="36"/>
      <c r="AA430" s="36" t="s">
        <v>141</v>
      </c>
      <c r="AB430" s="36"/>
      <c r="AC430" s="36"/>
      <c r="AD430" s="36" t="s">
        <v>141</v>
      </c>
      <c r="AE430" s="36"/>
      <c r="AF430" s="36"/>
      <c r="AG430" s="36"/>
      <c r="AH430" s="36" t="s">
        <v>141</v>
      </c>
      <c r="AI430" s="36"/>
      <c r="AJ430" s="36" t="s">
        <v>141</v>
      </c>
      <c r="AK430" s="117"/>
      <c r="AL430" s="36"/>
      <c r="AM430" s="36"/>
      <c r="AN430" s="36" t="s">
        <v>141</v>
      </c>
      <c r="AO430" s="36"/>
      <c r="AP430" s="36"/>
      <c r="AQ430" s="36"/>
      <c r="AR430" s="36"/>
      <c r="AS430" s="36"/>
      <c r="AT430" s="36"/>
      <c r="AU430" s="36"/>
      <c r="AV430" s="36"/>
      <c r="AW430" s="117" t="s">
        <v>141</v>
      </c>
      <c r="AX430" s="117"/>
      <c r="AY430" s="36"/>
      <c r="AZ430" s="36"/>
      <c r="BA430" s="117"/>
      <c r="BB430" s="117"/>
      <c r="BC430" s="117"/>
      <c r="BD430" s="117"/>
      <c r="BE430" s="117"/>
      <c r="BF430" s="117" t="s">
        <v>141</v>
      </c>
      <c r="BG430" s="117"/>
      <c r="BH430" s="117"/>
      <c r="BI430" s="117"/>
      <c r="BJ430" s="117"/>
      <c r="BK430" s="117"/>
      <c r="BL430" s="117"/>
      <c r="BM430" s="117">
        <f t="shared" si="66"/>
        <v>8</v>
      </c>
      <c r="BN430" s="117">
        <f t="shared" si="67"/>
        <v>2</v>
      </c>
      <c r="BO430" s="117">
        <f t="shared" si="68"/>
        <v>3</v>
      </c>
      <c r="BP430" s="153">
        <f t="shared" si="69"/>
        <v>4</v>
      </c>
      <c r="BQ430" s="74" t="s">
        <v>273</v>
      </c>
      <c r="BR430" s="74"/>
    </row>
    <row r="431" spans="1:70" hidden="1">
      <c r="A431">
        <v>417</v>
      </c>
      <c r="B431" s="75">
        <v>45895.010960648149</v>
      </c>
      <c r="E431" s="7">
        <v>45895</v>
      </c>
      <c r="F431">
        <v>972</v>
      </c>
      <c r="I431" s="10" t="s">
        <v>1605</v>
      </c>
      <c r="J431" s="69">
        <v>45895</v>
      </c>
      <c r="K431" s="97">
        <f t="shared" si="74"/>
        <v>8</v>
      </c>
      <c r="L431" s="97">
        <v>429</v>
      </c>
      <c r="O431" s="7" t="s">
        <v>156</v>
      </c>
      <c r="T431" t="s">
        <v>1606</v>
      </c>
      <c r="X431" s="36"/>
      <c r="Y431" s="36"/>
      <c r="Z431" s="36"/>
      <c r="AA431" s="36" t="s">
        <v>141</v>
      </c>
      <c r="AB431" s="36"/>
      <c r="AC431" s="36"/>
      <c r="AD431" s="36" t="s">
        <v>141</v>
      </c>
      <c r="AE431" s="36" t="s">
        <v>141</v>
      </c>
      <c r="AF431" s="36"/>
      <c r="AG431" s="36"/>
      <c r="AH431" s="36"/>
      <c r="AI431" s="36" t="s">
        <v>141</v>
      </c>
      <c r="AJ431" s="36" t="s">
        <v>141</v>
      </c>
      <c r="AK431" s="117"/>
      <c r="AL431" s="36"/>
      <c r="AM431" s="36"/>
      <c r="AN431" s="36" t="s">
        <v>141</v>
      </c>
      <c r="AO431" s="36"/>
      <c r="AP431" s="36"/>
      <c r="AQ431" s="36"/>
      <c r="AR431" s="36"/>
      <c r="AS431" s="36"/>
      <c r="AT431" s="36"/>
      <c r="AU431" s="36"/>
      <c r="AV431" s="36"/>
      <c r="AW431" s="117" t="s">
        <v>141</v>
      </c>
      <c r="AX431" s="117"/>
      <c r="AY431" s="36"/>
      <c r="AZ431" s="36" t="s">
        <v>141</v>
      </c>
      <c r="BA431" s="117"/>
      <c r="BB431" s="117" t="s">
        <v>141</v>
      </c>
      <c r="BC431" s="117"/>
      <c r="BD431" s="117"/>
      <c r="BE431" s="117"/>
      <c r="BF431" s="117" t="s">
        <v>141</v>
      </c>
      <c r="BG431" s="117"/>
      <c r="BH431" s="117"/>
      <c r="BI431" s="117"/>
      <c r="BJ431" s="117"/>
      <c r="BK431" s="117"/>
      <c r="BL431" s="117"/>
      <c r="BM431" s="117">
        <f t="shared" si="66"/>
        <v>10</v>
      </c>
      <c r="BN431" s="117">
        <f t="shared" si="67"/>
        <v>2</v>
      </c>
      <c r="BO431" s="117">
        <f t="shared" si="68"/>
        <v>2</v>
      </c>
      <c r="BP431" s="153">
        <f t="shared" si="69"/>
        <v>7</v>
      </c>
      <c r="BQ431" s="74" t="s">
        <v>840</v>
      </c>
      <c r="BR431" s="74"/>
    </row>
    <row r="432" spans="1:70" hidden="1">
      <c r="A432">
        <v>418</v>
      </c>
      <c r="B432" s="75">
        <v>45895.54855324074</v>
      </c>
      <c r="E432" s="7">
        <v>45896</v>
      </c>
      <c r="F432">
        <v>973</v>
      </c>
      <c r="I432" s="10" t="s">
        <v>1607</v>
      </c>
      <c r="J432" s="69">
        <v>45896</v>
      </c>
      <c r="K432" s="97">
        <f t="shared" si="74"/>
        <v>8</v>
      </c>
      <c r="L432" s="97">
        <v>430</v>
      </c>
      <c r="O432" s="7" t="s">
        <v>234</v>
      </c>
      <c r="T432" t="s">
        <v>1608</v>
      </c>
      <c r="X432" s="36" t="s">
        <v>141</v>
      </c>
      <c r="Y432" s="36"/>
      <c r="Z432" s="36" t="s">
        <v>141</v>
      </c>
      <c r="AA432" s="36" t="s">
        <v>141</v>
      </c>
      <c r="AB432" s="36"/>
      <c r="AC432" s="36"/>
      <c r="AD432" s="36" t="s">
        <v>141</v>
      </c>
      <c r="AE432" s="36"/>
      <c r="AF432" s="36"/>
      <c r="AG432" s="36"/>
      <c r="AH432" s="36" t="s">
        <v>141</v>
      </c>
      <c r="AI432" s="36" t="s">
        <v>141</v>
      </c>
      <c r="AJ432" s="36" t="s">
        <v>141</v>
      </c>
      <c r="AK432" s="117"/>
      <c r="AL432" s="36" t="s">
        <v>141</v>
      </c>
      <c r="AM432" s="36"/>
      <c r="AN432" s="36"/>
      <c r="AO432" s="36" t="s">
        <v>141</v>
      </c>
      <c r="AP432" s="36" t="s">
        <v>141</v>
      </c>
      <c r="AQ432" s="36"/>
      <c r="AR432" s="36" t="s">
        <v>141</v>
      </c>
      <c r="AS432" s="36" t="s">
        <v>141</v>
      </c>
      <c r="AT432" s="36" t="s">
        <v>141</v>
      </c>
      <c r="AU432" s="36"/>
      <c r="AV432" s="36"/>
      <c r="AW432" s="117" t="s">
        <v>141</v>
      </c>
      <c r="AX432" s="117"/>
      <c r="AY432" s="36"/>
      <c r="AZ432" s="36"/>
      <c r="BA432" s="117" t="s">
        <v>141</v>
      </c>
      <c r="BB432" s="117"/>
      <c r="BC432" s="117"/>
      <c r="BD432" s="117"/>
      <c r="BE432" s="117" t="s">
        <v>141</v>
      </c>
      <c r="BF432" s="117"/>
      <c r="BG432" s="117"/>
      <c r="BH432" s="117"/>
      <c r="BI432" s="117"/>
      <c r="BJ432" s="117"/>
      <c r="BK432" s="117"/>
      <c r="BL432" s="117"/>
      <c r="BM432" s="117">
        <f t="shared" si="66"/>
        <v>16</v>
      </c>
      <c r="BN432" s="117">
        <f t="shared" si="67"/>
        <v>3</v>
      </c>
      <c r="BO432" s="117">
        <f t="shared" si="68"/>
        <v>4</v>
      </c>
      <c r="BP432" s="153">
        <f t="shared" si="69"/>
        <v>11</v>
      </c>
      <c r="BQ432" s="74" t="s">
        <v>1598</v>
      </c>
      <c r="BR432" s="74"/>
    </row>
    <row r="433" spans="1:70" hidden="1">
      <c r="A433">
        <v>419</v>
      </c>
      <c r="B433" s="75">
        <v>45896.069907407407</v>
      </c>
      <c r="E433" s="7">
        <v>45896</v>
      </c>
      <c r="F433">
        <v>974</v>
      </c>
      <c r="I433" s="10" t="s">
        <v>1609</v>
      </c>
      <c r="J433" s="69">
        <v>45896</v>
      </c>
      <c r="K433" s="97">
        <f t="shared" si="74"/>
        <v>8</v>
      </c>
      <c r="L433" s="97">
        <v>431</v>
      </c>
      <c r="O433" s="7" t="s">
        <v>156</v>
      </c>
      <c r="T433" t="s">
        <v>1610</v>
      </c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 t="s">
        <v>141</v>
      </c>
      <c r="AI433" s="36" t="s">
        <v>141</v>
      </c>
      <c r="AJ433" s="36"/>
      <c r="AK433" s="117"/>
      <c r="AL433" s="36" t="s">
        <v>141</v>
      </c>
      <c r="AM433" s="36"/>
      <c r="AN433" s="36" t="s">
        <v>141</v>
      </c>
      <c r="AO433" s="36" t="s">
        <v>141</v>
      </c>
      <c r="AP433" s="36"/>
      <c r="AQ433" s="36"/>
      <c r="AR433" s="36"/>
      <c r="AS433" s="36" t="s">
        <v>141</v>
      </c>
      <c r="AT433" s="36" t="s">
        <v>141</v>
      </c>
      <c r="AU433" s="36"/>
      <c r="AV433" s="36" t="s">
        <v>141</v>
      </c>
      <c r="AW433" s="117" t="s">
        <v>141</v>
      </c>
      <c r="AX433" s="117"/>
      <c r="AY433" s="36" t="s">
        <v>141</v>
      </c>
      <c r="AZ433" s="36"/>
      <c r="BA433" s="117"/>
      <c r="BB433" s="117" t="s">
        <v>141</v>
      </c>
      <c r="BC433" s="117"/>
      <c r="BD433" s="117" t="s">
        <v>141</v>
      </c>
      <c r="BE433" s="117"/>
      <c r="BF433" s="117"/>
      <c r="BG433" s="117"/>
      <c r="BH433" s="117"/>
      <c r="BI433" s="117"/>
      <c r="BJ433" s="117"/>
      <c r="BK433" s="117"/>
      <c r="BL433" s="117"/>
      <c r="BM433" s="117">
        <f t="shared" si="66"/>
        <v>12</v>
      </c>
      <c r="BN433" s="117">
        <f t="shared" si="67"/>
        <v>2</v>
      </c>
      <c r="BO433" s="117">
        <f t="shared" si="68"/>
        <v>0</v>
      </c>
      <c r="BP433" s="153">
        <f t="shared" si="69"/>
        <v>11</v>
      </c>
      <c r="BQ433" s="74" t="s">
        <v>1598</v>
      </c>
      <c r="BR433" s="74"/>
    </row>
    <row r="434" spans="1:70" hidden="1">
      <c r="A434">
        <v>420</v>
      </c>
      <c r="B434" s="75">
        <v>45896.878900462965</v>
      </c>
      <c r="E434" s="7">
        <v>45896</v>
      </c>
      <c r="F434">
        <v>975</v>
      </c>
      <c r="I434" s="10" t="s">
        <v>1611</v>
      </c>
      <c r="J434" s="69">
        <v>45897</v>
      </c>
      <c r="K434" s="97">
        <f t="shared" si="74"/>
        <v>8</v>
      </c>
      <c r="L434" s="97">
        <v>432</v>
      </c>
      <c r="O434" s="7" t="s">
        <v>156</v>
      </c>
      <c r="T434" t="s">
        <v>1612</v>
      </c>
      <c r="X434" s="36"/>
      <c r="Y434" s="36" t="s">
        <v>141</v>
      </c>
      <c r="Z434" s="36"/>
      <c r="AA434" s="36" t="s">
        <v>141</v>
      </c>
      <c r="AB434" s="36"/>
      <c r="AC434" s="36"/>
      <c r="AD434" s="36" t="s">
        <v>141</v>
      </c>
      <c r="AE434" s="36"/>
      <c r="AF434" s="36"/>
      <c r="AG434" s="36"/>
      <c r="AH434" s="36"/>
      <c r="AI434" s="36" t="s">
        <v>141</v>
      </c>
      <c r="AJ434" s="36" t="s">
        <v>141</v>
      </c>
      <c r="AK434" s="117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117"/>
      <c r="AX434" s="117"/>
      <c r="AY434" s="36"/>
      <c r="AZ434" s="36"/>
      <c r="BA434" s="117"/>
      <c r="BB434" s="117" t="s">
        <v>141</v>
      </c>
      <c r="BC434" s="117"/>
      <c r="BD434" s="117"/>
      <c r="BE434" s="117"/>
      <c r="BF434" s="117"/>
      <c r="BG434" s="117"/>
      <c r="BH434" s="117"/>
      <c r="BI434" s="117"/>
      <c r="BJ434" s="117"/>
      <c r="BK434" s="117"/>
      <c r="BL434" s="117"/>
      <c r="BM434" s="117">
        <f t="shared" si="66"/>
        <v>6</v>
      </c>
      <c r="BN434" s="117">
        <f t="shared" si="67"/>
        <v>1</v>
      </c>
      <c r="BO434" s="117">
        <f t="shared" si="68"/>
        <v>3</v>
      </c>
      <c r="BP434" s="153">
        <f t="shared" si="69"/>
        <v>3</v>
      </c>
      <c r="BQ434" s="74" t="s">
        <v>502</v>
      </c>
      <c r="BR434" s="74"/>
    </row>
    <row r="435" spans="1:70" hidden="1">
      <c r="A435">
        <v>421</v>
      </c>
      <c r="B435" s="75">
        <v>45897.300150462965</v>
      </c>
      <c r="E435" s="7">
        <v>45896</v>
      </c>
      <c r="F435">
        <v>976</v>
      </c>
      <c r="I435" s="10" t="s">
        <v>1613</v>
      </c>
      <c r="J435" s="69">
        <v>45897</v>
      </c>
      <c r="K435" s="97">
        <f t="shared" si="74"/>
        <v>8</v>
      </c>
      <c r="L435" s="97">
        <v>433</v>
      </c>
      <c r="O435" s="7" t="s">
        <v>449</v>
      </c>
      <c r="T435" t="s">
        <v>1614</v>
      </c>
      <c r="X435" s="36" t="s">
        <v>141</v>
      </c>
      <c r="Y435" s="36"/>
      <c r="Z435" s="36"/>
      <c r="AA435" s="36" t="s">
        <v>141</v>
      </c>
      <c r="AB435" s="36"/>
      <c r="AC435" s="36"/>
      <c r="AD435" s="36" t="s">
        <v>141</v>
      </c>
      <c r="AE435" s="36" t="s">
        <v>141</v>
      </c>
      <c r="AF435" s="36"/>
      <c r="AG435" s="36"/>
      <c r="AH435" s="36"/>
      <c r="AI435" s="36"/>
      <c r="AJ435" s="36"/>
      <c r="AK435" s="117"/>
      <c r="AL435" s="36" t="s">
        <v>141</v>
      </c>
      <c r="AM435" s="36"/>
      <c r="AN435" s="36"/>
      <c r="AO435" s="36" t="s">
        <v>141</v>
      </c>
      <c r="AP435" s="36"/>
      <c r="AQ435" s="36"/>
      <c r="AR435" s="36"/>
      <c r="AS435" s="36" t="s">
        <v>141</v>
      </c>
      <c r="AT435" s="36" t="s">
        <v>141</v>
      </c>
      <c r="AU435" s="36"/>
      <c r="AV435" s="36"/>
      <c r="AW435" s="117"/>
      <c r="AX435" s="117"/>
      <c r="AY435" s="36"/>
      <c r="AZ435" s="36" t="s">
        <v>141</v>
      </c>
      <c r="BA435" s="117"/>
      <c r="BB435" s="117"/>
      <c r="BC435" s="117"/>
      <c r="BD435" s="117" t="s">
        <v>141</v>
      </c>
      <c r="BE435" s="117"/>
      <c r="BF435" s="117"/>
      <c r="BG435" s="117"/>
      <c r="BH435" s="117"/>
      <c r="BI435" s="117"/>
      <c r="BJ435" s="117"/>
      <c r="BK435" s="117"/>
      <c r="BL435" s="117"/>
      <c r="BM435" s="117">
        <f t="shared" si="66"/>
        <v>10</v>
      </c>
      <c r="BN435" s="117">
        <f t="shared" si="67"/>
        <v>1</v>
      </c>
      <c r="BO435" s="117">
        <f t="shared" si="68"/>
        <v>3</v>
      </c>
      <c r="BP435" s="153">
        <f t="shared" si="69"/>
        <v>6</v>
      </c>
      <c r="BQ435" s="74" t="s">
        <v>1181</v>
      </c>
      <c r="BR435" s="74"/>
    </row>
    <row r="436" spans="1:70" hidden="1">
      <c r="A436">
        <v>422</v>
      </c>
      <c r="B436" s="75">
        <v>45897.609629629631</v>
      </c>
      <c r="E436" s="7">
        <v>45898</v>
      </c>
      <c r="F436">
        <v>977</v>
      </c>
      <c r="I436" s="10" t="s">
        <v>1615</v>
      </c>
      <c r="J436" s="69">
        <v>45898</v>
      </c>
      <c r="K436" s="97">
        <f t="shared" si="74"/>
        <v>8</v>
      </c>
      <c r="L436" s="97">
        <v>434</v>
      </c>
      <c r="O436" s="7" t="s">
        <v>156</v>
      </c>
      <c r="T436" t="s">
        <v>1616</v>
      </c>
      <c r="X436" s="36"/>
      <c r="Y436" s="36" t="s">
        <v>141</v>
      </c>
      <c r="Z436" s="36"/>
      <c r="AA436" s="36"/>
      <c r="AB436" s="36"/>
      <c r="AC436" s="36"/>
      <c r="AD436" s="36"/>
      <c r="AE436" s="36" t="s">
        <v>141</v>
      </c>
      <c r="AF436" s="36"/>
      <c r="AG436" s="36"/>
      <c r="AH436" s="36" t="s">
        <v>141</v>
      </c>
      <c r="AI436" s="36" t="s">
        <v>141</v>
      </c>
      <c r="AJ436" s="36"/>
      <c r="AK436" s="117"/>
      <c r="AL436" s="36" t="s">
        <v>141</v>
      </c>
      <c r="AM436" s="36"/>
      <c r="AN436" s="36"/>
      <c r="AO436" s="36"/>
      <c r="AP436" s="36"/>
      <c r="AQ436" s="36"/>
      <c r="AR436" s="36"/>
      <c r="AS436" s="36"/>
      <c r="AT436" s="36" t="s">
        <v>141</v>
      </c>
      <c r="AU436" s="36"/>
      <c r="AV436" s="36" t="s">
        <v>141</v>
      </c>
      <c r="AW436" s="117"/>
      <c r="AX436" s="117"/>
      <c r="AY436" s="36"/>
      <c r="AZ436" s="36"/>
      <c r="BA436" s="117"/>
      <c r="BB436" s="117"/>
      <c r="BC436" s="117" t="s">
        <v>141</v>
      </c>
      <c r="BD436" s="117" t="s">
        <v>141</v>
      </c>
      <c r="BE436" s="117"/>
      <c r="BF436" s="117"/>
      <c r="BG436" s="117"/>
      <c r="BH436" s="117"/>
      <c r="BI436" s="117"/>
      <c r="BJ436" s="117"/>
      <c r="BK436" s="117"/>
      <c r="BL436" s="117"/>
      <c r="BM436" s="117">
        <f t="shared" si="66"/>
        <v>9</v>
      </c>
      <c r="BN436" s="117">
        <f t="shared" si="67"/>
        <v>0</v>
      </c>
      <c r="BO436" s="117">
        <f t="shared" si="68"/>
        <v>1</v>
      </c>
      <c r="BP436" s="153">
        <f t="shared" si="69"/>
        <v>7</v>
      </c>
      <c r="BQ436" s="74" t="s">
        <v>171</v>
      </c>
      <c r="BR436" s="74"/>
    </row>
    <row r="437" spans="1:70" hidden="1">
      <c r="A437">
        <v>423</v>
      </c>
      <c r="B437" s="75">
        <v>45897.658425925925</v>
      </c>
      <c r="E437" s="7">
        <v>45898</v>
      </c>
      <c r="F437">
        <v>978</v>
      </c>
      <c r="I437" s="10" t="s">
        <v>1617</v>
      </c>
      <c r="J437" s="69">
        <v>45898</v>
      </c>
      <c r="K437" s="97">
        <f t="shared" si="74"/>
        <v>8</v>
      </c>
      <c r="L437" s="97">
        <v>435</v>
      </c>
      <c r="O437" s="7" t="s">
        <v>1618</v>
      </c>
      <c r="T437" t="s">
        <v>1619</v>
      </c>
      <c r="X437" s="36"/>
      <c r="Y437" s="36" t="s">
        <v>141</v>
      </c>
      <c r="Z437" s="36"/>
      <c r="AA437" s="36"/>
      <c r="AB437" s="36"/>
      <c r="AC437" s="36"/>
      <c r="AD437" s="36" t="s">
        <v>141</v>
      </c>
      <c r="AE437" s="36" t="s">
        <v>141</v>
      </c>
      <c r="AF437" s="36"/>
      <c r="AG437" s="36"/>
      <c r="AH437" s="36" t="s">
        <v>141</v>
      </c>
      <c r="AI437" s="36" t="s">
        <v>141</v>
      </c>
      <c r="AJ437" s="36"/>
      <c r="AK437" s="117"/>
      <c r="AL437" s="36" t="s">
        <v>141</v>
      </c>
      <c r="AM437" s="36"/>
      <c r="AN437" s="36"/>
      <c r="AO437" s="36"/>
      <c r="AP437" s="36"/>
      <c r="AQ437" s="36"/>
      <c r="AR437" s="36"/>
      <c r="AS437" s="36"/>
      <c r="AT437" s="36"/>
      <c r="AU437" s="36"/>
      <c r="AV437" s="36" t="s">
        <v>141</v>
      </c>
      <c r="AW437" s="117"/>
      <c r="AX437" s="117"/>
      <c r="AY437" s="36"/>
      <c r="AZ437" s="36"/>
      <c r="BA437" s="117"/>
      <c r="BB437" s="117"/>
      <c r="BC437" s="117" t="s">
        <v>141</v>
      </c>
      <c r="BD437" s="117"/>
      <c r="BE437" s="117"/>
      <c r="BF437" s="117"/>
      <c r="BG437" s="117"/>
      <c r="BH437" s="117"/>
      <c r="BI437" s="117"/>
      <c r="BJ437" s="117"/>
      <c r="BK437" s="117"/>
      <c r="BL437" s="117"/>
      <c r="BM437" s="117">
        <f t="shared" si="66"/>
        <v>8</v>
      </c>
      <c r="BN437" s="117">
        <f t="shared" si="67"/>
        <v>0</v>
      </c>
      <c r="BO437" s="117">
        <f t="shared" si="68"/>
        <v>2</v>
      </c>
      <c r="BP437" s="153">
        <f t="shared" si="69"/>
        <v>6</v>
      </c>
      <c r="BQ437" s="74" t="s">
        <v>171</v>
      </c>
      <c r="BR437" s="74"/>
    </row>
    <row r="438" spans="1:70" hidden="1">
      <c r="A438">
        <v>424</v>
      </c>
      <c r="B438" s="75">
        <v>45897.871712962966</v>
      </c>
      <c r="E438" s="7">
        <v>45898</v>
      </c>
      <c r="F438">
        <v>979</v>
      </c>
      <c r="I438" s="10" t="s">
        <v>1620</v>
      </c>
      <c r="J438" s="69">
        <v>45898</v>
      </c>
      <c r="K438" s="97">
        <f t="shared" si="74"/>
        <v>8</v>
      </c>
      <c r="L438" s="97">
        <v>436</v>
      </c>
      <c r="O438" s="7" t="s">
        <v>134</v>
      </c>
      <c r="T438" t="s">
        <v>1621</v>
      </c>
      <c r="X438" s="36"/>
      <c r="Y438" s="36"/>
      <c r="Z438" s="36"/>
      <c r="AA438" s="36"/>
      <c r="AB438" s="36"/>
      <c r="AC438" s="36"/>
      <c r="AD438" s="36" t="s">
        <v>141</v>
      </c>
      <c r="AE438" s="36"/>
      <c r="AF438" s="36"/>
      <c r="AG438" s="36"/>
      <c r="AH438" s="36" t="s">
        <v>141</v>
      </c>
      <c r="AI438" s="36"/>
      <c r="AJ438" s="36" t="s">
        <v>141</v>
      </c>
      <c r="AK438" s="117"/>
      <c r="AL438" s="36"/>
      <c r="AM438" s="36"/>
      <c r="AN438" s="36"/>
      <c r="AO438" s="36"/>
      <c r="AP438" s="36"/>
      <c r="AQ438" s="36"/>
      <c r="AR438" s="36"/>
      <c r="AS438" s="36"/>
      <c r="AT438" s="36" t="s">
        <v>141</v>
      </c>
      <c r="AU438" s="36"/>
      <c r="AV438" s="36" t="s">
        <v>141</v>
      </c>
      <c r="AW438" s="117"/>
      <c r="AX438" s="117"/>
      <c r="AY438" s="36"/>
      <c r="AZ438" s="36"/>
      <c r="BA438" s="117"/>
      <c r="BB438" s="117" t="s">
        <v>141</v>
      </c>
      <c r="BC438" s="117"/>
      <c r="BD438" s="117"/>
      <c r="BE438" s="117"/>
      <c r="BF438" s="117" t="s">
        <v>141</v>
      </c>
      <c r="BG438" s="117"/>
      <c r="BH438" s="117"/>
      <c r="BI438" s="117"/>
      <c r="BJ438" s="117"/>
      <c r="BK438" s="117"/>
      <c r="BL438" s="117"/>
      <c r="BM438" s="117">
        <f t="shared" si="66"/>
        <v>7</v>
      </c>
      <c r="BN438" s="117">
        <f t="shared" si="67"/>
        <v>1</v>
      </c>
      <c r="BO438" s="117">
        <f t="shared" si="68"/>
        <v>1</v>
      </c>
      <c r="BP438" s="153">
        <f t="shared" si="69"/>
        <v>5</v>
      </c>
      <c r="BQ438" s="74" t="s">
        <v>1559</v>
      </c>
      <c r="BR438" s="74"/>
    </row>
    <row r="439" spans="1:70" hidden="1">
      <c r="A439">
        <v>425</v>
      </c>
      <c r="B439" s="75">
        <v>45898.123368055552</v>
      </c>
      <c r="E439" s="7">
        <v>45898</v>
      </c>
      <c r="F439">
        <v>980</v>
      </c>
      <c r="I439" s="10" t="s">
        <v>1622</v>
      </c>
      <c r="J439" s="69">
        <v>45898</v>
      </c>
      <c r="K439" s="97">
        <f t="shared" ref="K439:K447" si="75">MONTH($J439)</f>
        <v>8</v>
      </c>
      <c r="L439" s="97">
        <v>437</v>
      </c>
      <c r="O439" s="7" t="s">
        <v>254</v>
      </c>
      <c r="T439" t="s">
        <v>1623</v>
      </c>
      <c r="X439" s="36" t="s">
        <v>141</v>
      </c>
      <c r="Y439" s="36"/>
      <c r="Z439" s="36"/>
      <c r="AA439" s="36"/>
      <c r="AB439" s="36"/>
      <c r="AC439" s="36"/>
      <c r="AD439" s="36" t="s">
        <v>141</v>
      </c>
      <c r="AE439" s="36" t="s">
        <v>141</v>
      </c>
      <c r="AF439" s="36"/>
      <c r="AG439" s="36"/>
      <c r="AH439" s="36" t="s">
        <v>141</v>
      </c>
      <c r="AI439" s="36"/>
      <c r="AJ439" s="36" t="s">
        <v>141</v>
      </c>
      <c r="AK439" s="117"/>
      <c r="AL439" s="36"/>
      <c r="AM439" s="36"/>
      <c r="AN439" s="36"/>
      <c r="AO439" s="36"/>
      <c r="AP439" s="36"/>
      <c r="AQ439" s="36"/>
      <c r="AR439" s="36"/>
      <c r="AS439" s="36"/>
      <c r="AT439" s="36" t="s">
        <v>141</v>
      </c>
      <c r="AU439" s="36"/>
      <c r="AV439" s="36"/>
      <c r="AW439" s="117"/>
      <c r="AX439" s="117"/>
      <c r="AY439" s="36"/>
      <c r="AZ439" s="36"/>
      <c r="BA439" s="117"/>
      <c r="BB439" s="117"/>
      <c r="BC439" s="117"/>
      <c r="BD439" s="117" t="s">
        <v>141</v>
      </c>
      <c r="BE439" s="117"/>
      <c r="BF439" s="117" t="s">
        <v>141</v>
      </c>
      <c r="BG439" s="117"/>
      <c r="BH439" s="117"/>
      <c r="BI439" s="117"/>
      <c r="BJ439" s="117"/>
      <c r="BK439" s="117"/>
      <c r="BL439" s="117"/>
      <c r="BM439" s="117">
        <f t="shared" si="66"/>
        <v>8</v>
      </c>
      <c r="BN439" s="117">
        <f t="shared" si="67"/>
        <v>1</v>
      </c>
      <c r="BO439" s="117">
        <f t="shared" si="68"/>
        <v>2</v>
      </c>
      <c r="BP439" s="153">
        <f t="shared" si="69"/>
        <v>4</v>
      </c>
      <c r="BQ439" s="74" t="s">
        <v>639</v>
      </c>
      <c r="BR439" s="74"/>
    </row>
    <row r="440" spans="1:70" hidden="1">
      <c r="A440">
        <v>426</v>
      </c>
      <c r="B440" s="75">
        <v>45898.276122685187</v>
      </c>
      <c r="E440" s="7">
        <v>45898</v>
      </c>
      <c r="F440">
        <v>981</v>
      </c>
      <c r="I440" s="10" t="s">
        <v>1624</v>
      </c>
      <c r="J440" s="69">
        <v>45898</v>
      </c>
      <c r="K440" s="97">
        <f t="shared" si="75"/>
        <v>8</v>
      </c>
      <c r="L440" s="97">
        <v>438</v>
      </c>
      <c r="O440" s="7" t="s">
        <v>156</v>
      </c>
      <c r="T440" t="s">
        <v>1625</v>
      </c>
      <c r="X440" s="36" t="s">
        <v>141</v>
      </c>
      <c r="Y440" s="36" t="s">
        <v>141</v>
      </c>
      <c r="Z440" s="36"/>
      <c r="AA440" s="36"/>
      <c r="AB440" s="36"/>
      <c r="AC440" s="36"/>
      <c r="AD440" s="36" t="s">
        <v>141</v>
      </c>
      <c r="AE440" s="36" t="s">
        <v>141</v>
      </c>
      <c r="AF440" s="36"/>
      <c r="AG440" s="36" t="s">
        <v>141</v>
      </c>
      <c r="AH440" s="36" t="s">
        <v>141</v>
      </c>
      <c r="AI440" s="36" t="s">
        <v>141</v>
      </c>
      <c r="AJ440" s="36" t="s">
        <v>141</v>
      </c>
      <c r="AK440" s="117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 t="s">
        <v>141</v>
      </c>
      <c r="AW440" s="117"/>
      <c r="AX440" s="117"/>
      <c r="AY440" s="36"/>
      <c r="AZ440" s="36" t="s">
        <v>141</v>
      </c>
      <c r="BA440" s="117"/>
      <c r="BB440" s="117"/>
      <c r="BC440" s="117"/>
      <c r="BD440" s="117" t="s">
        <v>141</v>
      </c>
      <c r="BE440" s="117"/>
      <c r="BF440" s="117"/>
      <c r="BG440" s="117"/>
      <c r="BH440" s="117"/>
      <c r="BI440" s="117"/>
      <c r="BJ440" s="117"/>
      <c r="BK440" s="117"/>
      <c r="BL440" s="117"/>
      <c r="BM440" s="117">
        <f t="shared" si="66"/>
        <v>11</v>
      </c>
      <c r="BN440" s="117">
        <f t="shared" si="67"/>
        <v>2</v>
      </c>
      <c r="BO440" s="117">
        <f t="shared" si="68"/>
        <v>3</v>
      </c>
      <c r="BP440" s="153">
        <f t="shared" si="69"/>
        <v>7</v>
      </c>
      <c r="BQ440" s="74" t="s">
        <v>532</v>
      </c>
      <c r="BR440" s="74"/>
    </row>
    <row r="441" spans="1:70" hidden="1">
      <c r="A441">
        <v>427</v>
      </c>
      <c r="B441" s="75">
        <v>45898.624120370368</v>
      </c>
      <c r="E441" s="7">
        <v>45899</v>
      </c>
      <c r="F441">
        <v>982</v>
      </c>
      <c r="I441" s="10" t="s">
        <v>1626</v>
      </c>
      <c r="J441" s="69">
        <v>45899</v>
      </c>
      <c r="K441" s="97">
        <f t="shared" si="75"/>
        <v>8</v>
      </c>
      <c r="L441" s="97">
        <v>439</v>
      </c>
      <c r="O441" s="7" t="s">
        <v>134</v>
      </c>
      <c r="T441" t="s">
        <v>1627</v>
      </c>
      <c r="X441" s="36"/>
      <c r="Y441" s="36" t="s">
        <v>141</v>
      </c>
      <c r="Z441" s="36"/>
      <c r="AA441" s="36"/>
      <c r="AB441" s="36"/>
      <c r="AC441" s="36" t="s">
        <v>141</v>
      </c>
      <c r="AD441" s="36" t="s">
        <v>141</v>
      </c>
      <c r="AE441" s="36"/>
      <c r="AF441" s="36"/>
      <c r="AG441" s="36" t="s">
        <v>141</v>
      </c>
      <c r="AH441" s="36" t="s">
        <v>141</v>
      </c>
      <c r="AI441" s="36" t="s">
        <v>141</v>
      </c>
      <c r="AJ441" s="36" t="s">
        <v>141</v>
      </c>
      <c r="AK441" s="117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 t="s">
        <v>141</v>
      </c>
      <c r="AW441" s="117"/>
      <c r="AX441" s="117"/>
      <c r="AY441" s="36"/>
      <c r="AZ441" s="36"/>
      <c r="BA441" s="117" t="s">
        <v>141</v>
      </c>
      <c r="BB441" s="117"/>
      <c r="BC441" s="117"/>
      <c r="BD441" s="117"/>
      <c r="BE441" s="117"/>
      <c r="BF441" s="117"/>
      <c r="BG441" s="117"/>
      <c r="BH441" s="117"/>
      <c r="BI441" s="117"/>
      <c r="BJ441" s="117"/>
      <c r="BK441" s="117"/>
      <c r="BL441" s="117"/>
      <c r="BM441" s="117">
        <f t="shared" si="66"/>
        <v>9</v>
      </c>
      <c r="BN441" s="117">
        <f t="shared" si="67"/>
        <v>2</v>
      </c>
      <c r="BO441" s="117">
        <f t="shared" si="68"/>
        <v>3</v>
      </c>
      <c r="BP441" s="153">
        <f t="shared" si="69"/>
        <v>6</v>
      </c>
      <c r="BQ441" s="74" t="s">
        <v>308</v>
      </c>
      <c r="BR441" s="74"/>
    </row>
    <row r="442" spans="1:70" hidden="1">
      <c r="A442">
        <v>428</v>
      </c>
      <c r="B442" s="75">
        <v>45900.053854166668</v>
      </c>
      <c r="E442" s="7">
        <v>45900</v>
      </c>
      <c r="F442">
        <v>983</v>
      </c>
      <c r="I442" s="10" t="s">
        <v>1628</v>
      </c>
      <c r="J442" s="69">
        <v>45900</v>
      </c>
      <c r="K442" s="97">
        <f t="shared" si="75"/>
        <v>8</v>
      </c>
      <c r="L442" s="97">
        <v>440</v>
      </c>
      <c r="O442" s="7" t="s">
        <v>156</v>
      </c>
      <c r="T442" t="s">
        <v>1629</v>
      </c>
      <c r="X442" s="36" t="s">
        <v>141</v>
      </c>
      <c r="Y442" s="36"/>
      <c r="Z442" s="36"/>
      <c r="AA442" s="36" t="s">
        <v>141</v>
      </c>
      <c r="AB442" s="36"/>
      <c r="AC442" s="36"/>
      <c r="AD442" s="36" t="s">
        <v>141</v>
      </c>
      <c r="AE442" s="36" t="s">
        <v>141</v>
      </c>
      <c r="AF442" s="36" t="s">
        <v>141</v>
      </c>
      <c r="AG442" s="36" t="s">
        <v>141</v>
      </c>
      <c r="AH442" s="36" t="s">
        <v>141</v>
      </c>
      <c r="AI442" s="36"/>
      <c r="AJ442" s="36" t="s">
        <v>141</v>
      </c>
      <c r="AK442" s="117"/>
      <c r="AL442" s="36"/>
      <c r="AM442" s="36"/>
      <c r="AN442" s="36"/>
      <c r="AO442" s="36"/>
      <c r="AP442" s="36"/>
      <c r="AQ442" s="36"/>
      <c r="AR442" s="36"/>
      <c r="AS442" s="36" t="s">
        <v>141</v>
      </c>
      <c r="AT442" s="36"/>
      <c r="AU442" s="36"/>
      <c r="AV442" s="36"/>
      <c r="AW442" s="117" t="s">
        <v>141</v>
      </c>
      <c r="AX442" s="117"/>
      <c r="AY442" s="36" t="s">
        <v>141</v>
      </c>
      <c r="AZ442" s="36"/>
      <c r="BA442" s="117" t="s">
        <v>141</v>
      </c>
      <c r="BB442" s="117"/>
      <c r="BC442" s="117"/>
      <c r="BD442" s="117"/>
      <c r="BE442" s="117"/>
      <c r="BF442" s="117" t="s">
        <v>141</v>
      </c>
      <c r="BG442" s="117"/>
      <c r="BH442" s="117"/>
      <c r="BI442" s="117"/>
      <c r="BJ442" s="117"/>
      <c r="BK442" s="117"/>
      <c r="BL442" s="117"/>
      <c r="BM442" s="117">
        <f t="shared" si="66"/>
        <v>13</v>
      </c>
      <c r="BN442" s="117">
        <f t="shared" si="67"/>
        <v>3</v>
      </c>
      <c r="BO442" s="117">
        <f t="shared" si="68"/>
        <v>3</v>
      </c>
      <c r="BP442" s="153">
        <f t="shared" si="69"/>
        <v>9</v>
      </c>
      <c r="BQ442" s="74" t="s">
        <v>178</v>
      </c>
      <c r="BR442" s="74"/>
    </row>
    <row r="443" spans="1:70" hidden="1">
      <c r="A443">
        <v>429</v>
      </c>
      <c r="B443" s="75">
        <v>45900.228159722225</v>
      </c>
      <c r="E443" s="7">
        <v>45900</v>
      </c>
      <c r="F443">
        <v>984</v>
      </c>
      <c r="I443" s="10" t="s">
        <v>1630</v>
      </c>
      <c r="J443" s="69">
        <v>45900</v>
      </c>
      <c r="K443" s="97">
        <f t="shared" si="75"/>
        <v>8</v>
      </c>
      <c r="L443" s="97">
        <v>441</v>
      </c>
      <c r="O443" s="7" t="s">
        <v>1631</v>
      </c>
      <c r="T443" t="s">
        <v>1632</v>
      </c>
      <c r="X443" s="36"/>
      <c r="Y443" s="36"/>
      <c r="Z443" s="36"/>
      <c r="AA443" s="36" t="s">
        <v>141</v>
      </c>
      <c r="AB443" s="36"/>
      <c r="AC443" s="36"/>
      <c r="AD443" s="36" t="s">
        <v>141</v>
      </c>
      <c r="AE443" s="36"/>
      <c r="AF443" s="36" t="s">
        <v>141</v>
      </c>
      <c r="AG443" s="36" t="s">
        <v>141</v>
      </c>
      <c r="AH443" s="36"/>
      <c r="AI443" s="36"/>
      <c r="AJ443" s="36"/>
      <c r="AK443" s="117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 t="s">
        <v>141</v>
      </c>
      <c r="AW443" s="117"/>
      <c r="AX443" s="117"/>
      <c r="AY443" s="36" t="s">
        <v>141</v>
      </c>
      <c r="AZ443" s="36"/>
      <c r="BA443" s="117"/>
      <c r="BB443" s="117"/>
      <c r="BC443" s="117"/>
      <c r="BD443" s="117"/>
      <c r="BE443" s="117"/>
      <c r="BF443" s="117" t="s">
        <v>141</v>
      </c>
      <c r="BG443" s="117"/>
      <c r="BH443" s="117"/>
      <c r="BI443" s="117"/>
      <c r="BJ443" s="117"/>
      <c r="BK443" s="117"/>
      <c r="BL443" s="117"/>
      <c r="BM443" s="117">
        <f t="shared" si="66"/>
        <v>7</v>
      </c>
      <c r="BN443" s="117">
        <f t="shared" si="67"/>
        <v>1</v>
      </c>
      <c r="BO443" s="117">
        <f t="shared" si="68"/>
        <v>2</v>
      </c>
      <c r="BP443" s="153">
        <f t="shared" si="69"/>
        <v>4</v>
      </c>
      <c r="BQ443" s="74" t="s">
        <v>178</v>
      </c>
      <c r="BR443" s="74"/>
    </row>
    <row r="444" spans="1:70" hidden="1">
      <c r="A444">
        <v>430</v>
      </c>
      <c r="B444" s="75">
        <v>45900.941828703704</v>
      </c>
      <c r="E444" s="7">
        <v>45900</v>
      </c>
      <c r="F444">
        <v>985</v>
      </c>
      <c r="I444" s="10" t="s">
        <v>1633</v>
      </c>
      <c r="J444" s="69">
        <v>45901</v>
      </c>
      <c r="K444" s="97">
        <f t="shared" si="75"/>
        <v>9</v>
      </c>
      <c r="L444" s="97">
        <v>442</v>
      </c>
      <c r="O444" s="7" t="s">
        <v>134</v>
      </c>
      <c r="T444" t="s">
        <v>1634</v>
      </c>
      <c r="X444" s="36"/>
      <c r="Y444" s="36"/>
      <c r="Z444" s="36"/>
      <c r="AA444" s="36"/>
      <c r="AB444" s="36"/>
      <c r="AC444" s="36"/>
      <c r="AD444" s="36" t="s">
        <v>141</v>
      </c>
      <c r="AE444" s="36"/>
      <c r="AF444" s="36"/>
      <c r="AG444" s="36"/>
      <c r="AH444" s="36" t="s">
        <v>141</v>
      </c>
      <c r="AI444" s="36"/>
      <c r="AJ444" s="36" t="s">
        <v>141</v>
      </c>
      <c r="AK444" s="117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 t="s">
        <v>141</v>
      </c>
      <c r="AW444" s="117" t="s">
        <v>141</v>
      </c>
      <c r="AX444" s="117"/>
      <c r="AY444" s="36"/>
      <c r="AZ444" s="36"/>
      <c r="BA444" s="117"/>
      <c r="BB444" s="117"/>
      <c r="BC444" s="117"/>
      <c r="BD444" s="117"/>
      <c r="BE444" s="117" t="s">
        <v>141</v>
      </c>
      <c r="BF444" s="117" t="s">
        <v>141</v>
      </c>
      <c r="BG444" s="117"/>
      <c r="BH444" s="117"/>
      <c r="BI444" s="117"/>
      <c r="BJ444" s="117"/>
      <c r="BK444" s="117"/>
      <c r="BL444" s="117"/>
      <c r="BM444" s="117">
        <f t="shared" si="66"/>
        <v>7</v>
      </c>
      <c r="BN444" s="117">
        <f t="shared" si="67"/>
        <v>1</v>
      </c>
      <c r="BO444" s="117">
        <f t="shared" si="68"/>
        <v>1</v>
      </c>
      <c r="BP444" s="153">
        <f t="shared" si="69"/>
        <v>4</v>
      </c>
      <c r="BQ444" s="74" t="s">
        <v>1033</v>
      </c>
      <c r="BR444" s="74"/>
    </row>
    <row r="445" spans="1:70" hidden="1">
      <c r="A445">
        <v>431</v>
      </c>
      <c r="B445" s="75">
        <v>45901.002858796295</v>
      </c>
      <c r="E445" s="7">
        <v>45901</v>
      </c>
      <c r="F445">
        <v>986</v>
      </c>
      <c r="I445" s="10" t="s">
        <v>1635</v>
      </c>
      <c r="J445" s="69">
        <v>45901</v>
      </c>
      <c r="K445" s="97">
        <f t="shared" si="75"/>
        <v>9</v>
      </c>
      <c r="L445" s="97">
        <v>443</v>
      </c>
      <c r="O445" s="7" t="s">
        <v>156</v>
      </c>
      <c r="T445" t="s">
        <v>1636</v>
      </c>
      <c r="X445" s="36"/>
      <c r="Y445" s="36"/>
      <c r="Z445" s="36"/>
      <c r="AA445" s="36" t="s">
        <v>141</v>
      </c>
      <c r="AB445" s="36"/>
      <c r="AC445" s="36"/>
      <c r="AD445" s="36" t="s">
        <v>141</v>
      </c>
      <c r="AE445" s="36" t="s">
        <v>141</v>
      </c>
      <c r="AF445" s="36"/>
      <c r="AG445" s="36"/>
      <c r="AH445" s="36" t="s">
        <v>141</v>
      </c>
      <c r="AI445" s="36"/>
      <c r="AJ445" s="36" t="s">
        <v>141</v>
      </c>
      <c r="AK445" s="117"/>
      <c r="AL445" s="36"/>
      <c r="AM445" s="36"/>
      <c r="AN445" s="36" t="s">
        <v>141</v>
      </c>
      <c r="AO445" s="36"/>
      <c r="AP445" s="36"/>
      <c r="AQ445" s="36"/>
      <c r="AR445" s="36"/>
      <c r="AS445" s="36" t="s">
        <v>141</v>
      </c>
      <c r="AT445" s="36"/>
      <c r="AU445" s="36"/>
      <c r="AV445" s="36" t="s">
        <v>141</v>
      </c>
      <c r="AW445" s="117" t="s">
        <v>141</v>
      </c>
      <c r="AX445" s="117"/>
      <c r="AY445" s="36"/>
      <c r="AZ445" s="36" t="s">
        <v>141</v>
      </c>
      <c r="BA445" s="117"/>
      <c r="BB445" s="117"/>
      <c r="BC445" s="117"/>
      <c r="BD445" s="117"/>
      <c r="BE445" s="117" t="s">
        <v>141</v>
      </c>
      <c r="BF445" s="117" t="s">
        <v>141</v>
      </c>
      <c r="BG445" s="117"/>
      <c r="BH445" s="117"/>
      <c r="BI445" s="117"/>
      <c r="BJ445" s="117"/>
      <c r="BK445" s="117"/>
      <c r="BL445" s="117"/>
      <c r="BM445" s="117">
        <f t="shared" si="66"/>
        <v>12</v>
      </c>
      <c r="BN445" s="117">
        <f t="shared" si="67"/>
        <v>3</v>
      </c>
      <c r="BO445" s="117">
        <f t="shared" si="68"/>
        <v>2</v>
      </c>
      <c r="BP445" s="153">
        <f t="shared" si="69"/>
        <v>8</v>
      </c>
      <c r="BQ445" s="74" t="s">
        <v>1598</v>
      </c>
      <c r="BR445" s="74"/>
    </row>
    <row r="446" spans="1:70" hidden="1">
      <c r="A446">
        <v>432</v>
      </c>
      <c r="B446" s="75">
        <v>45901.019328703704</v>
      </c>
      <c r="E446" s="7">
        <v>45901</v>
      </c>
      <c r="F446">
        <v>987</v>
      </c>
      <c r="I446" s="10" t="s">
        <v>1637</v>
      </c>
      <c r="J446" s="69">
        <v>45901</v>
      </c>
      <c r="K446" s="97">
        <f t="shared" si="75"/>
        <v>9</v>
      </c>
      <c r="L446" s="97">
        <v>444</v>
      </c>
      <c r="O446" s="7" t="s">
        <v>183</v>
      </c>
      <c r="T446" t="s">
        <v>1638</v>
      </c>
      <c r="X446" s="36"/>
      <c r="Y446" s="36"/>
      <c r="Z446" s="36"/>
      <c r="AA446" s="36" t="s">
        <v>141</v>
      </c>
      <c r="AB446" s="36"/>
      <c r="AC446" s="36"/>
      <c r="AD446" s="36" t="s">
        <v>141</v>
      </c>
      <c r="AE446" s="36" t="s">
        <v>141</v>
      </c>
      <c r="AF446" s="36"/>
      <c r="AG446" s="36"/>
      <c r="AH446" s="36" t="s">
        <v>141</v>
      </c>
      <c r="AI446" s="36"/>
      <c r="AJ446" s="36" t="s">
        <v>141</v>
      </c>
      <c r="AK446" s="117"/>
      <c r="AL446" s="36"/>
      <c r="AM446" s="36"/>
      <c r="AN446" s="36"/>
      <c r="AO446" s="36" t="s">
        <v>141</v>
      </c>
      <c r="AP446" s="36"/>
      <c r="AQ446" s="36"/>
      <c r="AR446" s="36"/>
      <c r="AS446" s="36" t="s">
        <v>141</v>
      </c>
      <c r="AT446" s="36"/>
      <c r="AU446" s="36"/>
      <c r="AV446" s="36" t="s">
        <v>141</v>
      </c>
      <c r="AW446" s="117" t="s">
        <v>141</v>
      </c>
      <c r="AX446" s="117"/>
      <c r="AY446" s="36"/>
      <c r="AZ446" s="36" t="s">
        <v>141</v>
      </c>
      <c r="BA446" s="117"/>
      <c r="BB446" s="117"/>
      <c r="BC446" s="117"/>
      <c r="BD446" s="117"/>
      <c r="BE446" s="117" t="s">
        <v>141</v>
      </c>
      <c r="BF446" s="117" t="s">
        <v>141</v>
      </c>
      <c r="BG446" s="117"/>
      <c r="BH446" s="117"/>
      <c r="BI446" s="117"/>
      <c r="BJ446" s="117"/>
      <c r="BK446" s="117"/>
      <c r="BL446" s="117"/>
      <c r="BM446" s="117">
        <f t="shared" si="66"/>
        <v>12</v>
      </c>
      <c r="BN446" s="117">
        <f t="shared" si="67"/>
        <v>2</v>
      </c>
      <c r="BO446" s="117">
        <f t="shared" si="68"/>
        <v>2</v>
      </c>
      <c r="BP446" s="153">
        <f t="shared" si="69"/>
        <v>8</v>
      </c>
      <c r="BQ446" s="74" t="s">
        <v>1598</v>
      </c>
      <c r="BR446" s="74"/>
    </row>
    <row r="447" spans="1:70" hidden="1">
      <c r="A447">
        <v>433</v>
      </c>
      <c r="B447" s="75">
        <v>45901.359722222223</v>
      </c>
      <c r="E447" s="7">
        <v>45901</v>
      </c>
      <c r="F447">
        <v>988</v>
      </c>
      <c r="I447" s="10" t="s">
        <v>1639</v>
      </c>
      <c r="J447" s="69">
        <v>45901</v>
      </c>
      <c r="K447" s="97">
        <f t="shared" si="75"/>
        <v>9</v>
      </c>
      <c r="L447" s="97">
        <v>445</v>
      </c>
      <c r="O447" s="7" t="s">
        <v>134</v>
      </c>
      <c r="T447" t="s">
        <v>1640</v>
      </c>
      <c r="X447" s="36" t="s">
        <v>141</v>
      </c>
      <c r="Y447" s="36"/>
      <c r="Z447" s="36"/>
      <c r="AA447" s="36" t="s">
        <v>141</v>
      </c>
      <c r="AB447" s="36"/>
      <c r="AC447" s="36" t="s">
        <v>141</v>
      </c>
      <c r="AD447" s="36" t="s">
        <v>141</v>
      </c>
      <c r="AE447" s="36" t="s">
        <v>141</v>
      </c>
      <c r="AF447" s="36" t="s">
        <v>141</v>
      </c>
      <c r="AG447" s="36"/>
      <c r="AH447" s="36" t="s">
        <v>141</v>
      </c>
      <c r="AI447" s="36" t="s">
        <v>141</v>
      </c>
      <c r="AJ447" s="36" t="s">
        <v>141</v>
      </c>
      <c r="AK447" s="117"/>
      <c r="AL447" s="36"/>
      <c r="AM447" s="36" t="s">
        <v>141</v>
      </c>
      <c r="AN447" s="36"/>
      <c r="AO447" s="36" t="s">
        <v>141</v>
      </c>
      <c r="AP447" s="36"/>
      <c r="AQ447" s="36"/>
      <c r="AR447" s="36" t="s">
        <v>141</v>
      </c>
      <c r="AS447" s="36"/>
      <c r="AT447" s="36" t="s">
        <v>141</v>
      </c>
      <c r="AU447" s="36"/>
      <c r="AV447" s="36" t="s">
        <v>141</v>
      </c>
      <c r="AW447" s="117" t="s">
        <v>141</v>
      </c>
      <c r="AX447" s="117"/>
      <c r="AY447" s="36"/>
      <c r="AZ447" s="36" t="s">
        <v>141</v>
      </c>
      <c r="BA447" s="117" t="s">
        <v>141</v>
      </c>
      <c r="BB447" s="117"/>
      <c r="BC447" s="117"/>
      <c r="BD447" s="117" t="s">
        <v>141</v>
      </c>
      <c r="BE447" s="117" t="s">
        <v>141</v>
      </c>
      <c r="BF447" s="117"/>
      <c r="BG447" s="117"/>
      <c r="BH447" s="117" t="s">
        <v>141</v>
      </c>
      <c r="BI447" s="117"/>
      <c r="BJ447" s="117"/>
      <c r="BK447" s="117"/>
      <c r="BL447" s="117"/>
      <c r="BM447" s="117">
        <f t="shared" si="66"/>
        <v>19</v>
      </c>
      <c r="BN447" s="117">
        <f t="shared" si="67"/>
        <v>3</v>
      </c>
      <c r="BO447" s="117">
        <f t="shared" si="68"/>
        <v>4</v>
      </c>
      <c r="BP447" s="153">
        <f t="shared" si="69"/>
        <v>13</v>
      </c>
      <c r="BQ447" s="74" t="s">
        <v>1559</v>
      </c>
      <c r="BR447" s="74"/>
    </row>
    <row r="448" spans="1:70" hidden="1">
      <c r="A448">
        <v>434</v>
      </c>
      <c r="B448" s="75">
        <v>45904.241956018515</v>
      </c>
      <c r="E448" s="7">
        <v>45904</v>
      </c>
      <c r="F448">
        <v>989</v>
      </c>
      <c r="I448" s="10" t="s">
        <v>1641</v>
      </c>
      <c r="J448" s="69">
        <v>45904</v>
      </c>
      <c r="K448" s="97">
        <f t="shared" ref="K448:K456" si="76">MONTH($J448)</f>
        <v>9</v>
      </c>
      <c r="L448" s="97">
        <v>446</v>
      </c>
      <c r="O448" s="7" t="s">
        <v>197</v>
      </c>
      <c r="T448" t="s">
        <v>1642</v>
      </c>
      <c r="X448" s="36" t="s">
        <v>141</v>
      </c>
      <c r="Y448" s="36"/>
      <c r="Z448" s="36"/>
      <c r="AA448" s="36" t="s">
        <v>141</v>
      </c>
      <c r="AB448" s="36"/>
      <c r="AC448" s="36"/>
      <c r="AD448" s="36"/>
      <c r="AE448" s="36"/>
      <c r="AF448" s="36"/>
      <c r="AG448" s="36"/>
      <c r="AH448" s="36"/>
      <c r="AI448" s="36"/>
      <c r="AJ448" s="36"/>
      <c r="AK448" s="117"/>
      <c r="AL448" s="36"/>
      <c r="AM448" s="36"/>
      <c r="AN448" s="36"/>
      <c r="AO448" s="36" t="s">
        <v>141</v>
      </c>
      <c r="AP448" s="36"/>
      <c r="AQ448" s="36"/>
      <c r="AR448" s="36"/>
      <c r="AS448" s="36" t="s">
        <v>141</v>
      </c>
      <c r="AT448" s="36"/>
      <c r="AU448" s="36"/>
      <c r="AV448" s="36"/>
      <c r="AW448" s="117" t="s">
        <v>141</v>
      </c>
      <c r="AX448" s="117" t="s">
        <v>141</v>
      </c>
      <c r="AY448" s="36"/>
      <c r="AZ448" s="36"/>
      <c r="BA448" s="117"/>
      <c r="BB448" s="117"/>
      <c r="BC448" s="117" t="s">
        <v>141</v>
      </c>
      <c r="BD448" s="117" t="s">
        <v>141</v>
      </c>
      <c r="BE448" s="117"/>
      <c r="BF448" s="117"/>
      <c r="BG448" s="117"/>
      <c r="BH448" s="117"/>
      <c r="BI448" s="117"/>
      <c r="BJ448" s="117"/>
      <c r="BK448" s="117"/>
      <c r="BL448" s="117"/>
      <c r="BM448" s="117">
        <f t="shared" si="66"/>
        <v>8</v>
      </c>
      <c r="BN448" s="117">
        <f t="shared" si="67"/>
        <v>1</v>
      </c>
      <c r="BO448" s="117">
        <f t="shared" si="68"/>
        <v>2</v>
      </c>
      <c r="BP448" s="153">
        <f t="shared" si="69"/>
        <v>5</v>
      </c>
      <c r="BQ448" s="74" t="s">
        <v>1643</v>
      </c>
      <c r="BR448" s="74"/>
    </row>
    <row r="449" spans="1:70" hidden="1">
      <c r="A449">
        <v>435</v>
      </c>
      <c r="B449" s="75">
        <v>45904.283784722225</v>
      </c>
      <c r="E449" s="7">
        <v>45901</v>
      </c>
      <c r="F449">
        <v>990</v>
      </c>
      <c r="I449" s="10" t="s">
        <v>1644</v>
      </c>
      <c r="J449" s="69">
        <v>45904</v>
      </c>
      <c r="K449" s="97">
        <f t="shared" si="76"/>
        <v>9</v>
      </c>
      <c r="L449" s="97">
        <v>447</v>
      </c>
      <c r="O449" s="7" t="s">
        <v>156</v>
      </c>
      <c r="T449" t="s">
        <v>1645</v>
      </c>
      <c r="X449" s="36" t="s">
        <v>141</v>
      </c>
      <c r="Y449" s="36"/>
      <c r="Z449" s="36"/>
      <c r="AA449" s="36" t="s">
        <v>141</v>
      </c>
      <c r="AB449" s="36"/>
      <c r="AC449" s="36"/>
      <c r="AD449" s="36"/>
      <c r="AE449" s="36"/>
      <c r="AF449" s="36"/>
      <c r="AG449" s="36"/>
      <c r="AH449" s="36"/>
      <c r="AI449" s="36"/>
      <c r="AJ449" s="36"/>
      <c r="AK449" s="117"/>
      <c r="AL449" s="36"/>
      <c r="AM449" s="36"/>
      <c r="AN449" s="36"/>
      <c r="AO449" s="36" t="s">
        <v>141</v>
      </c>
      <c r="AP449" s="36"/>
      <c r="AQ449" s="36"/>
      <c r="AR449" s="36" t="s">
        <v>141</v>
      </c>
      <c r="AS449" s="36" t="s">
        <v>141</v>
      </c>
      <c r="AT449" s="36"/>
      <c r="AU449" s="36"/>
      <c r="AV449" s="36"/>
      <c r="AW449" s="117"/>
      <c r="AX449" s="117" t="s">
        <v>141</v>
      </c>
      <c r="AY449" s="36" t="s">
        <v>141</v>
      </c>
      <c r="AZ449" s="36"/>
      <c r="BA449" s="117"/>
      <c r="BB449" s="117"/>
      <c r="BC449" s="117" t="s">
        <v>141</v>
      </c>
      <c r="BD449" s="117"/>
      <c r="BE449" s="117"/>
      <c r="BF449" s="117"/>
      <c r="BG449" s="117"/>
      <c r="BH449" s="117"/>
      <c r="BI449" s="117"/>
      <c r="BJ449" s="117"/>
      <c r="BK449" s="117"/>
      <c r="BL449" s="117"/>
      <c r="BM449" s="117">
        <f t="shared" si="66"/>
        <v>8</v>
      </c>
      <c r="BN449" s="117">
        <f t="shared" si="67"/>
        <v>2</v>
      </c>
      <c r="BO449" s="117">
        <f t="shared" si="68"/>
        <v>2</v>
      </c>
      <c r="BP449" s="153">
        <f t="shared" si="69"/>
        <v>6</v>
      </c>
      <c r="BQ449" s="74" t="s">
        <v>1646</v>
      </c>
      <c r="BR449" s="74"/>
    </row>
    <row r="450" spans="1:70" hidden="1">
      <c r="A450">
        <v>436</v>
      </c>
      <c r="B450" s="75">
        <v>45904.825266203705</v>
      </c>
      <c r="E450" s="7">
        <v>45905</v>
      </c>
      <c r="F450">
        <v>991</v>
      </c>
      <c r="I450" s="10" t="s">
        <v>1647</v>
      </c>
      <c r="J450" s="69">
        <v>45905</v>
      </c>
      <c r="K450" s="97">
        <f t="shared" si="76"/>
        <v>9</v>
      </c>
      <c r="L450" s="97">
        <v>448</v>
      </c>
      <c r="O450" s="7" t="s">
        <v>156</v>
      </c>
      <c r="T450" t="s">
        <v>1648</v>
      </c>
      <c r="X450" s="36" t="s">
        <v>141</v>
      </c>
      <c r="Y450" s="36"/>
      <c r="Z450" s="36"/>
      <c r="AA450" s="36" t="s">
        <v>141</v>
      </c>
      <c r="AB450" s="36"/>
      <c r="AC450" s="36"/>
      <c r="AD450" s="36"/>
      <c r="AE450" s="36" t="s">
        <v>141</v>
      </c>
      <c r="AF450" s="36"/>
      <c r="AG450" s="36"/>
      <c r="AH450" s="36"/>
      <c r="AI450" s="36" t="s">
        <v>141</v>
      </c>
      <c r="AJ450" s="36"/>
      <c r="AK450" s="117"/>
      <c r="AL450" s="36"/>
      <c r="AM450" s="36" t="s">
        <v>141</v>
      </c>
      <c r="AN450" s="36" t="s">
        <v>141</v>
      </c>
      <c r="AO450" s="36"/>
      <c r="AP450" s="36"/>
      <c r="AQ450" s="36"/>
      <c r="AR450" s="36"/>
      <c r="AS450" s="36"/>
      <c r="AT450" s="36" t="s">
        <v>141</v>
      </c>
      <c r="AU450" s="36"/>
      <c r="AV450" s="36"/>
      <c r="AW450" s="117" t="s">
        <v>141</v>
      </c>
      <c r="AX450" s="117"/>
      <c r="AY450" s="36" t="s">
        <v>141</v>
      </c>
      <c r="AZ450" s="36"/>
      <c r="BA450" s="117"/>
      <c r="BB450" s="117"/>
      <c r="BC450" s="117"/>
      <c r="BD450" s="117"/>
      <c r="BE450" s="117"/>
      <c r="BF450" s="117" t="s">
        <v>141</v>
      </c>
      <c r="BG450" s="117"/>
      <c r="BH450" s="117"/>
      <c r="BI450" s="117"/>
      <c r="BJ450" s="117"/>
      <c r="BK450" s="117"/>
      <c r="BL450" s="117"/>
      <c r="BM450" s="117">
        <f t="shared" si="66"/>
        <v>10</v>
      </c>
      <c r="BN450" s="117">
        <f t="shared" si="67"/>
        <v>2</v>
      </c>
      <c r="BO450" s="117">
        <f t="shared" si="68"/>
        <v>2</v>
      </c>
      <c r="BP450" s="153">
        <f t="shared" si="69"/>
        <v>7</v>
      </c>
      <c r="BQ450" s="74" t="s">
        <v>178</v>
      </c>
      <c r="BR450" s="74"/>
    </row>
    <row r="451" spans="1:70" hidden="1">
      <c r="A451">
        <v>437</v>
      </c>
      <c r="B451" s="75">
        <v>45905.137962962966</v>
      </c>
      <c r="E451" s="7">
        <v>45905</v>
      </c>
      <c r="F451">
        <v>992</v>
      </c>
      <c r="I451" s="10" t="s">
        <v>1649</v>
      </c>
      <c r="J451" s="69">
        <v>45905</v>
      </c>
      <c r="K451" s="97">
        <f t="shared" si="76"/>
        <v>9</v>
      </c>
      <c r="L451" s="97">
        <v>449</v>
      </c>
      <c r="O451" s="7" t="s">
        <v>156</v>
      </c>
      <c r="T451" t="s">
        <v>1650</v>
      </c>
      <c r="X451" s="36" t="s">
        <v>141</v>
      </c>
      <c r="Y451" s="36"/>
      <c r="Z451" s="36"/>
      <c r="AA451" s="36" t="s">
        <v>141</v>
      </c>
      <c r="AB451" s="36"/>
      <c r="AC451" s="36"/>
      <c r="AD451" s="36"/>
      <c r="AE451" s="36" t="s">
        <v>141</v>
      </c>
      <c r="AF451" s="36"/>
      <c r="AG451" s="36"/>
      <c r="AH451" s="36"/>
      <c r="AI451" s="36"/>
      <c r="AJ451" s="36" t="s">
        <v>141</v>
      </c>
      <c r="AK451" s="117"/>
      <c r="AL451" s="36"/>
      <c r="AM451" s="36" t="s">
        <v>141</v>
      </c>
      <c r="AN451" s="36"/>
      <c r="AO451" s="36"/>
      <c r="AP451" s="36" t="s">
        <v>141</v>
      </c>
      <c r="AQ451" s="36"/>
      <c r="AR451" s="36"/>
      <c r="AS451" s="36"/>
      <c r="AT451" s="36"/>
      <c r="AU451" s="36"/>
      <c r="AV451" s="36"/>
      <c r="AW451" s="117" t="s">
        <v>141</v>
      </c>
      <c r="AX451" s="117" t="s">
        <v>141</v>
      </c>
      <c r="AY451" s="36" t="s">
        <v>141</v>
      </c>
      <c r="AZ451" s="36" t="s">
        <v>141</v>
      </c>
      <c r="BA451" s="117"/>
      <c r="BB451" s="117"/>
      <c r="BC451" s="117"/>
      <c r="BD451" s="117"/>
      <c r="BE451" s="117" t="s">
        <v>141</v>
      </c>
      <c r="BF451" s="117" t="s">
        <v>141</v>
      </c>
      <c r="BG451" s="117"/>
      <c r="BH451" s="117"/>
      <c r="BI451" s="117"/>
      <c r="BJ451" s="117"/>
      <c r="BK451" s="117"/>
      <c r="BL451" s="117"/>
      <c r="BM451" s="117">
        <f t="shared" si="66"/>
        <v>12</v>
      </c>
      <c r="BN451" s="117">
        <f t="shared" si="67"/>
        <v>2</v>
      </c>
      <c r="BO451" s="117">
        <f t="shared" si="68"/>
        <v>2</v>
      </c>
      <c r="BP451" s="153">
        <f t="shared" si="69"/>
        <v>8</v>
      </c>
      <c r="BQ451" s="74" t="s">
        <v>793</v>
      </c>
      <c r="BR451" s="74"/>
    </row>
    <row r="452" spans="1:70" hidden="1">
      <c r="A452">
        <v>438</v>
      </c>
      <c r="B452" s="75">
        <v>45905.144571759258</v>
      </c>
      <c r="E452" s="7">
        <v>45905</v>
      </c>
      <c r="F452">
        <v>993</v>
      </c>
      <c r="I452" s="10" t="s">
        <v>1651</v>
      </c>
      <c r="J452" s="69">
        <v>45905</v>
      </c>
      <c r="K452" s="97">
        <f t="shared" si="76"/>
        <v>9</v>
      </c>
      <c r="L452" s="97">
        <v>450</v>
      </c>
      <c r="O452" s="7" t="s">
        <v>146</v>
      </c>
      <c r="T452" t="s">
        <v>1652</v>
      </c>
      <c r="X452" s="36" t="s">
        <v>141</v>
      </c>
      <c r="Y452" s="36"/>
      <c r="Z452" s="36"/>
      <c r="AA452" s="36"/>
      <c r="AB452" s="36"/>
      <c r="AC452" s="36"/>
      <c r="AD452" s="36"/>
      <c r="AE452" s="36" t="s">
        <v>141</v>
      </c>
      <c r="AF452" s="36"/>
      <c r="AG452" s="36"/>
      <c r="AH452" s="36"/>
      <c r="AI452" s="36"/>
      <c r="AJ452" s="36" t="s">
        <v>141</v>
      </c>
      <c r="AK452" s="117"/>
      <c r="AL452" s="36"/>
      <c r="AM452" s="36" t="s">
        <v>141</v>
      </c>
      <c r="AN452" s="36"/>
      <c r="AO452" s="36"/>
      <c r="AP452" s="36" t="s">
        <v>141</v>
      </c>
      <c r="AQ452" s="36"/>
      <c r="AR452" s="36"/>
      <c r="AS452" s="36"/>
      <c r="AT452" s="36"/>
      <c r="AU452" s="36"/>
      <c r="AV452" s="36"/>
      <c r="AW452" s="117" t="s">
        <v>141</v>
      </c>
      <c r="AX452" s="117" t="s">
        <v>141</v>
      </c>
      <c r="AY452" s="36"/>
      <c r="AZ452" s="36" t="s">
        <v>141</v>
      </c>
      <c r="BA452" s="117"/>
      <c r="BB452" s="117"/>
      <c r="BC452" s="117"/>
      <c r="BD452" s="117"/>
      <c r="BE452" s="117" t="s">
        <v>141</v>
      </c>
      <c r="BF452" s="117" t="s">
        <v>141</v>
      </c>
      <c r="BG452" s="117"/>
      <c r="BH452" s="117"/>
      <c r="BI452" s="117"/>
      <c r="BJ452" s="117"/>
      <c r="BK452" s="117"/>
      <c r="BL452" s="117"/>
      <c r="BM452" s="117">
        <f t="shared" ref="BM452:BM515" si="77">COUNTIF($X452:$BF452, "I")</f>
        <v>10</v>
      </c>
      <c r="BN452" s="117">
        <f t="shared" ref="BN452:BN515" si="78">COUNTIFS($X452:$BF452, "I",$X$2:$BF$2, "DR" )</f>
        <v>2</v>
      </c>
      <c r="BO452" s="117">
        <f t="shared" ref="BO452:BO515" si="79">COUNTIFS($X452:$BF452, "I",$X$5:$BF$5, "OF" )</f>
        <v>1</v>
      </c>
      <c r="BP452" s="153">
        <f t="shared" ref="BP452:BP515" si="80">COUNTIFS($X452:$BF452, "I",$X$5:$BF$5, "FF" )</f>
        <v>7</v>
      </c>
      <c r="BQ452" s="74" t="s">
        <v>1653</v>
      </c>
      <c r="BR452" s="74"/>
    </row>
    <row r="453" spans="1:70" hidden="1">
      <c r="A453">
        <v>439</v>
      </c>
      <c r="B453" s="75">
        <v>45905.145624999997</v>
      </c>
      <c r="E453" s="7">
        <v>45905</v>
      </c>
      <c r="F453">
        <v>994</v>
      </c>
      <c r="I453" s="10" t="s">
        <v>1654</v>
      </c>
      <c r="J453" s="69">
        <v>45905</v>
      </c>
      <c r="K453" s="97">
        <f t="shared" si="76"/>
        <v>9</v>
      </c>
      <c r="L453" s="97">
        <v>451</v>
      </c>
      <c r="O453" s="7" t="s">
        <v>156</v>
      </c>
      <c r="T453" t="s">
        <v>1655</v>
      </c>
      <c r="X453" s="36" t="s">
        <v>141</v>
      </c>
      <c r="Y453" s="36"/>
      <c r="Z453" s="36"/>
      <c r="AA453" s="36"/>
      <c r="AB453" s="36"/>
      <c r="AC453" s="36"/>
      <c r="AD453" s="36"/>
      <c r="AE453" s="36" t="s">
        <v>141</v>
      </c>
      <c r="AF453" s="36"/>
      <c r="AG453" s="36"/>
      <c r="AH453" s="36"/>
      <c r="AI453" s="36"/>
      <c r="AJ453" s="36" t="s">
        <v>141</v>
      </c>
      <c r="AK453" s="117"/>
      <c r="AL453" s="36"/>
      <c r="AM453" s="36" t="s">
        <v>141</v>
      </c>
      <c r="AN453" s="36"/>
      <c r="AO453" s="36"/>
      <c r="AP453" s="36" t="s">
        <v>141</v>
      </c>
      <c r="AQ453" s="36"/>
      <c r="AR453" s="36"/>
      <c r="AS453" s="36"/>
      <c r="AT453" s="36"/>
      <c r="AU453" s="36"/>
      <c r="AV453" s="36"/>
      <c r="AW453" s="117"/>
      <c r="AX453" s="117" t="s">
        <v>141</v>
      </c>
      <c r="AY453" s="36"/>
      <c r="AZ453" s="36" t="s">
        <v>141</v>
      </c>
      <c r="BA453" s="117"/>
      <c r="BB453" s="117"/>
      <c r="BC453" s="117"/>
      <c r="BD453" s="117"/>
      <c r="BE453" s="117" t="s">
        <v>141</v>
      </c>
      <c r="BF453" s="117" t="s">
        <v>141</v>
      </c>
      <c r="BG453" s="117"/>
      <c r="BH453" s="117"/>
      <c r="BI453" s="117"/>
      <c r="BJ453" s="117"/>
      <c r="BK453" s="117"/>
      <c r="BL453" s="117"/>
      <c r="BM453" s="117">
        <f t="shared" si="77"/>
        <v>9</v>
      </c>
      <c r="BN453" s="117">
        <f t="shared" si="78"/>
        <v>2</v>
      </c>
      <c r="BO453" s="117">
        <f t="shared" si="79"/>
        <v>1</v>
      </c>
      <c r="BP453" s="153">
        <f t="shared" si="80"/>
        <v>6</v>
      </c>
      <c r="BQ453" s="74" t="s">
        <v>793</v>
      </c>
      <c r="BR453" s="74"/>
    </row>
    <row r="454" spans="1:70" hidden="1">
      <c r="A454">
        <v>440</v>
      </c>
      <c r="B454" s="75">
        <v>45905.879236111112</v>
      </c>
      <c r="E454" s="7">
        <v>45906</v>
      </c>
      <c r="F454">
        <v>995</v>
      </c>
      <c r="I454" s="10" t="s">
        <v>1656</v>
      </c>
      <c r="J454" s="69">
        <v>45906</v>
      </c>
      <c r="K454" s="97">
        <f t="shared" si="76"/>
        <v>9</v>
      </c>
      <c r="L454" s="97">
        <v>452</v>
      </c>
      <c r="O454" s="7" t="s">
        <v>146</v>
      </c>
      <c r="T454" t="s">
        <v>1657</v>
      </c>
      <c r="X454" s="36" t="s">
        <v>141</v>
      </c>
      <c r="Y454" s="36"/>
      <c r="Z454" s="36" t="s">
        <v>141</v>
      </c>
      <c r="AA454" s="36" t="s">
        <v>141</v>
      </c>
      <c r="AB454" s="36"/>
      <c r="AC454" s="36"/>
      <c r="AD454" s="36"/>
      <c r="AE454" s="36"/>
      <c r="AF454" s="36"/>
      <c r="AG454" s="36"/>
      <c r="AH454" s="36"/>
      <c r="AI454" s="36"/>
      <c r="AJ454" s="36"/>
      <c r="AK454" s="117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117" t="s">
        <v>141</v>
      </c>
      <c r="AX454" s="117"/>
      <c r="AY454" s="36"/>
      <c r="AZ454" s="36"/>
      <c r="BA454" s="117" t="s">
        <v>141</v>
      </c>
      <c r="BB454" s="117"/>
      <c r="BC454" s="117"/>
      <c r="BD454" s="117"/>
      <c r="BE454" s="117"/>
      <c r="BF454" s="117" t="s">
        <v>141</v>
      </c>
      <c r="BG454" s="117"/>
      <c r="BH454" s="117"/>
      <c r="BI454" s="117"/>
      <c r="BJ454" s="117"/>
      <c r="BK454" s="117"/>
      <c r="BL454" s="117"/>
      <c r="BM454" s="117">
        <f t="shared" si="77"/>
        <v>6</v>
      </c>
      <c r="BN454" s="117">
        <f t="shared" si="78"/>
        <v>0</v>
      </c>
      <c r="BO454" s="117">
        <f t="shared" si="79"/>
        <v>3</v>
      </c>
      <c r="BP454" s="153">
        <f t="shared" si="80"/>
        <v>2</v>
      </c>
      <c r="BQ454" s="74" t="s">
        <v>178</v>
      </c>
      <c r="BR454" s="74"/>
    </row>
    <row r="455" spans="1:70" hidden="1">
      <c r="A455">
        <v>441</v>
      </c>
      <c r="B455" s="75">
        <v>45906.907858796294</v>
      </c>
      <c r="E455" s="7">
        <v>45907</v>
      </c>
      <c r="F455">
        <v>996</v>
      </c>
      <c r="I455" s="10" t="s">
        <v>1658</v>
      </c>
      <c r="J455" s="69">
        <v>45907</v>
      </c>
      <c r="K455" s="97">
        <f t="shared" si="76"/>
        <v>9</v>
      </c>
      <c r="L455" s="97">
        <v>453</v>
      </c>
      <c r="O455" s="7" t="s">
        <v>156</v>
      </c>
      <c r="T455" t="s">
        <v>1659</v>
      </c>
      <c r="X455" s="36"/>
      <c r="Y455" s="36"/>
      <c r="Z455" s="36" t="s">
        <v>141</v>
      </c>
      <c r="AA455" s="36" t="s">
        <v>141</v>
      </c>
      <c r="AB455" s="36" t="s">
        <v>141</v>
      </c>
      <c r="AC455" s="36"/>
      <c r="AD455" s="36"/>
      <c r="AE455" s="36" t="s">
        <v>141</v>
      </c>
      <c r="AF455" s="36"/>
      <c r="AG455" s="36"/>
      <c r="AH455" s="36" t="s">
        <v>141</v>
      </c>
      <c r="AI455" s="36" t="s">
        <v>141</v>
      </c>
      <c r="AJ455" s="36" t="s">
        <v>141</v>
      </c>
      <c r="AK455" s="117"/>
      <c r="AL455" s="36"/>
      <c r="AM455" s="36"/>
      <c r="AN455" s="36"/>
      <c r="AO455" s="36"/>
      <c r="AP455" s="36"/>
      <c r="AQ455" s="36"/>
      <c r="AR455" s="36" t="s">
        <v>141</v>
      </c>
      <c r="AS455" s="36"/>
      <c r="AT455" s="36"/>
      <c r="AU455" s="36" t="s">
        <v>141</v>
      </c>
      <c r="AV455" s="36" t="s">
        <v>141</v>
      </c>
      <c r="AW455" s="117" t="s">
        <v>141</v>
      </c>
      <c r="AX455" s="117" t="s">
        <v>141</v>
      </c>
      <c r="AY455" s="36"/>
      <c r="AZ455" s="36"/>
      <c r="BA455" s="117" t="s">
        <v>141</v>
      </c>
      <c r="BB455" s="117"/>
      <c r="BC455" s="117"/>
      <c r="BD455" s="117"/>
      <c r="BE455" s="117"/>
      <c r="BF455" s="117" t="s">
        <v>141</v>
      </c>
      <c r="BG455" s="117"/>
      <c r="BH455" s="117"/>
      <c r="BI455" s="117"/>
      <c r="BJ455" s="117"/>
      <c r="BK455" s="117"/>
      <c r="BL455" s="117"/>
      <c r="BM455" s="117">
        <f t="shared" si="77"/>
        <v>14</v>
      </c>
      <c r="BN455" s="117">
        <f t="shared" si="78"/>
        <v>2</v>
      </c>
      <c r="BO455" s="117">
        <f t="shared" si="79"/>
        <v>3</v>
      </c>
      <c r="BP455" s="153">
        <f t="shared" si="80"/>
        <v>10</v>
      </c>
      <c r="BQ455" s="74" t="s">
        <v>1598</v>
      </c>
      <c r="BR455" s="74"/>
    </row>
    <row r="456" spans="1:70" hidden="1">
      <c r="A456">
        <v>442</v>
      </c>
      <c r="B456" s="75">
        <v>45907.163657407407</v>
      </c>
      <c r="E456" s="7">
        <v>45907</v>
      </c>
      <c r="F456">
        <v>997</v>
      </c>
      <c r="I456" s="10" t="s">
        <v>1660</v>
      </c>
      <c r="J456" s="69">
        <v>45907</v>
      </c>
      <c r="K456" s="97">
        <f t="shared" si="76"/>
        <v>9</v>
      </c>
      <c r="L456" s="97">
        <v>454</v>
      </c>
      <c r="O456" s="7" t="s">
        <v>197</v>
      </c>
      <c r="T456" t="s">
        <v>1661</v>
      </c>
      <c r="X456" s="36"/>
      <c r="Y456" s="36"/>
      <c r="Z456" s="36" t="s">
        <v>141</v>
      </c>
      <c r="AA456" s="36"/>
      <c r="AB456" s="36"/>
      <c r="AC456" s="36"/>
      <c r="AD456" s="36"/>
      <c r="AE456" s="36"/>
      <c r="AF456" s="36"/>
      <c r="AG456" s="36"/>
      <c r="AH456" s="36" t="s">
        <v>141</v>
      </c>
      <c r="AI456" s="36" t="s">
        <v>141</v>
      </c>
      <c r="AJ456" s="36" t="s">
        <v>141</v>
      </c>
      <c r="AK456" s="117"/>
      <c r="AL456" s="36"/>
      <c r="AM456" s="36" t="s">
        <v>141</v>
      </c>
      <c r="AN456" s="36"/>
      <c r="AO456" s="36"/>
      <c r="AP456" s="36"/>
      <c r="AQ456" s="36"/>
      <c r="AR456" s="36"/>
      <c r="AS456" s="36"/>
      <c r="AT456" s="36"/>
      <c r="AU456" s="36"/>
      <c r="AV456" s="36" t="s">
        <v>141</v>
      </c>
      <c r="AW456" s="117" t="s">
        <v>141</v>
      </c>
      <c r="AX456" s="117" t="s">
        <v>141</v>
      </c>
      <c r="AY456" s="36"/>
      <c r="AZ456" s="36"/>
      <c r="BA456" s="117"/>
      <c r="BB456" s="117"/>
      <c r="BC456" s="117"/>
      <c r="BD456" s="117" t="s">
        <v>141</v>
      </c>
      <c r="BE456" s="117"/>
      <c r="BF456" s="117" t="s">
        <v>141</v>
      </c>
      <c r="BG456" s="117"/>
      <c r="BH456" s="117"/>
      <c r="BI456" s="117"/>
      <c r="BJ456" s="117"/>
      <c r="BK456" s="117"/>
      <c r="BL456" s="117"/>
      <c r="BM456" s="117">
        <f t="shared" si="77"/>
        <v>10</v>
      </c>
      <c r="BN456" s="117">
        <f t="shared" si="78"/>
        <v>2</v>
      </c>
      <c r="BO456" s="117">
        <f t="shared" si="79"/>
        <v>1</v>
      </c>
      <c r="BP456" s="153">
        <f t="shared" si="80"/>
        <v>7</v>
      </c>
      <c r="BQ456" s="74" t="s">
        <v>610</v>
      </c>
      <c r="BR456" s="74"/>
    </row>
    <row r="457" spans="1:70" hidden="1">
      <c r="A457">
        <v>443</v>
      </c>
      <c r="B457" s="75">
        <v>45908.662430555552</v>
      </c>
      <c r="E457" s="7">
        <v>45909</v>
      </c>
      <c r="F457">
        <v>998</v>
      </c>
      <c r="I457" s="10" t="s">
        <v>1662</v>
      </c>
      <c r="J457" s="69">
        <v>45909</v>
      </c>
      <c r="K457" s="97">
        <f t="shared" ref="K457:K463" si="81">MONTH($J457)</f>
        <v>9</v>
      </c>
      <c r="L457" s="97">
        <v>455</v>
      </c>
      <c r="O457" s="7" t="s">
        <v>134</v>
      </c>
      <c r="T457" t="s">
        <v>1663</v>
      </c>
      <c r="X457" s="36"/>
      <c r="Y457" s="36"/>
      <c r="Z457" s="36" t="s">
        <v>141</v>
      </c>
      <c r="AA457" s="36"/>
      <c r="AB457" s="36"/>
      <c r="AC457" s="36" t="s">
        <v>141</v>
      </c>
      <c r="AD457" s="36"/>
      <c r="AE457" s="36"/>
      <c r="AF457" s="36"/>
      <c r="AG457" s="36"/>
      <c r="AH457" s="36" t="s">
        <v>141</v>
      </c>
      <c r="AI457" s="36"/>
      <c r="AJ457" s="36"/>
      <c r="AK457" s="117"/>
      <c r="AL457" s="36"/>
      <c r="AM457" s="36" t="s">
        <v>141</v>
      </c>
      <c r="AN457" s="36"/>
      <c r="AO457" s="36"/>
      <c r="AP457" s="36" t="s">
        <v>141</v>
      </c>
      <c r="AQ457" s="36"/>
      <c r="AR457" s="36"/>
      <c r="AS457" s="36"/>
      <c r="AT457" s="36"/>
      <c r="AU457" s="36"/>
      <c r="AV457" s="36" t="s">
        <v>141</v>
      </c>
      <c r="AW457" s="117"/>
      <c r="AX457" s="117"/>
      <c r="AY457" s="36"/>
      <c r="AZ457" s="36"/>
      <c r="BA457" s="117"/>
      <c r="BB457" s="117"/>
      <c r="BC457" s="117"/>
      <c r="BD457" s="117"/>
      <c r="BE457" s="117" t="s">
        <v>141</v>
      </c>
      <c r="BF457" s="117" t="s">
        <v>141</v>
      </c>
      <c r="BG457" s="117"/>
      <c r="BH457" s="117" t="s">
        <v>141</v>
      </c>
      <c r="BI457" s="117"/>
      <c r="BJ457" s="117"/>
      <c r="BK457" s="117"/>
      <c r="BL457" s="117"/>
      <c r="BM457" s="117">
        <f t="shared" si="77"/>
        <v>8</v>
      </c>
      <c r="BN457" s="117">
        <f t="shared" si="78"/>
        <v>1</v>
      </c>
      <c r="BO457" s="117">
        <f t="shared" si="79"/>
        <v>2</v>
      </c>
      <c r="BP457" s="153">
        <f t="shared" si="80"/>
        <v>4</v>
      </c>
      <c r="BQ457" s="74" t="s">
        <v>1172</v>
      </c>
      <c r="BR457" s="74"/>
    </row>
    <row r="458" spans="1:70" hidden="1">
      <c r="A458">
        <v>444</v>
      </c>
      <c r="B458" s="75">
        <v>45910.152557870373</v>
      </c>
      <c r="E458" s="7">
        <v>45910</v>
      </c>
      <c r="F458">
        <v>999</v>
      </c>
      <c r="I458" s="10" t="s">
        <v>1664</v>
      </c>
      <c r="J458" s="69">
        <v>45910</v>
      </c>
      <c r="K458" s="97">
        <f t="shared" si="81"/>
        <v>9</v>
      </c>
      <c r="L458" s="97">
        <v>456</v>
      </c>
      <c r="O458" s="7" t="s">
        <v>156</v>
      </c>
      <c r="T458" t="s">
        <v>1665</v>
      </c>
      <c r="X458" s="36" t="s">
        <v>141</v>
      </c>
      <c r="Y458" s="36"/>
      <c r="Z458" s="36"/>
      <c r="AA458" s="36"/>
      <c r="AB458" s="36"/>
      <c r="AC458" s="36"/>
      <c r="AD458" s="36"/>
      <c r="AE458" s="36" t="s">
        <v>141</v>
      </c>
      <c r="AF458" s="36"/>
      <c r="AG458" s="36"/>
      <c r="AH458" s="36"/>
      <c r="AI458" s="36"/>
      <c r="AJ458" s="36" t="s">
        <v>141</v>
      </c>
      <c r="AK458" s="117"/>
      <c r="AL458" s="36"/>
      <c r="AM458" s="36"/>
      <c r="AN458" s="36"/>
      <c r="AO458" s="36" t="s">
        <v>141</v>
      </c>
      <c r="AP458" s="36" t="s">
        <v>141</v>
      </c>
      <c r="AQ458" s="36"/>
      <c r="AR458" s="36"/>
      <c r="AS458" s="36"/>
      <c r="AT458" s="36"/>
      <c r="AU458" s="36" t="s">
        <v>141</v>
      </c>
      <c r="AV458" s="36"/>
      <c r="AW458" s="117"/>
      <c r="AX458" s="117" t="s">
        <v>141</v>
      </c>
      <c r="AY458" s="36"/>
      <c r="AZ458" s="36"/>
      <c r="BA458" s="117"/>
      <c r="BB458" s="117"/>
      <c r="BC458" s="117"/>
      <c r="BD458" s="117"/>
      <c r="BE458" s="117"/>
      <c r="BF458" s="117" t="s">
        <v>141</v>
      </c>
      <c r="BG458" s="117"/>
      <c r="BH458" s="117" t="s">
        <v>141</v>
      </c>
      <c r="BI458" s="117"/>
      <c r="BJ458" s="117"/>
      <c r="BK458" s="117"/>
      <c r="BL458" s="117"/>
      <c r="BM458" s="117">
        <f t="shared" si="77"/>
        <v>8</v>
      </c>
      <c r="BN458" s="117">
        <f t="shared" si="78"/>
        <v>1</v>
      </c>
      <c r="BO458" s="117">
        <f t="shared" si="79"/>
        <v>1</v>
      </c>
      <c r="BP458" s="153">
        <f t="shared" si="80"/>
        <v>6</v>
      </c>
      <c r="BQ458" s="74" t="s">
        <v>1666</v>
      </c>
      <c r="BR458" s="74"/>
    </row>
    <row r="459" spans="1:70" hidden="1">
      <c r="A459">
        <v>445</v>
      </c>
      <c r="B459" s="75">
        <v>45911.046215277776</v>
      </c>
      <c r="E459" s="7">
        <v>45911</v>
      </c>
      <c r="F459">
        <v>1000</v>
      </c>
      <c r="I459" s="10" t="s">
        <v>1667</v>
      </c>
      <c r="J459" s="69">
        <v>45911</v>
      </c>
      <c r="K459" s="97">
        <f t="shared" si="81"/>
        <v>9</v>
      </c>
      <c r="L459" s="97">
        <v>457</v>
      </c>
      <c r="O459" s="7" t="s">
        <v>234</v>
      </c>
      <c r="T459" t="s">
        <v>1668</v>
      </c>
      <c r="X459" s="36"/>
      <c r="Y459" s="36"/>
      <c r="Z459" s="36"/>
      <c r="AA459" s="36"/>
      <c r="AB459" s="36" t="s">
        <v>141</v>
      </c>
      <c r="AC459" s="36"/>
      <c r="AD459" s="36" t="s">
        <v>141</v>
      </c>
      <c r="AE459" s="36"/>
      <c r="AF459" s="36" t="s">
        <v>141</v>
      </c>
      <c r="AG459" s="36"/>
      <c r="AH459" s="36" t="s">
        <v>141</v>
      </c>
      <c r="AI459" s="36"/>
      <c r="AJ459" s="36" t="s">
        <v>141</v>
      </c>
      <c r="AK459" s="117"/>
      <c r="AL459" s="36"/>
      <c r="AM459" s="36"/>
      <c r="AN459" s="36" t="s">
        <v>141</v>
      </c>
      <c r="AO459" s="36" t="s">
        <v>141</v>
      </c>
      <c r="AP459" s="36"/>
      <c r="AQ459" s="36"/>
      <c r="AR459" s="36"/>
      <c r="AS459" s="36"/>
      <c r="AT459" s="36" t="s">
        <v>141</v>
      </c>
      <c r="AU459" s="36"/>
      <c r="AV459" s="36"/>
      <c r="AW459" s="117"/>
      <c r="AX459" s="117"/>
      <c r="AY459" s="36"/>
      <c r="AZ459" s="36"/>
      <c r="BA459" s="117"/>
      <c r="BB459" s="117"/>
      <c r="BC459" s="117"/>
      <c r="BD459" s="117"/>
      <c r="BE459" s="117"/>
      <c r="BF459" s="117" t="s">
        <v>141</v>
      </c>
      <c r="BG459" s="117"/>
      <c r="BH459" s="117"/>
      <c r="BI459" s="117"/>
      <c r="BJ459" s="117"/>
      <c r="BK459" s="117"/>
      <c r="BL459" s="117"/>
      <c r="BM459" s="117">
        <f t="shared" si="77"/>
        <v>9</v>
      </c>
      <c r="BN459" s="117">
        <f t="shared" si="78"/>
        <v>2</v>
      </c>
      <c r="BO459" s="117">
        <f t="shared" si="79"/>
        <v>2</v>
      </c>
      <c r="BP459" s="153">
        <f t="shared" si="80"/>
        <v>6</v>
      </c>
      <c r="BQ459" s="74" t="s">
        <v>308</v>
      </c>
      <c r="BR459" s="74"/>
    </row>
    <row r="460" spans="1:70" hidden="1">
      <c r="A460">
        <v>446</v>
      </c>
      <c r="B460" s="75">
        <v>45911.904722222222</v>
      </c>
      <c r="E460" s="7">
        <v>45911</v>
      </c>
      <c r="F460">
        <v>1001</v>
      </c>
      <c r="I460" s="10" t="s">
        <v>1669</v>
      </c>
      <c r="J460" s="69">
        <v>45912</v>
      </c>
      <c r="K460" s="97">
        <f t="shared" si="81"/>
        <v>9</v>
      </c>
      <c r="L460" s="97">
        <v>458</v>
      </c>
      <c r="O460" s="7" t="s">
        <v>134</v>
      </c>
      <c r="T460" t="s">
        <v>1670</v>
      </c>
      <c r="X460" s="36" t="s">
        <v>141</v>
      </c>
      <c r="Y460" s="36"/>
      <c r="Z460" s="36"/>
      <c r="AA460" s="36" t="s">
        <v>141</v>
      </c>
      <c r="AB460" s="36" t="s">
        <v>141</v>
      </c>
      <c r="AC460" s="36"/>
      <c r="AD460" s="36"/>
      <c r="AE460" s="36"/>
      <c r="AF460" s="36"/>
      <c r="AG460" s="36"/>
      <c r="AH460" s="36"/>
      <c r="AI460" s="36"/>
      <c r="AJ460" s="36" t="s">
        <v>141</v>
      </c>
      <c r="AK460" s="117"/>
      <c r="AL460" s="36"/>
      <c r="AM460" s="36"/>
      <c r="AN460" s="36"/>
      <c r="AO460" s="36" t="s">
        <v>141</v>
      </c>
      <c r="AP460" s="36"/>
      <c r="AQ460" s="36"/>
      <c r="AR460" s="36"/>
      <c r="AS460" s="36"/>
      <c r="AT460" s="36"/>
      <c r="AU460" s="36"/>
      <c r="AV460" s="36"/>
      <c r="AW460" s="117"/>
      <c r="AX460" s="117" t="s">
        <v>141</v>
      </c>
      <c r="AY460" s="36"/>
      <c r="AZ460" s="36"/>
      <c r="BA460" s="117"/>
      <c r="BB460" s="117"/>
      <c r="BC460" s="117"/>
      <c r="BD460" s="117"/>
      <c r="BE460" s="117"/>
      <c r="BF460" s="117" t="s">
        <v>141</v>
      </c>
      <c r="BG460" s="117"/>
      <c r="BH460" s="117" t="s">
        <v>141</v>
      </c>
      <c r="BI460" s="117"/>
      <c r="BJ460" s="117"/>
      <c r="BK460" s="117"/>
      <c r="BL460" s="117"/>
      <c r="BM460" s="117">
        <f t="shared" si="77"/>
        <v>7</v>
      </c>
      <c r="BN460" s="117">
        <f t="shared" si="78"/>
        <v>1</v>
      </c>
      <c r="BO460" s="117">
        <f t="shared" si="79"/>
        <v>3</v>
      </c>
      <c r="BP460" s="153">
        <f t="shared" si="80"/>
        <v>3</v>
      </c>
      <c r="BQ460" s="74" t="s">
        <v>1671</v>
      </c>
      <c r="BR460" s="74"/>
    </row>
    <row r="461" spans="1:70" hidden="1">
      <c r="A461">
        <v>447</v>
      </c>
      <c r="B461" s="75">
        <v>45912.240405092591</v>
      </c>
      <c r="E461" s="7">
        <v>45912</v>
      </c>
      <c r="F461">
        <v>1002</v>
      </c>
      <c r="I461" s="10" t="s">
        <v>1672</v>
      </c>
      <c r="J461" s="69">
        <v>45912</v>
      </c>
      <c r="K461" s="97">
        <f t="shared" si="81"/>
        <v>9</v>
      </c>
      <c r="L461" s="97">
        <v>459</v>
      </c>
      <c r="O461" s="7" t="s">
        <v>156</v>
      </c>
      <c r="T461" t="s">
        <v>1673</v>
      </c>
      <c r="X461" s="36" t="s">
        <v>141</v>
      </c>
      <c r="Y461" s="36"/>
      <c r="Z461" s="36"/>
      <c r="AA461" s="36" t="s">
        <v>141</v>
      </c>
      <c r="AB461" s="36" t="s">
        <v>141</v>
      </c>
      <c r="AC461" s="36" t="s">
        <v>141</v>
      </c>
      <c r="AD461" s="36"/>
      <c r="AE461" s="36"/>
      <c r="AF461" s="36"/>
      <c r="AG461" s="36"/>
      <c r="AH461" s="36" t="s">
        <v>141</v>
      </c>
      <c r="AI461" s="36"/>
      <c r="AJ461" s="36" t="s">
        <v>141</v>
      </c>
      <c r="AK461" s="117"/>
      <c r="AL461" s="36"/>
      <c r="AM461" s="36"/>
      <c r="AN461" s="36"/>
      <c r="AO461" s="36" t="s">
        <v>141</v>
      </c>
      <c r="AP461" s="36"/>
      <c r="AQ461" s="36"/>
      <c r="AR461" s="36"/>
      <c r="AS461" s="36"/>
      <c r="AT461" s="36" t="s">
        <v>141</v>
      </c>
      <c r="AU461" s="36"/>
      <c r="AV461" s="36" t="s">
        <v>141</v>
      </c>
      <c r="AW461" s="117"/>
      <c r="AX461" s="117" t="s">
        <v>141</v>
      </c>
      <c r="AY461" s="36"/>
      <c r="AZ461" s="36"/>
      <c r="BA461" s="117" t="s">
        <v>141</v>
      </c>
      <c r="BB461" s="117"/>
      <c r="BC461" s="117" t="s">
        <v>141</v>
      </c>
      <c r="BD461" s="117"/>
      <c r="BE461" s="117"/>
      <c r="BF461" s="117"/>
      <c r="BG461" s="117"/>
      <c r="BH461" s="117" t="s">
        <v>141</v>
      </c>
      <c r="BI461" s="117"/>
      <c r="BJ461" s="117"/>
      <c r="BK461" s="117"/>
      <c r="BL461" s="117"/>
      <c r="BM461" s="117">
        <f t="shared" si="77"/>
        <v>12</v>
      </c>
      <c r="BN461" s="117">
        <f t="shared" si="78"/>
        <v>1</v>
      </c>
      <c r="BO461" s="117">
        <f t="shared" si="79"/>
        <v>4</v>
      </c>
      <c r="BP461" s="153">
        <f t="shared" si="80"/>
        <v>8</v>
      </c>
      <c r="BQ461" s="74" t="s">
        <v>208</v>
      </c>
      <c r="BR461" s="74"/>
    </row>
    <row r="462" spans="1:70" hidden="1">
      <c r="A462">
        <v>448</v>
      </c>
      <c r="B462" s="75">
        <v>45913.827719907407</v>
      </c>
      <c r="E462" s="7">
        <v>45914</v>
      </c>
      <c r="F462">
        <v>1003</v>
      </c>
      <c r="I462" s="10" t="s">
        <v>1674</v>
      </c>
      <c r="J462" s="69">
        <v>45914</v>
      </c>
      <c r="K462" s="97">
        <f t="shared" si="81"/>
        <v>9</v>
      </c>
      <c r="L462" s="97">
        <v>460</v>
      </c>
      <c r="O462" s="7" t="s">
        <v>134</v>
      </c>
      <c r="T462" t="s">
        <v>1675</v>
      </c>
      <c r="X462" s="36"/>
      <c r="Y462" s="36"/>
      <c r="Z462" s="36"/>
      <c r="AA462" s="36" t="s">
        <v>141</v>
      </c>
      <c r="AB462" s="36"/>
      <c r="AC462" s="36"/>
      <c r="AD462" s="36"/>
      <c r="AE462" s="36" t="s">
        <v>141</v>
      </c>
      <c r="AF462" s="36"/>
      <c r="AG462" s="36"/>
      <c r="AH462" s="36" t="s">
        <v>141</v>
      </c>
      <c r="AI462" s="36" t="s">
        <v>141</v>
      </c>
      <c r="AJ462" s="36"/>
      <c r="AK462" s="117"/>
      <c r="AL462" s="36" t="s">
        <v>141</v>
      </c>
      <c r="AM462" s="36" t="s">
        <v>141</v>
      </c>
      <c r="AN462" s="36"/>
      <c r="AO462" s="36"/>
      <c r="AP462" s="36"/>
      <c r="AQ462" s="36"/>
      <c r="AR462" s="36"/>
      <c r="AS462" s="36"/>
      <c r="AT462" s="36" t="s">
        <v>141</v>
      </c>
      <c r="AU462" s="36"/>
      <c r="AV462" s="36"/>
      <c r="AW462" s="117"/>
      <c r="AX462" s="117"/>
      <c r="AY462" s="36"/>
      <c r="AZ462" s="36"/>
      <c r="BA462" s="117" t="s">
        <v>141</v>
      </c>
      <c r="BB462" s="117" t="s">
        <v>141</v>
      </c>
      <c r="BC462" s="117"/>
      <c r="BD462" s="117"/>
      <c r="BE462" s="117"/>
      <c r="BF462" s="117" t="s">
        <v>141</v>
      </c>
      <c r="BG462" s="117"/>
      <c r="BH462" s="117" t="s">
        <v>141</v>
      </c>
      <c r="BI462" s="117"/>
      <c r="BJ462" s="117"/>
      <c r="BK462" s="117"/>
      <c r="BL462" s="117"/>
      <c r="BM462" s="117">
        <f t="shared" si="77"/>
        <v>10</v>
      </c>
      <c r="BN462" s="117">
        <f t="shared" si="78"/>
        <v>1</v>
      </c>
      <c r="BO462" s="117">
        <f t="shared" si="79"/>
        <v>1</v>
      </c>
      <c r="BP462" s="153">
        <f t="shared" si="80"/>
        <v>8</v>
      </c>
      <c r="BQ462" s="74" t="s">
        <v>178</v>
      </c>
      <c r="BR462" s="74"/>
    </row>
    <row r="463" spans="1:70" hidden="1">
      <c r="A463">
        <v>449</v>
      </c>
      <c r="B463" s="75">
        <v>45915.089895833335</v>
      </c>
      <c r="E463" s="7">
        <v>45915</v>
      </c>
      <c r="F463">
        <v>1004</v>
      </c>
      <c r="I463" s="10" t="s">
        <v>1676</v>
      </c>
      <c r="J463" s="69">
        <v>45915</v>
      </c>
      <c r="K463" s="97">
        <f t="shared" si="81"/>
        <v>9</v>
      </c>
      <c r="L463" s="97">
        <v>461</v>
      </c>
      <c r="O463" s="7" t="s">
        <v>156</v>
      </c>
      <c r="T463" t="s">
        <v>1677</v>
      </c>
      <c r="X463" s="36"/>
      <c r="Y463" s="36"/>
      <c r="Z463" s="36"/>
      <c r="AA463" s="36" t="s">
        <v>141</v>
      </c>
      <c r="AB463" s="36"/>
      <c r="AC463" s="36"/>
      <c r="AD463" s="36"/>
      <c r="AE463" s="36" t="s">
        <v>141</v>
      </c>
      <c r="AF463" s="36"/>
      <c r="AG463" s="36"/>
      <c r="AH463" s="36" t="s">
        <v>141</v>
      </c>
      <c r="AI463" s="36"/>
      <c r="AJ463" s="36" t="s">
        <v>141</v>
      </c>
      <c r="AK463" s="117"/>
      <c r="AL463" s="36"/>
      <c r="AM463" s="36" t="s">
        <v>141</v>
      </c>
      <c r="AN463" s="36"/>
      <c r="AO463" s="36"/>
      <c r="AP463" s="36"/>
      <c r="AQ463" s="36"/>
      <c r="AR463" s="36"/>
      <c r="AS463" s="36" t="s">
        <v>141</v>
      </c>
      <c r="AT463" s="36" t="s">
        <v>141</v>
      </c>
      <c r="AU463" s="36"/>
      <c r="AV463" s="36" t="s">
        <v>141</v>
      </c>
      <c r="AW463" s="117" t="s">
        <v>141</v>
      </c>
      <c r="AX463" s="117"/>
      <c r="AY463" s="36"/>
      <c r="AZ463" s="36"/>
      <c r="BA463" s="117"/>
      <c r="BB463" s="117"/>
      <c r="BC463" s="117"/>
      <c r="BD463" s="117"/>
      <c r="BE463" s="117"/>
      <c r="BF463" s="117" t="s">
        <v>141</v>
      </c>
      <c r="BG463" s="117"/>
      <c r="BH463" s="117"/>
      <c r="BI463" s="117"/>
      <c r="BJ463" s="117"/>
      <c r="BK463" s="117"/>
      <c r="BL463" s="117"/>
      <c r="BM463" s="117">
        <f t="shared" si="77"/>
        <v>10</v>
      </c>
      <c r="BN463" s="117">
        <f t="shared" si="78"/>
        <v>3</v>
      </c>
      <c r="BO463" s="117">
        <f t="shared" si="79"/>
        <v>1</v>
      </c>
      <c r="BP463" s="153">
        <f t="shared" si="80"/>
        <v>8</v>
      </c>
      <c r="BQ463" s="74" t="s">
        <v>152</v>
      </c>
      <c r="BR463" s="74"/>
    </row>
    <row r="464" spans="1:70" hidden="1">
      <c r="A464">
        <v>450</v>
      </c>
      <c r="B464" s="75">
        <v>45915.275497685187</v>
      </c>
      <c r="E464" s="7">
        <v>45915</v>
      </c>
      <c r="F464">
        <v>1005</v>
      </c>
      <c r="I464" s="10" t="s">
        <v>1678</v>
      </c>
      <c r="J464" s="69">
        <v>45915</v>
      </c>
      <c r="K464" s="97">
        <f t="shared" ref="K464:K475" si="82">MONTH($J464)</f>
        <v>9</v>
      </c>
      <c r="L464" s="97">
        <v>462</v>
      </c>
      <c r="O464" s="7" t="s">
        <v>156</v>
      </c>
      <c r="T464" t="s">
        <v>1679</v>
      </c>
      <c r="X464" s="36" t="s">
        <v>141</v>
      </c>
      <c r="Y464" s="36"/>
      <c r="Z464" s="36" t="s">
        <v>141</v>
      </c>
      <c r="AA464" s="36" t="s">
        <v>141</v>
      </c>
      <c r="AB464" s="36"/>
      <c r="AC464" s="36" t="s">
        <v>141</v>
      </c>
      <c r="AD464" s="36" t="s">
        <v>141</v>
      </c>
      <c r="AE464" s="36"/>
      <c r="AF464" s="36"/>
      <c r="AG464" s="36"/>
      <c r="AH464" s="36" t="s">
        <v>141</v>
      </c>
      <c r="AI464" s="36" t="s">
        <v>141</v>
      </c>
      <c r="AJ464" s="36" t="s">
        <v>141</v>
      </c>
      <c r="AK464" s="117"/>
      <c r="AL464" s="36" t="s">
        <v>141</v>
      </c>
      <c r="AM464" s="36"/>
      <c r="AN464" s="36"/>
      <c r="AO464" s="36"/>
      <c r="AP464" s="36" t="s">
        <v>141</v>
      </c>
      <c r="AQ464" s="36"/>
      <c r="AR464" s="36"/>
      <c r="AS464" s="36"/>
      <c r="AT464" s="36"/>
      <c r="AU464" s="36"/>
      <c r="AV464" s="36" t="s">
        <v>141</v>
      </c>
      <c r="AW464" s="117"/>
      <c r="AX464" s="117"/>
      <c r="AY464" s="36"/>
      <c r="AZ464" s="36" t="s">
        <v>141</v>
      </c>
      <c r="BA464" s="117" t="s">
        <v>141</v>
      </c>
      <c r="BB464" s="117"/>
      <c r="BC464" s="117" t="s">
        <v>141</v>
      </c>
      <c r="BD464" s="117" t="s">
        <v>141</v>
      </c>
      <c r="BE464" s="117" t="s">
        <v>141</v>
      </c>
      <c r="BF464" s="117"/>
      <c r="BG464" s="117"/>
      <c r="BH464" s="117" t="s">
        <v>141</v>
      </c>
      <c r="BI464" s="117"/>
      <c r="BJ464" s="117"/>
      <c r="BK464" s="117"/>
      <c r="BL464" s="117"/>
      <c r="BM464" s="117">
        <f t="shared" si="77"/>
        <v>16</v>
      </c>
      <c r="BN464" s="117">
        <f t="shared" si="78"/>
        <v>1</v>
      </c>
      <c r="BO464" s="117">
        <f t="shared" si="79"/>
        <v>5</v>
      </c>
      <c r="BP464" s="153">
        <f t="shared" si="80"/>
        <v>9</v>
      </c>
      <c r="BQ464" s="74" t="s">
        <v>1545</v>
      </c>
      <c r="BR464" s="74"/>
    </row>
    <row r="465" spans="1:70" hidden="1">
      <c r="A465">
        <v>451</v>
      </c>
      <c r="B465" s="75">
        <v>45915.365243055552</v>
      </c>
      <c r="E465" s="7">
        <v>45915</v>
      </c>
      <c r="F465">
        <v>1006</v>
      </c>
      <c r="I465" s="10" t="s">
        <v>1680</v>
      </c>
      <c r="J465" s="69">
        <v>45915</v>
      </c>
      <c r="K465" s="97">
        <f t="shared" si="82"/>
        <v>9</v>
      </c>
      <c r="L465" s="97">
        <v>463</v>
      </c>
      <c r="O465" s="7" t="s">
        <v>156</v>
      </c>
      <c r="T465" t="s">
        <v>1681</v>
      </c>
      <c r="X465" s="36" t="s">
        <v>141</v>
      </c>
      <c r="Y465" s="36"/>
      <c r="Z465" s="36" t="s">
        <v>141</v>
      </c>
      <c r="AA465" s="36" t="s">
        <v>141</v>
      </c>
      <c r="AB465" s="36"/>
      <c r="AC465" s="36" t="s">
        <v>141</v>
      </c>
      <c r="AD465" s="36" t="s">
        <v>141</v>
      </c>
      <c r="AE465" s="36" t="s">
        <v>141</v>
      </c>
      <c r="AF465" s="36"/>
      <c r="AG465" s="36"/>
      <c r="AH465" s="36" t="s">
        <v>141</v>
      </c>
      <c r="AI465" s="36" t="s">
        <v>141</v>
      </c>
      <c r="AJ465" s="36" t="s">
        <v>141</v>
      </c>
      <c r="AK465" s="117"/>
      <c r="AL465" s="36" t="s">
        <v>141</v>
      </c>
      <c r="AM465" s="36" t="s">
        <v>141</v>
      </c>
      <c r="AN465" s="36" t="s">
        <v>141</v>
      </c>
      <c r="AO465" s="36"/>
      <c r="AP465" s="36" t="s">
        <v>141</v>
      </c>
      <c r="AQ465" s="36"/>
      <c r="AR465" s="36"/>
      <c r="AS465" s="36"/>
      <c r="AT465" s="36"/>
      <c r="AU465" s="36"/>
      <c r="AV465" s="36" t="s">
        <v>141</v>
      </c>
      <c r="AW465" s="117" t="s">
        <v>141</v>
      </c>
      <c r="AX465" s="117" t="s">
        <v>141</v>
      </c>
      <c r="AY465" s="36" t="s">
        <v>141</v>
      </c>
      <c r="AZ465" s="36" t="s">
        <v>141</v>
      </c>
      <c r="BA465" s="117" t="s">
        <v>141</v>
      </c>
      <c r="BB465" s="117" t="s">
        <v>141</v>
      </c>
      <c r="BC465" s="117" t="s">
        <v>141</v>
      </c>
      <c r="BD465" s="117" t="s">
        <v>141</v>
      </c>
      <c r="BE465" s="117" t="s">
        <v>141</v>
      </c>
      <c r="BF465" s="117" t="s">
        <v>141</v>
      </c>
      <c r="BG465" s="117"/>
      <c r="BH465" s="117" t="s">
        <v>141</v>
      </c>
      <c r="BI465" s="117"/>
      <c r="BJ465" s="117"/>
      <c r="BK465" s="117"/>
      <c r="BL465" s="117"/>
      <c r="BM465" s="117">
        <f t="shared" si="77"/>
        <v>24</v>
      </c>
      <c r="BN465" s="117">
        <f t="shared" si="78"/>
        <v>3</v>
      </c>
      <c r="BO465" s="117">
        <f t="shared" si="79"/>
        <v>5</v>
      </c>
      <c r="BP465" s="153">
        <f t="shared" si="80"/>
        <v>16</v>
      </c>
      <c r="BQ465" s="74" t="s">
        <v>610</v>
      </c>
      <c r="BR465" s="74"/>
    </row>
    <row r="466" spans="1:70" hidden="1">
      <c r="A466">
        <v>452</v>
      </c>
      <c r="B466" s="75">
        <v>45916.358993055554</v>
      </c>
      <c r="E466" s="7">
        <v>45916</v>
      </c>
      <c r="F466">
        <v>1007</v>
      </c>
      <c r="I466" s="10" t="s">
        <v>1682</v>
      </c>
      <c r="J466" s="69">
        <v>45916</v>
      </c>
      <c r="K466" s="97">
        <f t="shared" si="82"/>
        <v>9</v>
      </c>
      <c r="L466" s="97">
        <v>464</v>
      </c>
      <c r="O466" s="7" t="s">
        <v>197</v>
      </c>
      <c r="T466" t="s">
        <v>1683</v>
      </c>
      <c r="X466" s="36" t="s">
        <v>141</v>
      </c>
      <c r="Y466" s="36"/>
      <c r="Z466" s="36" t="s">
        <v>141</v>
      </c>
      <c r="AA466" s="36" t="s">
        <v>141</v>
      </c>
      <c r="AB466" s="36"/>
      <c r="AC466" s="36" t="s">
        <v>141</v>
      </c>
      <c r="AD466" s="36" t="s">
        <v>141</v>
      </c>
      <c r="AE466" s="36" t="s">
        <v>141</v>
      </c>
      <c r="AF466" s="36"/>
      <c r="AG466" s="36"/>
      <c r="AH466" s="36"/>
      <c r="AI466" s="36"/>
      <c r="AJ466" s="36"/>
      <c r="AK466" s="117"/>
      <c r="AL466" s="36"/>
      <c r="AM466" s="36" t="s">
        <v>141</v>
      </c>
      <c r="AN466" s="36" t="s">
        <v>141</v>
      </c>
      <c r="AO466" s="36"/>
      <c r="AP466" s="36" t="s">
        <v>141</v>
      </c>
      <c r="AQ466" s="36"/>
      <c r="AR466" s="36"/>
      <c r="AS466" s="36"/>
      <c r="AT466" s="36" t="s">
        <v>141</v>
      </c>
      <c r="AU466" s="36"/>
      <c r="AV466" s="36" t="s">
        <v>141</v>
      </c>
      <c r="AW466" s="117"/>
      <c r="AX466" s="117" t="s">
        <v>141</v>
      </c>
      <c r="AY466" s="36"/>
      <c r="AZ466" s="36" t="s">
        <v>141</v>
      </c>
      <c r="BA466" s="117" t="s">
        <v>141</v>
      </c>
      <c r="BB466" s="117"/>
      <c r="BC466" s="117"/>
      <c r="BD466" s="117" t="s">
        <v>141</v>
      </c>
      <c r="BE466" s="117" t="s">
        <v>141</v>
      </c>
      <c r="BF466" s="117"/>
      <c r="BG466" s="117"/>
      <c r="BH466" s="117" t="s">
        <v>141</v>
      </c>
      <c r="BI466" s="117" t="s">
        <v>141</v>
      </c>
      <c r="BJ466" s="117"/>
      <c r="BK466" s="117"/>
      <c r="BL466" s="117"/>
      <c r="BM466" s="117">
        <f t="shared" si="77"/>
        <v>16</v>
      </c>
      <c r="BN466" s="117">
        <f t="shared" si="78"/>
        <v>2</v>
      </c>
      <c r="BO466" s="117">
        <f t="shared" si="79"/>
        <v>5</v>
      </c>
      <c r="BP466" s="153">
        <f t="shared" si="80"/>
        <v>9</v>
      </c>
      <c r="BQ466" s="74" t="s">
        <v>1684</v>
      </c>
      <c r="BR466" s="74"/>
    </row>
    <row r="467" spans="1:70" hidden="1">
      <c r="A467">
        <v>453</v>
      </c>
      <c r="B467" s="75">
        <v>45917.251354166663</v>
      </c>
      <c r="E467" s="7">
        <v>45917</v>
      </c>
      <c r="F467">
        <v>1008</v>
      </c>
      <c r="I467" s="10" t="s">
        <v>1685</v>
      </c>
      <c r="J467" s="69">
        <v>45917</v>
      </c>
      <c r="K467" s="97">
        <f t="shared" si="82"/>
        <v>9</v>
      </c>
      <c r="L467" s="97">
        <v>465</v>
      </c>
      <c r="O467" s="7" t="s">
        <v>197</v>
      </c>
      <c r="T467" t="s">
        <v>1686</v>
      </c>
      <c r="X467" s="36" t="s">
        <v>141</v>
      </c>
      <c r="Y467" s="36"/>
      <c r="Z467" s="36"/>
      <c r="AA467" s="36" t="s">
        <v>141</v>
      </c>
      <c r="AB467" s="36"/>
      <c r="AC467" s="36"/>
      <c r="AD467" s="36"/>
      <c r="AE467" s="36" t="s">
        <v>141</v>
      </c>
      <c r="AF467" s="36"/>
      <c r="AG467" s="36" t="s">
        <v>141</v>
      </c>
      <c r="AH467" s="36" t="s">
        <v>141</v>
      </c>
      <c r="AI467" s="36"/>
      <c r="AJ467" s="36"/>
      <c r="AK467" s="117"/>
      <c r="AL467" s="36" t="s">
        <v>141</v>
      </c>
      <c r="AM467" s="36"/>
      <c r="AN467" s="36"/>
      <c r="AO467" s="36" t="s">
        <v>141</v>
      </c>
      <c r="AP467" s="36"/>
      <c r="AQ467" s="36"/>
      <c r="AR467" s="36"/>
      <c r="AS467" s="36"/>
      <c r="AT467" s="36"/>
      <c r="AU467" s="36"/>
      <c r="AV467" s="36" t="s">
        <v>141</v>
      </c>
      <c r="AW467" s="117" t="s">
        <v>141</v>
      </c>
      <c r="AX467" s="117" t="s">
        <v>141</v>
      </c>
      <c r="AY467" s="36"/>
      <c r="AZ467" s="36"/>
      <c r="BA467" s="117" t="s">
        <v>141</v>
      </c>
      <c r="BB467" s="117"/>
      <c r="BC467" s="117" t="s">
        <v>141</v>
      </c>
      <c r="BD467" s="117"/>
      <c r="BE467" s="117" t="s">
        <v>141</v>
      </c>
      <c r="BF467" s="117"/>
      <c r="BG467" s="117"/>
      <c r="BH467" s="117"/>
      <c r="BI467" s="117" t="s">
        <v>141</v>
      </c>
      <c r="BJ467" s="117"/>
      <c r="BK467" s="117"/>
      <c r="BL467" s="117"/>
      <c r="BM467" s="117">
        <f t="shared" si="77"/>
        <v>13</v>
      </c>
      <c r="BN467" s="117">
        <f t="shared" si="78"/>
        <v>1</v>
      </c>
      <c r="BO467" s="117">
        <f t="shared" si="79"/>
        <v>2</v>
      </c>
      <c r="BP467" s="153">
        <f t="shared" si="80"/>
        <v>10</v>
      </c>
      <c r="BQ467" s="74" t="s">
        <v>1578</v>
      </c>
      <c r="BR467" s="74"/>
    </row>
    <row r="468" spans="1:70" hidden="1">
      <c r="A468">
        <v>454</v>
      </c>
      <c r="B468" s="75">
        <v>45917.381076388891</v>
      </c>
      <c r="E468" s="7">
        <v>45917</v>
      </c>
      <c r="F468">
        <v>1009</v>
      </c>
      <c r="I468" s="10" t="s">
        <v>1687</v>
      </c>
      <c r="J468" s="69">
        <v>45917</v>
      </c>
      <c r="K468" s="97">
        <f t="shared" si="82"/>
        <v>9</v>
      </c>
      <c r="L468" s="97">
        <v>466</v>
      </c>
      <c r="O468" s="7" t="s">
        <v>156</v>
      </c>
      <c r="T468" t="s">
        <v>334</v>
      </c>
      <c r="X468" s="36" t="s">
        <v>141</v>
      </c>
      <c r="Y468" s="36"/>
      <c r="Z468" s="36"/>
      <c r="AA468" s="36" t="s">
        <v>141</v>
      </c>
      <c r="AB468" s="36"/>
      <c r="AC468" s="36" t="s">
        <v>141</v>
      </c>
      <c r="AD468" s="36"/>
      <c r="AE468" s="36" t="s">
        <v>141</v>
      </c>
      <c r="AF468" s="36"/>
      <c r="AG468" s="36"/>
      <c r="AH468" s="36"/>
      <c r="AI468" s="36"/>
      <c r="AJ468" s="36"/>
      <c r="AK468" s="117"/>
      <c r="AL468" s="36"/>
      <c r="AM468" s="36"/>
      <c r="AN468" s="36"/>
      <c r="AO468" s="36" t="s">
        <v>141</v>
      </c>
      <c r="AP468" s="36"/>
      <c r="AQ468" s="36"/>
      <c r="AR468" s="36"/>
      <c r="AS468" s="36" t="s">
        <v>141</v>
      </c>
      <c r="AT468" s="36" t="s">
        <v>141</v>
      </c>
      <c r="AU468" s="36"/>
      <c r="AV468" s="36" t="s">
        <v>141</v>
      </c>
      <c r="AW468" s="117" t="s">
        <v>141</v>
      </c>
      <c r="AX468" s="117"/>
      <c r="AY468" s="36"/>
      <c r="AZ468" s="36"/>
      <c r="BA468" s="117" t="s">
        <v>141</v>
      </c>
      <c r="BB468" s="117"/>
      <c r="BC468" s="117" t="s">
        <v>141</v>
      </c>
      <c r="BD468" s="117" t="s">
        <v>141</v>
      </c>
      <c r="BE468" s="117"/>
      <c r="BF468" s="117" t="s">
        <v>141</v>
      </c>
      <c r="BG468" s="117"/>
      <c r="BH468" s="117"/>
      <c r="BI468" s="117" t="s">
        <v>141</v>
      </c>
      <c r="BJ468" s="117"/>
      <c r="BK468" s="117"/>
      <c r="BL468" s="117"/>
      <c r="BM468" s="117">
        <f t="shared" si="77"/>
        <v>13</v>
      </c>
      <c r="BN468" s="117">
        <f t="shared" si="78"/>
        <v>1</v>
      </c>
      <c r="BO468" s="117">
        <f t="shared" si="79"/>
        <v>3</v>
      </c>
      <c r="BP468" s="153">
        <f t="shared" si="80"/>
        <v>8</v>
      </c>
      <c r="BQ468" s="74" t="s">
        <v>1688</v>
      </c>
      <c r="BR468" s="74"/>
    </row>
    <row r="469" spans="1:70" hidden="1">
      <c r="A469">
        <v>455</v>
      </c>
      <c r="B469" s="75">
        <v>45919.55667824074</v>
      </c>
      <c r="E469" s="7">
        <v>45920</v>
      </c>
      <c r="F469">
        <v>1010</v>
      </c>
      <c r="I469" s="10" t="s">
        <v>1689</v>
      </c>
      <c r="J469" s="69">
        <v>45920</v>
      </c>
      <c r="K469" s="97">
        <f t="shared" si="82"/>
        <v>9</v>
      </c>
      <c r="L469" s="97">
        <v>467</v>
      </c>
      <c r="O469" s="7" t="s">
        <v>134</v>
      </c>
      <c r="T469" t="s">
        <v>1690</v>
      </c>
      <c r="X469" s="36"/>
      <c r="Y469" s="36"/>
      <c r="Z469" s="36"/>
      <c r="AA469" s="36" t="s">
        <v>141</v>
      </c>
      <c r="AB469" s="36"/>
      <c r="AC469" s="36"/>
      <c r="AD469" s="36" t="s">
        <v>141</v>
      </c>
      <c r="AE469" s="36"/>
      <c r="AF469" s="36"/>
      <c r="AG469" s="36"/>
      <c r="AH469" s="36" t="s">
        <v>141</v>
      </c>
      <c r="AI469" s="36"/>
      <c r="AJ469" s="36" t="s">
        <v>141</v>
      </c>
      <c r="AK469" s="117"/>
      <c r="AL469" s="36"/>
      <c r="AM469" s="36"/>
      <c r="AN469" s="36"/>
      <c r="AO469" s="36"/>
      <c r="AP469" s="36" t="s">
        <v>141</v>
      </c>
      <c r="AQ469" s="36"/>
      <c r="AR469" s="36"/>
      <c r="AS469" s="36"/>
      <c r="AT469" s="36"/>
      <c r="AU469" s="36"/>
      <c r="AV469" s="36" t="s">
        <v>141</v>
      </c>
      <c r="AW469" s="117"/>
      <c r="AX469" s="117"/>
      <c r="AY469" s="36"/>
      <c r="AZ469" s="36"/>
      <c r="BA469" s="117"/>
      <c r="BB469" s="117"/>
      <c r="BC469" s="117"/>
      <c r="BD469" s="117"/>
      <c r="BE469" s="117"/>
      <c r="BF469" s="117"/>
      <c r="BG469" s="117"/>
      <c r="BH469" s="117" t="s">
        <v>141</v>
      </c>
      <c r="BI469" s="117"/>
      <c r="BJ469" s="117" t="s">
        <v>141</v>
      </c>
      <c r="BK469" s="117"/>
      <c r="BL469" s="117"/>
      <c r="BM469" s="117">
        <f t="shared" si="77"/>
        <v>6</v>
      </c>
      <c r="BN469" s="117">
        <f t="shared" si="78"/>
        <v>1</v>
      </c>
      <c r="BO469" s="117">
        <f t="shared" si="79"/>
        <v>2</v>
      </c>
      <c r="BP469" s="153">
        <f t="shared" si="80"/>
        <v>4</v>
      </c>
      <c r="BQ469" s="74" t="s">
        <v>308</v>
      </c>
      <c r="BR469" s="74"/>
    </row>
    <row r="470" spans="1:70">
      <c r="A470">
        <v>456</v>
      </c>
      <c r="B470" s="75">
        <v>45919.962523148148</v>
      </c>
      <c r="E470" s="7">
        <v>45920</v>
      </c>
      <c r="F470">
        <v>1011</v>
      </c>
      <c r="I470" s="10" t="s">
        <v>1691</v>
      </c>
      <c r="J470" s="69">
        <v>45920</v>
      </c>
      <c r="K470" s="97">
        <f t="shared" si="82"/>
        <v>9</v>
      </c>
      <c r="L470" s="97">
        <v>468</v>
      </c>
      <c r="O470" s="7" t="s">
        <v>1013</v>
      </c>
      <c r="T470" t="s">
        <v>1692</v>
      </c>
      <c r="X470" s="36" t="s">
        <v>141</v>
      </c>
      <c r="Y470" s="36"/>
      <c r="Z470" s="36"/>
      <c r="AA470" s="36" t="s">
        <v>141</v>
      </c>
      <c r="AB470" s="36"/>
      <c r="AC470" s="36"/>
      <c r="AD470" s="36" t="s">
        <v>141</v>
      </c>
      <c r="AE470" s="36"/>
      <c r="AF470" s="36"/>
      <c r="AG470" s="36" t="s">
        <v>141</v>
      </c>
      <c r="AH470" s="36" t="s">
        <v>141</v>
      </c>
      <c r="AI470" s="36" t="s">
        <v>141</v>
      </c>
      <c r="AJ470" s="36" t="s">
        <v>141</v>
      </c>
      <c r="AK470" s="117" t="s">
        <v>141</v>
      </c>
      <c r="AL470" s="36" t="s">
        <v>141</v>
      </c>
      <c r="AM470" s="36"/>
      <c r="AN470" s="36"/>
      <c r="AO470" s="36" t="s">
        <v>141</v>
      </c>
      <c r="AP470" s="36"/>
      <c r="AQ470" s="36"/>
      <c r="AR470" s="36"/>
      <c r="AS470" s="36"/>
      <c r="AT470" s="36"/>
      <c r="AU470" s="36"/>
      <c r="AV470" s="36"/>
      <c r="AW470" s="117" t="s">
        <v>141</v>
      </c>
      <c r="AX470" s="117" t="s">
        <v>141</v>
      </c>
      <c r="AY470" s="36"/>
      <c r="AZ470" s="36"/>
      <c r="BA470" s="117"/>
      <c r="BB470" s="117"/>
      <c r="BC470" s="117"/>
      <c r="BD470" s="117"/>
      <c r="BE470" s="117"/>
      <c r="BF470" s="117" t="s">
        <v>141</v>
      </c>
      <c r="BG470" s="117"/>
      <c r="BH470" s="117" t="s">
        <v>141</v>
      </c>
      <c r="BI470" s="117"/>
      <c r="BJ470" s="117" t="s">
        <v>141</v>
      </c>
      <c r="BK470" s="117"/>
      <c r="BL470" s="117"/>
      <c r="BM470" s="117">
        <f t="shared" si="77"/>
        <v>13</v>
      </c>
      <c r="BN470" s="117">
        <f t="shared" si="78"/>
        <v>3</v>
      </c>
      <c r="BO470" s="117">
        <f t="shared" si="79"/>
        <v>3</v>
      </c>
      <c r="BP470" s="153">
        <f t="shared" si="80"/>
        <v>9</v>
      </c>
      <c r="BQ470" s="74" t="s">
        <v>1033</v>
      </c>
      <c r="BR470" s="74"/>
    </row>
    <row r="471" spans="1:70" hidden="1">
      <c r="A471">
        <v>457</v>
      </c>
      <c r="B471" s="75">
        <v>45920.185578703706</v>
      </c>
      <c r="E471" s="7">
        <v>45915</v>
      </c>
      <c r="F471">
        <v>1012</v>
      </c>
      <c r="I471" s="10" t="s">
        <v>1693</v>
      </c>
      <c r="J471" s="69">
        <v>45920</v>
      </c>
      <c r="K471" s="97">
        <f t="shared" si="82"/>
        <v>9</v>
      </c>
      <c r="L471" s="97">
        <v>469</v>
      </c>
      <c r="O471" s="7" t="s">
        <v>645</v>
      </c>
      <c r="T471" t="s">
        <v>1694</v>
      </c>
      <c r="X471" s="36"/>
      <c r="Y471" s="36"/>
      <c r="Z471" s="36"/>
      <c r="AA471" s="36" t="s">
        <v>141</v>
      </c>
      <c r="AB471" s="36"/>
      <c r="AC471" s="36"/>
      <c r="AD471" s="36" t="s">
        <v>141</v>
      </c>
      <c r="AE471" s="36"/>
      <c r="AF471" s="36"/>
      <c r="AG471" s="36"/>
      <c r="AH471" s="36"/>
      <c r="AI471" s="36"/>
      <c r="AJ471" s="36" t="s">
        <v>141</v>
      </c>
      <c r="AK471" s="117" t="s">
        <v>141</v>
      </c>
      <c r="AL471" s="36" t="s">
        <v>141</v>
      </c>
      <c r="AM471" s="36"/>
      <c r="AN471" s="36"/>
      <c r="AO471" s="36" t="s">
        <v>141</v>
      </c>
      <c r="AP471" s="36"/>
      <c r="AQ471" s="36"/>
      <c r="AR471" s="36"/>
      <c r="AS471" s="36"/>
      <c r="AT471" s="36" t="s">
        <v>141</v>
      </c>
      <c r="AU471" s="36"/>
      <c r="AV471" s="36"/>
      <c r="AW471" s="117"/>
      <c r="AX471" s="117"/>
      <c r="AY471" s="36"/>
      <c r="AZ471" s="36"/>
      <c r="BA471" s="117"/>
      <c r="BB471" s="117"/>
      <c r="BC471" s="117" t="s">
        <v>141</v>
      </c>
      <c r="BD471" s="117"/>
      <c r="BE471" s="117"/>
      <c r="BF471" s="117" t="s">
        <v>141</v>
      </c>
      <c r="BG471" s="117"/>
      <c r="BH471" s="117"/>
      <c r="BI471" s="117" t="s">
        <v>141</v>
      </c>
      <c r="BJ471" s="117"/>
      <c r="BK471" s="117"/>
      <c r="BL471" s="117"/>
      <c r="BM471" s="117">
        <f t="shared" si="77"/>
        <v>9</v>
      </c>
      <c r="BN471" s="117">
        <f t="shared" si="78"/>
        <v>2</v>
      </c>
      <c r="BO471" s="117">
        <f t="shared" si="79"/>
        <v>2</v>
      </c>
      <c r="BP471" s="153">
        <f t="shared" si="80"/>
        <v>6</v>
      </c>
      <c r="BQ471" s="74" t="s">
        <v>1695</v>
      </c>
      <c r="BR471" s="74"/>
    </row>
    <row r="472" spans="1:70" hidden="1">
      <c r="A472">
        <v>458</v>
      </c>
      <c r="B472" s="75">
        <v>45920.885949074072</v>
      </c>
      <c r="E472" s="7">
        <v>45921</v>
      </c>
      <c r="F472">
        <v>1013</v>
      </c>
      <c r="I472" s="10" t="s">
        <v>1696</v>
      </c>
      <c r="J472" s="69">
        <v>45921</v>
      </c>
      <c r="K472" s="97">
        <f t="shared" si="82"/>
        <v>9</v>
      </c>
      <c r="L472" s="97">
        <v>470</v>
      </c>
      <c r="O472" s="7" t="s">
        <v>156</v>
      </c>
      <c r="T472" t="s">
        <v>1697</v>
      </c>
      <c r="X472" s="36" t="s">
        <v>141</v>
      </c>
      <c r="Y472" s="36"/>
      <c r="Z472" s="36"/>
      <c r="AA472" s="36" t="s">
        <v>141</v>
      </c>
      <c r="AB472" s="36" t="s">
        <v>141</v>
      </c>
      <c r="AC472" s="36"/>
      <c r="AD472" s="36" t="s">
        <v>141</v>
      </c>
      <c r="AE472" s="36" t="s">
        <v>141</v>
      </c>
      <c r="AF472" s="36"/>
      <c r="AG472" s="36"/>
      <c r="AH472" s="36" t="s">
        <v>141</v>
      </c>
      <c r="AI472" s="36"/>
      <c r="AJ472" s="36" t="s">
        <v>141</v>
      </c>
      <c r="AK472" s="117"/>
      <c r="AL472" s="36"/>
      <c r="AM472" s="36"/>
      <c r="AN472" s="36"/>
      <c r="AO472" s="36"/>
      <c r="AP472" s="36" t="s">
        <v>141</v>
      </c>
      <c r="AQ472" s="36"/>
      <c r="AR472" s="36"/>
      <c r="AS472" s="36"/>
      <c r="AT472" s="36"/>
      <c r="AU472" s="36"/>
      <c r="AV472" s="36" t="s">
        <v>141</v>
      </c>
      <c r="AW472" s="117"/>
      <c r="AX472" s="117"/>
      <c r="AY472" s="36" t="s">
        <v>141</v>
      </c>
      <c r="AZ472" s="36"/>
      <c r="BA472" s="117" t="s">
        <v>141</v>
      </c>
      <c r="BB472" s="117"/>
      <c r="BC472" s="117"/>
      <c r="BD472" s="117"/>
      <c r="BE472" s="117"/>
      <c r="BF472" s="117" t="s">
        <v>141</v>
      </c>
      <c r="BG472" s="117"/>
      <c r="BH472" s="117" t="s">
        <v>141</v>
      </c>
      <c r="BI472" s="117"/>
      <c r="BJ472" s="117" t="s">
        <v>141</v>
      </c>
      <c r="BK472" s="117"/>
      <c r="BL472" s="117"/>
      <c r="BM472" s="117">
        <f t="shared" si="77"/>
        <v>12</v>
      </c>
      <c r="BN472" s="117">
        <f t="shared" si="78"/>
        <v>1</v>
      </c>
      <c r="BO472" s="117">
        <f t="shared" si="79"/>
        <v>4</v>
      </c>
      <c r="BP472" s="153">
        <f t="shared" si="80"/>
        <v>7</v>
      </c>
      <c r="BQ472" s="74" t="s">
        <v>208</v>
      </c>
      <c r="BR472" s="74"/>
    </row>
    <row r="473" spans="1:70" hidden="1">
      <c r="A473">
        <v>459</v>
      </c>
      <c r="B473" s="75">
        <v>45921.153541666667</v>
      </c>
      <c r="E473" s="7">
        <v>45921</v>
      </c>
      <c r="F473">
        <v>1014</v>
      </c>
      <c r="I473" s="10" t="s">
        <v>1698</v>
      </c>
      <c r="J473" s="69">
        <v>45921</v>
      </c>
      <c r="K473" s="97">
        <f t="shared" si="82"/>
        <v>9</v>
      </c>
      <c r="L473" s="97">
        <v>471</v>
      </c>
      <c r="O473" s="7" t="s">
        <v>197</v>
      </c>
      <c r="T473" t="s">
        <v>1699</v>
      </c>
      <c r="X473" s="36" t="s">
        <v>141</v>
      </c>
      <c r="Y473" s="36"/>
      <c r="Z473" s="36" t="s">
        <v>141</v>
      </c>
      <c r="AA473" s="36" t="s">
        <v>141</v>
      </c>
      <c r="AB473" s="36" t="s">
        <v>141</v>
      </c>
      <c r="AC473" s="36"/>
      <c r="AD473" s="36" t="s">
        <v>141</v>
      </c>
      <c r="AE473" s="36"/>
      <c r="AF473" s="36"/>
      <c r="AG473" s="36"/>
      <c r="AH473" s="36" t="s">
        <v>141</v>
      </c>
      <c r="AI473" s="36"/>
      <c r="AJ473" s="36" t="s">
        <v>141</v>
      </c>
      <c r="AK473" s="117"/>
      <c r="AL473" s="36" t="s">
        <v>141</v>
      </c>
      <c r="AM473" s="36"/>
      <c r="AN473" s="36"/>
      <c r="AO473" s="36"/>
      <c r="AP473" s="36" t="s">
        <v>141</v>
      </c>
      <c r="AQ473" s="36"/>
      <c r="AR473" s="36" t="s">
        <v>141</v>
      </c>
      <c r="AS473" s="36"/>
      <c r="AT473" s="36" t="s">
        <v>141</v>
      </c>
      <c r="AU473" s="36" t="s">
        <v>141</v>
      </c>
      <c r="AV473" s="36" t="s">
        <v>141</v>
      </c>
      <c r="AW473" s="117" t="s">
        <v>141</v>
      </c>
      <c r="AX473" s="117" t="s">
        <v>141</v>
      </c>
      <c r="AY473" s="36"/>
      <c r="AZ473" s="36"/>
      <c r="BA473" s="117" t="s">
        <v>141</v>
      </c>
      <c r="BB473" s="117"/>
      <c r="BC473" s="117" t="s">
        <v>141</v>
      </c>
      <c r="BD473" s="117"/>
      <c r="BE473" s="117"/>
      <c r="BF473" s="117" t="s">
        <v>141</v>
      </c>
      <c r="BG473" s="117"/>
      <c r="BH473" s="117"/>
      <c r="BI473" s="117" t="s">
        <v>141</v>
      </c>
      <c r="BJ473" s="117" t="s">
        <v>141</v>
      </c>
      <c r="BK473" s="117"/>
      <c r="BL473" s="117"/>
      <c r="BM473" s="117">
        <f t="shared" si="77"/>
        <v>18</v>
      </c>
      <c r="BN473" s="117">
        <f t="shared" si="78"/>
        <v>2</v>
      </c>
      <c r="BO473" s="117">
        <f t="shared" si="79"/>
        <v>5</v>
      </c>
      <c r="BP473" s="153">
        <f t="shared" si="80"/>
        <v>12</v>
      </c>
      <c r="BQ473" s="74" t="s">
        <v>208</v>
      </c>
      <c r="BR473" s="74"/>
    </row>
    <row r="474" spans="1:70" hidden="1">
      <c r="A474">
        <v>460</v>
      </c>
      <c r="B474" s="75">
        <v>45921.291273148148</v>
      </c>
      <c r="E474" s="7">
        <v>45921</v>
      </c>
      <c r="F474">
        <v>1015</v>
      </c>
      <c r="I474" s="10" t="s">
        <v>1700</v>
      </c>
      <c r="J474" s="69">
        <v>45921</v>
      </c>
      <c r="K474" s="97">
        <f t="shared" si="82"/>
        <v>9</v>
      </c>
      <c r="L474" s="97">
        <v>472</v>
      </c>
      <c r="O474" s="7" t="s">
        <v>146</v>
      </c>
      <c r="T474" t="s">
        <v>1701</v>
      </c>
      <c r="X474" s="36"/>
      <c r="Y474" s="36"/>
      <c r="Z474" s="36" t="s">
        <v>141</v>
      </c>
      <c r="AA474" s="36" t="s">
        <v>141</v>
      </c>
      <c r="AB474" s="36" t="s">
        <v>141</v>
      </c>
      <c r="AC474" s="36" t="s">
        <v>141</v>
      </c>
      <c r="AD474" s="36"/>
      <c r="AE474" s="36"/>
      <c r="AF474" s="36"/>
      <c r="AG474" s="36"/>
      <c r="AH474" s="36"/>
      <c r="AI474" s="36"/>
      <c r="AJ474" s="36" t="s">
        <v>141</v>
      </c>
      <c r="AK474" s="117" t="s">
        <v>141</v>
      </c>
      <c r="AL474" s="36"/>
      <c r="AM474" s="36"/>
      <c r="AN474" s="36"/>
      <c r="AO474" s="36"/>
      <c r="AP474" s="36" t="s">
        <v>141</v>
      </c>
      <c r="AQ474" s="36"/>
      <c r="AR474" s="36" t="s">
        <v>141</v>
      </c>
      <c r="AS474" s="36"/>
      <c r="AT474" s="36"/>
      <c r="AU474" s="36" t="s">
        <v>141</v>
      </c>
      <c r="AV474" s="36" t="s">
        <v>141</v>
      </c>
      <c r="AW474" s="117" t="s">
        <v>141</v>
      </c>
      <c r="AX474" s="117" t="s">
        <v>141</v>
      </c>
      <c r="AY474" s="36" t="s">
        <v>141</v>
      </c>
      <c r="AZ474" s="36"/>
      <c r="BA474" s="117" t="s">
        <v>141</v>
      </c>
      <c r="BB474" s="117" t="s">
        <v>141</v>
      </c>
      <c r="BC474" s="117" t="s">
        <v>141</v>
      </c>
      <c r="BD474" s="117"/>
      <c r="BE474" s="117"/>
      <c r="BF474" s="117"/>
      <c r="BG474" s="117"/>
      <c r="BH474" s="117" t="s">
        <v>141</v>
      </c>
      <c r="BI474" s="117" t="s">
        <v>141</v>
      </c>
      <c r="BJ474" s="117" t="s">
        <v>141</v>
      </c>
      <c r="BK474" s="117"/>
      <c r="BL474" s="117"/>
      <c r="BM474" s="117">
        <f t="shared" si="77"/>
        <v>16</v>
      </c>
      <c r="BN474" s="117">
        <f t="shared" si="78"/>
        <v>3</v>
      </c>
      <c r="BO474" s="117">
        <f t="shared" si="79"/>
        <v>4</v>
      </c>
      <c r="BP474" s="153">
        <f t="shared" si="80"/>
        <v>12</v>
      </c>
      <c r="BQ474" s="74" t="s">
        <v>163</v>
      </c>
      <c r="BR474" s="74"/>
    </row>
    <row r="475" spans="1:70" hidden="1">
      <c r="A475">
        <v>461</v>
      </c>
      <c r="B475" s="75">
        <v>45921.545173611114</v>
      </c>
      <c r="E475" s="7">
        <v>45922</v>
      </c>
      <c r="F475">
        <v>1016</v>
      </c>
      <c r="I475" s="10" t="s">
        <v>1702</v>
      </c>
      <c r="J475" s="69">
        <v>45922</v>
      </c>
      <c r="K475" s="97">
        <f t="shared" si="82"/>
        <v>9</v>
      </c>
      <c r="L475" s="97">
        <v>473</v>
      </c>
      <c r="O475" s="7" t="s">
        <v>134</v>
      </c>
      <c r="T475" t="s">
        <v>1703</v>
      </c>
      <c r="X475" s="36"/>
      <c r="Y475" s="36"/>
      <c r="Z475" s="36"/>
      <c r="AA475" s="36"/>
      <c r="AB475" s="36" t="s">
        <v>141</v>
      </c>
      <c r="AC475" s="36"/>
      <c r="AD475" s="36"/>
      <c r="AE475" s="36"/>
      <c r="AF475" s="36"/>
      <c r="AG475" s="36"/>
      <c r="AH475" s="36" t="s">
        <v>141</v>
      </c>
      <c r="AI475" s="36"/>
      <c r="AJ475" s="36" t="s">
        <v>141</v>
      </c>
      <c r="AK475" s="117" t="s">
        <v>141</v>
      </c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117"/>
      <c r="AX475" s="117"/>
      <c r="AY475" s="36" t="s">
        <v>141</v>
      </c>
      <c r="AZ475" s="36"/>
      <c r="BA475" s="117" t="s">
        <v>141</v>
      </c>
      <c r="BB475" s="117"/>
      <c r="BC475" s="117"/>
      <c r="BD475" s="117"/>
      <c r="BE475" s="117"/>
      <c r="BF475" s="117"/>
      <c r="BG475" s="117"/>
      <c r="BH475" s="117" t="s">
        <v>141</v>
      </c>
      <c r="BI475" s="117" t="s">
        <v>141</v>
      </c>
      <c r="BJ475" s="117"/>
      <c r="BK475" s="117"/>
      <c r="BL475" s="117"/>
      <c r="BM475" s="117">
        <f t="shared" si="77"/>
        <v>6</v>
      </c>
      <c r="BN475" s="117">
        <f t="shared" si="78"/>
        <v>2</v>
      </c>
      <c r="BO475" s="117">
        <f t="shared" si="79"/>
        <v>1</v>
      </c>
      <c r="BP475" s="153">
        <f t="shared" si="80"/>
        <v>5</v>
      </c>
      <c r="BQ475" s="74" t="s">
        <v>208</v>
      </c>
      <c r="BR475" s="74"/>
    </row>
    <row r="476" spans="1:70" hidden="1">
      <c r="A476">
        <v>462</v>
      </c>
      <c r="B476" s="75">
        <v>45923.920613425929</v>
      </c>
      <c r="E476" s="7">
        <v>45924</v>
      </c>
      <c r="F476">
        <v>1017</v>
      </c>
      <c r="I476" s="10" t="s">
        <v>1704</v>
      </c>
      <c r="J476" s="69">
        <v>45924</v>
      </c>
      <c r="K476" s="97">
        <f t="shared" ref="K476:K483" si="83">MONTH($J476)</f>
        <v>9</v>
      </c>
      <c r="L476" s="97">
        <v>474</v>
      </c>
      <c r="O476" s="7" t="s">
        <v>234</v>
      </c>
      <c r="T476" t="s">
        <v>1705</v>
      </c>
      <c r="X476" s="36"/>
      <c r="Y476" s="36"/>
      <c r="Z476" s="36"/>
      <c r="AA476" s="36" t="s">
        <v>141</v>
      </c>
      <c r="AB476" s="36"/>
      <c r="AC476" s="36"/>
      <c r="AD476" s="36" t="s">
        <v>141</v>
      </c>
      <c r="AE476" s="36"/>
      <c r="AF476" s="36"/>
      <c r="AG476" s="36"/>
      <c r="AH476" s="36" t="s">
        <v>141</v>
      </c>
      <c r="AI476" s="36" t="s">
        <v>141</v>
      </c>
      <c r="AJ476" s="36" t="s">
        <v>141</v>
      </c>
      <c r="AK476" s="117"/>
      <c r="AL476" s="36"/>
      <c r="AM476" s="36"/>
      <c r="AN476" s="36"/>
      <c r="AO476" s="36"/>
      <c r="AP476" s="36"/>
      <c r="AQ476" s="36"/>
      <c r="AR476" s="36"/>
      <c r="AS476" s="36"/>
      <c r="AT476" s="36" t="s">
        <v>141</v>
      </c>
      <c r="AU476" s="36"/>
      <c r="AV476" s="36"/>
      <c r="AW476" s="117"/>
      <c r="AX476" s="117"/>
      <c r="AY476" s="36" t="s">
        <v>141</v>
      </c>
      <c r="AZ476" s="36"/>
      <c r="BA476" s="117"/>
      <c r="BB476" s="117"/>
      <c r="BC476" s="117"/>
      <c r="BD476" s="117"/>
      <c r="BE476" s="117"/>
      <c r="BF476" s="117" t="s">
        <v>141</v>
      </c>
      <c r="BG476" s="117"/>
      <c r="BH476" s="117" t="s">
        <v>141</v>
      </c>
      <c r="BI476" s="117"/>
      <c r="BJ476" s="117"/>
      <c r="BK476" s="117"/>
      <c r="BL476" s="117"/>
      <c r="BM476" s="117">
        <f t="shared" si="77"/>
        <v>8</v>
      </c>
      <c r="BN476" s="117">
        <f t="shared" si="78"/>
        <v>1</v>
      </c>
      <c r="BO476" s="117">
        <f t="shared" si="79"/>
        <v>2</v>
      </c>
      <c r="BP476" s="153">
        <f t="shared" si="80"/>
        <v>5</v>
      </c>
      <c r="BQ476" s="74" t="s">
        <v>178</v>
      </c>
      <c r="BR476" s="74"/>
    </row>
    <row r="477" spans="1:70" hidden="1">
      <c r="A477">
        <v>463</v>
      </c>
      <c r="B477" s="75">
        <v>45924.487835648149</v>
      </c>
      <c r="E477" s="7">
        <v>45924</v>
      </c>
      <c r="F477">
        <v>1018</v>
      </c>
      <c r="I477" s="10" t="s">
        <v>1706</v>
      </c>
      <c r="J477" s="69">
        <v>45924</v>
      </c>
      <c r="K477" s="97">
        <f t="shared" si="83"/>
        <v>9</v>
      </c>
      <c r="L477" s="97">
        <v>475</v>
      </c>
      <c r="O477" s="7" t="s">
        <v>234</v>
      </c>
      <c r="T477" t="s">
        <v>1707</v>
      </c>
      <c r="X477" s="36" t="s">
        <v>141</v>
      </c>
      <c r="Y477" s="36"/>
      <c r="Z477" s="36" t="s">
        <v>141</v>
      </c>
      <c r="AA477" s="36" t="s">
        <v>141</v>
      </c>
      <c r="AB477" s="36"/>
      <c r="AC477" s="36"/>
      <c r="AD477" s="36"/>
      <c r="AE477" s="36"/>
      <c r="AF477" s="36"/>
      <c r="AG477" s="36"/>
      <c r="AH477" s="36" t="s">
        <v>141</v>
      </c>
      <c r="AI477" s="36"/>
      <c r="AJ477" s="36" t="s">
        <v>141</v>
      </c>
      <c r="AK477" s="117" t="s">
        <v>141</v>
      </c>
      <c r="AL477" s="36" t="s">
        <v>141</v>
      </c>
      <c r="AM477" s="36"/>
      <c r="AN477" s="36"/>
      <c r="AO477" s="36"/>
      <c r="AP477" s="36"/>
      <c r="AQ477" s="36"/>
      <c r="AR477" s="36"/>
      <c r="AS477" s="36"/>
      <c r="AT477" s="36"/>
      <c r="AU477" s="36"/>
      <c r="AV477" s="36" t="s">
        <v>141</v>
      </c>
      <c r="AW477" s="117" t="s">
        <v>141</v>
      </c>
      <c r="AX477" s="117"/>
      <c r="AY477" s="36" t="s">
        <v>141</v>
      </c>
      <c r="AZ477" s="36"/>
      <c r="BA477" s="117" t="s">
        <v>141</v>
      </c>
      <c r="BB477" s="117"/>
      <c r="BC477" s="117"/>
      <c r="BD477" s="117"/>
      <c r="BE477" s="117"/>
      <c r="BF477" s="117"/>
      <c r="BG477" s="117"/>
      <c r="BH477" s="117" t="s">
        <v>141</v>
      </c>
      <c r="BI477" s="117"/>
      <c r="BJ477" s="117" t="s">
        <v>141</v>
      </c>
      <c r="BK477" s="117"/>
      <c r="BL477" s="117"/>
      <c r="BM477" s="117">
        <f t="shared" si="77"/>
        <v>11</v>
      </c>
      <c r="BN477" s="117">
        <f t="shared" si="78"/>
        <v>2</v>
      </c>
      <c r="BO477" s="117">
        <f t="shared" si="79"/>
        <v>3</v>
      </c>
      <c r="BP477" s="153">
        <f t="shared" si="80"/>
        <v>8</v>
      </c>
      <c r="BQ477" s="74" t="s">
        <v>178</v>
      </c>
      <c r="BR477" s="74"/>
    </row>
    <row r="478" spans="1:70" hidden="1">
      <c r="A478">
        <v>464</v>
      </c>
      <c r="B478" s="75">
        <v>45924.555405092593</v>
      </c>
      <c r="E478" s="7">
        <v>45925</v>
      </c>
      <c r="F478">
        <v>1019</v>
      </c>
      <c r="I478" s="10" t="s">
        <v>1708</v>
      </c>
      <c r="J478" s="69">
        <v>45925</v>
      </c>
      <c r="K478" s="97">
        <f t="shared" si="83"/>
        <v>9</v>
      </c>
      <c r="L478" s="97">
        <v>476</v>
      </c>
      <c r="O478" s="7" t="s">
        <v>197</v>
      </c>
      <c r="T478" t="s">
        <v>1709</v>
      </c>
      <c r="X478" s="36"/>
      <c r="Y478" s="36"/>
      <c r="Z478" s="36" t="s">
        <v>141</v>
      </c>
      <c r="AA478" s="36" t="s">
        <v>141</v>
      </c>
      <c r="AB478" s="36"/>
      <c r="AC478" s="36"/>
      <c r="AD478" s="36"/>
      <c r="AE478" s="36"/>
      <c r="AF478" s="36"/>
      <c r="AG478" s="36"/>
      <c r="AH478" s="36" t="s">
        <v>141</v>
      </c>
      <c r="AI478" s="36"/>
      <c r="AJ478" s="36" t="s">
        <v>141</v>
      </c>
      <c r="AK478" s="117" t="s">
        <v>141</v>
      </c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 t="s">
        <v>141</v>
      </c>
      <c r="AW478" s="117" t="s">
        <v>141</v>
      </c>
      <c r="AX478" s="117"/>
      <c r="AY478" s="36" t="s">
        <v>141</v>
      </c>
      <c r="AZ478" s="36"/>
      <c r="BA478" s="117" t="s">
        <v>141</v>
      </c>
      <c r="BB478" s="117"/>
      <c r="BC478" s="117"/>
      <c r="BD478" s="117"/>
      <c r="BE478" s="117"/>
      <c r="BF478" s="117"/>
      <c r="BG478" s="117"/>
      <c r="BH478" s="117" t="s">
        <v>141</v>
      </c>
      <c r="BI478" s="117"/>
      <c r="BJ478" s="117" t="s">
        <v>141</v>
      </c>
      <c r="BK478" s="117"/>
      <c r="BL478" s="117"/>
      <c r="BM478" s="117">
        <f t="shared" si="77"/>
        <v>9</v>
      </c>
      <c r="BN478" s="117">
        <f t="shared" si="78"/>
        <v>2</v>
      </c>
      <c r="BO478" s="117">
        <f t="shared" si="79"/>
        <v>2</v>
      </c>
      <c r="BP478" s="153">
        <f t="shared" si="80"/>
        <v>7</v>
      </c>
      <c r="BQ478" s="74" t="s">
        <v>178</v>
      </c>
      <c r="BR478" s="74"/>
    </row>
    <row r="479" spans="1:70" hidden="1">
      <c r="A479">
        <v>465</v>
      </c>
      <c r="B479" s="75">
        <v>45924.960185185184</v>
      </c>
      <c r="E479" s="7">
        <v>45925</v>
      </c>
      <c r="F479">
        <v>1020</v>
      </c>
      <c r="I479" s="10" t="s">
        <v>1710</v>
      </c>
      <c r="J479" s="69">
        <v>45925</v>
      </c>
      <c r="K479" s="97">
        <f t="shared" si="83"/>
        <v>9</v>
      </c>
      <c r="L479" s="97">
        <v>477</v>
      </c>
      <c r="O479" s="7" t="s">
        <v>197</v>
      </c>
      <c r="T479" t="s">
        <v>1711</v>
      </c>
      <c r="X479" s="36"/>
      <c r="Y479" s="36"/>
      <c r="Z479" s="36"/>
      <c r="AA479" s="36" t="s">
        <v>141</v>
      </c>
      <c r="AB479" s="36"/>
      <c r="AC479" s="36"/>
      <c r="AD479" s="36" t="s">
        <v>141</v>
      </c>
      <c r="AE479" s="36"/>
      <c r="AF479" s="36" t="s">
        <v>141</v>
      </c>
      <c r="AG479" s="36"/>
      <c r="AH479" s="36" t="s">
        <v>141</v>
      </c>
      <c r="AI479" s="36"/>
      <c r="AJ479" s="36"/>
      <c r="AK479" s="117" t="s">
        <v>141</v>
      </c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117" t="s">
        <v>141</v>
      </c>
      <c r="AX479" s="117"/>
      <c r="AY479" s="36" t="s">
        <v>141</v>
      </c>
      <c r="AZ479" s="36"/>
      <c r="BA479" s="117"/>
      <c r="BB479" s="117"/>
      <c r="BC479" s="117"/>
      <c r="BD479" s="117" t="s">
        <v>141</v>
      </c>
      <c r="BE479" s="117"/>
      <c r="BF479" s="117"/>
      <c r="BG479" s="117"/>
      <c r="BH479" s="117" t="s">
        <v>141</v>
      </c>
      <c r="BI479" s="117"/>
      <c r="BJ479" s="117"/>
      <c r="BK479" s="117"/>
      <c r="BL479" s="117"/>
      <c r="BM479" s="117">
        <f t="shared" si="77"/>
        <v>8</v>
      </c>
      <c r="BN479" s="117">
        <f t="shared" si="78"/>
        <v>1</v>
      </c>
      <c r="BO479" s="117">
        <f t="shared" si="79"/>
        <v>2</v>
      </c>
      <c r="BP479" s="153">
        <f t="shared" si="80"/>
        <v>5</v>
      </c>
      <c r="BQ479" s="74" t="s">
        <v>1033</v>
      </c>
      <c r="BR479" s="74"/>
    </row>
    <row r="480" spans="1:70" hidden="1">
      <c r="A480">
        <v>466</v>
      </c>
      <c r="B480" s="75">
        <v>45927.975451388891</v>
      </c>
      <c r="E480" s="7">
        <v>45928</v>
      </c>
      <c r="F480">
        <v>1021</v>
      </c>
      <c r="I480" s="10" t="s">
        <v>1712</v>
      </c>
      <c r="J480" s="69">
        <v>45928</v>
      </c>
      <c r="K480" s="97">
        <f t="shared" si="83"/>
        <v>9</v>
      </c>
      <c r="L480" s="97">
        <v>478</v>
      </c>
      <c r="O480" s="7" t="s">
        <v>197</v>
      </c>
      <c r="T480" t="s">
        <v>1713</v>
      </c>
      <c r="X480" s="36"/>
      <c r="Y480" s="36"/>
      <c r="Z480" s="36"/>
      <c r="AA480" s="36" t="s">
        <v>141</v>
      </c>
      <c r="AB480" s="36"/>
      <c r="AC480" s="36"/>
      <c r="AD480" s="36" t="s">
        <v>141</v>
      </c>
      <c r="AE480" s="36"/>
      <c r="AF480" s="36"/>
      <c r="AG480" s="36"/>
      <c r="AH480" s="36" t="s">
        <v>141</v>
      </c>
      <c r="AI480" s="36"/>
      <c r="AJ480" s="36" t="s">
        <v>141</v>
      </c>
      <c r="AK480" s="117" t="s">
        <v>141</v>
      </c>
      <c r="AL480" s="36"/>
      <c r="AM480" s="36"/>
      <c r="AN480" s="36"/>
      <c r="AO480" s="36" t="s">
        <v>141</v>
      </c>
      <c r="AP480" s="36"/>
      <c r="AQ480" s="36"/>
      <c r="AR480" s="36" t="s">
        <v>141</v>
      </c>
      <c r="AS480" s="36"/>
      <c r="AT480" s="36" t="s">
        <v>141</v>
      </c>
      <c r="AU480" s="36"/>
      <c r="AV480" s="36" t="s">
        <v>141</v>
      </c>
      <c r="AW480" s="117" t="s">
        <v>141</v>
      </c>
      <c r="AX480" s="117"/>
      <c r="AY480" s="36" t="s">
        <v>141</v>
      </c>
      <c r="AZ480" s="36"/>
      <c r="BA480" s="117" t="s">
        <v>141</v>
      </c>
      <c r="BB480" s="117"/>
      <c r="BC480" s="117"/>
      <c r="BD480" s="117"/>
      <c r="BE480" s="117"/>
      <c r="BF480" s="117"/>
      <c r="BG480" s="117"/>
      <c r="BH480" s="117"/>
      <c r="BI480" s="117" t="s">
        <v>141</v>
      </c>
      <c r="BJ480" s="117" t="s">
        <v>141</v>
      </c>
      <c r="BK480" s="117"/>
      <c r="BL480" s="117"/>
      <c r="BM480" s="117">
        <f t="shared" si="77"/>
        <v>12</v>
      </c>
      <c r="BN480" s="117">
        <f t="shared" si="78"/>
        <v>3</v>
      </c>
      <c r="BO480" s="117">
        <f t="shared" si="79"/>
        <v>2</v>
      </c>
      <c r="BP480" s="153">
        <f t="shared" si="80"/>
        <v>10</v>
      </c>
      <c r="BQ480" s="74" t="s">
        <v>1033</v>
      </c>
      <c r="BR480" s="74"/>
    </row>
    <row r="481" spans="1:70" hidden="1">
      <c r="A481">
        <v>467</v>
      </c>
      <c r="B481" s="75">
        <v>45928.811273148145</v>
      </c>
      <c r="E481" s="7">
        <v>45929</v>
      </c>
      <c r="F481">
        <v>1022</v>
      </c>
      <c r="I481" s="10" t="s">
        <v>1714</v>
      </c>
      <c r="J481" s="69">
        <v>45929</v>
      </c>
      <c r="K481" s="97">
        <f t="shared" si="83"/>
        <v>9</v>
      </c>
      <c r="L481" s="97">
        <v>479</v>
      </c>
      <c r="O481" s="7" t="s">
        <v>197</v>
      </c>
      <c r="T481" t="s">
        <v>1715</v>
      </c>
      <c r="X481" s="36"/>
      <c r="Y481" s="36"/>
      <c r="Z481" s="36"/>
      <c r="AA481" s="36" t="s">
        <v>141</v>
      </c>
      <c r="AB481" s="36" t="s">
        <v>141</v>
      </c>
      <c r="AC481" s="36"/>
      <c r="AD481" s="36"/>
      <c r="AE481" s="36"/>
      <c r="AF481" s="36"/>
      <c r="AG481" s="36"/>
      <c r="AH481" s="36" t="s">
        <v>141</v>
      </c>
      <c r="AI481" s="36"/>
      <c r="AJ481" s="36" t="s">
        <v>141</v>
      </c>
      <c r="AK481" s="117" t="s">
        <v>141</v>
      </c>
      <c r="AL481" s="36"/>
      <c r="AM481" s="36"/>
      <c r="AN481" s="36" t="s">
        <v>141</v>
      </c>
      <c r="AO481" s="36"/>
      <c r="AP481" s="36"/>
      <c r="AQ481" s="36"/>
      <c r="AR481" s="36"/>
      <c r="AS481" s="36"/>
      <c r="AT481" s="36" t="s">
        <v>141</v>
      </c>
      <c r="AU481" s="36"/>
      <c r="AV481" s="36"/>
      <c r="AW481" s="117" t="s">
        <v>141</v>
      </c>
      <c r="AX481" s="117"/>
      <c r="AY481" s="36"/>
      <c r="AZ481" s="36"/>
      <c r="BA481" s="117"/>
      <c r="BB481" s="117"/>
      <c r="BC481" s="117"/>
      <c r="BD481" s="117"/>
      <c r="BE481" s="117" t="s">
        <v>141</v>
      </c>
      <c r="BF481" s="117"/>
      <c r="BG481" s="117"/>
      <c r="BH481" s="117"/>
      <c r="BI481" s="117" t="s">
        <v>141</v>
      </c>
      <c r="BJ481" s="117"/>
      <c r="BK481" s="117"/>
      <c r="BL481" s="117"/>
      <c r="BM481" s="117">
        <f t="shared" si="77"/>
        <v>9</v>
      </c>
      <c r="BN481" s="117">
        <f t="shared" si="78"/>
        <v>3</v>
      </c>
      <c r="BO481" s="117">
        <f t="shared" si="79"/>
        <v>2</v>
      </c>
      <c r="BP481" s="153">
        <f t="shared" si="80"/>
        <v>6</v>
      </c>
      <c r="BQ481" s="74" t="s">
        <v>208</v>
      </c>
      <c r="BR481" s="74"/>
    </row>
    <row r="482" spans="1:70" hidden="1">
      <c r="A482">
        <v>468</v>
      </c>
      <c r="B482" s="75">
        <v>45928.864861111113</v>
      </c>
      <c r="E482" s="7">
        <v>45929</v>
      </c>
      <c r="F482">
        <v>1023</v>
      </c>
      <c r="I482" s="10" t="s">
        <v>1716</v>
      </c>
      <c r="J482" s="69">
        <v>45929</v>
      </c>
      <c r="K482" s="97">
        <f t="shared" si="83"/>
        <v>9</v>
      </c>
      <c r="L482" s="97">
        <v>480</v>
      </c>
      <c r="O482" s="7" t="s">
        <v>182</v>
      </c>
      <c r="T482" t="s">
        <v>1717</v>
      </c>
      <c r="X482" s="36"/>
      <c r="Y482" s="36"/>
      <c r="Z482" s="36"/>
      <c r="AA482" s="36" t="s">
        <v>141</v>
      </c>
      <c r="AB482" s="36" t="s">
        <v>141</v>
      </c>
      <c r="AC482" s="36"/>
      <c r="AD482" s="36"/>
      <c r="AE482" s="36"/>
      <c r="AF482" s="36"/>
      <c r="AG482" s="36"/>
      <c r="AH482" s="36"/>
      <c r="AI482" s="36"/>
      <c r="AJ482" s="36" t="s">
        <v>141</v>
      </c>
      <c r="AK482" s="117" t="s">
        <v>141</v>
      </c>
      <c r="AL482" s="36"/>
      <c r="AM482" s="36"/>
      <c r="AN482" s="36" t="s">
        <v>141</v>
      </c>
      <c r="AO482" s="36"/>
      <c r="AP482" s="36"/>
      <c r="AQ482" s="36"/>
      <c r="AR482" s="36"/>
      <c r="AS482" s="36"/>
      <c r="AT482" s="36" t="s">
        <v>141</v>
      </c>
      <c r="AU482" s="36"/>
      <c r="AV482" s="36"/>
      <c r="AW482" s="117" t="s">
        <v>141</v>
      </c>
      <c r="AX482" s="117"/>
      <c r="AY482" s="36"/>
      <c r="AZ482" s="36"/>
      <c r="BA482" s="117"/>
      <c r="BB482" s="117"/>
      <c r="BC482" s="117"/>
      <c r="BD482" s="117"/>
      <c r="BE482" s="117" t="s">
        <v>141</v>
      </c>
      <c r="BF482" s="117"/>
      <c r="BG482" s="117"/>
      <c r="BH482" s="117"/>
      <c r="BI482" s="117" t="s">
        <v>141</v>
      </c>
      <c r="BJ482" s="117"/>
      <c r="BK482" s="117"/>
      <c r="BL482" s="117"/>
      <c r="BM482" s="117">
        <f t="shared" si="77"/>
        <v>8</v>
      </c>
      <c r="BN482" s="117">
        <f t="shared" si="78"/>
        <v>3</v>
      </c>
      <c r="BO482" s="117">
        <f t="shared" si="79"/>
        <v>2</v>
      </c>
      <c r="BP482" s="153">
        <f t="shared" si="80"/>
        <v>5</v>
      </c>
      <c r="BQ482" s="74" t="s">
        <v>208</v>
      </c>
      <c r="BR482" s="74"/>
    </row>
    <row r="483" spans="1:70" hidden="1">
      <c r="A483">
        <v>469</v>
      </c>
      <c r="B483" s="75">
        <v>45928.901006944441</v>
      </c>
      <c r="E483" s="7">
        <v>45922</v>
      </c>
      <c r="F483">
        <v>1024</v>
      </c>
      <c r="I483" s="10" t="s">
        <v>1718</v>
      </c>
      <c r="J483" s="69">
        <v>45929</v>
      </c>
      <c r="K483" s="97">
        <f t="shared" si="83"/>
        <v>9</v>
      </c>
      <c r="L483" s="97">
        <v>481</v>
      </c>
      <c r="O483" s="7" t="s">
        <v>182</v>
      </c>
      <c r="T483" t="s">
        <v>672</v>
      </c>
      <c r="X483" s="36"/>
      <c r="Y483" s="36"/>
      <c r="Z483" s="36"/>
      <c r="AA483" s="36" t="s">
        <v>141</v>
      </c>
      <c r="AB483" s="36" t="s">
        <v>141</v>
      </c>
      <c r="AC483" s="36"/>
      <c r="AD483" s="36"/>
      <c r="AE483" s="36"/>
      <c r="AF483" s="36"/>
      <c r="AG483" s="36"/>
      <c r="AH483" s="36" t="s">
        <v>141</v>
      </c>
      <c r="AI483" s="36"/>
      <c r="AJ483" s="36" t="s">
        <v>141</v>
      </c>
      <c r="AK483" s="117" t="s">
        <v>141</v>
      </c>
      <c r="AL483" s="36"/>
      <c r="AM483" s="36"/>
      <c r="AN483" s="36" t="s">
        <v>141</v>
      </c>
      <c r="AO483" s="36"/>
      <c r="AP483" s="36"/>
      <c r="AQ483" s="36"/>
      <c r="AR483" s="36"/>
      <c r="AS483" s="36"/>
      <c r="AT483" s="36" t="s">
        <v>141</v>
      </c>
      <c r="AU483" s="36"/>
      <c r="AV483" s="36"/>
      <c r="AW483" s="117"/>
      <c r="AX483" s="117"/>
      <c r="AY483" s="36" t="s">
        <v>141</v>
      </c>
      <c r="AZ483" s="36"/>
      <c r="BA483" s="117"/>
      <c r="BB483" s="117"/>
      <c r="BC483" s="117"/>
      <c r="BD483" s="117"/>
      <c r="BE483" s="117" t="s">
        <v>141</v>
      </c>
      <c r="BF483" s="117"/>
      <c r="BG483" s="117"/>
      <c r="BH483" s="117"/>
      <c r="BI483" s="117" t="s">
        <v>141</v>
      </c>
      <c r="BJ483" s="117"/>
      <c r="BK483" s="117"/>
      <c r="BL483" s="117"/>
      <c r="BM483" s="117">
        <f t="shared" si="77"/>
        <v>9</v>
      </c>
      <c r="BN483" s="117">
        <f t="shared" si="78"/>
        <v>3</v>
      </c>
      <c r="BO483" s="117">
        <f t="shared" si="79"/>
        <v>2</v>
      </c>
      <c r="BP483" s="153">
        <f t="shared" si="80"/>
        <v>6</v>
      </c>
      <c r="BQ483" s="74" t="s">
        <v>208</v>
      </c>
      <c r="BR483" s="74"/>
    </row>
    <row r="484" spans="1:70" hidden="1">
      <c r="A484">
        <v>470</v>
      </c>
      <c r="B484" s="75">
        <v>45929.247986111113</v>
      </c>
      <c r="E484" s="7">
        <v>45929</v>
      </c>
      <c r="F484">
        <v>1025</v>
      </c>
      <c r="I484" s="10" t="s">
        <v>1719</v>
      </c>
      <c r="J484" s="69">
        <v>45929</v>
      </c>
      <c r="K484" s="97">
        <f t="shared" ref="K484:K489" si="84">MONTH($J484)</f>
        <v>9</v>
      </c>
      <c r="L484" s="97">
        <v>482</v>
      </c>
      <c r="O484" s="7" t="s">
        <v>234</v>
      </c>
      <c r="T484" t="s">
        <v>1720</v>
      </c>
      <c r="X484" s="36" t="s">
        <v>141</v>
      </c>
      <c r="Y484" s="36"/>
      <c r="Z484" s="36"/>
      <c r="AA484" s="36" t="s">
        <v>141</v>
      </c>
      <c r="AB484" s="36" t="s">
        <v>141</v>
      </c>
      <c r="AC484" s="36"/>
      <c r="AD484" s="36"/>
      <c r="AE484" s="36"/>
      <c r="AF484" s="36"/>
      <c r="AG484" s="36"/>
      <c r="AH484" s="36" t="s">
        <v>141</v>
      </c>
      <c r="AI484" s="36"/>
      <c r="AJ484" s="36" t="s">
        <v>141</v>
      </c>
      <c r="AK484" s="117" t="s">
        <v>141</v>
      </c>
      <c r="AL484" s="36"/>
      <c r="AM484" s="36" t="s">
        <v>141</v>
      </c>
      <c r="AN484" s="36"/>
      <c r="AO484" s="36" t="s">
        <v>141</v>
      </c>
      <c r="AP484" s="36"/>
      <c r="AQ484" s="36"/>
      <c r="AR484" s="36"/>
      <c r="AS484" s="36"/>
      <c r="AT484" s="36" t="s">
        <v>141</v>
      </c>
      <c r="AU484" s="36"/>
      <c r="AV484" s="36" t="s">
        <v>141</v>
      </c>
      <c r="AW484" s="117" t="s">
        <v>141</v>
      </c>
      <c r="AX484" s="117" t="s">
        <v>141</v>
      </c>
      <c r="AY484" s="36" t="s">
        <v>141</v>
      </c>
      <c r="AZ484" s="36" t="s">
        <v>141</v>
      </c>
      <c r="BA484" s="117" t="s">
        <v>141</v>
      </c>
      <c r="BB484" s="117" t="s">
        <v>141</v>
      </c>
      <c r="BC484" s="117" t="s">
        <v>141</v>
      </c>
      <c r="BD484" s="117"/>
      <c r="BE484" s="117" t="s">
        <v>141</v>
      </c>
      <c r="BF484" s="117"/>
      <c r="BG484" s="117"/>
      <c r="BH484" s="117" t="s">
        <v>141</v>
      </c>
      <c r="BI484" s="117" t="s">
        <v>141</v>
      </c>
      <c r="BJ484" s="117"/>
      <c r="BK484" s="117"/>
      <c r="BL484" s="117"/>
      <c r="BM484" s="117">
        <f t="shared" si="77"/>
        <v>18</v>
      </c>
      <c r="BN484" s="117">
        <f t="shared" si="78"/>
        <v>3</v>
      </c>
      <c r="BO484" s="117">
        <f t="shared" si="79"/>
        <v>3</v>
      </c>
      <c r="BP484" s="153">
        <f t="shared" si="80"/>
        <v>14</v>
      </c>
      <c r="BQ484" s="74" t="s">
        <v>840</v>
      </c>
      <c r="BR484" s="74"/>
    </row>
    <row r="485" spans="1:70" hidden="1">
      <c r="A485">
        <v>471</v>
      </c>
      <c r="B485" s="75">
        <v>45930.034236111111</v>
      </c>
      <c r="E485" s="7">
        <v>45930</v>
      </c>
      <c r="F485">
        <v>1026</v>
      </c>
      <c r="I485" s="10" t="s">
        <v>1721</v>
      </c>
      <c r="J485" s="69">
        <v>45930</v>
      </c>
      <c r="K485" s="97">
        <f t="shared" si="84"/>
        <v>9</v>
      </c>
      <c r="L485" s="97">
        <v>483</v>
      </c>
      <c r="O485" s="7" t="s">
        <v>234</v>
      </c>
      <c r="T485" t="s">
        <v>1722</v>
      </c>
      <c r="X485" s="36"/>
      <c r="Y485" s="36"/>
      <c r="Z485" s="36"/>
      <c r="AA485" s="36" t="s">
        <v>141</v>
      </c>
      <c r="AB485" s="36" t="s">
        <v>141</v>
      </c>
      <c r="AC485" s="36"/>
      <c r="AD485" s="36" t="s">
        <v>141</v>
      </c>
      <c r="AE485" s="36"/>
      <c r="AF485" s="36"/>
      <c r="AG485" s="36"/>
      <c r="AH485" s="36" t="s">
        <v>141</v>
      </c>
      <c r="AI485" s="36"/>
      <c r="AJ485" s="36"/>
      <c r="AK485" s="117" t="s">
        <v>141</v>
      </c>
      <c r="AL485" s="36"/>
      <c r="AM485" s="36" t="s">
        <v>141</v>
      </c>
      <c r="AN485" s="36"/>
      <c r="AO485" s="36"/>
      <c r="AP485" s="36"/>
      <c r="AQ485" s="36"/>
      <c r="AR485" s="36"/>
      <c r="AS485" s="36"/>
      <c r="AT485" s="36" t="s">
        <v>141</v>
      </c>
      <c r="AU485" s="36"/>
      <c r="AV485" s="36"/>
      <c r="AW485" s="117" t="s">
        <v>141</v>
      </c>
      <c r="AX485" s="117"/>
      <c r="AY485" s="36" t="s">
        <v>141</v>
      </c>
      <c r="AZ485" s="36" t="s">
        <v>141</v>
      </c>
      <c r="BA485" s="117"/>
      <c r="BB485" s="117"/>
      <c r="BC485" s="117"/>
      <c r="BD485" s="117"/>
      <c r="BE485" s="117" t="s">
        <v>141</v>
      </c>
      <c r="BF485" s="117"/>
      <c r="BG485" s="117"/>
      <c r="BH485" s="117"/>
      <c r="BI485" s="117"/>
      <c r="BJ485" s="117"/>
      <c r="BK485" s="117"/>
      <c r="BL485" s="117"/>
      <c r="BM485" s="117">
        <f t="shared" si="77"/>
        <v>11</v>
      </c>
      <c r="BN485" s="117">
        <f t="shared" si="78"/>
        <v>2</v>
      </c>
      <c r="BO485" s="117">
        <f t="shared" si="79"/>
        <v>3</v>
      </c>
      <c r="BP485" s="153">
        <f t="shared" si="80"/>
        <v>7</v>
      </c>
      <c r="BQ485" s="74" t="s">
        <v>1033</v>
      </c>
      <c r="BR485" s="74"/>
    </row>
    <row r="486" spans="1:70" hidden="1">
      <c r="A486">
        <v>472</v>
      </c>
      <c r="B486" s="75">
        <v>45930.036134259259</v>
      </c>
      <c r="E486" s="7">
        <v>45930</v>
      </c>
      <c r="F486">
        <v>1027</v>
      </c>
      <c r="I486" s="10" t="s">
        <v>1723</v>
      </c>
      <c r="J486" s="69">
        <v>45930</v>
      </c>
      <c r="K486" s="97">
        <f t="shared" si="84"/>
        <v>9</v>
      </c>
      <c r="L486" s="97">
        <v>484</v>
      </c>
      <c r="O486" s="7" t="s">
        <v>146</v>
      </c>
      <c r="T486" t="s">
        <v>1724</v>
      </c>
      <c r="X486" s="36"/>
      <c r="Y486" s="36"/>
      <c r="Z486" s="36"/>
      <c r="AA486" s="36" t="s">
        <v>141</v>
      </c>
      <c r="AB486" s="36" t="s">
        <v>141</v>
      </c>
      <c r="AC486" s="36"/>
      <c r="AD486" s="36" t="s">
        <v>141</v>
      </c>
      <c r="AE486" s="36"/>
      <c r="AF486" s="36"/>
      <c r="AG486" s="36"/>
      <c r="AH486" s="36" t="s">
        <v>141</v>
      </c>
      <c r="AI486" s="36"/>
      <c r="AJ486" s="36"/>
      <c r="AK486" s="117" t="s">
        <v>141</v>
      </c>
      <c r="AL486" s="36"/>
      <c r="AM486" s="36" t="s">
        <v>141</v>
      </c>
      <c r="AN486" s="36"/>
      <c r="AO486" s="36"/>
      <c r="AP486" s="36"/>
      <c r="AQ486" s="36"/>
      <c r="AR486" s="36"/>
      <c r="AS486" s="36"/>
      <c r="AT486" s="36" t="s">
        <v>141</v>
      </c>
      <c r="AU486" s="36"/>
      <c r="AV486" s="36"/>
      <c r="AW486" s="117" t="s">
        <v>141</v>
      </c>
      <c r="AX486" s="117"/>
      <c r="AY486" s="36" t="s">
        <v>141</v>
      </c>
      <c r="AZ486" s="36" t="s">
        <v>141</v>
      </c>
      <c r="BA486" s="117"/>
      <c r="BB486" s="117"/>
      <c r="BC486" s="117"/>
      <c r="BD486" s="117"/>
      <c r="BE486" s="117" t="s">
        <v>141</v>
      </c>
      <c r="BF486" s="117"/>
      <c r="BG486" s="117"/>
      <c r="BH486" s="117"/>
      <c r="BI486" s="117" t="s">
        <v>141</v>
      </c>
      <c r="BJ486" s="117"/>
      <c r="BK486" s="117"/>
      <c r="BL486" s="117"/>
      <c r="BM486" s="117">
        <f t="shared" si="77"/>
        <v>11</v>
      </c>
      <c r="BN486" s="117">
        <f t="shared" si="78"/>
        <v>2</v>
      </c>
      <c r="BO486" s="117">
        <f t="shared" si="79"/>
        <v>3</v>
      </c>
      <c r="BP486" s="153">
        <f t="shared" si="80"/>
        <v>7</v>
      </c>
      <c r="BQ486" s="74" t="s">
        <v>1033</v>
      </c>
      <c r="BR486" s="74"/>
    </row>
    <row r="487" spans="1:70" hidden="1">
      <c r="A487">
        <v>473</v>
      </c>
      <c r="B487" s="75">
        <v>45930.049733796295</v>
      </c>
      <c r="E487" s="7">
        <v>45930</v>
      </c>
      <c r="F487">
        <v>1028</v>
      </c>
      <c r="I487" s="10" t="s">
        <v>1721</v>
      </c>
      <c r="J487" s="69">
        <v>45930</v>
      </c>
      <c r="K487" s="97">
        <f t="shared" si="84"/>
        <v>9</v>
      </c>
      <c r="L487" s="97">
        <v>485</v>
      </c>
      <c r="O487" s="7" t="s">
        <v>146</v>
      </c>
      <c r="T487" t="s">
        <v>1725</v>
      </c>
      <c r="X487" s="36"/>
      <c r="Y487" s="36"/>
      <c r="Z487" s="36"/>
      <c r="AA487" s="36" t="s">
        <v>141</v>
      </c>
      <c r="AB487" s="36" t="s">
        <v>141</v>
      </c>
      <c r="AC487" s="36"/>
      <c r="AD487" s="36" t="s">
        <v>141</v>
      </c>
      <c r="AE487" s="36"/>
      <c r="AF487" s="36"/>
      <c r="AG487" s="36"/>
      <c r="AH487" s="36" t="s">
        <v>141</v>
      </c>
      <c r="AI487" s="36"/>
      <c r="AJ487" s="36"/>
      <c r="AK487" s="117" t="s">
        <v>141</v>
      </c>
      <c r="AL487" s="36"/>
      <c r="AM487" s="36" t="s">
        <v>141</v>
      </c>
      <c r="AN487" s="36"/>
      <c r="AO487" s="36"/>
      <c r="AP487" s="36"/>
      <c r="AQ487" s="36"/>
      <c r="AR487" s="36"/>
      <c r="AS487" s="36"/>
      <c r="AT487" s="36" t="s">
        <v>141</v>
      </c>
      <c r="AU487" s="36"/>
      <c r="AV487" s="36" t="s">
        <v>141</v>
      </c>
      <c r="AW487" s="117" t="s">
        <v>141</v>
      </c>
      <c r="AX487" s="117"/>
      <c r="AY487" s="36" t="s">
        <v>141</v>
      </c>
      <c r="AZ487" s="36" t="s">
        <v>141</v>
      </c>
      <c r="BA487" s="117"/>
      <c r="BB487" s="117"/>
      <c r="BC487" s="117"/>
      <c r="BD487" s="117"/>
      <c r="BE487" s="117" t="s">
        <v>141</v>
      </c>
      <c r="BF487" s="117"/>
      <c r="BG487" s="117"/>
      <c r="BH487" s="117"/>
      <c r="BI487" s="117" t="s">
        <v>141</v>
      </c>
      <c r="BJ487" s="117"/>
      <c r="BK487" s="117"/>
      <c r="BL487" s="117"/>
      <c r="BM487" s="117">
        <f t="shared" si="77"/>
        <v>12</v>
      </c>
      <c r="BN487" s="117">
        <f t="shared" si="78"/>
        <v>2</v>
      </c>
      <c r="BO487" s="117">
        <f t="shared" si="79"/>
        <v>3</v>
      </c>
      <c r="BP487" s="153">
        <f t="shared" si="80"/>
        <v>8</v>
      </c>
      <c r="BQ487" s="74" t="s">
        <v>610</v>
      </c>
      <c r="BR487" s="74"/>
    </row>
    <row r="488" spans="1:70" hidden="1">
      <c r="A488">
        <v>474</v>
      </c>
      <c r="B488" s="75">
        <v>45930.079629629632</v>
      </c>
      <c r="E488" s="7">
        <v>45930</v>
      </c>
      <c r="F488">
        <v>1029</v>
      </c>
      <c r="I488" s="10" t="s">
        <v>1726</v>
      </c>
      <c r="J488" s="69">
        <v>45930</v>
      </c>
      <c r="K488" s="97">
        <f t="shared" si="84"/>
        <v>9</v>
      </c>
      <c r="L488" s="97">
        <v>486</v>
      </c>
      <c r="O488" s="7" t="s">
        <v>197</v>
      </c>
      <c r="T488" t="s">
        <v>1727</v>
      </c>
      <c r="X488" s="36"/>
      <c r="Y488" s="36"/>
      <c r="Z488" s="36"/>
      <c r="AA488" s="36" t="s">
        <v>141</v>
      </c>
      <c r="AB488" s="36" t="s">
        <v>141</v>
      </c>
      <c r="AC488" s="36"/>
      <c r="AD488" s="36"/>
      <c r="AE488" s="36"/>
      <c r="AF488" s="36"/>
      <c r="AG488" s="36"/>
      <c r="AH488" s="36" t="s">
        <v>141</v>
      </c>
      <c r="AI488" s="36"/>
      <c r="AJ488" s="36"/>
      <c r="AK488" s="117" t="s">
        <v>141</v>
      </c>
      <c r="AL488" s="36"/>
      <c r="AM488" s="36" t="s">
        <v>141</v>
      </c>
      <c r="AN488" s="36"/>
      <c r="AO488" s="36"/>
      <c r="AP488" s="36"/>
      <c r="AQ488" s="36"/>
      <c r="AR488" s="36"/>
      <c r="AS488" s="36"/>
      <c r="AT488" s="36" t="s">
        <v>141</v>
      </c>
      <c r="AU488" s="36"/>
      <c r="AV488" s="36" t="s">
        <v>141</v>
      </c>
      <c r="AW488" s="117" t="s">
        <v>141</v>
      </c>
      <c r="AX488" s="117"/>
      <c r="AY488" s="36" t="s">
        <v>141</v>
      </c>
      <c r="AZ488" s="36" t="s">
        <v>141</v>
      </c>
      <c r="BA488" s="117"/>
      <c r="BB488" s="117"/>
      <c r="BC488" s="117"/>
      <c r="BD488" s="117"/>
      <c r="BE488" s="117" t="s">
        <v>141</v>
      </c>
      <c r="BF488" s="117"/>
      <c r="BG488" s="117"/>
      <c r="BH488" s="117"/>
      <c r="BI488" s="117" t="s">
        <v>141</v>
      </c>
      <c r="BJ488" s="117"/>
      <c r="BK488" s="117"/>
      <c r="BL488" s="117"/>
      <c r="BM488" s="117">
        <f t="shared" si="77"/>
        <v>11</v>
      </c>
      <c r="BN488" s="117">
        <f t="shared" si="78"/>
        <v>2</v>
      </c>
      <c r="BO488" s="117">
        <f t="shared" si="79"/>
        <v>2</v>
      </c>
      <c r="BP488" s="153">
        <f t="shared" si="80"/>
        <v>8</v>
      </c>
      <c r="BQ488" s="74" t="s">
        <v>163</v>
      </c>
      <c r="BR488" s="74"/>
    </row>
    <row r="489" spans="1:70" hidden="1">
      <c r="A489">
        <v>475</v>
      </c>
      <c r="B489" s="75">
        <v>45930.178981481484</v>
      </c>
      <c r="E489" s="7">
        <v>45930</v>
      </c>
      <c r="F489">
        <v>1030</v>
      </c>
      <c r="I489" s="10" t="s">
        <v>1728</v>
      </c>
      <c r="J489" s="69">
        <v>45930</v>
      </c>
      <c r="K489" s="97">
        <f t="shared" si="84"/>
        <v>9</v>
      </c>
      <c r="L489" s="97">
        <v>487</v>
      </c>
      <c r="O489" s="7" t="s">
        <v>970</v>
      </c>
      <c r="T489" t="s">
        <v>1729</v>
      </c>
      <c r="X489" s="36" t="s">
        <v>141</v>
      </c>
      <c r="Y489" s="36"/>
      <c r="Z489" s="36"/>
      <c r="AA489" s="36" t="s">
        <v>141</v>
      </c>
      <c r="AB489" s="36"/>
      <c r="AC489" s="36"/>
      <c r="AD489" s="36" t="s">
        <v>141</v>
      </c>
      <c r="AE489" s="36"/>
      <c r="AF489" s="36"/>
      <c r="AG489" s="36"/>
      <c r="AH489" s="36" t="s">
        <v>141</v>
      </c>
      <c r="AI489" s="36"/>
      <c r="AJ489" s="36"/>
      <c r="AK489" s="117"/>
      <c r="AL489" s="36"/>
      <c r="AM489" s="36"/>
      <c r="AN489" s="36"/>
      <c r="AO489" s="36"/>
      <c r="AP489" s="36"/>
      <c r="AQ489" s="36"/>
      <c r="AR489" s="36" t="s">
        <v>141</v>
      </c>
      <c r="AS489" s="36"/>
      <c r="AT489" s="36"/>
      <c r="AU489" s="36"/>
      <c r="AV489" s="36"/>
      <c r="AW489" s="117" t="s">
        <v>141</v>
      </c>
      <c r="AX489" s="117" t="s">
        <v>141</v>
      </c>
      <c r="AY489" s="36"/>
      <c r="AZ489" s="36" t="s">
        <v>141</v>
      </c>
      <c r="BA489" s="117"/>
      <c r="BB489" s="117"/>
      <c r="BC489" s="117"/>
      <c r="BD489" s="117"/>
      <c r="BE489" s="117" t="s">
        <v>141</v>
      </c>
      <c r="BF489" s="117"/>
      <c r="BG489" s="117"/>
      <c r="BH489" s="117"/>
      <c r="BI489" s="117"/>
      <c r="BJ489" s="117"/>
      <c r="BK489" s="117"/>
      <c r="BL489" s="117"/>
      <c r="BM489" s="117">
        <f t="shared" si="77"/>
        <v>9</v>
      </c>
      <c r="BN489" s="117">
        <f t="shared" si="78"/>
        <v>1</v>
      </c>
      <c r="BO489" s="117">
        <f t="shared" si="79"/>
        <v>3</v>
      </c>
      <c r="BP489" s="153">
        <f t="shared" si="80"/>
        <v>5</v>
      </c>
      <c r="BQ489" s="74" t="s">
        <v>1671</v>
      </c>
      <c r="BR489" s="74"/>
    </row>
    <row r="490" spans="1:70" hidden="1">
      <c r="A490">
        <v>476</v>
      </c>
      <c r="B490" s="75">
        <v>45930.373900462961</v>
      </c>
      <c r="E490" s="7">
        <v>45930</v>
      </c>
      <c r="F490">
        <v>1031</v>
      </c>
      <c r="I490" s="10" t="s">
        <v>1730</v>
      </c>
      <c r="J490" s="69">
        <v>45930</v>
      </c>
      <c r="K490" s="97">
        <f t="shared" ref="K490:K495" si="85">MONTH($J490)</f>
        <v>9</v>
      </c>
      <c r="L490" s="97">
        <v>488</v>
      </c>
      <c r="O490" s="7" t="s">
        <v>134</v>
      </c>
      <c r="T490" t="s">
        <v>1731</v>
      </c>
      <c r="X490" s="36"/>
      <c r="Y490" s="36"/>
      <c r="Z490" s="36" t="s">
        <v>141</v>
      </c>
      <c r="AA490" s="36" t="s">
        <v>141</v>
      </c>
      <c r="AB490" s="36"/>
      <c r="AC490" s="36"/>
      <c r="AD490" s="36"/>
      <c r="AE490" s="36"/>
      <c r="AF490" s="36"/>
      <c r="AG490" s="36" t="s">
        <v>141</v>
      </c>
      <c r="AH490" s="36"/>
      <c r="AI490" s="36" t="s">
        <v>141</v>
      </c>
      <c r="AJ490" s="36" t="s">
        <v>141</v>
      </c>
      <c r="AK490" s="117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 t="s">
        <v>141</v>
      </c>
      <c r="AW490" s="117"/>
      <c r="AX490" s="117"/>
      <c r="AY490" s="36"/>
      <c r="AZ490" s="36" t="s">
        <v>141</v>
      </c>
      <c r="BA490" s="117"/>
      <c r="BB490" s="117"/>
      <c r="BC490" s="117"/>
      <c r="BD490" s="117"/>
      <c r="BE490" s="117" t="s">
        <v>141</v>
      </c>
      <c r="BF490" s="117"/>
      <c r="BG490" s="117"/>
      <c r="BH490" s="117" t="s">
        <v>141</v>
      </c>
      <c r="BI490" s="117"/>
      <c r="BJ490" s="117"/>
      <c r="BK490" s="117"/>
      <c r="BL490" s="117"/>
      <c r="BM490" s="117">
        <f t="shared" si="77"/>
        <v>8</v>
      </c>
      <c r="BN490" s="117">
        <f t="shared" si="78"/>
        <v>2</v>
      </c>
      <c r="BO490" s="117">
        <f t="shared" si="79"/>
        <v>2</v>
      </c>
      <c r="BP490" s="153">
        <f t="shared" si="80"/>
        <v>5</v>
      </c>
      <c r="BQ490" s="74" t="s">
        <v>178</v>
      </c>
      <c r="BR490" s="74"/>
    </row>
    <row r="491" spans="1:70" hidden="1">
      <c r="A491">
        <v>477</v>
      </c>
      <c r="B491" s="75">
        <v>45931.088958333334</v>
      </c>
      <c r="E491" s="7">
        <v>45931</v>
      </c>
      <c r="F491">
        <v>1032</v>
      </c>
      <c r="I491" s="10" t="s">
        <v>1732</v>
      </c>
      <c r="J491" s="69">
        <v>45931</v>
      </c>
      <c r="K491" s="97">
        <f t="shared" si="85"/>
        <v>10</v>
      </c>
      <c r="L491" s="97">
        <v>489</v>
      </c>
      <c r="O491" s="7" t="s">
        <v>156</v>
      </c>
      <c r="T491" t="s">
        <v>1733</v>
      </c>
      <c r="X491" s="36" t="s">
        <v>141</v>
      </c>
      <c r="Y491" s="36"/>
      <c r="Z491" s="36"/>
      <c r="AA491" s="36" t="s">
        <v>141</v>
      </c>
      <c r="AB491" s="36" t="s">
        <v>141</v>
      </c>
      <c r="AC491" s="36"/>
      <c r="AD491" s="36" t="s">
        <v>141</v>
      </c>
      <c r="AE491" s="36"/>
      <c r="AF491" s="36"/>
      <c r="AG491" s="36"/>
      <c r="AH491" s="36" t="s">
        <v>141</v>
      </c>
      <c r="AI491" s="36"/>
      <c r="AJ491" s="36" t="s">
        <v>141</v>
      </c>
      <c r="AK491" s="117"/>
      <c r="AL491" s="36"/>
      <c r="AM491" s="36" t="s">
        <v>141</v>
      </c>
      <c r="AN491" s="36"/>
      <c r="AO491" s="36"/>
      <c r="AP491" s="36"/>
      <c r="AQ491" s="36"/>
      <c r="AR491" s="36"/>
      <c r="AS491" s="36" t="s">
        <v>141</v>
      </c>
      <c r="AT491" s="36" t="s">
        <v>141</v>
      </c>
      <c r="AU491" s="36"/>
      <c r="AV491" s="36"/>
      <c r="AW491" s="117" t="s">
        <v>141</v>
      </c>
      <c r="AX491" s="117"/>
      <c r="AY491" s="36" t="s">
        <v>141</v>
      </c>
      <c r="AZ491" s="36"/>
      <c r="BA491" s="117"/>
      <c r="BB491" s="117"/>
      <c r="BC491" s="117"/>
      <c r="BD491" s="117"/>
      <c r="BE491" s="117" t="s">
        <v>141</v>
      </c>
      <c r="BF491" s="117"/>
      <c r="BG491" s="117"/>
      <c r="BH491" s="117" t="s">
        <v>141</v>
      </c>
      <c r="BI491" s="117"/>
      <c r="BJ491" s="117"/>
      <c r="BK491" s="117"/>
      <c r="BL491" s="117"/>
      <c r="BM491" s="117">
        <f t="shared" si="77"/>
        <v>12</v>
      </c>
      <c r="BN491" s="117">
        <f t="shared" si="78"/>
        <v>3</v>
      </c>
      <c r="BO491" s="117">
        <f t="shared" si="79"/>
        <v>4</v>
      </c>
      <c r="BP491" s="153">
        <f t="shared" si="80"/>
        <v>7</v>
      </c>
      <c r="BQ491" s="74" t="s">
        <v>1734</v>
      </c>
      <c r="BR491" s="74"/>
    </row>
    <row r="492" spans="1:70" hidden="1">
      <c r="A492">
        <v>478</v>
      </c>
      <c r="B492" s="75">
        <v>45931.978321759256</v>
      </c>
      <c r="E492" s="7">
        <v>45932</v>
      </c>
      <c r="F492">
        <v>1033</v>
      </c>
      <c r="I492" s="10" t="s">
        <v>1735</v>
      </c>
      <c r="J492" s="69">
        <v>45932</v>
      </c>
      <c r="K492" s="97">
        <f t="shared" si="85"/>
        <v>10</v>
      </c>
      <c r="L492" s="97">
        <v>490</v>
      </c>
      <c r="O492" s="7" t="s">
        <v>156</v>
      </c>
      <c r="T492" t="s">
        <v>1736</v>
      </c>
      <c r="X492" s="36"/>
      <c r="Y492" s="36"/>
      <c r="Z492" s="36"/>
      <c r="AA492" s="36" t="s">
        <v>141</v>
      </c>
      <c r="AB492" s="36"/>
      <c r="AC492" s="36"/>
      <c r="AD492" s="36" t="s">
        <v>141</v>
      </c>
      <c r="AE492" s="36"/>
      <c r="AF492" s="36"/>
      <c r="AG492" s="36"/>
      <c r="AH492" s="36"/>
      <c r="AI492" s="36"/>
      <c r="AJ492" s="36" t="s">
        <v>141</v>
      </c>
      <c r="AK492" s="117"/>
      <c r="AL492" s="36"/>
      <c r="AM492" s="36" t="s">
        <v>141</v>
      </c>
      <c r="AN492" s="36"/>
      <c r="AO492" s="36"/>
      <c r="AP492" s="36"/>
      <c r="AQ492" s="36"/>
      <c r="AR492" s="36"/>
      <c r="AS492" s="36"/>
      <c r="AT492" s="36" t="s">
        <v>141</v>
      </c>
      <c r="AU492" s="36"/>
      <c r="AV492" s="36"/>
      <c r="AW492" s="117" t="s">
        <v>141</v>
      </c>
      <c r="AX492" s="117"/>
      <c r="AY492" s="36" t="s">
        <v>141</v>
      </c>
      <c r="AZ492" s="36"/>
      <c r="BA492" s="117" t="s">
        <v>141</v>
      </c>
      <c r="BB492" s="117" t="s">
        <v>141</v>
      </c>
      <c r="BC492" s="117" t="s">
        <v>141</v>
      </c>
      <c r="BD492" s="117"/>
      <c r="BE492" s="117"/>
      <c r="BF492" s="117"/>
      <c r="BG492" s="117"/>
      <c r="BH492" s="117"/>
      <c r="BI492" s="117"/>
      <c r="BJ492" s="117"/>
      <c r="BK492" s="117"/>
      <c r="BL492" s="117"/>
      <c r="BM492" s="117">
        <f t="shared" si="77"/>
        <v>10</v>
      </c>
      <c r="BN492" s="117">
        <f t="shared" si="78"/>
        <v>2</v>
      </c>
      <c r="BO492" s="117">
        <f t="shared" si="79"/>
        <v>2</v>
      </c>
      <c r="BP492" s="153">
        <f t="shared" si="80"/>
        <v>8</v>
      </c>
      <c r="BQ492" s="74" t="s">
        <v>1033</v>
      </c>
      <c r="BR492" s="74"/>
    </row>
    <row r="493" spans="1:70" hidden="1">
      <c r="A493">
        <v>479</v>
      </c>
      <c r="B493" s="75">
        <v>45933.268587962964</v>
      </c>
      <c r="E493" s="7">
        <v>45930</v>
      </c>
      <c r="F493">
        <v>1034</v>
      </c>
      <c r="I493" s="10" t="s">
        <v>1737</v>
      </c>
      <c r="J493" s="69">
        <v>45933</v>
      </c>
      <c r="K493" s="97">
        <f t="shared" si="85"/>
        <v>10</v>
      </c>
      <c r="L493" s="97">
        <v>491</v>
      </c>
      <c r="O493" s="7" t="s">
        <v>197</v>
      </c>
      <c r="T493" t="s">
        <v>1738</v>
      </c>
      <c r="X493" s="36" t="s">
        <v>141</v>
      </c>
      <c r="Y493" s="36"/>
      <c r="Z493" s="36" t="s">
        <v>141</v>
      </c>
      <c r="AA493" s="36" t="s">
        <v>141</v>
      </c>
      <c r="AB493" s="36"/>
      <c r="AC493" s="36"/>
      <c r="AD493" s="36"/>
      <c r="AE493" s="36" t="s">
        <v>141</v>
      </c>
      <c r="AF493" s="36"/>
      <c r="AG493" s="36" t="s">
        <v>141</v>
      </c>
      <c r="AH493" s="36" t="s">
        <v>141</v>
      </c>
      <c r="AI493" s="36"/>
      <c r="AJ493" s="36" t="s">
        <v>141</v>
      </c>
      <c r="AK493" s="117"/>
      <c r="AL493" s="36"/>
      <c r="AM493" s="36"/>
      <c r="AN493" s="36"/>
      <c r="AO493" s="36" t="s">
        <v>141</v>
      </c>
      <c r="AP493" s="36" t="s">
        <v>141</v>
      </c>
      <c r="AQ493" s="36"/>
      <c r="AR493" s="36"/>
      <c r="AS493" s="36"/>
      <c r="AT493" s="36"/>
      <c r="AU493" s="36" t="s">
        <v>141</v>
      </c>
      <c r="AV493" s="36" t="s">
        <v>141</v>
      </c>
      <c r="AW493" s="117" t="s">
        <v>141</v>
      </c>
      <c r="AX493" s="117" t="s">
        <v>141</v>
      </c>
      <c r="AY493" s="36"/>
      <c r="AZ493" s="36"/>
      <c r="BA493" s="117" t="s">
        <v>141</v>
      </c>
      <c r="BB493" s="117"/>
      <c r="BC493" s="117" t="s">
        <v>141</v>
      </c>
      <c r="BD493" s="117" t="s">
        <v>141</v>
      </c>
      <c r="BE493" s="117"/>
      <c r="BF493" s="117"/>
      <c r="BG493" s="117"/>
      <c r="BH493" s="117" t="s">
        <v>141</v>
      </c>
      <c r="BI493" s="117" t="s">
        <v>141</v>
      </c>
      <c r="BJ493" s="117" t="s">
        <v>141</v>
      </c>
      <c r="BK493" s="117"/>
      <c r="BL493" s="117"/>
      <c r="BM493" s="117">
        <f t="shared" si="77"/>
        <v>16</v>
      </c>
      <c r="BN493" s="117">
        <f t="shared" si="78"/>
        <v>2</v>
      </c>
      <c r="BO493" s="117">
        <f t="shared" si="79"/>
        <v>3</v>
      </c>
      <c r="BP493" s="153">
        <f t="shared" si="80"/>
        <v>12</v>
      </c>
      <c r="BQ493" s="74" t="s">
        <v>1671</v>
      </c>
      <c r="BR493" s="74"/>
    </row>
    <row r="494" spans="1:70" hidden="1">
      <c r="A494">
        <v>480</v>
      </c>
      <c r="B494" s="75">
        <v>45933.613206018519</v>
      </c>
      <c r="E494" s="7">
        <v>45934</v>
      </c>
      <c r="F494">
        <v>1035</v>
      </c>
      <c r="I494" s="10" t="s">
        <v>1739</v>
      </c>
      <c r="J494" s="69">
        <v>45934</v>
      </c>
      <c r="K494" s="97">
        <f t="shared" si="85"/>
        <v>10</v>
      </c>
      <c r="L494" s="97">
        <v>492</v>
      </c>
      <c r="O494" s="7" t="s">
        <v>1529</v>
      </c>
      <c r="T494" t="s">
        <v>1740</v>
      </c>
      <c r="X494" s="36" t="s">
        <v>141</v>
      </c>
      <c r="Y494" s="36"/>
      <c r="Z494" s="36" t="s">
        <v>141</v>
      </c>
      <c r="AA494" s="36"/>
      <c r="AB494" s="36"/>
      <c r="AC494" s="36"/>
      <c r="AD494" s="36"/>
      <c r="AE494" s="36" t="s">
        <v>141</v>
      </c>
      <c r="AF494" s="36"/>
      <c r="AG494" s="36"/>
      <c r="AH494" s="36" t="s">
        <v>141</v>
      </c>
      <c r="AI494" s="36" t="s">
        <v>141</v>
      </c>
      <c r="AJ494" s="36" t="s">
        <v>141</v>
      </c>
      <c r="AK494" s="117"/>
      <c r="AL494" s="36" t="s">
        <v>141</v>
      </c>
      <c r="AM494" s="36"/>
      <c r="AN494" s="36"/>
      <c r="AO494" s="36"/>
      <c r="AP494" s="36"/>
      <c r="AQ494" s="36"/>
      <c r="AR494" s="36"/>
      <c r="AS494" s="36"/>
      <c r="AT494" s="36"/>
      <c r="AU494" s="36"/>
      <c r="AV494" s="36" t="s">
        <v>141</v>
      </c>
      <c r="AW494" s="117"/>
      <c r="AX494" s="117"/>
      <c r="AY494" s="36"/>
      <c r="AZ494" s="36"/>
      <c r="BA494" s="117" t="s">
        <v>141</v>
      </c>
      <c r="BB494" s="117"/>
      <c r="BC494" s="117"/>
      <c r="BD494" s="117"/>
      <c r="BE494" s="117"/>
      <c r="BF494" s="117"/>
      <c r="BG494" s="117"/>
      <c r="BH494" s="117" t="s">
        <v>141</v>
      </c>
      <c r="BI494" s="117" t="s">
        <v>141</v>
      </c>
      <c r="BJ494" s="117" t="s">
        <v>141</v>
      </c>
      <c r="BK494" s="117"/>
      <c r="BL494" s="117"/>
      <c r="BM494" s="117">
        <f t="shared" si="77"/>
        <v>9</v>
      </c>
      <c r="BN494" s="117">
        <f t="shared" si="78"/>
        <v>1</v>
      </c>
      <c r="BO494" s="117">
        <f t="shared" si="79"/>
        <v>2</v>
      </c>
      <c r="BP494" s="153">
        <f t="shared" si="80"/>
        <v>7</v>
      </c>
      <c r="BQ494" s="74" t="s">
        <v>627</v>
      </c>
      <c r="BR494" s="74"/>
    </row>
    <row r="495" spans="1:70" hidden="1">
      <c r="A495">
        <v>481</v>
      </c>
      <c r="B495" s="75">
        <v>45934.696203703701</v>
      </c>
      <c r="E495" s="7">
        <v>45935</v>
      </c>
      <c r="F495">
        <v>1036</v>
      </c>
      <c r="I495" s="10" t="s">
        <v>1741</v>
      </c>
      <c r="J495" s="69">
        <v>45935</v>
      </c>
      <c r="K495" s="97">
        <f t="shared" si="85"/>
        <v>10</v>
      </c>
      <c r="L495" s="97">
        <v>493</v>
      </c>
      <c r="O495" s="7" t="s">
        <v>197</v>
      </c>
      <c r="T495" t="s">
        <v>1742</v>
      </c>
      <c r="X495" s="36" t="s">
        <v>141</v>
      </c>
      <c r="Y495" s="36"/>
      <c r="Z495" s="36"/>
      <c r="AA495" s="36"/>
      <c r="AB495" s="36"/>
      <c r="AC495" s="36"/>
      <c r="AD495" s="36"/>
      <c r="AE495" s="36" t="s">
        <v>141</v>
      </c>
      <c r="AF495" s="36"/>
      <c r="AG495" s="36"/>
      <c r="AH495" s="36" t="s">
        <v>141</v>
      </c>
      <c r="AI495" s="36" t="s">
        <v>141</v>
      </c>
      <c r="AJ495" s="36"/>
      <c r="AK495" s="117"/>
      <c r="AL495" s="36" t="s">
        <v>141</v>
      </c>
      <c r="AM495" s="36"/>
      <c r="AN495" s="36"/>
      <c r="AO495" s="36"/>
      <c r="AP495" s="36"/>
      <c r="AQ495" s="36"/>
      <c r="AR495" s="36"/>
      <c r="AS495" s="36"/>
      <c r="AT495" s="36" t="s">
        <v>141</v>
      </c>
      <c r="AU495" s="36" t="s">
        <v>141</v>
      </c>
      <c r="AV495" s="36" t="s">
        <v>141</v>
      </c>
      <c r="AW495" s="117"/>
      <c r="AX495" s="117"/>
      <c r="AY495" s="36"/>
      <c r="AZ495" s="36"/>
      <c r="BA495" s="117"/>
      <c r="BB495" s="117"/>
      <c r="BC495" s="117"/>
      <c r="BD495" s="117"/>
      <c r="BE495" s="117" t="s">
        <v>141</v>
      </c>
      <c r="BF495" s="117"/>
      <c r="BG495" s="117"/>
      <c r="BH495" s="117" t="s">
        <v>141</v>
      </c>
      <c r="BI495" s="117"/>
      <c r="BJ495" s="117" t="s">
        <v>141</v>
      </c>
      <c r="BK495" s="117"/>
      <c r="BL495" s="117"/>
      <c r="BM495" s="117">
        <f t="shared" si="77"/>
        <v>9</v>
      </c>
      <c r="BN495" s="117">
        <f t="shared" si="78"/>
        <v>0</v>
      </c>
      <c r="BO495" s="117">
        <f t="shared" si="79"/>
        <v>1</v>
      </c>
      <c r="BP495" s="153">
        <f t="shared" si="80"/>
        <v>7</v>
      </c>
      <c r="BQ495" s="74" t="s">
        <v>163</v>
      </c>
      <c r="BR495" s="74"/>
    </row>
    <row r="496" spans="1:70" hidden="1">
      <c r="A496">
        <v>482</v>
      </c>
      <c r="B496" s="75">
        <v>45936.560185185182</v>
      </c>
      <c r="E496" s="7">
        <v>45937</v>
      </c>
      <c r="F496">
        <v>1037</v>
      </c>
      <c r="I496" s="10" t="s">
        <v>1743</v>
      </c>
      <c r="J496" s="69">
        <v>45937</v>
      </c>
      <c r="K496" s="97">
        <f t="shared" ref="K496:K503" si="86">MONTH($J496)</f>
        <v>10</v>
      </c>
      <c r="L496" s="97">
        <v>494</v>
      </c>
      <c r="O496" s="7" t="s">
        <v>234</v>
      </c>
      <c r="T496" t="s">
        <v>1744</v>
      </c>
      <c r="X496" s="36"/>
      <c r="Y496" s="36"/>
      <c r="Z496" s="36"/>
      <c r="AA496" s="36" t="s">
        <v>141</v>
      </c>
      <c r="AB496" s="36"/>
      <c r="AC496" s="36"/>
      <c r="AD496" s="36" t="s">
        <v>141</v>
      </c>
      <c r="AE496" s="36"/>
      <c r="AF496" s="36"/>
      <c r="AG496" s="36"/>
      <c r="AH496" s="36" t="s">
        <v>141</v>
      </c>
      <c r="AI496" s="36" t="s">
        <v>141</v>
      </c>
      <c r="AJ496" s="36"/>
      <c r="AK496" s="117" t="s">
        <v>141</v>
      </c>
      <c r="AL496" s="36" t="s">
        <v>141</v>
      </c>
      <c r="AM496" s="36"/>
      <c r="AN496" s="36"/>
      <c r="AO496" s="36"/>
      <c r="AP496" s="36" t="s">
        <v>141</v>
      </c>
      <c r="AQ496" s="36"/>
      <c r="AR496" s="36"/>
      <c r="AS496" s="36"/>
      <c r="AT496" s="36"/>
      <c r="AU496" s="36"/>
      <c r="AV496" s="36" t="s">
        <v>141</v>
      </c>
      <c r="AW496" s="117" t="s">
        <v>141</v>
      </c>
      <c r="AX496" s="117"/>
      <c r="AY496" s="36" t="s">
        <v>141</v>
      </c>
      <c r="AZ496" s="36"/>
      <c r="BA496" s="117" t="s">
        <v>141</v>
      </c>
      <c r="BB496" s="117"/>
      <c r="BC496" s="117"/>
      <c r="BD496" s="117" t="s">
        <v>141</v>
      </c>
      <c r="BE496" s="117" t="s">
        <v>141</v>
      </c>
      <c r="BF496" s="117" t="s">
        <v>141</v>
      </c>
      <c r="BG496" s="117"/>
      <c r="BH496" s="117" t="s">
        <v>141</v>
      </c>
      <c r="BI496" s="117" t="s">
        <v>141</v>
      </c>
      <c r="BJ496" s="117"/>
      <c r="BK496" s="117"/>
      <c r="BL496" s="117"/>
      <c r="BM496" s="117">
        <f t="shared" si="77"/>
        <v>14</v>
      </c>
      <c r="BN496" s="117">
        <f t="shared" si="78"/>
        <v>1</v>
      </c>
      <c r="BO496" s="117">
        <f t="shared" si="79"/>
        <v>2</v>
      </c>
      <c r="BP496" s="153">
        <f t="shared" si="80"/>
        <v>9</v>
      </c>
      <c r="BQ496" s="74" t="s">
        <v>639</v>
      </c>
      <c r="BR496" s="74"/>
    </row>
    <row r="497" spans="1:70" hidden="1">
      <c r="A497">
        <v>483</v>
      </c>
      <c r="B497" s="75">
        <v>45936.899039351854</v>
      </c>
      <c r="E497" s="7">
        <v>45937</v>
      </c>
      <c r="F497">
        <v>1038</v>
      </c>
      <c r="I497" s="10" t="s">
        <v>1745</v>
      </c>
      <c r="J497" s="69">
        <v>45937</v>
      </c>
      <c r="K497" s="97">
        <f t="shared" si="86"/>
        <v>10</v>
      </c>
      <c r="L497" s="97">
        <v>495</v>
      </c>
      <c r="O497" s="7" t="s">
        <v>197</v>
      </c>
      <c r="T497" t="s">
        <v>1746</v>
      </c>
      <c r="X497" s="36"/>
      <c r="Y497" s="36"/>
      <c r="Z497" s="36"/>
      <c r="AA497" s="36" t="s">
        <v>141</v>
      </c>
      <c r="AB497" s="36" t="s">
        <v>141</v>
      </c>
      <c r="AC497" s="36"/>
      <c r="AD497" s="36" t="s">
        <v>141</v>
      </c>
      <c r="AE497" s="36"/>
      <c r="AF497" s="36"/>
      <c r="AG497" s="36"/>
      <c r="AH497" s="36" t="s">
        <v>141</v>
      </c>
      <c r="AI497" s="36"/>
      <c r="AJ497" s="36" t="s">
        <v>141</v>
      </c>
      <c r="AK497" s="117"/>
      <c r="AL497" s="36"/>
      <c r="AM497" s="36" t="s">
        <v>141</v>
      </c>
      <c r="AN497" s="36"/>
      <c r="AO497" s="36"/>
      <c r="AP497" s="36"/>
      <c r="AQ497" s="36"/>
      <c r="AR497" s="36"/>
      <c r="AS497" s="36"/>
      <c r="AT497" s="36" t="s">
        <v>141</v>
      </c>
      <c r="AU497" s="36"/>
      <c r="AV497" s="36" t="s">
        <v>141</v>
      </c>
      <c r="AW497" s="117"/>
      <c r="AX497" s="117"/>
      <c r="AY497" s="36" t="s">
        <v>141</v>
      </c>
      <c r="AZ497" s="36"/>
      <c r="BA497" s="117"/>
      <c r="BB497" s="117"/>
      <c r="BC497" s="117"/>
      <c r="BD497" s="117"/>
      <c r="BE497" s="117"/>
      <c r="BF497" s="117"/>
      <c r="BG497" s="117"/>
      <c r="BH497" s="117" t="s">
        <v>141</v>
      </c>
      <c r="BI497" s="117"/>
      <c r="BJ497" s="117"/>
      <c r="BK497" s="117"/>
      <c r="BL497" s="117"/>
      <c r="BM497" s="117">
        <f t="shared" si="77"/>
        <v>9</v>
      </c>
      <c r="BN497" s="117">
        <f t="shared" si="78"/>
        <v>2</v>
      </c>
      <c r="BO497" s="117">
        <f t="shared" si="79"/>
        <v>3</v>
      </c>
      <c r="BP497" s="153">
        <f t="shared" si="80"/>
        <v>6</v>
      </c>
      <c r="BQ497" s="74" t="s">
        <v>1747</v>
      </c>
      <c r="BR497" s="74"/>
    </row>
    <row r="498" spans="1:70" hidden="1">
      <c r="A498">
        <v>484</v>
      </c>
      <c r="B498" s="75">
        <v>45937.993611111109</v>
      </c>
      <c r="E498" s="7">
        <v>45935</v>
      </c>
      <c r="F498">
        <v>1039</v>
      </c>
      <c r="I498" s="10" t="s">
        <v>1748</v>
      </c>
      <c r="J498" s="69">
        <v>45938</v>
      </c>
      <c r="K498" s="97">
        <f t="shared" si="86"/>
        <v>10</v>
      </c>
      <c r="L498" s="97">
        <v>496</v>
      </c>
      <c r="O498" s="7" t="s">
        <v>234</v>
      </c>
      <c r="T498" t="s">
        <v>1749</v>
      </c>
      <c r="X498" s="36"/>
      <c r="Y498" s="36" t="s">
        <v>141</v>
      </c>
      <c r="Z498" s="36"/>
      <c r="AA498" s="36" t="s">
        <v>141</v>
      </c>
      <c r="AB498" s="36"/>
      <c r="AC498" s="36"/>
      <c r="AD498" s="36"/>
      <c r="AE498" s="36"/>
      <c r="AF498" s="36"/>
      <c r="AG498" s="36"/>
      <c r="AH498" s="36" t="s">
        <v>141</v>
      </c>
      <c r="AI498" s="36" t="s">
        <v>141</v>
      </c>
      <c r="AJ498" s="36" t="s">
        <v>141</v>
      </c>
      <c r="AK498" s="117"/>
      <c r="AL498" s="36"/>
      <c r="AM498" s="36" t="s">
        <v>141</v>
      </c>
      <c r="AN498" s="36" t="s">
        <v>141</v>
      </c>
      <c r="AO498" s="36"/>
      <c r="AP498" s="36"/>
      <c r="AQ498" s="36"/>
      <c r="AR498" s="36"/>
      <c r="AS498" s="36"/>
      <c r="AT498" s="36" t="s">
        <v>141</v>
      </c>
      <c r="AU498" s="36"/>
      <c r="AV498" s="36"/>
      <c r="AW498" s="117"/>
      <c r="AX498" s="117"/>
      <c r="AY498" s="36"/>
      <c r="AZ498" s="36"/>
      <c r="BA498" s="117"/>
      <c r="BB498" s="117"/>
      <c r="BC498" s="117"/>
      <c r="BD498" s="117"/>
      <c r="BE498" s="117"/>
      <c r="BF498" s="117"/>
      <c r="BG498" s="117"/>
      <c r="BH498" s="117"/>
      <c r="BI498" s="117"/>
      <c r="BJ498" s="117"/>
      <c r="BK498" s="117"/>
      <c r="BL498" s="117"/>
      <c r="BM498" s="117">
        <f t="shared" si="77"/>
        <v>8</v>
      </c>
      <c r="BN498" s="117">
        <f t="shared" si="78"/>
        <v>3</v>
      </c>
      <c r="BO498" s="117">
        <f t="shared" si="79"/>
        <v>2</v>
      </c>
      <c r="BP498" s="153">
        <f t="shared" si="80"/>
        <v>6</v>
      </c>
      <c r="BQ498" s="74" t="s">
        <v>502</v>
      </c>
      <c r="BR498" s="74"/>
    </row>
    <row r="499" spans="1:70" hidden="1">
      <c r="A499">
        <v>485</v>
      </c>
      <c r="B499" s="75">
        <v>45938.015486111108</v>
      </c>
      <c r="E499" s="7">
        <v>45938</v>
      </c>
      <c r="F499">
        <v>1040</v>
      </c>
      <c r="I499" s="10" t="s">
        <v>1750</v>
      </c>
      <c r="J499" s="69">
        <v>45938</v>
      </c>
      <c r="K499" s="97">
        <f t="shared" si="86"/>
        <v>10</v>
      </c>
      <c r="L499" s="97">
        <v>497</v>
      </c>
      <c r="O499" s="7" t="s">
        <v>134</v>
      </c>
      <c r="T499" t="s">
        <v>1751</v>
      </c>
      <c r="X499" s="36"/>
      <c r="Y499" s="36" t="s">
        <v>141</v>
      </c>
      <c r="Z499" s="36"/>
      <c r="AA499" s="36" t="s">
        <v>141</v>
      </c>
      <c r="AB499" s="36"/>
      <c r="AC499" s="36"/>
      <c r="AD499" s="36"/>
      <c r="AE499" s="36"/>
      <c r="AF499" s="36"/>
      <c r="AG499" s="36"/>
      <c r="AH499" s="36" t="s">
        <v>141</v>
      </c>
      <c r="AI499" s="36" t="s">
        <v>141</v>
      </c>
      <c r="AJ499" s="36" t="s">
        <v>141</v>
      </c>
      <c r="AK499" s="117"/>
      <c r="AL499" s="36"/>
      <c r="AM499" s="36" t="s">
        <v>141</v>
      </c>
      <c r="AN499" s="36" t="s">
        <v>141</v>
      </c>
      <c r="AO499" s="36"/>
      <c r="AP499" s="36"/>
      <c r="AQ499" s="36"/>
      <c r="AR499" s="36"/>
      <c r="AS499" s="36"/>
      <c r="AT499" s="36" t="s">
        <v>141</v>
      </c>
      <c r="AU499" s="36"/>
      <c r="AV499" s="36"/>
      <c r="AW499" s="117"/>
      <c r="AX499" s="117"/>
      <c r="AY499" s="36"/>
      <c r="AZ499" s="36"/>
      <c r="BA499" s="117"/>
      <c r="BB499" s="117" t="s">
        <v>141</v>
      </c>
      <c r="BC499" s="117"/>
      <c r="BD499" s="117" t="s">
        <v>141</v>
      </c>
      <c r="BE499" s="117"/>
      <c r="BF499" s="117" t="s">
        <v>141</v>
      </c>
      <c r="BG499" s="117"/>
      <c r="BH499" s="117"/>
      <c r="BI499" s="117"/>
      <c r="BJ499" s="117"/>
      <c r="BK499" s="117"/>
      <c r="BL499" s="117"/>
      <c r="BM499" s="117">
        <f t="shared" si="77"/>
        <v>11</v>
      </c>
      <c r="BN499" s="117">
        <f t="shared" si="78"/>
        <v>3</v>
      </c>
      <c r="BO499" s="117">
        <f t="shared" si="79"/>
        <v>2</v>
      </c>
      <c r="BP499" s="153">
        <f t="shared" si="80"/>
        <v>7</v>
      </c>
      <c r="BQ499" s="74" t="s">
        <v>749</v>
      </c>
      <c r="BR499" s="74"/>
    </row>
    <row r="500" spans="1:70" hidden="1">
      <c r="A500">
        <v>486</v>
      </c>
      <c r="B500" s="75">
        <v>45938.472407407404</v>
      </c>
      <c r="E500" s="7">
        <v>45938</v>
      </c>
      <c r="F500">
        <v>1041</v>
      </c>
      <c r="I500" s="10" t="s">
        <v>1752</v>
      </c>
      <c r="J500" s="69">
        <v>45939</v>
      </c>
      <c r="K500" s="97">
        <f t="shared" si="86"/>
        <v>10</v>
      </c>
      <c r="L500" s="97">
        <v>498</v>
      </c>
      <c r="O500" s="7" t="s">
        <v>156</v>
      </c>
      <c r="T500" t="s">
        <v>1753</v>
      </c>
      <c r="X500" s="36"/>
      <c r="Y500" s="36" t="s">
        <v>141</v>
      </c>
      <c r="Z500" s="36" t="s">
        <v>141</v>
      </c>
      <c r="AA500" s="36"/>
      <c r="AB500" s="36" t="s">
        <v>141</v>
      </c>
      <c r="AC500" s="36"/>
      <c r="AD500" s="36"/>
      <c r="AE500" s="36"/>
      <c r="AF500" s="36"/>
      <c r="AG500" s="36"/>
      <c r="AH500" s="36" t="s">
        <v>141</v>
      </c>
      <c r="AI500" s="36"/>
      <c r="AJ500" s="36"/>
      <c r="AK500" s="117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 t="s">
        <v>141</v>
      </c>
      <c r="AW500" s="117" t="s">
        <v>141</v>
      </c>
      <c r="AX500" s="117"/>
      <c r="AY500" s="36" t="s">
        <v>141</v>
      </c>
      <c r="AZ500" s="36"/>
      <c r="BA500" s="117"/>
      <c r="BB500" s="117" t="s">
        <v>141</v>
      </c>
      <c r="BC500" s="117"/>
      <c r="BD500" s="117"/>
      <c r="BE500" s="117"/>
      <c r="BF500" s="117" t="s">
        <v>141</v>
      </c>
      <c r="BG500" s="117"/>
      <c r="BH500" s="117" t="s">
        <v>141</v>
      </c>
      <c r="BI500" s="117" t="s">
        <v>141</v>
      </c>
      <c r="BJ500" s="117"/>
      <c r="BK500" s="117"/>
      <c r="BL500" s="117"/>
      <c r="BM500" s="117">
        <f t="shared" si="77"/>
        <v>9</v>
      </c>
      <c r="BN500" s="117">
        <f t="shared" si="78"/>
        <v>0</v>
      </c>
      <c r="BO500" s="117">
        <f t="shared" si="79"/>
        <v>3</v>
      </c>
      <c r="BP500" s="153">
        <f t="shared" si="80"/>
        <v>5</v>
      </c>
      <c r="BQ500" s="74" t="s">
        <v>208</v>
      </c>
      <c r="BR500" s="74"/>
    </row>
    <row r="501" spans="1:70" hidden="1">
      <c r="A501">
        <v>487</v>
      </c>
      <c r="B501" s="75">
        <v>45938.783449074072</v>
      </c>
      <c r="E501" s="7">
        <v>45939</v>
      </c>
      <c r="F501">
        <v>1042</v>
      </c>
      <c r="I501" s="10" t="s">
        <v>1754</v>
      </c>
      <c r="J501" s="69">
        <v>45939</v>
      </c>
      <c r="K501" s="97">
        <f t="shared" si="86"/>
        <v>10</v>
      </c>
      <c r="L501" s="97">
        <v>499</v>
      </c>
      <c r="O501" s="7" t="s">
        <v>156</v>
      </c>
      <c r="T501" t="s">
        <v>1755</v>
      </c>
      <c r="X501" s="36"/>
      <c r="Y501" s="36"/>
      <c r="Z501" s="36"/>
      <c r="AA501" s="36"/>
      <c r="AB501" s="36" t="s">
        <v>141</v>
      </c>
      <c r="AC501" s="36"/>
      <c r="AD501" s="36" t="s">
        <v>141</v>
      </c>
      <c r="AE501" s="36"/>
      <c r="AF501" s="36"/>
      <c r="AG501" s="36"/>
      <c r="AH501" s="36" t="s">
        <v>141</v>
      </c>
      <c r="AI501" s="36" t="s">
        <v>141</v>
      </c>
      <c r="AJ501" s="36"/>
      <c r="AK501" s="117"/>
      <c r="AL501" s="36"/>
      <c r="AM501" s="36" t="s">
        <v>141</v>
      </c>
      <c r="AN501" s="36"/>
      <c r="AO501" s="36"/>
      <c r="AP501" s="36"/>
      <c r="AQ501" s="36"/>
      <c r="AR501" s="36"/>
      <c r="AS501" s="36"/>
      <c r="AT501" s="36" t="s">
        <v>141</v>
      </c>
      <c r="AU501" s="36" t="s">
        <v>141</v>
      </c>
      <c r="AV501" s="36"/>
      <c r="AW501" s="117" t="s">
        <v>141</v>
      </c>
      <c r="AX501" s="117"/>
      <c r="AY501" s="36" t="s">
        <v>141</v>
      </c>
      <c r="AZ501" s="36"/>
      <c r="BA501" s="117"/>
      <c r="BB501" s="117"/>
      <c r="BC501" s="117"/>
      <c r="BD501" s="117"/>
      <c r="BE501" s="117"/>
      <c r="BF501" s="117" t="s">
        <v>141</v>
      </c>
      <c r="BG501" s="117"/>
      <c r="BH501" s="117" t="s">
        <v>141</v>
      </c>
      <c r="BI501" s="117"/>
      <c r="BJ501" s="117"/>
      <c r="BK501" s="117"/>
      <c r="BL501" s="117"/>
      <c r="BM501" s="117">
        <f t="shared" si="77"/>
        <v>10</v>
      </c>
      <c r="BN501" s="117">
        <f t="shared" si="78"/>
        <v>1</v>
      </c>
      <c r="BO501" s="117">
        <f t="shared" si="79"/>
        <v>2</v>
      </c>
      <c r="BP501" s="153">
        <f t="shared" si="80"/>
        <v>7</v>
      </c>
      <c r="BQ501" s="74" t="s">
        <v>1756</v>
      </c>
      <c r="BR501" s="74"/>
    </row>
    <row r="502" spans="1:70" hidden="1">
      <c r="A502">
        <v>488</v>
      </c>
      <c r="B502" s="75">
        <v>45939.939108796294</v>
      </c>
      <c r="E502" s="7">
        <v>45940</v>
      </c>
      <c r="F502">
        <v>1043</v>
      </c>
      <c r="I502" s="10" t="s">
        <v>1757</v>
      </c>
      <c r="J502" s="69">
        <v>45940</v>
      </c>
      <c r="K502" s="97">
        <f t="shared" si="86"/>
        <v>10</v>
      </c>
      <c r="L502" s="97">
        <v>500</v>
      </c>
      <c r="O502" s="7" t="s">
        <v>146</v>
      </c>
      <c r="T502" t="s">
        <v>1758</v>
      </c>
      <c r="X502" s="36" t="s">
        <v>141</v>
      </c>
      <c r="Y502" s="36"/>
      <c r="Z502" s="36"/>
      <c r="AA502" s="36" t="s">
        <v>141</v>
      </c>
      <c r="AB502" s="36" t="s">
        <v>141</v>
      </c>
      <c r="AC502" s="36"/>
      <c r="AD502" s="36"/>
      <c r="AE502" s="36"/>
      <c r="AF502" s="36"/>
      <c r="AG502" s="36"/>
      <c r="AH502" s="36"/>
      <c r="AI502" s="36"/>
      <c r="AJ502" s="36"/>
      <c r="AK502" s="117"/>
      <c r="AL502" s="36"/>
      <c r="AM502" s="36"/>
      <c r="AN502" s="36"/>
      <c r="AO502" s="36"/>
      <c r="AP502" s="36"/>
      <c r="AQ502" s="36"/>
      <c r="AR502" s="36"/>
      <c r="AS502" s="36"/>
      <c r="AT502" s="36" t="s">
        <v>141</v>
      </c>
      <c r="AU502" s="36"/>
      <c r="AV502" s="36"/>
      <c r="AW502" s="117"/>
      <c r="AX502" s="117" t="s">
        <v>141</v>
      </c>
      <c r="AY502" s="36"/>
      <c r="AZ502" s="36"/>
      <c r="BA502" s="117"/>
      <c r="BB502" s="117"/>
      <c r="BC502" s="117"/>
      <c r="BD502" s="117" t="s">
        <v>141</v>
      </c>
      <c r="BE502" s="117" t="s">
        <v>141</v>
      </c>
      <c r="BF502" s="117" t="s">
        <v>141</v>
      </c>
      <c r="BG502" s="117"/>
      <c r="BH502" s="117" t="s">
        <v>141</v>
      </c>
      <c r="BI502" s="117"/>
      <c r="BJ502" s="117"/>
      <c r="BK502" s="117"/>
      <c r="BL502" s="117"/>
      <c r="BM502" s="117">
        <f t="shared" si="77"/>
        <v>8</v>
      </c>
      <c r="BN502" s="117">
        <f t="shared" si="78"/>
        <v>0</v>
      </c>
      <c r="BO502" s="117">
        <f t="shared" si="79"/>
        <v>3</v>
      </c>
      <c r="BP502" s="153">
        <f t="shared" si="80"/>
        <v>2</v>
      </c>
      <c r="BQ502" s="74" t="s">
        <v>1756</v>
      </c>
      <c r="BR502" s="74"/>
    </row>
    <row r="503" spans="1:70" hidden="1">
      <c r="A503">
        <v>489</v>
      </c>
      <c r="B503" s="75">
        <v>45941.0153587963</v>
      </c>
      <c r="E503" s="7">
        <v>45941</v>
      </c>
      <c r="F503">
        <v>1044</v>
      </c>
      <c r="I503" s="10" t="s">
        <v>1759</v>
      </c>
      <c r="J503" s="69">
        <v>45941</v>
      </c>
      <c r="K503" s="97">
        <f t="shared" si="86"/>
        <v>10</v>
      </c>
      <c r="L503" s="97">
        <v>501</v>
      </c>
      <c r="O503" s="7" t="s">
        <v>146</v>
      </c>
      <c r="T503" t="s">
        <v>1760</v>
      </c>
      <c r="X503" s="36" t="s">
        <v>141</v>
      </c>
      <c r="Y503" s="36"/>
      <c r="Z503" s="36" t="s">
        <v>141</v>
      </c>
      <c r="AA503" s="36"/>
      <c r="AB503" s="36"/>
      <c r="AC503" s="36"/>
      <c r="AD503" s="36"/>
      <c r="AE503" s="36" t="s">
        <v>141</v>
      </c>
      <c r="AF503" s="36"/>
      <c r="AG503" s="36"/>
      <c r="AH503" s="36" t="s">
        <v>141</v>
      </c>
      <c r="AI503" s="36"/>
      <c r="AJ503" s="36"/>
      <c r="AK503" s="117" t="s">
        <v>141</v>
      </c>
      <c r="AL503" s="36" t="s">
        <v>141</v>
      </c>
      <c r="AM503" s="36" t="s">
        <v>141</v>
      </c>
      <c r="AN503" s="36"/>
      <c r="AO503" s="36"/>
      <c r="AP503" s="36" t="s">
        <v>141</v>
      </c>
      <c r="AQ503" s="36"/>
      <c r="AR503" s="36"/>
      <c r="AS503" s="36"/>
      <c r="AT503" s="36"/>
      <c r="AU503" s="36"/>
      <c r="AV503" s="36"/>
      <c r="AW503" s="117"/>
      <c r="AX503" s="117"/>
      <c r="AY503" s="36"/>
      <c r="AZ503" s="36"/>
      <c r="BA503" s="117"/>
      <c r="BB503" s="117"/>
      <c r="BC503" s="117" t="s">
        <v>141</v>
      </c>
      <c r="BD503" s="117"/>
      <c r="BE503" s="117"/>
      <c r="BF503" s="117"/>
      <c r="BG503" s="117"/>
      <c r="BH503" s="117" t="s">
        <v>141</v>
      </c>
      <c r="BI503" s="117"/>
      <c r="BJ503" s="117" t="s">
        <v>141</v>
      </c>
      <c r="BK503" s="117"/>
      <c r="BL503" s="117"/>
      <c r="BM503" s="117">
        <f t="shared" si="77"/>
        <v>9</v>
      </c>
      <c r="BN503" s="117">
        <f t="shared" si="78"/>
        <v>2</v>
      </c>
      <c r="BO503" s="117">
        <f t="shared" si="79"/>
        <v>2</v>
      </c>
      <c r="BP503" s="153">
        <f t="shared" si="80"/>
        <v>7</v>
      </c>
      <c r="BQ503" s="74" t="s">
        <v>1761</v>
      </c>
      <c r="BR503" s="74"/>
    </row>
    <row r="504" spans="1:70" hidden="1">
      <c r="A504">
        <v>490</v>
      </c>
      <c r="B504" s="75">
        <v>45944.693993055553</v>
      </c>
      <c r="E504" s="7">
        <v>45945</v>
      </c>
      <c r="F504">
        <v>1045</v>
      </c>
      <c r="I504" s="10" t="s">
        <v>1762</v>
      </c>
      <c r="J504" s="69">
        <v>45945</v>
      </c>
      <c r="K504" s="97">
        <f t="shared" ref="K504:K511" si="87">MONTH($J504)</f>
        <v>10</v>
      </c>
      <c r="L504" s="97">
        <v>502</v>
      </c>
      <c r="O504" s="7" t="s">
        <v>1763</v>
      </c>
      <c r="T504" t="s">
        <v>1764</v>
      </c>
      <c r="X504" s="36"/>
      <c r="Y504" s="36"/>
      <c r="Z504" s="36"/>
      <c r="AA504" s="36" t="s">
        <v>141</v>
      </c>
      <c r="AB504" s="36"/>
      <c r="AC504" s="36"/>
      <c r="AD504" s="36" t="s">
        <v>141</v>
      </c>
      <c r="AE504" s="36"/>
      <c r="AF504" s="36"/>
      <c r="AG504" s="36"/>
      <c r="AH504" s="36" t="s">
        <v>141</v>
      </c>
      <c r="AI504" s="36"/>
      <c r="AJ504" s="36" t="s">
        <v>141</v>
      </c>
      <c r="AK504" s="117"/>
      <c r="AL504" s="36" t="s">
        <v>141</v>
      </c>
      <c r="AM504" s="36" t="s">
        <v>141</v>
      </c>
      <c r="AN504" s="36"/>
      <c r="AO504" s="36"/>
      <c r="AP504" s="36"/>
      <c r="AQ504" s="36"/>
      <c r="AR504" s="36"/>
      <c r="AS504" s="36"/>
      <c r="AT504" s="36"/>
      <c r="AU504" s="36"/>
      <c r="AV504" s="36" t="s">
        <v>141</v>
      </c>
      <c r="AW504" s="117"/>
      <c r="AX504" s="117"/>
      <c r="AY504" s="36"/>
      <c r="AZ504" s="36"/>
      <c r="BA504" s="117"/>
      <c r="BB504" s="117"/>
      <c r="BC504" s="117"/>
      <c r="BD504" s="117"/>
      <c r="BE504" s="117" t="s">
        <v>141</v>
      </c>
      <c r="BF504" s="117" t="s">
        <v>141</v>
      </c>
      <c r="BG504" s="117"/>
      <c r="BH504" s="117" t="s">
        <v>141</v>
      </c>
      <c r="BI504" s="117"/>
      <c r="BJ504" s="117"/>
      <c r="BK504" s="117"/>
      <c r="BL504" s="117"/>
      <c r="BM504" s="117">
        <f t="shared" si="77"/>
        <v>9</v>
      </c>
      <c r="BN504" s="117">
        <f t="shared" si="78"/>
        <v>2</v>
      </c>
      <c r="BO504" s="117">
        <f t="shared" si="79"/>
        <v>2</v>
      </c>
      <c r="BP504" s="153">
        <f t="shared" si="80"/>
        <v>5</v>
      </c>
      <c r="BQ504" s="74" t="s">
        <v>308</v>
      </c>
      <c r="BR504" s="74"/>
    </row>
    <row r="505" spans="1:70" hidden="1">
      <c r="A505">
        <v>491</v>
      </c>
      <c r="B505" s="75">
        <v>45945.130578703705</v>
      </c>
      <c r="E505" s="7">
        <v>45945</v>
      </c>
      <c r="F505">
        <v>1046</v>
      </c>
      <c r="I505" s="10" t="s">
        <v>1765</v>
      </c>
      <c r="J505" s="69">
        <v>45945</v>
      </c>
      <c r="K505" s="97">
        <f t="shared" si="87"/>
        <v>10</v>
      </c>
      <c r="L505" s="97">
        <v>503</v>
      </c>
      <c r="O505" s="7" t="s">
        <v>134</v>
      </c>
      <c r="T505" t="s">
        <v>1766</v>
      </c>
      <c r="X505" s="36"/>
      <c r="Y505" s="36" t="s">
        <v>141</v>
      </c>
      <c r="Z505" s="36"/>
      <c r="AA505" s="36" t="s">
        <v>141</v>
      </c>
      <c r="AB505" s="36"/>
      <c r="AC505" s="36"/>
      <c r="AD505" s="36"/>
      <c r="AE505" s="36" t="s">
        <v>141</v>
      </c>
      <c r="AF505" s="36" t="s">
        <v>141</v>
      </c>
      <c r="AG505" s="36"/>
      <c r="AH505" s="36"/>
      <c r="AI505" s="36"/>
      <c r="AJ505" s="36"/>
      <c r="AK505" s="117"/>
      <c r="AL505" s="36"/>
      <c r="AM505" s="36" t="s">
        <v>141</v>
      </c>
      <c r="AN505" s="36"/>
      <c r="AO505" s="36"/>
      <c r="AP505" s="36" t="s">
        <v>141</v>
      </c>
      <c r="AQ505" s="36"/>
      <c r="AR505" s="36"/>
      <c r="AS505" s="36"/>
      <c r="AT505" s="36"/>
      <c r="AU505" s="36"/>
      <c r="AV505" s="36"/>
      <c r="AW505" s="117"/>
      <c r="AX505" s="117"/>
      <c r="AY505" s="36"/>
      <c r="AZ505" s="36"/>
      <c r="BA505" s="117"/>
      <c r="BB505" s="117"/>
      <c r="BC505" s="117"/>
      <c r="BD505" s="117"/>
      <c r="BE505" s="117"/>
      <c r="BF505" s="117"/>
      <c r="BG505" s="117"/>
      <c r="BH505" s="117"/>
      <c r="BI505" s="117" t="s">
        <v>141</v>
      </c>
      <c r="BJ505" s="117"/>
      <c r="BK505" s="117"/>
      <c r="BL505" s="117"/>
      <c r="BM505" s="117">
        <f t="shared" si="77"/>
        <v>6</v>
      </c>
      <c r="BN505" s="117">
        <f t="shared" si="78"/>
        <v>1</v>
      </c>
      <c r="BO505" s="117">
        <f t="shared" si="79"/>
        <v>2</v>
      </c>
      <c r="BP505" s="153">
        <f t="shared" si="80"/>
        <v>4</v>
      </c>
      <c r="BQ505" s="74" t="s">
        <v>1545</v>
      </c>
      <c r="BR505" s="74"/>
    </row>
    <row r="506" spans="1:70" hidden="1">
      <c r="A506">
        <v>492</v>
      </c>
      <c r="B506" s="75">
        <v>45945.921249999999</v>
      </c>
      <c r="E506" s="7">
        <v>45945</v>
      </c>
      <c r="F506">
        <v>1047</v>
      </c>
      <c r="I506" s="10" t="s">
        <v>1767</v>
      </c>
      <c r="J506" s="69">
        <v>45946</v>
      </c>
      <c r="K506" s="97">
        <f t="shared" si="87"/>
        <v>10</v>
      </c>
      <c r="L506" s="97">
        <v>504</v>
      </c>
      <c r="O506" s="7" t="s">
        <v>156</v>
      </c>
      <c r="T506" t="s">
        <v>1768</v>
      </c>
      <c r="X506" s="36"/>
      <c r="Y506" s="36" t="s">
        <v>141</v>
      </c>
      <c r="Z506" s="36"/>
      <c r="AA506" s="36" t="s">
        <v>141</v>
      </c>
      <c r="AB506" s="36"/>
      <c r="AC506" s="36"/>
      <c r="AD506" s="36"/>
      <c r="AE506" s="36"/>
      <c r="AF506" s="36"/>
      <c r="AG506" s="36"/>
      <c r="AH506" s="36" t="s">
        <v>141</v>
      </c>
      <c r="AI506" s="36" t="s">
        <v>141</v>
      </c>
      <c r="AJ506" s="36" t="s">
        <v>141</v>
      </c>
      <c r="AK506" s="117" t="s">
        <v>141</v>
      </c>
      <c r="AL506" s="36"/>
      <c r="AM506" s="36" t="s">
        <v>141</v>
      </c>
      <c r="AN506" s="36"/>
      <c r="AO506" s="36"/>
      <c r="AP506" s="36"/>
      <c r="AQ506" s="36"/>
      <c r="AR506" s="36"/>
      <c r="AS506" s="36"/>
      <c r="AT506" s="36"/>
      <c r="AU506" s="36"/>
      <c r="AV506" s="36"/>
      <c r="AW506" s="117"/>
      <c r="AX506" s="117"/>
      <c r="AY506" s="36"/>
      <c r="AZ506" s="36"/>
      <c r="BA506" s="117"/>
      <c r="BB506" s="117" t="s">
        <v>141</v>
      </c>
      <c r="BC506" s="117"/>
      <c r="BD506" s="117"/>
      <c r="BE506" s="117"/>
      <c r="BF506" s="117" t="s">
        <v>141</v>
      </c>
      <c r="BG506" s="117"/>
      <c r="BH506" s="117"/>
      <c r="BI506" s="117"/>
      <c r="BJ506" s="117"/>
      <c r="BK506" s="117"/>
      <c r="BL506" s="117"/>
      <c r="BM506" s="117">
        <f t="shared" si="77"/>
        <v>9</v>
      </c>
      <c r="BN506" s="117">
        <f t="shared" si="78"/>
        <v>3</v>
      </c>
      <c r="BO506" s="117">
        <f t="shared" si="79"/>
        <v>2</v>
      </c>
      <c r="BP506" s="153">
        <f t="shared" si="80"/>
        <v>6</v>
      </c>
      <c r="BQ506" s="74" t="s">
        <v>525</v>
      </c>
      <c r="BR506" s="74"/>
    </row>
    <row r="507" spans="1:70" hidden="1">
      <c r="A507">
        <v>493</v>
      </c>
      <c r="B507" s="75">
        <v>45945.974444444444</v>
      </c>
      <c r="E507" s="7">
        <v>45946</v>
      </c>
      <c r="F507">
        <v>1048</v>
      </c>
      <c r="I507" s="10" t="s">
        <v>1769</v>
      </c>
      <c r="J507" s="69">
        <v>45946</v>
      </c>
      <c r="K507" s="97">
        <f t="shared" si="87"/>
        <v>10</v>
      </c>
      <c r="L507" s="97">
        <v>505</v>
      </c>
      <c r="O507" s="7" t="s">
        <v>1526</v>
      </c>
      <c r="T507" t="s">
        <v>1770</v>
      </c>
      <c r="X507" s="36"/>
      <c r="Y507" s="36" t="s">
        <v>141</v>
      </c>
      <c r="Z507" s="36"/>
      <c r="AA507" s="36" t="s">
        <v>141</v>
      </c>
      <c r="AB507" s="36"/>
      <c r="AC507" s="36"/>
      <c r="AD507" s="36"/>
      <c r="AE507" s="36"/>
      <c r="AF507" s="36"/>
      <c r="AG507" s="36"/>
      <c r="AH507" s="36" t="s">
        <v>141</v>
      </c>
      <c r="AI507" s="36"/>
      <c r="AJ507" s="36"/>
      <c r="AK507" s="117" t="s">
        <v>141</v>
      </c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117" t="s">
        <v>141</v>
      </c>
      <c r="AX507" s="117"/>
      <c r="AY507" s="36"/>
      <c r="AZ507" s="36"/>
      <c r="BA507" s="117"/>
      <c r="BB507" s="117"/>
      <c r="BC507" s="117"/>
      <c r="BD507" s="117"/>
      <c r="BE507" s="117"/>
      <c r="BF507" s="117"/>
      <c r="BG507" s="117"/>
      <c r="BH507" s="117"/>
      <c r="BI507" s="117"/>
      <c r="BJ507" s="117"/>
      <c r="BK507" s="117"/>
      <c r="BL507" s="117"/>
      <c r="BM507" s="117">
        <f t="shared" si="77"/>
        <v>5</v>
      </c>
      <c r="BN507" s="117">
        <f t="shared" si="78"/>
        <v>1</v>
      </c>
      <c r="BO507" s="117">
        <f t="shared" si="79"/>
        <v>2</v>
      </c>
      <c r="BP507" s="153">
        <f t="shared" si="80"/>
        <v>3</v>
      </c>
      <c r="BQ507" s="74" t="s">
        <v>273</v>
      </c>
      <c r="BR507" s="74"/>
    </row>
    <row r="508" spans="1:70" hidden="1">
      <c r="A508">
        <v>494</v>
      </c>
      <c r="B508" s="75">
        <v>45946.320451388892</v>
      </c>
      <c r="E508" s="7">
        <v>45946</v>
      </c>
      <c r="F508">
        <v>1049</v>
      </c>
      <c r="I508" s="10" t="s">
        <v>1771</v>
      </c>
      <c r="J508" s="69">
        <v>45946</v>
      </c>
      <c r="K508" s="97">
        <f t="shared" si="87"/>
        <v>10</v>
      </c>
      <c r="L508" s="97">
        <v>506</v>
      </c>
      <c r="O508" s="7" t="s">
        <v>234</v>
      </c>
      <c r="T508" t="s">
        <v>1772</v>
      </c>
      <c r="X508" s="36"/>
      <c r="Y508" s="36" t="s">
        <v>141</v>
      </c>
      <c r="Z508" s="36" t="s">
        <v>141</v>
      </c>
      <c r="AA508" s="36" t="s">
        <v>141</v>
      </c>
      <c r="AB508" s="36" t="s">
        <v>141</v>
      </c>
      <c r="AC508" s="36" t="s">
        <v>141</v>
      </c>
      <c r="AD508" s="36"/>
      <c r="AE508" s="36"/>
      <c r="AF508" s="36"/>
      <c r="AG508" s="36"/>
      <c r="AH508" s="36"/>
      <c r="AI508" s="36" t="s">
        <v>141</v>
      </c>
      <c r="AJ508" s="36"/>
      <c r="AK508" s="117" t="s">
        <v>141</v>
      </c>
      <c r="AL508" s="36" t="s">
        <v>141</v>
      </c>
      <c r="AM508" s="36"/>
      <c r="AN508" s="36"/>
      <c r="AO508" s="36" t="s">
        <v>141</v>
      </c>
      <c r="AP508" s="36" t="s">
        <v>141</v>
      </c>
      <c r="AQ508" s="36"/>
      <c r="AR508" s="36"/>
      <c r="AS508" s="36"/>
      <c r="AT508" s="36"/>
      <c r="AU508" s="36"/>
      <c r="AV508" s="36"/>
      <c r="AW508" s="117"/>
      <c r="AX508" s="117" t="s">
        <v>141</v>
      </c>
      <c r="AY508" s="36"/>
      <c r="AZ508" s="36"/>
      <c r="BA508" s="117" t="s">
        <v>141</v>
      </c>
      <c r="BB508" s="117" t="s">
        <v>141</v>
      </c>
      <c r="BC508" s="117" t="s">
        <v>141</v>
      </c>
      <c r="BD508" s="117"/>
      <c r="BE508" s="117"/>
      <c r="BF508" s="117"/>
      <c r="BG508" s="117"/>
      <c r="BH508" s="117" t="s">
        <v>141</v>
      </c>
      <c r="BI508" s="117" t="s">
        <v>141</v>
      </c>
      <c r="BJ508" s="117"/>
      <c r="BK508" s="117"/>
      <c r="BL508" s="117"/>
      <c r="BM508" s="117">
        <f t="shared" si="77"/>
        <v>14</v>
      </c>
      <c r="BN508" s="117">
        <f t="shared" si="78"/>
        <v>1</v>
      </c>
      <c r="BO508" s="117">
        <f t="shared" si="79"/>
        <v>5</v>
      </c>
      <c r="BP508" s="153">
        <f t="shared" si="80"/>
        <v>9</v>
      </c>
      <c r="BQ508" s="74" t="s">
        <v>1773</v>
      </c>
      <c r="BR508" s="74"/>
    </row>
    <row r="509" spans="1:70" hidden="1">
      <c r="A509">
        <v>495</v>
      </c>
      <c r="B509" s="75">
        <v>45948.805833333332</v>
      </c>
      <c r="E509" s="7">
        <v>45949</v>
      </c>
      <c r="F509">
        <v>1050</v>
      </c>
      <c r="I509" s="10" t="s">
        <v>1774</v>
      </c>
      <c r="J509" s="69">
        <v>45949</v>
      </c>
      <c r="K509" s="97">
        <f t="shared" si="87"/>
        <v>10</v>
      </c>
      <c r="L509" s="97">
        <v>507</v>
      </c>
      <c r="O509" s="7" t="s">
        <v>156</v>
      </c>
      <c r="T509" t="s">
        <v>1775</v>
      </c>
      <c r="X509" s="36"/>
      <c r="Y509" s="36"/>
      <c r="Z509" s="36" t="s">
        <v>141</v>
      </c>
      <c r="AA509" s="36" t="s">
        <v>141</v>
      </c>
      <c r="AB509" s="36"/>
      <c r="AC509" s="36"/>
      <c r="AD509" s="36"/>
      <c r="AE509" s="36"/>
      <c r="AF509" s="36"/>
      <c r="AG509" s="36"/>
      <c r="AH509" s="36"/>
      <c r="AI509" s="36" t="s">
        <v>141</v>
      </c>
      <c r="AJ509" s="36"/>
      <c r="AK509" s="117" t="s">
        <v>141</v>
      </c>
      <c r="AL509" s="36" t="s">
        <v>141</v>
      </c>
      <c r="AM509" s="36" t="s">
        <v>141</v>
      </c>
      <c r="AN509" s="36"/>
      <c r="AO509" s="36"/>
      <c r="AP509" s="36"/>
      <c r="AQ509" s="36"/>
      <c r="AR509" s="36"/>
      <c r="AS509" s="36"/>
      <c r="AT509" s="36"/>
      <c r="AU509" s="36" t="s">
        <v>141</v>
      </c>
      <c r="AV509" s="36" t="s">
        <v>141</v>
      </c>
      <c r="AW509" s="117"/>
      <c r="AX509" s="117" t="s">
        <v>141</v>
      </c>
      <c r="AY509" s="36"/>
      <c r="AZ509" s="36"/>
      <c r="BA509" s="117" t="s">
        <v>141</v>
      </c>
      <c r="BB509" s="117"/>
      <c r="BC509" s="117"/>
      <c r="BD509" s="117"/>
      <c r="BE509" s="117"/>
      <c r="BF509" s="117" t="s">
        <v>141</v>
      </c>
      <c r="BG509" s="117"/>
      <c r="BH509" s="117"/>
      <c r="BI509" s="117" t="s">
        <v>141</v>
      </c>
      <c r="BJ509" s="117"/>
      <c r="BK509" s="117"/>
      <c r="BL509" s="117"/>
      <c r="BM509" s="117">
        <f t="shared" si="77"/>
        <v>11</v>
      </c>
      <c r="BN509" s="117">
        <f t="shared" si="78"/>
        <v>2</v>
      </c>
      <c r="BO509" s="117">
        <f t="shared" si="79"/>
        <v>2</v>
      </c>
      <c r="BP509" s="153">
        <f t="shared" si="80"/>
        <v>8</v>
      </c>
      <c r="BQ509" s="74" t="s">
        <v>178</v>
      </c>
      <c r="BR509" s="74"/>
    </row>
    <row r="510" spans="1:70" hidden="1">
      <c r="A510">
        <v>496</v>
      </c>
      <c r="B510" s="75">
        <v>45948.873912037037</v>
      </c>
      <c r="E510" s="7">
        <v>45949</v>
      </c>
      <c r="F510">
        <v>1051</v>
      </c>
      <c r="I510" s="10" t="s">
        <v>1776</v>
      </c>
      <c r="J510" s="69">
        <v>45949</v>
      </c>
      <c r="K510" s="97">
        <f t="shared" si="87"/>
        <v>10</v>
      </c>
      <c r="L510" s="97">
        <v>508</v>
      </c>
      <c r="O510" s="7" t="s">
        <v>134</v>
      </c>
      <c r="T510" t="s">
        <v>1777</v>
      </c>
      <c r="X510" s="36"/>
      <c r="Y510" s="36" t="s">
        <v>141</v>
      </c>
      <c r="Z510" s="36" t="s">
        <v>141</v>
      </c>
      <c r="AA510" s="36"/>
      <c r="AB510" s="36"/>
      <c r="AC510" s="36"/>
      <c r="AD510" s="36"/>
      <c r="AE510" s="36"/>
      <c r="AF510" s="36"/>
      <c r="AG510" s="36" t="s">
        <v>141</v>
      </c>
      <c r="AH510" s="36"/>
      <c r="AI510" s="36"/>
      <c r="AJ510" s="36"/>
      <c r="AK510" s="117" t="s">
        <v>141</v>
      </c>
      <c r="AL510" s="36"/>
      <c r="AM510" s="36" t="s">
        <v>141</v>
      </c>
      <c r="AN510" s="36"/>
      <c r="AO510" s="36"/>
      <c r="AP510" s="36"/>
      <c r="AQ510" s="36"/>
      <c r="AR510" s="36"/>
      <c r="AS510" s="36"/>
      <c r="AT510" s="36"/>
      <c r="AU510" s="36"/>
      <c r="AV510" s="36"/>
      <c r="AW510" s="117" t="s">
        <v>141</v>
      </c>
      <c r="AX510" s="117" t="s">
        <v>141</v>
      </c>
      <c r="AY510" s="36"/>
      <c r="AZ510" s="36"/>
      <c r="BA510" s="117"/>
      <c r="BB510" s="117"/>
      <c r="BC510" s="117"/>
      <c r="BD510" s="117"/>
      <c r="BE510" s="117"/>
      <c r="BF510" s="117" t="s">
        <v>141</v>
      </c>
      <c r="BG510" s="117"/>
      <c r="BH510" s="117"/>
      <c r="BI510" s="117" t="s">
        <v>141</v>
      </c>
      <c r="BJ510" s="117"/>
      <c r="BK510" s="117"/>
      <c r="BL510" s="117"/>
      <c r="BM510" s="117">
        <f t="shared" si="77"/>
        <v>8</v>
      </c>
      <c r="BN510" s="117">
        <f t="shared" si="78"/>
        <v>3</v>
      </c>
      <c r="BO510" s="117">
        <f t="shared" si="79"/>
        <v>2</v>
      </c>
      <c r="BP510" s="153">
        <f t="shared" si="80"/>
        <v>5</v>
      </c>
      <c r="BQ510" s="74" t="s">
        <v>502</v>
      </c>
      <c r="BR510" s="74"/>
    </row>
    <row r="511" spans="1:70" hidden="1">
      <c r="A511">
        <v>497</v>
      </c>
      <c r="B511" s="75">
        <v>45949.619791666664</v>
      </c>
      <c r="E511" s="7">
        <v>45950</v>
      </c>
      <c r="F511">
        <v>1052</v>
      </c>
      <c r="I511" s="10" t="s">
        <v>1778</v>
      </c>
      <c r="J511" s="69">
        <v>45950</v>
      </c>
      <c r="K511" s="97">
        <f t="shared" si="87"/>
        <v>10</v>
      </c>
      <c r="L511" s="97">
        <v>509</v>
      </c>
      <c r="O511" s="7" t="s">
        <v>156</v>
      </c>
      <c r="T511" t="s">
        <v>1779</v>
      </c>
      <c r="X511" s="36"/>
      <c r="Y511" s="36"/>
      <c r="Z511" s="36" t="s">
        <v>141</v>
      </c>
      <c r="AA511" s="36"/>
      <c r="AB511" s="36"/>
      <c r="AC511" s="36"/>
      <c r="AD511" s="36"/>
      <c r="AE511" s="36" t="s">
        <v>141</v>
      </c>
      <c r="AF511" s="36"/>
      <c r="AG511" s="36"/>
      <c r="AH511" s="36" t="s">
        <v>141</v>
      </c>
      <c r="AI511" s="36" t="s">
        <v>141</v>
      </c>
      <c r="AJ511" s="36"/>
      <c r="AK511" s="117"/>
      <c r="AL511" s="36" t="s">
        <v>141</v>
      </c>
      <c r="AM511" s="36" t="s">
        <v>141</v>
      </c>
      <c r="AN511" s="36"/>
      <c r="AO511" s="36" t="s">
        <v>141</v>
      </c>
      <c r="AP511" s="36"/>
      <c r="AQ511" s="36"/>
      <c r="AR511" s="36"/>
      <c r="AS511" s="36"/>
      <c r="AT511" s="36"/>
      <c r="AU511" s="36"/>
      <c r="AV511" s="36" t="s">
        <v>141</v>
      </c>
      <c r="AW511" s="117" t="s">
        <v>141</v>
      </c>
      <c r="AX511" s="117"/>
      <c r="AY511" s="36"/>
      <c r="AZ511" s="36"/>
      <c r="BA511" s="117"/>
      <c r="BB511" s="117"/>
      <c r="BC511" s="117"/>
      <c r="BD511" s="117"/>
      <c r="BE511" s="117"/>
      <c r="BF511" s="117" t="s">
        <v>141</v>
      </c>
      <c r="BG511" s="117"/>
      <c r="BH511" s="117"/>
      <c r="BI511" s="117"/>
      <c r="BJ511" s="117"/>
      <c r="BK511" s="117"/>
      <c r="BL511" s="117"/>
      <c r="BM511" s="117">
        <f t="shared" si="77"/>
        <v>10</v>
      </c>
      <c r="BN511" s="117">
        <f t="shared" si="78"/>
        <v>1</v>
      </c>
      <c r="BO511" s="117">
        <f t="shared" si="79"/>
        <v>1</v>
      </c>
      <c r="BP511" s="153">
        <f t="shared" si="80"/>
        <v>8</v>
      </c>
      <c r="BQ511" s="74" t="s">
        <v>215</v>
      </c>
      <c r="BR511" s="74"/>
    </row>
    <row r="512" spans="1:70" hidden="1">
      <c r="A512">
        <v>498</v>
      </c>
      <c r="B512" s="75">
        <v>45950.806469907409</v>
      </c>
      <c r="E512" s="7">
        <v>45951</v>
      </c>
      <c r="F512">
        <v>1053</v>
      </c>
      <c r="I512" s="10" t="s">
        <v>1780</v>
      </c>
      <c r="J512" s="69">
        <v>45951</v>
      </c>
      <c r="K512" s="97">
        <f t="shared" ref="K512:K520" si="88">MONTH($J512)</f>
        <v>10</v>
      </c>
      <c r="L512" s="97">
        <v>510</v>
      </c>
      <c r="O512" s="7" t="s">
        <v>156</v>
      </c>
      <c r="T512" t="s">
        <v>1781</v>
      </c>
      <c r="X512" s="36"/>
      <c r="Y512" s="36" t="s">
        <v>141</v>
      </c>
      <c r="Z512" s="36"/>
      <c r="AA512" s="36" t="s">
        <v>141</v>
      </c>
      <c r="AB512" s="36" t="s">
        <v>141</v>
      </c>
      <c r="AC512" s="36"/>
      <c r="AD512" s="36" t="s">
        <v>141</v>
      </c>
      <c r="AE512" s="36"/>
      <c r="AF512" s="36"/>
      <c r="AG512" s="36" t="s">
        <v>141</v>
      </c>
      <c r="AH512" s="36" t="s">
        <v>141</v>
      </c>
      <c r="AI512" s="36"/>
      <c r="AJ512" s="36" t="s">
        <v>141</v>
      </c>
      <c r="AK512" s="117" t="s">
        <v>141</v>
      </c>
      <c r="AL512" s="36"/>
      <c r="AM512" s="36"/>
      <c r="AN512" s="36"/>
      <c r="AO512" s="36" t="s">
        <v>141</v>
      </c>
      <c r="AP512" s="36"/>
      <c r="AQ512" s="36"/>
      <c r="AR512" s="36"/>
      <c r="AS512" s="36"/>
      <c r="AT512" s="36"/>
      <c r="AU512" s="36"/>
      <c r="AV512" s="36"/>
      <c r="AW512" s="117" t="s">
        <v>141</v>
      </c>
      <c r="AX512" s="117"/>
      <c r="AY512" s="36"/>
      <c r="AZ512" s="36"/>
      <c r="BA512" s="117"/>
      <c r="BB512" s="117"/>
      <c r="BC512" s="117"/>
      <c r="BD512" s="117"/>
      <c r="BE512" s="117" t="s">
        <v>141</v>
      </c>
      <c r="BF512" s="117" t="s">
        <v>141</v>
      </c>
      <c r="BG512" s="117"/>
      <c r="BH512" s="117" t="s">
        <v>141</v>
      </c>
      <c r="BI512" s="117"/>
      <c r="BJ512" s="117"/>
      <c r="BK512" s="117"/>
      <c r="BL512" s="117"/>
      <c r="BM512" s="117">
        <f t="shared" si="77"/>
        <v>12</v>
      </c>
      <c r="BN512" s="117">
        <f t="shared" si="78"/>
        <v>3</v>
      </c>
      <c r="BO512" s="117">
        <f t="shared" si="79"/>
        <v>4</v>
      </c>
      <c r="BP512" s="153">
        <f t="shared" si="80"/>
        <v>6</v>
      </c>
      <c r="BQ512" s="74" t="s">
        <v>208</v>
      </c>
      <c r="BR512" s="74"/>
    </row>
    <row r="513" spans="1:70" hidden="1">
      <c r="A513">
        <v>499</v>
      </c>
      <c r="B513" s="75">
        <v>45951.665844907409</v>
      </c>
      <c r="E513" s="7">
        <v>45952</v>
      </c>
      <c r="F513">
        <v>1054</v>
      </c>
      <c r="I513" s="10" t="s">
        <v>1782</v>
      </c>
      <c r="J513" s="69">
        <v>45952</v>
      </c>
      <c r="K513" s="97">
        <f t="shared" si="88"/>
        <v>10</v>
      </c>
      <c r="L513" s="97">
        <v>511</v>
      </c>
      <c r="O513" s="7" t="s">
        <v>156</v>
      </c>
      <c r="T513" t="s">
        <v>1783</v>
      </c>
      <c r="X513" s="36"/>
      <c r="Y513" s="36"/>
      <c r="Z513" s="36" t="s">
        <v>141</v>
      </c>
      <c r="AA513" s="36" t="s">
        <v>141</v>
      </c>
      <c r="AB513" s="36"/>
      <c r="AC513" s="36"/>
      <c r="AD513" s="36" t="s">
        <v>141</v>
      </c>
      <c r="AE513" s="36"/>
      <c r="AF513" s="36"/>
      <c r="AG513" s="36"/>
      <c r="AH513" s="36" t="s">
        <v>141</v>
      </c>
      <c r="AI513" s="36" t="s">
        <v>141</v>
      </c>
      <c r="AJ513" s="36" t="s">
        <v>141</v>
      </c>
      <c r="AK513" s="117"/>
      <c r="AL513" s="36"/>
      <c r="AM513" s="36" t="s">
        <v>141</v>
      </c>
      <c r="AN513" s="36"/>
      <c r="AO513" s="36" t="s">
        <v>141</v>
      </c>
      <c r="AP513" s="36"/>
      <c r="AQ513" s="36"/>
      <c r="AR513" s="36"/>
      <c r="AS513" s="36"/>
      <c r="AT513" s="36"/>
      <c r="AU513" s="36"/>
      <c r="AV513" s="36" t="s">
        <v>141</v>
      </c>
      <c r="AW513" s="117" t="s">
        <v>141</v>
      </c>
      <c r="AX513" s="117"/>
      <c r="AY513" s="36"/>
      <c r="AZ513" s="36"/>
      <c r="BA513" s="117"/>
      <c r="BB513" s="117"/>
      <c r="BC513" s="117"/>
      <c r="BD513" s="117"/>
      <c r="BE513" s="117" t="s">
        <v>141</v>
      </c>
      <c r="BF513" s="117" t="s">
        <v>141</v>
      </c>
      <c r="BG513" s="117"/>
      <c r="BH513" s="117" t="s">
        <v>141</v>
      </c>
      <c r="BI513" s="117" t="s">
        <v>141</v>
      </c>
      <c r="BJ513" s="117"/>
      <c r="BK513" s="117"/>
      <c r="BL513" s="117"/>
      <c r="BM513" s="117">
        <f t="shared" si="77"/>
        <v>12</v>
      </c>
      <c r="BN513" s="117">
        <f t="shared" si="78"/>
        <v>2</v>
      </c>
      <c r="BO513" s="117">
        <f t="shared" si="79"/>
        <v>3</v>
      </c>
      <c r="BP513" s="153">
        <f t="shared" si="80"/>
        <v>7</v>
      </c>
      <c r="BQ513" s="74" t="s">
        <v>1279</v>
      </c>
      <c r="BR513" s="74"/>
    </row>
    <row r="514" spans="1:70" hidden="1">
      <c r="A514">
        <v>500</v>
      </c>
      <c r="B514" s="75">
        <v>45952.158402777779</v>
      </c>
      <c r="E514" s="7">
        <v>45952</v>
      </c>
      <c r="F514">
        <v>1055</v>
      </c>
      <c r="I514" s="10" t="s">
        <v>1784</v>
      </c>
      <c r="J514" s="69">
        <v>45952</v>
      </c>
      <c r="K514" s="97">
        <f t="shared" si="88"/>
        <v>10</v>
      </c>
      <c r="L514" s="97">
        <v>512</v>
      </c>
      <c r="O514" s="7" t="s">
        <v>234</v>
      </c>
      <c r="T514" t="s">
        <v>1785</v>
      </c>
      <c r="X514" s="36"/>
      <c r="Y514" s="36"/>
      <c r="Z514" s="36"/>
      <c r="AA514" s="36" t="s">
        <v>141</v>
      </c>
      <c r="AB514" s="36"/>
      <c r="AC514" s="36"/>
      <c r="AD514" s="36" t="s">
        <v>141</v>
      </c>
      <c r="AE514" s="36" t="s">
        <v>141</v>
      </c>
      <c r="AF514" s="36" t="s">
        <v>141</v>
      </c>
      <c r="AG514" s="36"/>
      <c r="AH514" s="36"/>
      <c r="AI514" s="36"/>
      <c r="AJ514" s="36" t="s">
        <v>141</v>
      </c>
      <c r="AK514" s="117"/>
      <c r="AL514" s="36" t="s">
        <v>141</v>
      </c>
      <c r="AM514" s="36"/>
      <c r="AN514" s="36"/>
      <c r="AO514" s="36" t="s">
        <v>141</v>
      </c>
      <c r="AP514" s="36"/>
      <c r="AQ514" s="36"/>
      <c r="AR514" s="36"/>
      <c r="AS514" s="36" t="s">
        <v>141</v>
      </c>
      <c r="AT514" s="36"/>
      <c r="AU514" s="36"/>
      <c r="AV514" s="36"/>
      <c r="AW514" s="117" t="s">
        <v>141</v>
      </c>
      <c r="AX514" s="117"/>
      <c r="AY514" s="36"/>
      <c r="AZ514" s="36" t="s">
        <v>141</v>
      </c>
      <c r="BA514" s="117" t="s">
        <v>141</v>
      </c>
      <c r="BB514" s="117"/>
      <c r="BC514" s="117"/>
      <c r="BD514" s="117" t="s">
        <v>141</v>
      </c>
      <c r="BE514" s="117"/>
      <c r="BF514" s="117"/>
      <c r="BG514" s="117"/>
      <c r="BH514" s="117" t="s">
        <v>141</v>
      </c>
      <c r="BI514" s="117"/>
      <c r="BJ514" s="117"/>
      <c r="BK514" s="117"/>
      <c r="BL514" s="117"/>
      <c r="BM514" s="117">
        <f t="shared" si="77"/>
        <v>12</v>
      </c>
      <c r="BN514" s="117">
        <f t="shared" si="78"/>
        <v>2</v>
      </c>
      <c r="BO514" s="117">
        <f t="shared" si="79"/>
        <v>2</v>
      </c>
      <c r="BP514" s="153">
        <f t="shared" si="80"/>
        <v>9</v>
      </c>
      <c r="BQ514" s="74" t="s">
        <v>152</v>
      </c>
      <c r="BR514" s="74"/>
    </row>
    <row r="515" spans="1:70" hidden="1">
      <c r="A515">
        <v>501</v>
      </c>
      <c r="B515" s="75">
        <v>45952.217476851853</v>
      </c>
      <c r="E515" s="7">
        <v>45952</v>
      </c>
      <c r="F515">
        <v>1056</v>
      </c>
      <c r="I515" s="10" t="s">
        <v>1786</v>
      </c>
      <c r="J515" s="69">
        <v>45952</v>
      </c>
      <c r="K515" s="97">
        <f t="shared" si="88"/>
        <v>10</v>
      </c>
      <c r="L515" s="97">
        <v>513</v>
      </c>
      <c r="O515" s="7" t="s">
        <v>156</v>
      </c>
      <c r="T515" t="s">
        <v>1787</v>
      </c>
      <c r="X515" s="36"/>
      <c r="Y515" s="36" t="s">
        <v>141</v>
      </c>
      <c r="Z515" s="36"/>
      <c r="AA515" s="36" t="s">
        <v>141</v>
      </c>
      <c r="AB515" s="36"/>
      <c r="AC515" s="36"/>
      <c r="AD515" s="36" t="s">
        <v>141</v>
      </c>
      <c r="AE515" s="36"/>
      <c r="AF515" s="36" t="s">
        <v>141</v>
      </c>
      <c r="AG515" s="36" t="s">
        <v>141</v>
      </c>
      <c r="AH515" s="36"/>
      <c r="AI515" s="36"/>
      <c r="AJ515" s="36" t="s">
        <v>141</v>
      </c>
      <c r="AK515" s="117"/>
      <c r="AL515" s="36"/>
      <c r="AM515" s="36"/>
      <c r="AN515" s="36"/>
      <c r="AO515" s="36" t="s">
        <v>141</v>
      </c>
      <c r="AP515" s="36"/>
      <c r="AQ515" s="36"/>
      <c r="AR515" s="36"/>
      <c r="AS515" s="36" t="s">
        <v>141</v>
      </c>
      <c r="AT515" s="36"/>
      <c r="AU515" s="36"/>
      <c r="AV515" s="36" t="s">
        <v>141</v>
      </c>
      <c r="AW515" s="117"/>
      <c r="AX515" s="117"/>
      <c r="AY515" s="36" t="s">
        <v>141</v>
      </c>
      <c r="AZ515" s="36" t="s">
        <v>141</v>
      </c>
      <c r="BA515" s="117"/>
      <c r="BB515" s="117"/>
      <c r="BC515" s="117" t="s">
        <v>141</v>
      </c>
      <c r="BD515" s="117" t="s">
        <v>141</v>
      </c>
      <c r="BE515" s="117"/>
      <c r="BF515" s="117"/>
      <c r="BG515" s="117"/>
      <c r="BH515" s="117" t="s">
        <v>141</v>
      </c>
      <c r="BI515" s="117"/>
      <c r="BJ515" s="117"/>
      <c r="BK515" s="117"/>
      <c r="BL515" s="117"/>
      <c r="BM515" s="117">
        <f t="shared" si="77"/>
        <v>13</v>
      </c>
      <c r="BN515" s="117">
        <f t="shared" si="78"/>
        <v>3</v>
      </c>
      <c r="BO515" s="117">
        <f t="shared" si="79"/>
        <v>3</v>
      </c>
      <c r="BP515" s="153">
        <f t="shared" si="80"/>
        <v>9</v>
      </c>
      <c r="BQ515" s="74" t="s">
        <v>639</v>
      </c>
      <c r="BR515" s="74"/>
    </row>
    <row r="516" spans="1:70" hidden="1">
      <c r="A516">
        <v>502</v>
      </c>
      <c r="B516" s="75">
        <v>45952.524074074077</v>
      </c>
      <c r="E516" s="7">
        <v>45953</v>
      </c>
      <c r="F516">
        <v>1057</v>
      </c>
      <c r="I516" s="10" t="s">
        <v>1788</v>
      </c>
      <c r="J516" s="69">
        <v>45953</v>
      </c>
      <c r="K516" s="97">
        <f t="shared" si="88"/>
        <v>10</v>
      </c>
      <c r="L516" s="97">
        <v>514</v>
      </c>
      <c r="O516" s="7" t="s">
        <v>234</v>
      </c>
      <c r="T516" t="s">
        <v>1789</v>
      </c>
      <c r="X516" s="36"/>
      <c r="Y516" s="36"/>
      <c r="Z516" s="36"/>
      <c r="AA516" s="36" t="s">
        <v>141</v>
      </c>
      <c r="AB516" s="36"/>
      <c r="AC516" s="36"/>
      <c r="AD516" s="36" t="s">
        <v>141</v>
      </c>
      <c r="AE516" s="36"/>
      <c r="AF516" s="36"/>
      <c r="AG516" s="36" t="s">
        <v>141</v>
      </c>
      <c r="AH516" s="36" t="s">
        <v>141</v>
      </c>
      <c r="AI516" s="36"/>
      <c r="AJ516" s="36" t="s">
        <v>141</v>
      </c>
      <c r="AK516" s="117"/>
      <c r="AL516" s="36" t="s">
        <v>141</v>
      </c>
      <c r="AM516" s="36"/>
      <c r="AN516" s="36"/>
      <c r="AO516" s="36"/>
      <c r="AP516" s="36"/>
      <c r="AQ516" s="36"/>
      <c r="AR516" s="36"/>
      <c r="AS516" s="36"/>
      <c r="AT516" s="36"/>
      <c r="AU516" s="36"/>
      <c r="AV516" s="36" t="s">
        <v>141</v>
      </c>
      <c r="AW516" s="117"/>
      <c r="AX516" s="117"/>
      <c r="AY516" s="36"/>
      <c r="AZ516" s="36"/>
      <c r="BA516" s="117" t="s">
        <v>141</v>
      </c>
      <c r="BB516" s="117"/>
      <c r="BC516" s="117"/>
      <c r="BD516" s="117"/>
      <c r="BE516" s="117" t="s">
        <v>141</v>
      </c>
      <c r="BF516" s="117"/>
      <c r="BG516" s="117"/>
      <c r="BH516" s="117" t="s">
        <v>141</v>
      </c>
      <c r="BI516" s="117" t="s">
        <v>141</v>
      </c>
      <c r="BJ516" s="117" t="s">
        <v>141</v>
      </c>
      <c r="BK516" s="117"/>
      <c r="BL516" s="117"/>
      <c r="BM516" s="117">
        <f t="shared" ref="BM516:BM556" si="89">COUNTIF($X516:$BF516, "I")</f>
        <v>9</v>
      </c>
      <c r="BN516" s="117">
        <f t="shared" ref="BN516:BN556" si="90">COUNTIFS($X516:$BF516, "I",$X$2:$BF$2, "DR" )</f>
        <v>2</v>
      </c>
      <c r="BO516" s="117">
        <f t="shared" ref="BO516:BO556" si="91">COUNTIFS($X516:$BF516, "I",$X$5:$BF$5, "OF" )</f>
        <v>2</v>
      </c>
      <c r="BP516" s="153">
        <f t="shared" ref="BP516:BP556" si="92">COUNTIFS($X516:$BF516, "I",$X$5:$BF$5, "FF" )</f>
        <v>6</v>
      </c>
      <c r="BQ516" s="74" t="s">
        <v>171</v>
      </c>
      <c r="BR516" s="74"/>
    </row>
    <row r="517" spans="1:70" hidden="1">
      <c r="A517">
        <v>503</v>
      </c>
      <c r="B517" s="75">
        <v>45953.011990740742</v>
      </c>
      <c r="E517" s="7">
        <v>45953</v>
      </c>
      <c r="F517">
        <v>1058</v>
      </c>
      <c r="I517" s="10" t="s">
        <v>1790</v>
      </c>
      <c r="J517" s="69">
        <v>45953</v>
      </c>
      <c r="K517" s="97">
        <f t="shared" si="88"/>
        <v>10</v>
      </c>
      <c r="L517" s="97">
        <v>515</v>
      </c>
      <c r="O517" s="7" t="s">
        <v>156</v>
      </c>
      <c r="T517" t="s">
        <v>1791</v>
      </c>
      <c r="X517" s="36"/>
      <c r="Y517" s="36" t="s">
        <v>141</v>
      </c>
      <c r="Z517" s="36"/>
      <c r="AA517" s="36" t="s">
        <v>141</v>
      </c>
      <c r="AB517" s="36"/>
      <c r="AC517" s="36"/>
      <c r="AD517" s="36"/>
      <c r="AE517" s="36"/>
      <c r="AF517" s="36" t="s">
        <v>141</v>
      </c>
      <c r="AG517" s="36"/>
      <c r="AH517" s="36" t="s">
        <v>141</v>
      </c>
      <c r="AI517" s="36"/>
      <c r="AJ517" s="36" t="s">
        <v>141</v>
      </c>
      <c r="AK517" s="117"/>
      <c r="AL517" s="36"/>
      <c r="AM517" s="36"/>
      <c r="AN517" s="36" t="s">
        <v>141</v>
      </c>
      <c r="AO517" s="36"/>
      <c r="AP517" s="36"/>
      <c r="AQ517" s="36"/>
      <c r="AR517" s="36"/>
      <c r="AS517" s="36" t="s">
        <v>141</v>
      </c>
      <c r="AT517" s="36" t="s">
        <v>141</v>
      </c>
      <c r="AU517" s="36"/>
      <c r="AV517" s="36"/>
      <c r="AW517" s="117"/>
      <c r="AX517" s="117"/>
      <c r="AY517" s="36"/>
      <c r="AZ517" s="36"/>
      <c r="BA517" s="117"/>
      <c r="BB517" s="117"/>
      <c r="BC517" s="117"/>
      <c r="BD517" s="117" t="s">
        <v>141</v>
      </c>
      <c r="BE517" s="117"/>
      <c r="BF517" s="117" t="s">
        <v>141</v>
      </c>
      <c r="BG517" s="117"/>
      <c r="BH517" s="117" t="s">
        <v>141</v>
      </c>
      <c r="BI517" s="117" t="s">
        <v>141</v>
      </c>
      <c r="BJ517" s="117"/>
      <c r="BK517" s="117"/>
      <c r="BL517" s="117"/>
      <c r="BM517" s="117">
        <f t="shared" si="89"/>
        <v>10</v>
      </c>
      <c r="BN517" s="117">
        <f t="shared" si="90"/>
        <v>3</v>
      </c>
      <c r="BO517" s="117">
        <f t="shared" si="91"/>
        <v>2</v>
      </c>
      <c r="BP517" s="153">
        <f t="shared" si="92"/>
        <v>6</v>
      </c>
      <c r="BQ517" s="74" t="s">
        <v>502</v>
      </c>
      <c r="BR517" s="74"/>
    </row>
    <row r="518" spans="1:70" hidden="1">
      <c r="A518">
        <v>504</v>
      </c>
      <c r="B518" s="75">
        <v>45953.017731481479</v>
      </c>
      <c r="E518" s="7">
        <v>45953</v>
      </c>
      <c r="F518">
        <v>1059</v>
      </c>
      <c r="I518" s="10" t="s">
        <v>1792</v>
      </c>
      <c r="J518" s="69">
        <v>45953</v>
      </c>
      <c r="K518" s="97">
        <f t="shared" si="88"/>
        <v>10</v>
      </c>
      <c r="L518" s="97">
        <v>516</v>
      </c>
      <c r="O518" s="7" t="s">
        <v>156</v>
      </c>
      <c r="T518" t="s">
        <v>1793</v>
      </c>
      <c r="X518" s="36"/>
      <c r="Y518" s="36" t="s">
        <v>141</v>
      </c>
      <c r="Z518" s="36"/>
      <c r="AA518" s="36" t="s">
        <v>141</v>
      </c>
      <c r="AB518" s="36"/>
      <c r="AC518" s="36"/>
      <c r="AD518" s="36"/>
      <c r="AE518" s="36"/>
      <c r="AF518" s="36" t="s">
        <v>141</v>
      </c>
      <c r="AG518" s="36"/>
      <c r="AH518" s="36" t="s">
        <v>141</v>
      </c>
      <c r="AI518" s="36"/>
      <c r="AJ518" s="36" t="s">
        <v>141</v>
      </c>
      <c r="AK518" s="117"/>
      <c r="AL518" s="36"/>
      <c r="AM518" s="36"/>
      <c r="AN518" s="36" t="s">
        <v>141</v>
      </c>
      <c r="AO518" s="36"/>
      <c r="AP518" s="36"/>
      <c r="AQ518" s="36"/>
      <c r="AR518" s="36"/>
      <c r="AS518" s="36" t="s">
        <v>141</v>
      </c>
      <c r="AT518" s="36" t="s">
        <v>141</v>
      </c>
      <c r="AU518" s="36"/>
      <c r="AV518" s="36"/>
      <c r="AW518" s="117"/>
      <c r="AX518" s="117"/>
      <c r="AY518" s="36"/>
      <c r="AZ518" s="36"/>
      <c r="BA518" s="117"/>
      <c r="BB518" s="117"/>
      <c r="BC518" s="117"/>
      <c r="BD518" s="117" t="s">
        <v>141</v>
      </c>
      <c r="BE518" s="117"/>
      <c r="BF518" s="117" t="s">
        <v>141</v>
      </c>
      <c r="BG518" s="117"/>
      <c r="BH518" s="117" t="s">
        <v>141</v>
      </c>
      <c r="BI518" s="117" t="s">
        <v>141</v>
      </c>
      <c r="BJ518" s="117"/>
      <c r="BK518" s="117"/>
      <c r="BL518" s="117"/>
      <c r="BM518" s="117">
        <f t="shared" si="89"/>
        <v>10</v>
      </c>
      <c r="BN518" s="117">
        <f t="shared" si="90"/>
        <v>3</v>
      </c>
      <c r="BO518" s="117">
        <f t="shared" si="91"/>
        <v>2</v>
      </c>
      <c r="BP518" s="153">
        <f t="shared" si="92"/>
        <v>6</v>
      </c>
      <c r="BQ518" s="74" t="s">
        <v>308</v>
      </c>
      <c r="BR518" s="74"/>
    </row>
    <row r="519" spans="1:70" hidden="1">
      <c r="A519">
        <v>505</v>
      </c>
      <c r="B519" s="75">
        <v>45953.141921296294</v>
      </c>
      <c r="E519" s="7">
        <v>45953</v>
      </c>
      <c r="F519">
        <v>1060</v>
      </c>
      <c r="I519" s="10" t="s">
        <v>1794</v>
      </c>
      <c r="J519" s="69">
        <v>45953</v>
      </c>
      <c r="K519" s="97">
        <f t="shared" si="88"/>
        <v>10</v>
      </c>
      <c r="L519" s="97">
        <v>517</v>
      </c>
      <c r="O519" s="7" t="s">
        <v>449</v>
      </c>
      <c r="T519" t="s">
        <v>1795</v>
      </c>
      <c r="X519" s="36"/>
      <c r="Y519" s="36" t="s">
        <v>141</v>
      </c>
      <c r="Z519" s="36"/>
      <c r="AA519" s="36" t="s">
        <v>141</v>
      </c>
      <c r="AB519" s="36"/>
      <c r="AC519" s="36"/>
      <c r="AD519" s="36"/>
      <c r="AE519" s="36" t="s">
        <v>141</v>
      </c>
      <c r="AF519" s="36" t="s">
        <v>141</v>
      </c>
      <c r="AG519" s="36"/>
      <c r="AH519" s="36" t="s">
        <v>141</v>
      </c>
      <c r="AI519" s="36"/>
      <c r="AJ519" s="36"/>
      <c r="AK519" s="117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 t="s">
        <v>141</v>
      </c>
      <c r="AW519" s="117"/>
      <c r="AX519" s="117" t="s">
        <v>141</v>
      </c>
      <c r="AY519" s="36"/>
      <c r="AZ519" s="36" t="s">
        <v>141</v>
      </c>
      <c r="BA519" s="117"/>
      <c r="BB519" s="117"/>
      <c r="BC519" s="117"/>
      <c r="BD519" s="117" t="s">
        <v>141</v>
      </c>
      <c r="BE519" s="117"/>
      <c r="BF519" s="117"/>
      <c r="BG519" s="117"/>
      <c r="BH519" s="117" t="s">
        <v>141</v>
      </c>
      <c r="BI519" s="117"/>
      <c r="BJ519" s="117"/>
      <c r="BK519" s="117"/>
      <c r="BL519" s="117"/>
      <c r="BM519" s="117">
        <f t="shared" si="89"/>
        <v>9</v>
      </c>
      <c r="BN519" s="117">
        <f t="shared" si="90"/>
        <v>0</v>
      </c>
      <c r="BO519" s="117">
        <f t="shared" si="91"/>
        <v>2</v>
      </c>
      <c r="BP519" s="153">
        <f t="shared" si="92"/>
        <v>6</v>
      </c>
      <c r="BQ519" s="74" t="s">
        <v>502</v>
      </c>
      <c r="BR519" s="74"/>
    </row>
    <row r="520" spans="1:70" hidden="1">
      <c r="A520">
        <v>506</v>
      </c>
      <c r="B520" s="75">
        <v>45953.363287037035</v>
      </c>
      <c r="E520" s="7">
        <v>45953</v>
      </c>
      <c r="F520">
        <v>1061</v>
      </c>
      <c r="I520" s="10" t="s">
        <v>1796</v>
      </c>
      <c r="J520" s="69">
        <v>45953</v>
      </c>
      <c r="K520" s="97">
        <f t="shared" si="88"/>
        <v>10</v>
      </c>
      <c r="L520" s="97">
        <v>518</v>
      </c>
      <c r="O520" s="7" t="s">
        <v>1797</v>
      </c>
      <c r="T520" t="s">
        <v>1798</v>
      </c>
      <c r="X520" s="36"/>
      <c r="Y520" s="36" t="s">
        <v>141</v>
      </c>
      <c r="Z520" s="36"/>
      <c r="AA520" s="36" t="s">
        <v>141</v>
      </c>
      <c r="AB520" s="36" t="s">
        <v>141</v>
      </c>
      <c r="AC520" s="36" t="s">
        <v>141</v>
      </c>
      <c r="AD520" s="36"/>
      <c r="AE520" s="36"/>
      <c r="AF520" s="36" t="s">
        <v>141</v>
      </c>
      <c r="AG520" s="36" t="s">
        <v>141</v>
      </c>
      <c r="AH520" s="36" t="s">
        <v>141</v>
      </c>
      <c r="AI520" s="36"/>
      <c r="AJ520" s="36"/>
      <c r="AK520" s="117" t="s">
        <v>141</v>
      </c>
      <c r="AL520" s="36" t="s">
        <v>141</v>
      </c>
      <c r="AM520" s="36" t="s">
        <v>141</v>
      </c>
      <c r="AN520" s="36"/>
      <c r="AO520" s="36"/>
      <c r="AP520" s="36"/>
      <c r="AQ520" s="36"/>
      <c r="AR520" s="36" t="s">
        <v>141</v>
      </c>
      <c r="AS520" s="36" t="s">
        <v>141</v>
      </c>
      <c r="AT520" s="36"/>
      <c r="AU520" s="36"/>
      <c r="AV520" s="36" t="s">
        <v>141</v>
      </c>
      <c r="AW520" s="117"/>
      <c r="AX520" s="117" t="s">
        <v>141</v>
      </c>
      <c r="AY520" s="36"/>
      <c r="AZ520" s="36"/>
      <c r="BA520" s="117" t="s">
        <v>141</v>
      </c>
      <c r="BB520" s="117"/>
      <c r="BC520" s="117" t="s">
        <v>141</v>
      </c>
      <c r="BD520" s="117" t="s">
        <v>141</v>
      </c>
      <c r="BE520" s="117"/>
      <c r="BF520" s="117" t="s">
        <v>141</v>
      </c>
      <c r="BG520" s="117"/>
      <c r="BH520" s="117" t="s">
        <v>141</v>
      </c>
      <c r="BI520" s="117" t="s">
        <v>141</v>
      </c>
      <c r="BJ520" s="117" t="s">
        <v>141</v>
      </c>
      <c r="BK520" s="117"/>
      <c r="BL520" s="117"/>
      <c r="BM520" s="117">
        <f t="shared" si="89"/>
        <v>18</v>
      </c>
      <c r="BN520" s="117">
        <f t="shared" si="90"/>
        <v>5</v>
      </c>
      <c r="BO520" s="117">
        <f t="shared" si="91"/>
        <v>4</v>
      </c>
      <c r="BP520" s="153">
        <f t="shared" si="92"/>
        <v>12</v>
      </c>
      <c r="BQ520" s="74" t="s">
        <v>201</v>
      </c>
      <c r="BR520" s="74"/>
    </row>
    <row r="521" spans="1:70" hidden="1">
      <c r="A521">
        <v>507</v>
      </c>
      <c r="B521" s="75">
        <v>45953.857638888891</v>
      </c>
      <c r="E521" s="7">
        <v>45953</v>
      </c>
      <c r="F521">
        <v>1062</v>
      </c>
      <c r="I521" s="10" t="s">
        <v>1799</v>
      </c>
      <c r="J521" s="69">
        <v>45954</v>
      </c>
      <c r="K521" s="97">
        <f t="shared" ref="K521:K528" si="93">MONTH($J521)</f>
        <v>10</v>
      </c>
      <c r="L521" s="97">
        <v>519</v>
      </c>
      <c r="O521" s="7" t="s">
        <v>156</v>
      </c>
      <c r="T521" t="s">
        <v>1800</v>
      </c>
      <c r="X521" s="36"/>
      <c r="Y521" s="36" t="s">
        <v>141</v>
      </c>
      <c r="Z521" s="36"/>
      <c r="AA521" s="36" t="s">
        <v>141</v>
      </c>
      <c r="AB521" s="36"/>
      <c r="AC521" s="36"/>
      <c r="AD521" s="36"/>
      <c r="AE521" s="36"/>
      <c r="AF521" s="36" t="s">
        <v>141</v>
      </c>
      <c r="AG521" s="36"/>
      <c r="AH521" s="36" t="s">
        <v>141</v>
      </c>
      <c r="AI521" s="36"/>
      <c r="AJ521" s="36" t="s">
        <v>141</v>
      </c>
      <c r="AK521" s="117"/>
      <c r="AL521" s="36"/>
      <c r="AM521" s="36"/>
      <c r="AN521" s="36" t="s">
        <v>141</v>
      </c>
      <c r="AO521" s="36"/>
      <c r="AP521" s="36"/>
      <c r="AQ521" s="36"/>
      <c r="AR521" s="36"/>
      <c r="AS521" s="36" t="s">
        <v>141</v>
      </c>
      <c r="AT521" s="36" t="s">
        <v>141</v>
      </c>
      <c r="AU521" s="36"/>
      <c r="AV521" s="36"/>
      <c r="AW521" s="117"/>
      <c r="AX521" s="117"/>
      <c r="AY521" s="36"/>
      <c r="AZ521" s="36"/>
      <c r="BA521" s="117"/>
      <c r="BB521" s="117"/>
      <c r="BC521" s="117"/>
      <c r="BD521" s="117" t="s">
        <v>141</v>
      </c>
      <c r="BE521" s="117"/>
      <c r="BF521" s="117" t="s">
        <v>141</v>
      </c>
      <c r="BG521" s="117"/>
      <c r="BH521" s="117" t="s">
        <v>141</v>
      </c>
      <c r="BI521" s="117" t="s">
        <v>141</v>
      </c>
      <c r="BJ521" s="117"/>
      <c r="BK521" s="117"/>
      <c r="BL521" s="117"/>
      <c r="BM521" s="117">
        <f t="shared" si="89"/>
        <v>10</v>
      </c>
      <c r="BN521" s="117">
        <f t="shared" si="90"/>
        <v>3</v>
      </c>
      <c r="BO521" s="117">
        <f t="shared" si="91"/>
        <v>2</v>
      </c>
      <c r="BP521" s="153">
        <f t="shared" si="92"/>
        <v>6</v>
      </c>
      <c r="BQ521" s="74" t="s">
        <v>273</v>
      </c>
      <c r="BR521" s="74"/>
    </row>
    <row r="522" spans="1:70" hidden="1">
      <c r="A522">
        <v>508</v>
      </c>
      <c r="B522" s="75">
        <v>45953.920254629629</v>
      </c>
      <c r="E522" s="7">
        <v>45954</v>
      </c>
      <c r="F522">
        <v>1063</v>
      </c>
      <c r="I522" s="10" t="s">
        <v>1801</v>
      </c>
      <c r="J522" s="69">
        <v>45954</v>
      </c>
      <c r="K522" s="97">
        <f t="shared" si="93"/>
        <v>10</v>
      </c>
      <c r="L522" s="97">
        <v>520</v>
      </c>
      <c r="O522" s="7" t="s">
        <v>234</v>
      </c>
      <c r="T522" t="s">
        <v>1802</v>
      </c>
      <c r="X522" s="36"/>
      <c r="Y522" s="36" t="s">
        <v>141</v>
      </c>
      <c r="Z522" s="36"/>
      <c r="AA522" s="36" t="s">
        <v>141</v>
      </c>
      <c r="AB522" s="36"/>
      <c r="AC522" s="36"/>
      <c r="AD522" s="36"/>
      <c r="AE522" s="36" t="s">
        <v>141</v>
      </c>
      <c r="AF522" s="36"/>
      <c r="AG522" s="36"/>
      <c r="AH522" s="36" t="s">
        <v>141</v>
      </c>
      <c r="AI522" s="36"/>
      <c r="AJ522" s="36" t="s">
        <v>141</v>
      </c>
      <c r="AK522" s="117"/>
      <c r="AL522" s="36" t="s">
        <v>141</v>
      </c>
      <c r="AM522" s="36" t="s">
        <v>141</v>
      </c>
      <c r="AN522" s="36"/>
      <c r="AO522" s="36"/>
      <c r="AP522" s="36"/>
      <c r="AQ522" s="36"/>
      <c r="AR522" s="36"/>
      <c r="AS522" s="36" t="s">
        <v>141</v>
      </c>
      <c r="AT522" s="36"/>
      <c r="AU522" s="36"/>
      <c r="AV522" s="36"/>
      <c r="AW522" s="117"/>
      <c r="AX522" s="117" t="s">
        <v>141</v>
      </c>
      <c r="AY522" s="36"/>
      <c r="AZ522" s="36"/>
      <c r="BA522" s="117"/>
      <c r="BB522" s="117"/>
      <c r="BC522" s="117"/>
      <c r="BD522" s="117"/>
      <c r="BE522" s="117"/>
      <c r="BF522" s="117" t="s">
        <v>141</v>
      </c>
      <c r="BG522" s="117"/>
      <c r="BH522" s="117" t="s">
        <v>141</v>
      </c>
      <c r="BI522" s="117"/>
      <c r="BJ522" s="117"/>
      <c r="BK522" s="117"/>
      <c r="BL522" s="117"/>
      <c r="BM522" s="117">
        <f t="shared" si="89"/>
        <v>10</v>
      </c>
      <c r="BN522" s="117">
        <f t="shared" si="90"/>
        <v>3</v>
      </c>
      <c r="BO522" s="117">
        <f t="shared" si="91"/>
        <v>2</v>
      </c>
      <c r="BP522" s="153">
        <f t="shared" si="92"/>
        <v>7</v>
      </c>
      <c r="BQ522" s="74" t="s">
        <v>152</v>
      </c>
      <c r="BR522" s="74"/>
    </row>
    <row r="523" spans="1:70" hidden="1">
      <c r="A523">
        <v>509</v>
      </c>
      <c r="B523" s="75">
        <v>45956.917939814812</v>
      </c>
      <c r="E523" s="7">
        <v>45954</v>
      </c>
      <c r="F523">
        <v>1064</v>
      </c>
      <c r="I523" s="10" t="s">
        <v>1803</v>
      </c>
      <c r="J523" s="69">
        <v>45957</v>
      </c>
      <c r="K523" s="97">
        <f t="shared" si="93"/>
        <v>10</v>
      </c>
      <c r="L523" s="97">
        <v>521</v>
      </c>
      <c r="O523" s="7" t="s">
        <v>1804</v>
      </c>
      <c r="T523" t="s">
        <v>1805</v>
      </c>
      <c r="X523" s="36" t="s">
        <v>141</v>
      </c>
      <c r="Y523" s="36" t="s">
        <v>141</v>
      </c>
      <c r="Z523" s="36"/>
      <c r="AA523" s="36" t="s">
        <v>141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117" t="s">
        <v>141</v>
      </c>
      <c r="AL523" s="36" t="s">
        <v>141</v>
      </c>
      <c r="AM523" s="36"/>
      <c r="AN523" s="36"/>
      <c r="AO523" s="36" t="s">
        <v>141</v>
      </c>
      <c r="AP523" s="36"/>
      <c r="AQ523" s="36"/>
      <c r="AR523" s="36"/>
      <c r="AS523" s="36"/>
      <c r="AT523" s="36"/>
      <c r="AU523" s="36"/>
      <c r="AV523" s="36" t="s">
        <v>141</v>
      </c>
      <c r="AW523" s="117"/>
      <c r="AX523" s="117" t="s">
        <v>141</v>
      </c>
      <c r="AY523" s="36"/>
      <c r="AZ523" s="36"/>
      <c r="BA523" s="117"/>
      <c r="BB523" s="117"/>
      <c r="BC523" s="117"/>
      <c r="BD523" s="117"/>
      <c r="BE523" s="117"/>
      <c r="BF523" s="117"/>
      <c r="BG523" s="117"/>
      <c r="BH523" s="117" t="s">
        <v>141</v>
      </c>
      <c r="BI523" s="117" t="s">
        <v>141</v>
      </c>
      <c r="BJ523" s="117"/>
      <c r="BK523" s="117"/>
      <c r="BL523" s="117"/>
      <c r="BM523" s="117">
        <f t="shared" si="89"/>
        <v>8</v>
      </c>
      <c r="BN523" s="117">
        <f t="shared" si="90"/>
        <v>1</v>
      </c>
      <c r="BO523" s="117">
        <f t="shared" si="91"/>
        <v>3</v>
      </c>
      <c r="BP523" s="153">
        <f t="shared" si="92"/>
        <v>5</v>
      </c>
      <c r="BQ523" s="74" t="s">
        <v>171</v>
      </c>
      <c r="BR523" s="74"/>
    </row>
    <row r="524" spans="1:70" hidden="1">
      <c r="A524">
        <v>510</v>
      </c>
      <c r="B524" s="75">
        <v>45958.765324074076</v>
      </c>
      <c r="E524" s="7">
        <v>45959</v>
      </c>
      <c r="F524">
        <v>1065</v>
      </c>
      <c r="I524" s="10" t="s">
        <v>1806</v>
      </c>
      <c r="J524" s="69">
        <v>45959</v>
      </c>
      <c r="K524" s="97">
        <f t="shared" si="93"/>
        <v>10</v>
      </c>
      <c r="L524" s="97">
        <v>522</v>
      </c>
      <c r="O524" s="7" t="s">
        <v>156</v>
      </c>
      <c r="T524" t="s">
        <v>1807</v>
      </c>
      <c r="X524" s="36"/>
      <c r="Y524" s="36" t="s">
        <v>141</v>
      </c>
      <c r="Z524" s="36" t="s">
        <v>141</v>
      </c>
      <c r="AA524" s="36"/>
      <c r="AB524" s="36"/>
      <c r="AC524" s="36"/>
      <c r="AD524" s="36" t="s">
        <v>141</v>
      </c>
      <c r="AE524" s="36"/>
      <c r="AF524" s="36"/>
      <c r="AG524" s="36"/>
      <c r="AH524" s="36" t="s">
        <v>141</v>
      </c>
      <c r="AI524" s="36" t="s">
        <v>141</v>
      </c>
      <c r="AJ524" s="36" t="s">
        <v>141</v>
      </c>
      <c r="AK524" s="117" t="s">
        <v>141</v>
      </c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117" t="s">
        <v>141</v>
      </c>
      <c r="AX524" s="117" t="s">
        <v>141</v>
      </c>
      <c r="AY524" s="36"/>
      <c r="AZ524" s="36"/>
      <c r="BA524" s="117"/>
      <c r="BB524" s="117" t="s">
        <v>141</v>
      </c>
      <c r="BC524" s="117"/>
      <c r="BD524" s="117"/>
      <c r="BE524" s="117"/>
      <c r="BF524" s="117"/>
      <c r="BG524" s="117"/>
      <c r="BH524" s="117"/>
      <c r="BI524" s="117"/>
      <c r="BJ524" s="117"/>
      <c r="BK524" s="117"/>
      <c r="BL524" s="117"/>
      <c r="BM524" s="117">
        <f t="shared" si="89"/>
        <v>10</v>
      </c>
      <c r="BN524" s="117">
        <f t="shared" si="90"/>
        <v>2</v>
      </c>
      <c r="BO524" s="117">
        <f t="shared" si="91"/>
        <v>3</v>
      </c>
      <c r="BP524" s="153">
        <f t="shared" si="92"/>
        <v>7</v>
      </c>
      <c r="BQ524" s="74" t="s">
        <v>502</v>
      </c>
      <c r="BR524" s="74"/>
    </row>
    <row r="525" spans="1:70" hidden="1">
      <c r="A525">
        <v>511</v>
      </c>
      <c r="B525" s="75">
        <v>45959.15315972222</v>
      </c>
      <c r="E525" s="7">
        <v>45959</v>
      </c>
      <c r="F525">
        <v>1066</v>
      </c>
      <c r="I525" s="10" t="s">
        <v>1808</v>
      </c>
      <c r="J525" s="69">
        <v>45959</v>
      </c>
      <c r="K525" s="97">
        <f t="shared" si="93"/>
        <v>10</v>
      </c>
      <c r="L525" s="97">
        <v>523</v>
      </c>
      <c r="O525" s="7" t="s">
        <v>197</v>
      </c>
      <c r="T525" t="s">
        <v>1809</v>
      </c>
      <c r="X525" s="36" t="s">
        <v>141</v>
      </c>
      <c r="Y525" s="36"/>
      <c r="Z525" s="36"/>
      <c r="AA525" s="36" t="s">
        <v>141</v>
      </c>
      <c r="AB525" s="36"/>
      <c r="AC525" s="36"/>
      <c r="AD525" s="36"/>
      <c r="AE525" s="36"/>
      <c r="AF525" s="36"/>
      <c r="AG525" s="36"/>
      <c r="AH525" s="36" t="s">
        <v>141</v>
      </c>
      <c r="AI525" s="36" t="s">
        <v>141</v>
      </c>
      <c r="AJ525" s="36"/>
      <c r="AK525" s="117" t="s">
        <v>141</v>
      </c>
      <c r="AL525" s="36" t="s">
        <v>141</v>
      </c>
      <c r="AM525" s="36"/>
      <c r="AN525" s="36"/>
      <c r="AO525" s="36"/>
      <c r="AP525" s="36"/>
      <c r="AQ525" s="36"/>
      <c r="AR525" s="36"/>
      <c r="AS525" s="36" t="s">
        <v>141</v>
      </c>
      <c r="AT525" s="36" t="s">
        <v>141</v>
      </c>
      <c r="AU525" s="36"/>
      <c r="AV525" s="36"/>
      <c r="AW525" s="117" t="s">
        <v>141</v>
      </c>
      <c r="AX525" s="117" t="s">
        <v>141</v>
      </c>
      <c r="AY525" s="36"/>
      <c r="AZ525" s="36"/>
      <c r="BA525" s="117"/>
      <c r="BB525" s="117"/>
      <c r="BC525" s="117"/>
      <c r="BD525" s="117" t="s">
        <v>141</v>
      </c>
      <c r="BE525" s="117"/>
      <c r="BF525" s="117" t="s">
        <v>141</v>
      </c>
      <c r="BG525" s="117"/>
      <c r="BH525" s="117"/>
      <c r="BI525" s="117" t="s">
        <v>141</v>
      </c>
      <c r="BJ525" s="117"/>
      <c r="BK525" s="117"/>
      <c r="BL525" s="117"/>
      <c r="BM525" s="117">
        <f t="shared" si="89"/>
        <v>12</v>
      </c>
      <c r="BN525" s="117">
        <f t="shared" si="90"/>
        <v>2</v>
      </c>
      <c r="BO525" s="117">
        <f t="shared" si="91"/>
        <v>2</v>
      </c>
      <c r="BP525" s="153">
        <f t="shared" si="92"/>
        <v>8</v>
      </c>
      <c r="BQ525" s="74" t="s">
        <v>1559</v>
      </c>
      <c r="BR525" s="74"/>
    </row>
    <row r="526" spans="1:70" hidden="1">
      <c r="A526">
        <v>512</v>
      </c>
      <c r="B526" s="75">
        <v>45959.397592592592</v>
      </c>
      <c r="E526" s="7">
        <v>45959</v>
      </c>
      <c r="F526">
        <v>1067</v>
      </c>
      <c r="I526" s="10" t="s">
        <v>1810</v>
      </c>
      <c r="J526" s="69">
        <v>45959</v>
      </c>
      <c r="K526" s="97">
        <f t="shared" si="93"/>
        <v>10</v>
      </c>
      <c r="L526" s="97">
        <v>524</v>
      </c>
      <c r="O526" s="7" t="s">
        <v>254</v>
      </c>
      <c r="T526" t="s">
        <v>1811</v>
      </c>
      <c r="X526" s="36"/>
      <c r="Y526" s="36"/>
      <c r="Z526" s="36" t="s">
        <v>141</v>
      </c>
      <c r="AA526" s="36" t="s">
        <v>141</v>
      </c>
      <c r="AB526" s="36"/>
      <c r="AC526" s="36"/>
      <c r="AD526" s="36"/>
      <c r="AE526" s="36"/>
      <c r="AF526" s="36"/>
      <c r="AG526" s="36"/>
      <c r="AH526" s="36"/>
      <c r="AI526" s="36" t="s">
        <v>141</v>
      </c>
      <c r="AJ526" s="36" t="s">
        <v>141</v>
      </c>
      <c r="AK526" s="117"/>
      <c r="AL526" s="36"/>
      <c r="AM526" s="36"/>
      <c r="AN526" s="36"/>
      <c r="AO526" s="36"/>
      <c r="AP526" s="36"/>
      <c r="AQ526" s="36"/>
      <c r="AR526" s="36"/>
      <c r="AS526" s="36" t="s">
        <v>141</v>
      </c>
      <c r="AT526" s="36"/>
      <c r="AU526" s="36" t="s">
        <v>141</v>
      </c>
      <c r="AV526" s="36" t="s">
        <v>141</v>
      </c>
      <c r="AW526" s="117" t="s">
        <v>141</v>
      </c>
      <c r="AX526" s="117"/>
      <c r="AY526" s="36"/>
      <c r="AZ526" s="36"/>
      <c r="BA526" s="117"/>
      <c r="BB526" s="117"/>
      <c r="BC526" s="117"/>
      <c r="BD526" s="117" t="s">
        <v>141</v>
      </c>
      <c r="BE526" s="117"/>
      <c r="BF526" s="117"/>
      <c r="BG526" s="117"/>
      <c r="BH526" s="117" t="s">
        <v>141</v>
      </c>
      <c r="BI526" s="117"/>
      <c r="BJ526" s="117" t="s">
        <v>141</v>
      </c>
      <c r="BK526" s="117"/>
      <c r="BL526" s="117"/>
      <c r="BM526" s="117">
        <f t="shared" si="89"/>
        <v>9</v>
      </c>
      <c r="BN526" s="117">
        <f t="shared" si="90"/>
        <v>2</v>
      </c>
      <c r="BO526" s="117">
        <f t="shared" si="91"/>
        <v>2</v>
      </c>
      <c r="BP526" s="153">
        <f t="shared" si="92"/>
        <v>6</v>
      </c>
      <c r="BQ526" s="74" t="s">
        <v>178</v>
      </c>
      <c r="BR526" s="74"/>
    </row>
    <row r="527" spans="1:70" hidden="1">
      <c r="A527">
        <v>513</v>
      </c>
      <c r="B527" s="75">
        <v>45959.773634259262</v>
      </c>
      <c r="E527" s="7">
        <v>45960</v>
      </c>
      <c r="F527">
        <v>1068</v>
      </c>
      <c r="I527" s="10" t="s">
        <v>1812</v>
      </c>
      <c r="J527" s="69">
        <v>45960</v>
      </c>
      <c r="K527" s="97">
        <f t="shared" si="93"/>
        <v>10</v>
      </c>
      <c r="L527" s="97">
        <v>525</v>
      </c>
      <c r="O527" s="7" t="s">
        <v>449</v>
      </c>
      <c r="T527" t="s">
        <v>1813</v>
      </c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 t="s">
        <v>141</v>
      </c>
      <c r="AI527" s="36" t="s">
        <v>141</v>
      </c>
      <c r="AJ527" s="36" t="s">
        <v>141</v>
      </c>
      <c r="AK527" s="117"/>
      <c r="AL527" s="36"/>
      <c r="AM527" s="36"/>
      <c r="AN527" s="36"/>
      <c r="AO527" s="36" t="s">
        <v>141</v>
      </c>
      <c r="AP527" s="36"/>
      <c r="AQ527" s="36"/>
      <c r="AR527" s="36"/>
      <c r="AS527" s="36" t="s">
        <v>141</v>
      </c>
      <c r="AT527" s="36" t="s">
        <v>141</v>
      </c>
      <c r="AU527" s="36"/>
      <c r="AV527" s="36"/>
      <c r="AW527" s="117"/>
      <c r="AX527" s="117" t="s">
        <v>141</v>
      </c>
      <c r="AY527" s="36"/>
      <c r="AZ527" s="36"/>
      <c r="BA527" s="117"/>
      <c r="BB527" s="117" t="s">
        <v>141</v>
      </c>
      <c r="BC527" s="117"/>
      <c r="BD527" s="117"/>
      <c r="BE527" s="117"/>
      <c r="BF527" s="117"/>
      <c r="BG527" s="117"/>
      <c r="BH527" s="117"/>
      <c r="BI527" s="117"/>
      <c r="BJ527" s="117"/>
      <c r="BK527" s="117"/>
      <c r="BL527" s="117"/>
      <c r="BM527" s="117">
        <f t="shared" si="89"/>
        <v>8</v>
      </c>
      <c r="BN527" s="117">
        <f t="shared" si="90"/>
        <v>2</v>
      </c>
      <c r="BO527" s="117">
        <f t="shared" si="91"/>
        <v>0</v>
      </c>
      <c r="BP527" s="153">
        <f t="shared" si="92"/>
        <v>8</v>
      </c>
      <c r="BQ527" s="74" t="s">
        <v>1559</v>
      </c>
      <c r="BR527" s="74"/>
    </row>
    <row r="528" spans="1:70" hidden="1">
      <c r="A528">
        <v>514</v>
      </c>
      <c r="B528" s="75">
        <v>45959.939166666663</v>
      </c>
      <c r="E528" s="7">
        <v>45960</v>
      </c>
      <c r="F528">
        <v>1069</v>
      </c>
      <c r="I528" s="10" t="s">
        <v>1814</v>
      </c>
      <c r="J528" s="69">
        <v>45960</v>
      </c>
      <c r="K528" s="97">
        <f t="shared" si="93"/>
        <v>10</v>
      </c>
      <c r="L528" s="97">
        <v>526</v>
      </c>
      <c r="O528" s="7" t="s">
        <v>134</v>
      </c>
      <c r="T528" t="s">
        <v>1815</v>
      </c>
      <c r="X528" s="36"/>
      <c r="Y528" s="36"/>
      <c r="Z528" s="36"/>
      <c r="AA528" s="36" t="s">
        <v>141</v>
      </c>
      <c r="AB528" s="36"/>
      <c r="AC528" s="36"/>
      <c r="AD528" s="36"/>
      <c r="AE528" s="36" t="s">
        <v>141</v>
      </c>
      <c r="AF528" s="36"/>
      <c r="AG528" s="36"/>
      <c r="AH528" s="36" t="s">
        <v>141</v>
      </c>
      <c r="AI528" s="36" t="s">
        <v>141</v>
      </c>
      <c r="AJ528" s="36" t="s">
        <v>141</v>
      </c>
      <c r="AK528" s="117"/>
      <c r="AL528" s="36" t="s">
        <v>141</v>
      </c>
      <c r="AM528" s="36"/>
      <c r="AN528" s="36"/>
      <c r="AO528" s="36" t="s">
        <v>141</v>
      </c>
      <c r="AP528" s="36"/>
      <c r="AQ528" s="36"/>
      <c r="AR528" s="36"/>
      <c r="AS528" s="36" t="s">
        <v>141</v>
      </c>
      <c r="AT528" s="36" t="s">
        <v>141</v>
      </c>
      <c r="AU528" s="36"/>
      <c r="AV528" s="36" t="s">
        <v>141</v>
      </c>
      <c r="AW528" s="117"/>
      <c r="AX528" s="117"/>
      <c r="AY528" s="36"/>
      <c r="AZ528" s="36" t="s">
        <v>141</v>
      </c>
      <c r="BA528" s="117"/>
      <c r="BB528" s="117"/>
      <c r="BC528" s="117"/>
      <c r="BD528" s="117"/>
      <c r="BE528" s="117" t="s">
        <v>141</v>
      </c>
      <c r="BF528" s="117" t="s">
        <v>141</v>
      </c>
      <c r="BG528" s="117"/>
      <c r="BH528" s="117"/>
      <c r="BI528" s="117"/>
      <c r="BJ528" s="117"/>
      <c r="BK528" s="117"/>
      <c r="BL528" s="117"/>
      <c r="BM528" s="117">
        <f t="shared" si="89"/>
        <v>13</v>
      </c>
      <c r="BN528" s="117">
        <f t="shared" si="90"/>
        <v>2</v>
      </c>
      <c r="BO528" s="117">
        <f t="shared" si="91"/>
        <v>1</v>
      </c>
      <c r="BP528" s="153">
        <f t="shared" si="92"/>
        <v>10</v>
      </c>
      <c r="BQ528" s="74" t="s">
        <v>840</v>
      </c>
      <c r="BR528" s="74"/>
    </row>
    <row r="529" spans="1:70" hidden="1">
      <c r="A529">
        <v>515</v>
      </c>
      <c r="B529" s="75">
        <v>45960.849293981482</v>
      </c>
      <c r="E529" s="7">
        <v>45961</v>
      </c>
      <c r="F529">
        <v>1070</v>
      </c>
      <c r="I529" s="10" t="s">
        <v>1816</v>
      </c>
      <c r="J529" s="69">
        <v>45961</v>
      </c>
      <c r="K529" s="97">
        <f t="shared" ref="K529:K534" si="94">MONTH($J529)</f>
        <v>10</v>
      </c>
      <c r="L529" s="97">
        <v>527</v>
      </c>
      <c r="O529" s="7" t="s">
        <v>1250</v>
      </c>
      <c r="T529" t="s">
        <v>1486</v>
      </c>
      <c r="X529" s="36" t="s">
        <v>141</v>
      </c>
      <c r="Y529" s="36" t="s">
        <v>141</v>
      </c>
      <c r="Z529" s="36"/>
      <c r="AA529" s="36"/>
      <c r="AB529" s="36" t="s">
        <v>141</v>
      </c>
      <c r="AC529" s="36"/>
      <c r="AD529" s="36"/>
      <c r="AE529" s="36" t="s">
        <v>141</v>
      </c>
      <c r="AF529" s="36"/>
      <c r="AG529" s="36"/>
      <c r="AH529" s="36"/>
      <c r="AI529" s="36" t="s">
        <v>141</v>
      </c>
      <c r="AJ529" s="36"/>
      <c r="AK529" s="117"/>
      <c r="AL529" s="36" t="s">
        <v>141</v>
      </c>
      <c r="AM529" s="36" t="s">
        <v>141</v>
      </c>
      <c r="AN529" s="36"/>
      <c r="AO529" s="36"/>
      <c r="AP529" s="36"/>
      <c r="AQ529" s="36"/>
      <c r="AR529" s="36"/>
      <c r="AS529" s="36" t="s">
        <v>141</v>
      </c>
      <c r="AT529" s="36"/>
      <c r="AU529" s="36"/>
      <c r="AV529" s="36"/>
      <c r="AW529" s="117" t="s">
        <v>141</v>
      </c>
      <c r="AX529" s="117"/>
      <c r="AY529" s="36"/>
      <c r="AZ529" s="36"/>
      <c r="BA529" s="117"/>
      <c r="BB529" s="117" t="s">
        <v>141</v>
      </c>
      <c r="BC529" s="117"/>
      <c r="BD529" s="117"/>
      <c r="BE529" s="117"/>
      <c r="BF529" s="117"/>
      <c r="BG529" s="117"/>
      <c r="BH529" s="117"/>
      <c r="BI529" s="117"/>
      <c r="BJ529" s="117"/>
      <c r="BK529" s="117"/>
      <c r="BL529" s="117"/>
      <c r="BM529" s="117">
        <f t="shared" si="89"/>
        <v>10</v>
      </c>
      <c r="BN529" s="117">
        <f t="shared" si="90"/>
        <v>2</v>
      </c>
      <c r="BO529" s="117">
        <f t="shared" si="91"/>
        <v>3</v>
      </c>
      <c r="BP529" s="153">
        <f t="shared" si="92"/>
        <v>7</v>
      </c>
      <c r="BQ529" s="74" t="s">
        <v>152</v>
      </c>
      <c r="BR529" s="74"/>
    </row>
    <row r="530" spans="1:70" hidden="1">
      <c r="A530">
        <v>516</v>
      </c>
      <c r="B530" s="75">
        <v>45962.312222222223</v>
      </c>
      <c r="E530" s="7">
        <v>45962</v>
      </c>
      <c r="F530">
        <v>1071</v>
      </c>
      <c r="I530" s="10" t="s">
        <v>1817</v>
      </c>
      <c r="J530" s="69">
        <v>45962</v>
      </c>
      <c r="K530" s="97">
        <f t="shared" si="94"/>
        <v>11</v>
      </c>
      <c r="L530" s="97">
        <v>528</v>
      </c>
      <c r="O530" s="7" t="s">
        <v>146</v>
      </c>
      <c r="T530" t="s">
        <v>1818</v>
      </c>
      <c r="X530" s="36" t="s">
        <v>141</v>
      </c>
      <c r="Y530" s="36" t="s">
        <v>141</v>
      </c>
      <c r="Z530" s="36"/>
      <c r="AA530" s="36" t="s">
        <v>141</v>
      </c>
      <c r="AB530" s="36"/>
      <c r="AC530" s="36" t="s">
        <v>141</v>
      </c>
      <c r="AD530" s="36"/>
      <c r="AE530" s="36"/>
      <c r="AF530" s="36"/>
      <c r="AG530" s="36"/>
      <c r="AH530" s="36"/>
      <c r="AI530" s="36"/>
      <c r="AJ530" s="36" t="s">
        <v>141</v>
      </c>
      <c r="AK530" s="117" t="s">
        <v>141</v>
      </c>
      <c r="AL530" s="36" t="s">
        <v>141</v>
      </c>
      <c r="AM530" s="36" t="s">
        <v>141</v>
      </c>
      <c r="AN530" s="36"/>
      <c r="AO530" s="36"/>
      <c r="AP530" s="36" t="s">
        <v>141</v>
      </c>
      <c r="AQ530" s="36"/>
      <c r="AR530" s="36"/>
      <c r="AS530" s="36"/>
      <c r="AT530" s="36"/>
      <c r="AU530" s="36" t="s">
        <v>141</v>
      </c>
      <c r="AV530" s="36"/>
      <c r="AW530" s="117"/>
      <c r="AX530" s="117"/>
      <c r="AY530" s="36"/>
      <c r="AZ530" s="36" t="s">
        <v>141</v>
      </c>
      <c r="BA530" s="117"/>
      <c r="BB530" s="117"/>
      <c r="BC530" s="117"/>
      <c r="BD530" s="117"/>
      <c r="BE530" s="117"/>
      <c r="BF530" s="117"/>
      <c r="BG530" s="117"/>
      <c r="BH530" s="117" t="s">
        <v>141</v>
      </c>
      <c r="BI530" s="117"/>
      <c r="BJ530" s="117" t="s">
        <v>141</v>
      </c>
      <c r="BK530" s="117"/>
      <c r="BL530" s="117"/>
      <c r="BM530" s="117">
        <f t="shared" si="89"/>
        <v>11</v>
      </c>
      <c r="BN530" s="117">
        <f t="shared" si="90"/>
        <v>3</v>
      </c>
      <c r="BO530" s="117">
        <f t="shared" si="91"/>
        <v>4</v>
      </c>
      <c r="BP530" s="153">
        <f t="shared" si="92"/>
        <v>7</v>
      </c>
      <c r="BQ530" s="74" t="s">
        <v>547</v>
      </c>
      <c r="BR530" s="74"/>
    </row>
    <row r="531" spans="1:70" hidden="1">
      <c r="A531">
        <v>517</v>
      </c>
      <c r="B531" s="75">
        <v>45963.347349537034</v>
      </c>
      <c r="E531" s="7">
        <v>45963</v>
      </c>
      <c r="F531">
        <v>1072</v>
      </c>
      <c r="I531" s="10" t="s">
        <v>1819</v>
      </c>
      <c r="J531" s="69">
        <v>45963</v>
      </c>
      <c r="K531" s="97">
        <f t="shared" si="94"/>
        <v>11</v>
      </c>
      <c r="L531" s="97">
        <v>529</v>
      </c>
      <c r="O531" s="7" t="s">
        <v>146</v>
      </c>
      <c r="T531" t="s">
        <v>1820</v>
      </c>
      <c r="X531" s="36" t="s">
        <v>141</v>
      </c>
      <c r="Y531" s="36" t="s">
        <v>141</v>
      </c>
      <c r="Z531" s="36"/>
      <c r="AA531" s="36" t="s">
        <v>141</v>
      </c>
      <c r="AB531" s="36" t="s">
        <v>141</v>
      </c>
      <c r="AC531" s="36" t="s">
        <v>141</v>
      </c>
      <c r="AD531" s="36"/>
      <c r="AE531" s="36"/>
      <c r="AF531" s="36"/>
      <c r="AG531" s="36"/>
      <c r="AH531" s="36"/>
      <c r="AI531" s="36"/>
      <c r="AJ531" s="36" t="s">
        <v>141</v>
      </c>
      <c r="AK531" s="117" t="s">
        <v>141</v>
      </c>
      <c r="AL531" s="36"/>
      <c r="AM531" s="36"/>
      <c r="AN531" s="36"/>
      <c r="AO531" s="36"/>
      <c r="AP531" s="36" t="s">
        <v>141</v>
      </c>
      <c r="AQ531" s="36"/>
      <c r="AR531" s="36"/>
      <c r="AS531" s="36" t="s">
        <v>141</v>
      </c>
      <c r="AT531" s="36"/>
      <c r="AU531" s="36"/>
      <c r="AV531" s="36"/>
      <c r="AW531" s="117"/>
      <c r="AX531" s="117"/>
      <c r="AY531" s="36"/>
      <c r="AZ531" s="36"/>
      <c r="BA531" s="117" t="s">
        <v>141</v>
      </c>
      <c r="BB531" s="117"/>
      <c r="BC531" s="117" t="s">
        <v>141</v>
      </c>
      <c r="BD531" s="117"/>
      <c r="BE531" s="117"/>
      <c r="BF531" s="117"/>
      <c r="BG531" s="117"/>
      <c r="BH531" s="117" t="s">
        <v>141</v>
      </c>
      <c r="BI531" s="117" t="s">
        <v>141</v>
      </c>
      <c r="BJ531" s="117" t="s">
        <v>141</v>
      </c>
      <c r="BK531" s="117"/>
      <c r="BL531" s="117"/>
      <c r="BM531" s="117">
        <f t="shared" si="89"/>
        <v>11</v>
      </c>
      <c r="BN531" s="117">
        <f t="shared" si="90"/>
        <v>3</v>
      </c>
      <c r="BO531" s="117">
        <f t="shared" si="91"/>
        <v>5</v>
      </c>
      <c r="BP531" s="153">
        <f t="shared" si="92"/>
        <v>6</v>
      </c>
      <c r="BQ531" s="74" t="s">
        <v>308</v>
      </c>
      <c r="BR531" s="74"/>
    </row>
    <row r="532" spans="1:70" hidden="1">
      <c r="A532">
        <v>518</v>
      </c>
      <c r="B532" s="75">
        <v>45963.533379629633</v>
      </c>
      <c r="E532" s="7">
        <v>45964</v>
      </c>
      <c r="F532">
        <v>1073</v>
      </c>
      <c r="I532" s="10" t="s">
        <v>1821</v>
      </c>
      <c r="J532" s="69">
        <v>45964</v>
      </c>
      <c r="K532" s="97">
        <f t="shared" si="94"/>
        <v>11</v>
      </c>
      <c r="L532" s="97">
        <v>530</v>
      </c>
      <c r="O532" s="7" t="s">
        <v>156</v>
      </c>
      <c r="T532" t="s">
        <v>1822</v>
      </c>
      <c r="X532" s="36" t="s">
        <v>141</v>
      </c>
      <c r="Y532" s="36"/>
      <c r="Z532" s="36"/>
      <c r="AA532" s="36"/>
      <c r="AB532" s="36"/>
      <c r="AC532" s="36" t="s">
        <v>141</v>
      </c>
      <c r="AD532" s="36"/>
      <c r="AE532" s="36"/>
      <c r="AF532" s="36"/>
      <c r="AG532" s="36"/>
      <c r="AH532" s="36" t="s">
        <v>141</v>
      </c>
      <c r="AI532" s="36"/>
      <c r="AJ532" s="36" t="s">
        <v>141</v>
      </c>
      <c r="AK532" s="117"/>
      <c r="AL532" s="36" t="s">
        <v>141</v>
      </c>
      <c r="AM532" s="36"/>
      <c r="AN532" s="36"/>
      <c r="AO532" s="36"/>
      <c r="AP532" s="36" t="s">
        <v>141</v>
      </c>
      <c r="AQ532" s="36"/>
      <c r="AR532" s="36"/>
      <c r="AS532" s="36" t="s">
        <v>141</v>
      </c>
      <c r="AT532" s="36"/>
      <c r="AU532" s="36"/>
      <c r="AV532" s="36"/>
      <c r="AW532" s="117"/>
      <c r="AX532" s="117"/>
      <c r="AY532" s="36"/>
      <c r="AZ532" s="36"/>
      <c r="BA532" s="117" t="s">
        <v>141</v>
      </c>
      <c r="BB532" s="117"/>
      <c r="BC532" s="117"/>
      <c r="BD532" s="117"/>
      <c r="BE532" s="117"/>
      <c r="BF532" s="117"/>
      <c r="BG532" s="117"/>
      <c r="BH532" s="117" t="s">
        <v>141</v>
      </c>
      <c r="BI532" s="117"/>
      <c r="BJ532" s="117" t="s">
        <v>141</v>
      </c>
      <c r="BK532" s="117"/>
      <c r="BL532" s="117"/>
      <c r="BM532" s="117">
        <f t="shared" si="89"/>
        <v>8</v>
      </c>
      <c r="BN532" s="117">
        <f t="shared" si="90"/>
        <v>2</v>
      </c>
      <c r="BO532" s="117">
        <f t="shared" si="91"/>
        <v>2</v>
      </c>
      <c r="BP532" s="153">
        <f t="shared" si="92"/>
        <v>6</v>
      </c>
      <c r="BQ532" s="74" t="s">
        <v>152</v>
      </c>
      <c r="BR532" s="74"/>
    </row>
    <row r="533" spans="1:70" hidden="1">
      <c r="A533">
        <v>519</v>
      </c>
      <c r="B533" s="75">
        <v>45964.33084490741</v>
      </c>
      <c r="E533" s="7">
        <v>45964</v>
      </c>
      <c r="F533">
        <v>1074</v>
      </c>
      <c r="I533" s="10" t="s">
        <v>1823</v>
      </c>
      <c r="J533" s="69">
        <v>45964</v>
      </c>
      <c r="K533" s="97">
        <f t="shared" si="94"/>
        <v>11</v>
      </c>
      <c r="L533" s="97">
        <v>531</v>
      </c>
      <c r="O533" s="7" t="s">
        <v>254</v>
      </c>
      <c r="T533" t="s">
        <v>1824</v>
      </c>
      <c r="X533" s="36" t="s">
        <v>141</v>
      </c>
      <c r="Y533" s="36" t="s">
        <v>141</v>
      </c>
      <c r="Z533" s="36" t="s">
        <v>141</v>
      </c>
      <c r="AA533" s="36" t="s">
        <v>141</v>
      </c>
      <c r="AB533" s="36" t="s">
        <v>141</v>
      </c>
      <c r="AC533" s="36" t="s">
        <v>141</v>
      </c>
      <c r="AD533" s="36"/>
      <c r="AE533" s="36" t="s">
        <v>141</v>
      </c>
      <c r="AF533" s="36"/>
      <c r="AG533" s="36" t="s">
        <v>141</v>
      </c>
      <c r="AH533" s="36" t="s">
        <v>141</v>
      </c>
      <c r="AI533" s="36" t="s">
        <v>141</v>
      </c>
      <c r="AJ533" s="36" t="s">
        <v>141</v>
      </c>
      <c r="AK533" s="117" t="s">
        <v>141</v>
      </c>
      <c r="AL533" s="36" t="s">
        <v>141</v>
      </c>
      <c r="AM533" s="36"/>
      <c r="AN533" s="36" t="s">
        <v>141</v>
      </c>
      <c r="AO533" s="36"/>
      <c r="AP533" s="36" t="s">
        <v>141</v>
      </c>
      <c r="AQ533" s="36"/>
      <c r="AR533" s="36"/>
      <c r="AS533" s="36" t="s">
        <v>141</v>
      </c>
      <c r="AT533" s="36"/>
      <c r="AU533" s="36"/>
      <c r="AV533" s="36"/>
      <c r="AW533" s="117"/>
      <c r="AX533" s="117"/>
      <c r="AY533" s="36" t="s">
        <v>141</v>
      </c>
      <c r="AZ533" s="36" t="s">
        <v>141</v>
      </c>
      <c r="BA533" s="117" t="s">
        <v>141</v>
      </c>
      <c r="BB533" s="117" t="s">
        <v>141</v>
      </c>
      <c r="BC533" s="117" t="s">
        <v>141</v>
      </c>
      <c r="BD533" s="117"/>
      <c r="BE533" s="117"/>
      <c r="BF533" s="117"/>
      <c r="BG533" s="117"/>
      <c r="BH533" s="117" t="s">
        <v>141</v>
      </c>
      <c r="BI533" s="117" t="s">
        <v>141</v>
      </c>
      <c r="BJ533" s="117" t="s">
        <v>141</v>
      </c>
      <c r="BK533" s="117"/>
      <c r="BL533" s="117"/>
      <c r="BM533" s="117">
        <f t="shared" si="89"/>
        <v>21</v>
      </c>
      <c r="BN533" s="117">
        <f t="shared" si="90"/>
        <v>5</v>
      </c>
      <c r="BO533" s="117">
        <f t="shared" si="91"/>
        <v>6</v>
      </c>
      <c r="BP533" s="153">
        <f t="shared" si="92"/>
        <v>15</v>
      </c>
      <c r="BQ533" s="74" t="s">
        <v>208</v>
      </c>
      <c r="BR533" s="74"/>
    </row>
    <row r="534" spans="1:70" hidden="1">
      <c r="A534">
        <v>520</v>
      </c>
      <c r="B534" s="75">
        <v>45964.967418981483</v>
      </c>
      <c r="E534" s="7">
        <v>45964</v>
      </c>
      <c r="F534">
        <v>1075</v>
      </c>
      <c r="I534" s="10" t="s">
        <v>1825</v>
      </c>
      <c r="J534" s="69">
        <v>45965</v>
      </c>
      <c r="K534" s="97">
        <f t="shared" si="94"/>
        <v>11</v>
      </c>
      <c r="L534" s="97">
        <v>532</v>
      </c>
      <c r="O534" s="7" t="s">
        <v>197</v>
      </c>
      <c r="T534" t="s">
        <v>1826</v>
      </c>
      <c r="X534" s="36"/>
      <c r="Y534" s="36" t="s">
        <v>141</v>
      </c>
      <c r="Z534" s="36"/>
      <c r="AA534" s="36" t="s">
        <v>141</v>
      </c>
      <c r="AB534" s="36"/>
      <c r="AC534" s="36" t="s">
        <v>141</v>
      </c>
      <c r="AD534" s="36"/>
      <c r="AE534" s="36"/>
      <c r="AF534" s="36" t="s">
        <v>141</v>
      </c>
      <c r="AG534" s="36"/>
      <c r="AH534" s="36" t="s">
        <v>141</v>
      </c>
      <c r="AI534" s="36" t="s">
        <v>141</v>
      </c>
      <c r="AJ534" s="36" t="s">
        <v>141</v>
      </c>
      <c r="AK534" s="117" t="s">
        <v>141</v>
      </c>
      <c r="AL534" s="36"/>
      <c r="AM534" s="36"/>
      <c r="AN534" s="36"/>
      <c r="AO534" s="36"/>
      <c r="AP534" s="36"/>
      <c r="AQ534" s="36"/>
      <c r="AR534" s="36"/>
      <c r="AS534" s="36" t="s">
        <v>141</v>
      </c>
      <c r="AT534" s="36"/>
      <c r="AU534" s="36"/>
      <c r="AV534" s="36"/>
      <c r="AW534" s="117"/>
      <c r="AX534" s="117"/>
      <c r="AY534" s="36"/>
      <c r="AZ534" s="36"/>
      <c r="BA534" s="117"/>
      <c r="BB534" s="117"/>
      <c r="BC534" s="117"/>
      <c r="BD534" s="117"/>
      <c r="BE534" s="117"/>
      <c r="BF534" s="117"/>
      <c r="BG534" s="117"/>
      <c r="BH534" s="117" t="s">
        <v>141</v>
      </c>
      <c r="BI534" s="117"/>
      <c r="BJ534" s="117"/>
      <c r="BK534" s="117"/>
      <c r="BL534" s="117"/>
      <c r="BM534" s="117">
        <f t="shared" si="89"/>
        <v>9</v>
      </c>
      <c r="BN534" s="117">
        <f t="shared" si="90"/>
        <v>3</v>
      </c>
      <c r="BO534" s="117">
        <f t="shared" si="91"/>
        <v>3</v>
      </c>
      <c r="BP534" s="153">
        <f t="shared" si="92"/>
        <v>6</v>
      </c>
      <c r="BQ534" s="74" t="s">
        <v>502</v>
      </c>
      <c r="BR534" s="74"/>
    </row>
    <row r="535" spans="1:70" hidden="1">
      <c r="A535">
        <v>521</v>
      </c>
      <c r="B535" s="75">
        <v>45965.27447916667</v>
      </c>
      <c r="E535" s="7">
        <v>45965</v>
      </c>
      <c r="F535">
        <v>1076</v>
      </c>
      <c r="I535" s="10" t="s">
        <v>1827</v>
      </c>
      <c r="J535" s="69">
        <v>45965</v>
      </c>
      <c r="K535" s="97">
        <f t="shared" ref="K535:K550" si="95">MONTH($J535)</f>
        <v>11</v>
      </c>
      <c r="L535" s="97">
        <v>533</v>
      </c>
      <c r="O535" s="7" t="s">
        <v>234</v>
      </c>
      <c r="T535" t="s">
        <v>1828</v>
      </c>
      <c r="X535" s="36" t="s">
        <v>141</v>
      </c>
      <c r="Y535" s="36"/>
      <c r="Z535" s="36"/>
      <c r="AA535" s="36" t="s">
        <v>141</v>
      </c>
      <c r="AB535" s="36"/>
      <c r="AC535" s="36"/>
      <c r="AD535" s="36" t="s">
        <v>141</v>
      </c>
      <c r="AE535" s="36" t="s">
        <v>141</v>
      </c>
      <c r="AF535" s="36"/>
      <c r="AG535" s="36"/>
      <c r="AH535" s="36" t="s">
        <v>141</v>
      </c>
      <c r="AI535" s="36"/>
      <c r="AJ535" s="36"/>
      <c r="AK535" s="117"/>
      <c r="AL535" s="36" t="s">
        <v>141</v>
      </c>
      <c r="AM535" s="36"/>
      <c r="AN535" s="36" t="s">
        <v>141</v>
      </c>
      <c r="AO535" s="36"/>
      <c r="AP535" s="36"/>
      <c r="AQ535" s="36"/>
      <c r="AR535" s="36"/>
      <c r="AS535" s="36" t="s">
        <v>141</v>
      </c>
      <c r="AT535" s="36"/>
      <c r="AU535" s="36"/>
      <c r="AV535" s="36"/>
      <c r="AW535" s="117"/>
      <c r="AX535" s="117"/>
      <c r="AY535" s="36"/>
      <c r="AZ535" s="36" t="s">
        <v>141</v>
      </c>
      <c r="BA535" s="117" t="s">
        <v>141</v>
      </c>
      <c r="BB535" s="117"/>
      <c r="BC535" s="117"/>
      <c r="BD535" s="117"/>
      <c r="BE535" s="117"/>
      <c r="BF535" s="117"/>
      <c r="BG535" s="117"/>
      <c r="BH535" s="117" t="s">
        <v>141</v>
      </c>
      <c r="BI535" s="117" t="s">
        <v>141</v>
      </c>
      <c r="BJ535" s="117"/>
      <c r="BK535" s="117"/>
      <c r="BL535" s="117"/>
      <c r="BM535" s="117">
        <f t="shared" si="89"/>
        <v>10</v>
      </c>
      <c r="BN535" s="117">
        <f t="shared" si="90"/>
        <v>2</v>
      </c>
      <c r="BO535" s="117">
        <f t="shared" si="91"/>
        <v>3</v>
      </c>
      <c r="BP535" s="153">
        <f t="shared" si="92"/>
        <v>7</v>
      </c>
      <c r="BQ535" s="74" t="s">
        <v>1756</v>
      </c>
      <c r="BR535" s="74"/>
    </row>
    <row r="536" spans="1:70" hidden="1">
      <c r="A536">
        <v>522</v>
      </c>
      <c r="B536" s="75">
        <v>45965.342106481483</v>
      </c>
      <c r="E536" s="7">
        <v>45965</v>
      </c>
      <c r="F536">
        <v>1077</v>
      </c>
      <c r="I536" s="10" t="s">
        <v>1829</v>
      </c>
      <c r="J536" s="69">
        <v>45965</v>
      </c>
      <c r="K536" s="97">
        <f t="shared" si="95"/>
        <v>11</v>
      </c>
      <c r="L536" s="97">
        <v>534</v>
      </c>
      <c r="O536" s="7" t="s">
        <v>234</v>
      </c>
      <c r="T536" t="s">
        <v>1830</v>
      </c>
      <c r="X536" s="36" t="s">
        <v>141</v>
      </c>
      <c r="Y536" s="36" t="s">
        <v>141</v>
      </c>
      <c r="Z536" s="36" t="s">
        <v>141</v>
      </c>
      <c r="AA536" s="36" t="s">
        <v>141</v>
      </c>
      <c r="AB536" s="36"/>
      <c r="AC536" s="36" t="s">
        <v>141</v>
      </c>
      <c r="AD536" s="36" t="s">
        <v>141</v>
      </c>
      <c r="AE536" s="36" t="s">
        <v>141</v>
      </c>
      <c r="AF536" s="36"/>
      <c r="AG536" s="36"/>
      <c r="AH536" s="36" t="s">
        <v>141</v>
      </c>
      <c r="AI536" s="36"/>
      <c r="AJ536" s="36"/>
      <c r="AK536" s="117"/>
      <c r="AL536" s="36"/>
      <c r="AM536" s="36"/>
      <c r="AN536" s="36"/>
      <c r="AO536" s="36"/>
      <c r="AP536" s="36" t="s">
        <v>141</v>
      </c>
      <c r="AQ536" s="36"/>
      <c r="AR536" s="36"/>
      <c r="AS536" s="36" t="s">
        <v>141</v>
      </c>
      <c r="AT536" s="36"/>
      <c r="AU536" s="36"/>
      <c r="AV536" s="36"/>
      <c r="AW536" s="117"/>
      <c r="AX536" s="117"/>
      <c r="AY536" s="36" t="s">
        <v>141</v>
      </c>
      <c r="AZ536" s="36" t="s">
        <v>141</v>
      </c>
      <c r="BA536" s="117" t="s">
        <v>141</v>
      </c>
      <c r="BB536" s="117"/>
      <c r="BC536" s="117" t="s">
        <v>141</v>
      </c>
      <c r="BD536" s="117"/>
      <c r="BE536" s="117"/>
      <c r="BF536" s="117"/>
      <c r="BG536" s="117"/>
      <c r="BH536" s="117" t="s">
        <v>141</v>
      </c>
      <c r="BI536" s="117" t="s">
        <v>141</v>
      </c>
      <c r="BJ536" s="117"/>
      <c r="BK536" s="117"/>
      <c r="BL536" s="117"/>
      <c r="BM536" s="117">
        <f t="shared" si="89"/>
        <v>14</v>
      </c>
      <c r="BN536" s="117">
        <f t="shared" si="90"/>
        <v>1</v>
      </c>
      <c r="BO536" s="117">
        <f t="shared" si="91"/>
        <v>6</v>
      </c>
      <c r="BP536" s="153">
        <f t="shared" si="92"/>
        <v>8</v>
      </c>
      <c r="BQ536" s="74" t="s">
        <v>273</v>
      </c>
      <c r="BR536" s="74"/>
    </row>
    <row r="537" spans="1:70" hidden="1">
      <c r="A537">
        <v>523</v>
      </c>
      <c r="B537" s="75">
        <v>45965.906400462962</v>
      </c>
      <c r="E537" s="7">
        <v>45965</v>
      </c>
      <c r="F537">
        <v>1078</v>
      </c>
      <c r="I537" s="10" t="s">
        <v>1831</v>
      </c>
      <c r="J537" s="69">
        <v>45966</v>
      </c>
      <c r="K537" s="97">
        <f t="shared" si="95"/>
        <v>11</v>
      </c>
      <c r="L537" s="97">
        <v>535</v>
      </c>
      <c r="O537" s="7" t="s">
        <v>156</v>
      </c>
      <c r="T537" t="s">
        <v>1832</v>
      </c>
      <c r="X537" s="36"/>
      <c r="Y537" s="36" t="s">
        <v>141</v>
      </c>
      <c r="Z537" s="36"/>
      <c r="AA537" s="36" t="s">
        <v>141</v>
      </c>
      <c r="AB537" s="36"/>
      <c r="AC537" s="36"/>
      <c r="AD537" s="36" t="s">
        <v>141</v>
      </c>
      <c r="AE537" s="36"/>
      <c r="AF537" s="36"/>
      <c r="AG537" s="36"/>
      <c r="AH537" s="36" t="s">
        <v>141</v>
      </c>
      <c r="AI537" s="36" t="s">
        <v>141</v>
      </c>
      <c r="AJ537" s="36" t="s">
        <v>141</v>
      </c>
      <c r="AK537" s="117" t="s">
        <v>141</v>
      </c>
      <c r="AL537" s="36"/>
      <c r="AM537" s="36"/>
      <c r="AN537" s="36"/>
      <c r="AO537" s="36"/>
      <c r="AP537" s="36"/>
      <c r="AQ537" s="36"/>
      <c r="AR537" s="36"/>
      <c r="AS537" s="36" t="s">
        <v>141</v>
      </c>
      <c r="AT537" s="36"/>
      <c r="AU537" s="36"/>
      <c r="AV537" s="36"/>
      <c r="AW537" s="117"/>
      <c r="AX537" s="117"/>
      <c r="AY537" s="36" t="s">
        <v>141</v>
      </c>
      <c r="AZ537" s="36" t="s">
        <v>141</v>
      </c>
      <c r="BA537" s="117"/>
      <c r="BB537" s="117" t="s">
        <v>141</v>
      </c>
      <c r="BC537" s="117"/>
      <c r="BD537" s="117"/>
      <c r="BE537" s="117"/>
      <c r="BF537" s="117"/>
      <c r="BG537" s="117"/>
      <c r="BH537" s="117"/>
      <c r="BI537" s="117"/>
      <c r="BJ537" s="117"/>
      <c r="BK537" s="117"/>
      <c r="BL537" s="117"/>
      <c r="BM537" s="117">
        <f t="shared" si="89"/>
        <v>11</v>
      </c>
      <c r="BN537" s="117">
        <f t="shared" si="90"/>
        <v>3</v>
      </c>
      <c r="BO537" s="117">
        <f t="shared" si="91"/>
        <v>3</v>
      </c>
      <c r="BP537" s="153">
        <f t="shared" si="92"/>
        <v>8</v>
      </c>
      <c r="BQ537" s="74" t="s">
        <v>178</v>
      </c>
      <c r="BR537" s="74"/>
    </row>
    <row r="538" spans="1:70" hidden="1">
      <c r="A538">
        <v>524</v>
      </c>
      <c r="B538" s="75">
        <v>45966.061840277776</v>
      </c>
      <c r="E538" s="7">
        <v>45966</v>
      </c>
      <c r="F538">
        <v>1079</v>
      </c>
      <c r="I538" s="10" t="s">
        <v>1833</v>
      </c>
      <c r="J538" s="69">
        <v>45966</v>
      </c>
      <c r="K538" s="97">
        <f t="shared" si="95"/>
        <v>11</v>
      </c>
      <c r="L538" s="97">
        <v>536</v>
      </c>
      <c r="O538" s="7" t="s">
        <v>156</v>
      </c>
      <c r="T538" t="s">
        <v>1834</v>
      </c>
      <c r="X538" s="36"/>
      <c r="Y538" s="36" t="s">
        <v>141</v>
      </c>
      <c r="Z538" s="36"/>
      <c r="AA538" s="36" t="s">
        <v>141</v>
      </c>
      <c r="AB538" s="36"/>
      <c r="AC538" s="36"/>
      <c r="AD538" s="36"/>
      <c r="AE538" s="36"/>
      <c r="AF538" s="36"/>
      <c r="AG538" s="36"/>
      <c r="AH538" s="36" t="s">
        <v>141</v>
      </c>
      <c r="AI538" s="36" t="s">
        <v>141</v>
      </c>
      <c r="AJ538" s="36" t="s">
        <v>141</v>
      </c>
      <c r="AK538" s="117" t="s">
        <v>141</v>
      </c>
      <c r="AL538" s="36"/>
      <c r="AM538" s="36"/>
      <c r="AN538" s="36"/>
      <c r="AO538" s="36"/>
      <c r="AP538" s="36"/>
      <c r="AQ538" s="36"/>
      <c r="AR538" s="36"/>
      <c r="AS538" s="36" t="s">
        <v>141</v>
      </c>
      <c r="AT538" s="36"/>
      <c r="AU538" s="36"/>
      <c r="AV538" s="36"/>
      <c r="AW538" s="117"/>
      <c r="AX538" s="117"/>
      <c r="AY538" s="36"/>
      <c r="AZ538" s="36" t="s">
        <v>141</v>
      </c>
      <c r="BA538" s="117"/>
      <c r="BB538" s="117"/>
      <c r="BC538" s="117"/>
      <c r="BD538" s="117"/>
      <c r="BE538" s="117"/>
      <c r="BF538" s="117"/>
      <c r="BG538" s="117"/>
      <c r="BH538" s="117"/>
      <c r="BI538" s="117"/>
      <c r="BJ538" s="117"/>
      <c r="BK538" s="117"/>
      <c r="BL538" s="117"/>
      <c r="BM538" s="117">
        <f t="shared" si="89"/>
        <v>8</v>
      </c>
      <c r="BN538" s="117">
        <f t="shared" si="90"/>
        <v>3</v>
      </c>
      <c r="BO538" s="117">
        <f t="shared" si="91"/>
        <v>2</v>
      </c>
      <c r="BP538" s="153">
        <f t="shared" si="92"/>
        <v>6</v>
      </c>
      <c r="BQ538" s="74" t="s">
        <v>840</v>
      </c>
      <c r="BR538" s="74"/>
    </row>
    <row r="539" spans="1:70" hidden="1">
      <c r="A539">
        <v>525</v>
      </c>
      <c r="B539" s="75">
        <v>45966.781238425923</v>
      </c>
      <c r="E539" s="7">
        <v>45967</v>
      </c>
      <c r="F539">
        <v>1080</v>
      </c>
      <c r="I539" s="10" t="s">
        <v>1835</v>
      </c>
      <c r="J539" s="69">
        <v>45967</v>
      </c>
      <c r="K539" s="97">
        <f t="shared" si="95"/>
        <v>11</v>
      </c>
      <c r="L539" s="97">
        <v>537</v>
      </c>
      <c r="O539" s="7" t="s">
        <v>146</v>
      </c>
      <c r="T539" t="s">
        <v>1836</v>
      </c>
      <c r="X539" s="36"/>
      <c r="Y539" s="36" t="s">
        <v>141</v>
      </c>
      <c r="Z539" s="36"/>
      <c r="AA539" s="36"/>
      <c r="AB539" s="36"/>
      <c r="AC539" s="36" t="s">
        <v>141</v>
      </c>
      <c r="AD539" s="36" t="s">
        <v>141</v>
      </c>
      <c r="AE539" s="36" t="s">
        <v>141</v>
      </c>
      <c r="AF539" s="36"/>
      <c r="AG539" s="36"/>
      <c r="AH539" s="36" t="s">
        <v>141</v>
      </c>
      <c r="AI539" s="36" t="s">
        <v>141</v>
      </c>
      <c r="AJ539" s="36" t="s">
        <v>141</v>
      </c>
      <c r="AK539" s="117"/>
      <c r="AL539" s="36"/>
      <c r="AM539" s="36"/>
      <c r="AN539" s="36"/>
      <c r="AO539" s="36" t="s">
        <v>141</v>
      </c>
      <c r="AP539" s="36"/>
      <c r="AQ539" s="36"/>
      <c r="AR539" s="36"/>
      <c r="AS539" s="36" t="s">
        <v>141</v>
      </c>
      <c r="AT539" s="36"/>
      <c r="AU539" s="36"/>
      <c r="AV539" s="36"/>
      <c r="AW539" s="117"/>
      <c r="AX539" s="117"/>
      <c r="AY539" s="36"/>
      <c r="AZ539" s="36"/>
      <c r="BA539" s="117"/>
      <c r="BB539" s="117" t="s">
        <v>141</v>
      </c>
      <c r="BC539" s="117"/>
      <c r="BD539" s="117"/>
      <c r="BE539" s="117"/>
      <c r="BF539" s="117"/>
      <c r="BG539" s="117"/>
      <c r="BH539" s="117" t="s">
        <v>141</v>
      </c>
      <c r="BI539" s="117"/>
      <c r="BJ539" s="117"/>
      <c r="BK539" s="117"/>
      <c r="BL539" s="117"/>
      <c r="BM539" s="117">
        <f t="shared" si="89"/>
        <v>10</v>
      </c>
      <c r="BN539" s="117">
        <f t="shared" si="90"/>
        <v>2</v>
      </c>
      <c r="BO539" s="117">
        <f t="shared" si="91"/>
        <v>3</v>
      </c>
      <c r="BP539" s="153">
        <f t="shared" si="92"/>
        <v>7</v>
      </c>
      <c r="BQ539" s="74" t="s">
        <v>502</v>
      </c>
      <c r="BR539" s="74"/>
    </row>
    <row r="540" spans="1:70" hidden="1">
      <c r="A540">
        <v>526</v>
      </c>
      <c r="B540" s="75">
        <v>45966.900393518517</v>
      </c>
      <c r="E540" s="7">
        <v>45965</v>
      </c>
      <c r="F540">
        <v>1081</v>
      </c>
      <c r="I540" s="10" t="s">
        <v>1837</v>
      </c>
      <c r="J540" s="69">
        <v>45967</v>
      </c>
      <c r="K540" s="97">
        <f t="shared" si="95"/>
        <v>11</v>
      </c>
      <c r="L540" s="97">
        <v>538</v>
      </c>
      <c r="O540" s="7" t="s">
        <v>156</v>
      </c>
      <c r="T540" t="s">
        <v>1838</v>
      </c>
      <c r="X540" s="36"/>
      <c r="Y540" s="36" t="s">
        <v>141</v>
      </c>
      <c r="Z540" s="36"/>
      <c r="AA540" s="36" t="s">
        <v>141</v>
      </c>
      <c r="AB540" s="36"/>
      <c r="AC540" s="36"/>
      <c r="AD540" s="36" t="s">
        <v>141</v>
      </c>
      <c r="AE540" s="36" t="s">
        <v>141</v>
      </c>
      <c r="AF540" s="36" t="s">
        <v>141</v>
      </c>
      <c r="AG540" s="36"/>
      <c r="AH540" s="36" t="s">
        <v>141</v>
      </c>
      <c r="AI540" s="36"/>
      <c r="AJ540" s="36" t="s">
        <v>141</v>
      </c>
      <c r="AK540" s="117" t="s">
        <v>141</v>
      </c>
      <c r="AL540" s="36"/>
      <c r="AM540" s="36"/>
      <c r="AN540" s="36"/>
      <c r="AO540" s="36"/>
      <c r="AP540" s="36"/>
      <c r="AQ540" s="36"/>
      <c r="AR540" s="36"/>
      <c r="AS540" s="36" t="s">
        <v>141</v>
      </c>
      <c r="AT540" s="36"/>
      <c r="AU540" s="36"/>
      <c r="AV540" s="36"/>
      <c r="AW540" s="117"/>
      <c r="AX540" s="117"/>
      <c r="AY540" s="36" t="s">
        <v>141</v>
      </c>
      <c r="AZ540" s="36"/>
      <c r="BA540" s="117"/>
      <c r="BB540" s="117"/>
      <c r="BC540" s="117"/>
      <c r="BD540" s="117"/>
      <c r="BE540" s="117"/>
      <c r="BF540" s="117"/>
      <c r="BG540" s="117"/>
      <c r="BH540" s="117"/>
      <c r="BI540" s="117"/>
      <c r="BJ540" s="117"/>
      <c r="BK540" s="117"/>
      <c r="BL540" s="117"/>
      <c r="BM540" s="117">
        <f t="shared" si="89"/>
        <v>10</v>
      </c>
      <c r="BN540" s="117">
        <f t="shared" si="90"/>
        <v>3</v>
      </c>
      <c r="BO540" s="117">
        <f t="shared" si="91"/>
        <v>3</v>
      </c>
      <c r="BP540" s="153">
        <f t="shared" si="92"/>
        <v>7</v>
      </c>
      <c r="BQ540" s="74" t="s">
        <v>1734</v>
      </c>
      <c r="BR540" s="74"/>
    </row>
    <row r="541" spans="1:70" hidden="1">
      <c r="A541">
        <v>527</v>
      </c>
      <c r="B541" s="75">
        <v>45966.939166666663</v>
      </c>
      <c r="E541" s="7">
        <v>45967</v>
      </c>
      <c r="F541">
        <v>1082</v>
      </c>
      <c r="I541" s="10" t="s">
        <v>1839</v>
      </c>
      <c r="J541" s="69">
        <v>45967</v>
      </c>
      <c r="K541" s="97">
        <f t="shared" si="95"/>
        <v>11</v>
      </c>
      <c r="L541" s="97">
        <v>539</v>
      </c>
      <c r="O541" s="7" t="s">
        <v>146</v>
      </c>
      <c r="T541" t="s">
        <v>1840</v>
      </c>
      <c r="X541" s="36"/>
      <c r="Y541" s="36" t="s">
        <v>141</v>
      </c>
      <c r="Z541" s="36"/>
      <c r="AA541" s="36" t="s">
        <v>141</v>
      </c>
      <c r="AB541" s="36"/>
      <c r="AC541" s="36"/>
      <c r="AD541" s="36" t="s">
        <v>141</v>
      </c>
      <c r="AE541" s="36" t="s">
        <v>141</v>
      </c>
      <c r="AF541" s="36" t="s">
        <v>141</v>
      </c>
      <c r="AG541" s="36"/>
      <c r="AH541" s="36"/>
      <c r="AI541" s="36"/>
      <c r="AJ541" s="36" t="s">
        <v>141</v>
      </c>
      <c r="AK541" s="117"/>
      <c r="AL541" s="36"/>
      <c r="AM541" s="36"/>
      <c r="AN541" s="36"/>
      <c r="AO541" s="36" t="s">
        <v>141</v>
      </c>
      <c r="AP541" s="36"/>
      <c r="AQ541" s="36"/>
      <c r="AR541" s="36"/>
      <c r="AS541" s="36" t="s">
        <v>141</v>
      </c>
      <c r="AT541" s="36"/>
      <c r="AU541" s="36"/>
      <c r="AV541" s="36"/>
      <c r="AW541" s="117"/>
      <c r="AX541" s="117"/>
      <c r="AY541" s="36" t="s">
        <v>141</v>
      </c>
      <c r="AZ541" s="36"/>
      <c r="BA541" s="117"/>
      <c r="BB541" s="117"/>
      <c r="BC541" s="117"/>
      <c r="BD541" s="117"/>
      <c r="BE541" s="117"/>
      <c r="BF541" s="117"/>
      <c r="BG541" s="117"/>
      <c r="BH541" s="117"/>
      <c r="BI541" s="117"/>
      <c r="BJ541" s="117"/>
      <c r="BK541" s="117"/>
      <c r="BL541" s="117"/>
      <c r="BM541" s="117">
        <f t="shared" si="89"/>
        <v>9</v>
      </c>
      <c r="BN541" s="117">
        <f t="shared" si="90"/>
        <v>2</v>
      </c>
      <c r="BO541" s="117">
        <f t="shared" si="91"/>
        <v>3</v>
      </c>
      <c r="BP541" s="153">
        <f t="shared" si="92"/>
        <v>6</v>
      </c>
      <c r="BQ541" s="74" t="s">
        <v>178</v>
      </c>
      <c r="BR541" s="74"/>
    </row>
    <row r="542" spans="1:70" hidden="1">
      <c r="A542">
        <v>528</v>
      </c>
      <c r="B542" s="75">
        <v>45966.943668981483</v>
      </c>
      <c r="E542" s="7">
        <v>45967</v>
      </c>
      <c r="F542">
        <v>1083</v>
      </c>
      <c r="I542" s="10" t="s">
        <v>1841</v>
      </c>
      <c r="J542" s="69">
        <v>45967</v>
      </c>
      <c r="K542" s="97">
        <f t="shared" si="95"/>
        <v>11</v>
      </c>
      <c r="L542" s="97">
        <v>540</v>
      </c>
      <c r="O542" s="7" t="s">
        <v>156</v>
      </c>
      <c r="T542" t="s">
        <v>796</v>
      </c>
      <c r="X542" s="36"/>
      <c r="Y542" s="36"/>
      <c r="Z542" s="36"/>
      <c r="AA542" s="36" t="s">
        <v>141</v>
      </c>
      <c r="AB542" s="36"/>
      <c r="AC542" s="36"/>
      <c r="AD542" s="36" t="s">
        <v>141</v>
      </c>
      <c r="AE542" s="36" t="s">
        <v>141</v>
      </c>
      <c r="AF542" s="36" t="s">
        <v>141</v>
      </c>
      <c r="AG542" s="36"/>
      <c r="AH542" s="36"/>
      <c r="AI542" s="36"/>
      <c r="AJ542" s="36" t="s">
        <v>141</v>
      </c>
      <c r="AK542" s="117" t="s">
        <v>141</v>
      </c>
      <c r="AL542" s="36"/>
      <c r="AM542" s="36"/>
      <c r="AN542" s="36"/>
      <c r="AO542" s="36" t="s">
        <v>141</v>
      </c>
      <c r="AP542" s="36"/>
      <c r="AQ542" s="36"/>
      <c r="AR542" s="36"/>
      <c r="AS542" s="36" t="s">
        <v>141</v>
      </c>
      <c r="AT542" s="36"/>
      <c r="AU542" s="36"/>
      <c r="AV542" s="36"/>
      <c r="AW542" s="117"/>
      <c r="AX542" s="117"/>
      <c r="AY542" s="36"/>
      <c r="AZ542" s="36" t="s">
        <v>141</v>
      </c>
      <c r="BA542" s="117"/>
      <c r="BB542" s="117"/>
      <c r="BC542" s="117"/>
      <c r="BD542" s="117"/>
      <c r="BE542" s="117"/>
      <c r="BF542" s="117"/>
      <c r="BG542" s="117"/>
      <c r="BH542" s="117"/>
      <c r="BI542" s="117"/>
      <c r="BJ542" s="117"/>
      <c r="BK542" s="117"/>
      <c r="BL542" s="117"/>
      <c r="BM542" s="117">
        <f t="shared" si="89"/>
        <v>9</v>
      </c>
      <c r="BN542" s="117">
        <f t="shared" si="90"/>
        <v>3</v>
      </c>
      <c r="BO542" s="117">
        <f t="shared" si="91"/>
        <v>2</v>
      </c>
      <c r="BP542" s="153">
        <f t="shared" si="92"/>
        <v>7</v>
      </c>
      <c r="BQ542" s="74" t="s">
        <v>1033</v>
      </c>
      <c r="BR542" s="74"/>
    </row>
    <row r="543" spans="1:70" hidden="1">
      <c r="A543">
        <v>529</v>
      </c>
      <c r="B543" s="75">
        <v>45967.815451388888</v>
      </c>
      <c r="E543" s="7">
        <v>45968</v>
      </c>
      <c r="F543">
        <v>1084</v>
      </c>
      <c r="I543" s="10" t="s">
        <v>1842</v>
      </c>
      <c r="J543" s="69">
        <v>45968</v>
      </c>
      <c r="K543" s="97">
        <f t="shared" si="95"/>
        <v>11</v>
      </c>
      <c r="L543" s="97">
        <v>541</v>
      </c>
      <c r="O543" s="7" t="s">
        <v>134</v>
      </c>
      <c r="T543" t="s">
        <v>1843</v>
      </c>
      <c r="X543" s="36" t="s">
        <v>141</v>
      </c>
      <c r="Y543" s="36"/>
      <c r="Z543" s="36"/>
      <c r="AA543" s="36" t="s">
        <v>141</v>
      </c>
      <c r="AB543" s="36" t="s">
        <v>141</v>
      </c>
      <c r="AC543" s="36"/>
      <c r="AD543" s="36" t="s">
        <v>141</v>
      </c>
      <c r="AE543" s="36"/>
      <c r="AF543" s="36"/>
      <c r="AG543" s="36"/>
      <c r="AH543" s="36"/>
      <c r="AI543" s="36"/>
      <c r="AJ543" s="36" t="s">
        <v>141</v>
      </c>
      <c r="AK543" s="117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117"/>
      <c r="AX543" s="117"/>
      <c r="AY543" s="36"/>
      <c r="AZ543" s="36"/>
      <c r="BA543" s="117"/>
      <c r="BB543" s="117"/>
      <c r="BC543" s="117"/>
      <c r="BD543" s="117"/>
      <c r="BE543" s="117"/>
      <c r="BF543" s="117"/>
      <c r="BG543" s="117"/>
      <c r="BH543" s="117"/>
      <c r="BI543" s="117"/>
      <c r="BJ543" s="117"/>
      <c r="BK543" s="117"/>
      <c r="BL543" s="117"/>
      <c r="BM543" s="117">
        <f t="shared" si="89"/>
        <v>5</v>
      </c>
      <c r="BN543" s="117">
        <f t="shared" si="90"/>
        <v>1</v>
      </c>
      <c r="BO543" s="117">
        <f t="shared" si="91"/>
        <v>4</v>
      </c>
      <c r="BP543" s="153">
        <f t="shared" si="92"/>
        <v>1</v>
      </c>
      <c r="BQ543" s="74" t="s">
        <v>208</v>
      </c>
      <c r="BR543" s="74"/>
    </row>
    <row r="544" spans="1:70" hidden="1">
      <c r="A544">
        <v>530</v>
      </c>
      <c r="B544" s="75">
        <v>45967.943287037036</v>
      </c>
      <c r="E544" s="7">
        <v>45968</v>
      </c>
      <c r="F544">
        <v>1085</v>
      </c>
      <c r="I544" s="10" t="s">
        <v>1844</v>
      </c>
      <c r="J544" s="69">
        <v>45968</v>
      </c>
      <c r="K544" s="97">
        <f t="shared" si="95"/>
        <v>11</v>
      </c>
      <c r="L544" s="97">
        <v>542</v>
      </c>
      <c r="O544" s="7" t="s">
        <v>1845</v>
      </c>
      <c r="T544" t="s">
        <v>1846</v>
      </c>
      <c r="X544" s="36" t="s">
        <v>141</v>
      </c>
      <c r="Y544" s="36"/>
      <c r="Z544" s="36"/>
      <c r="AA544" s="36" t="s">
        <v>141</v>
      </c>
      <c r="AB544" s="36"/>
      <c r="AC544" s="36"/>
      <c r="AD544" s="36" t="s">
        <v>141</v>
      </c>
      <c r="AE544" s="36"/>
      <c r="AF544" s="36" t="s">
        <v>141</v>
      </c>
      <c r="AG544" s="36"/>
      <c r="AH544" s="36"/>
      <c r="AI544" s="36"/>
      <c r="AJ544" s="36" t="s">
        <v>141</v>
      </c>
      <c r="AK544" s="117"/>
      <c r="AL544" s="36"/>
      <c r="AM544" s="36"/>
      <c r="AN544" s="36"/>
      <c r="AO544" s="36"/>
      <c r="AP544" s="36"/>
      <c r="AQ544" s="36"/>
      <c r="AR544" s="36"/>
      <c r="AS544" s="36" t="s">
        <v>141</v>
      </c>
      <c r="AT544" s="36"/>
      <c r="AU544" s="36"/>
      <c r="AV544" s="36"/>
      <c r="AW544" s="117"/>
      <c r="AX544" s="117"/>
      <c r="AY544" s="36"/>
      <c r="AZ544" s="36"/>
      <c r="BA544" s="117"/>
      <c r="BB544" s="117"/>
      <c r="BC544" s="117"/>
      <c r="BD544" s="117"/>
      <c r="BE544" s="117"/>
      <c r="BF544" s="117"/>
      <c r="BG544" s="117"/>
      <c r="BH544" s="117"/>
      <c r="BI544" s="117"/>
      <c r="BJ544" s="117"/>
      <c r="BK544" s="117"/>
      <c r="BL544" s="117"/>
      <c r="BM544" s="117">
        <f t="shared" si="89"/>
        <v>6</v>
      </c>
      <c r="BN544" s="117">
        <f t="shared" si="90"/>
        <v>2</v>
      </c>
      <c r="BO544" s="117">
        <f t="shared" si="91"/>
        <v>3</v>
      </c>
      <c r="BP544" s="153">
        <f t="shared" si="92"/>
        <v>3</v>
      </c>
      <c r="BQ544" s="74" t="s">
        <v>308</v>
      </c>
      <c r="BR544" s="74"/>
    </row>
    <row r="545" spans="1:70" hidden="1">
      <c r="A545">
        <v>531</v>
      </c>
      <c r="B545" s="75">
        <v>45968.219571759262</v>
      </c>
      <c r="E545" s="7">
        <v>45968</v>
      </c>
      <c r="F545">
        <v>1086</v>
      </c>
      <c r="I545" s="10" t="s">
        <v>1847</v>
      </c>
      <c r="J545" s="69">
        <v>45968</v>
      </c>
      <c r="K545" s="97">
        <f t="shared" si="95"/>
        <v>11</v>
      </c>
      <c r="L545" s="97">
        <v>543</v>
      </c>
      <c r="O545" s="7" t="s">
        <v>134</v>
      </c>
      <c r="T545" t="s">
        <v>1848</v>
      </c>
      <c r="X545" s="36" t="s">
        <v>141</v>
      </c>
      <c r="Y545" s="36"/>
      <c r="Z545" s="36"/>
      <c r="AA545" s="36" t="s">
        <v>141</v>
      </c>
      <c r="AB545" s="36"/>
      <c r="AC545" s="36"/>
      <c r="AD545" s="36" t="s">
        <v>141</v>
      </c>
      <c r="AE545" s="36"/>
      <c r="AF545" s="36"/>
      <c r="AG545" s="36"/>
      <c r="AH545" s="36"/>
      <c r="AI545" s="36" t="s">
        <v>141</v>
      </c>
      <c r="AJ545" s="36" t="s">
        <v>141</v>
      </c>
      <c r="AK545" s="117"/>
      <c r="AL545" s="36"/>
      <c r="AM545" s="36"/>
      <c r="AN545" s="36"/>
      <c r="AO545" s="36"/>
      <c r="AP545" s="36"/>
      <c r="AQ545" s="36"/>
      <c r="AR545" s="36"/>
      <c r="AS545" s="36" t="s">
        <v>141</v>
      </c>
      <c r="AT545" s="36"/>
      <c r="AU545" s="36" t="s">
        <v>141</v>
      </c>
      <c r="AV545" s="36"/>
      <c r="AW545" s="117" t="s">
        <v>141</v>
      </c>
      <c r="AX545" s="117"/>
      <c r="AY545" s="36"/>
      <c r="AZ545" s="36" t="s">
        <v>141</v>
      </c>
      <c r="BA545" s="117" t="s">
        <v>141</v>
      </c>
      <c r="BB545" s="117"/>
      <c r="BC545" s="117" t="s">
        <v>141</v>
      </c>
      <c r="BD545" s="117"/>
      <c r="BE545" s="117"/>
      <c r="BF545" s="117"/>
      <c r="BG545" s="117"/>
      <c r="BH545" s="117" t="s">
        <v>141</v>
      </c>
      <c r="BI545" s="117" t="s">
        <v>141</v>
      </c>
      <c r="BJ545" s="117"/>
      <c r="BK545" s="117"/>
      <c r="BL545" s="117"/>
      <c r="BM545" s="117">
        <f t="shared" si="89"/>
        <v>11</v>
      </c>
      <c r="BN545" s="117">
        <f t="shared" si="90"/>
        <v>2</v>
      </c>
      <c r="BO545" s="117">
        <f t="shared" si="91"/>
        <v>3</v>
      </c>
      <c r="BP545" s="153">
        <f t="shared" si="92"/>
        <v>8</v>
      </c>
      <c r="BQ545" s="74" t="s">
        <v>178</v>
      </c>
      <c r="BR545" s="74"/>
    </row>
    <row r="546" spans="1:70" hidden="1">
      <c r="A546">
        <v>532</v>
      </c>
      <c r="B546" s="75">
        <v>45968.407743055555</v>
      </c>
      <c r="E546" s="7">
        <v>45968</v>
      </c>
      <c r="F546">
        <v>1087</v>
      </c>
      <c r="I546" s="10" t="s">
        <v>1849</v>
      </c>
      <c r="J546" s="69">
        <v>45968</v>
      </c>
      <c r="K546" s="97">
        <f t="shared" si="95"/>
        <v>11</v>
      </c>
      <c r="L546" s="97">
        <v>544</v>
      </c>
      <c r="O546" s="7" t="s">
        <v>197</v>
      </c>
      <c r="T546" t="s">
        <v>1850</v>
      </c>
      <c r="X546" s="36"/>
      <c r="Y546" s="36"/>
      <c r="Z546" s="36"/>
      <c r="AA546" s="36" t="s">
        <v>141</v>
      </c>
      <c r="AB546" s="36"/>
      <c r="AC546" s="36"/>
      <c r="AD546" s="36" t="s">
        <v>141</v>
      </c>
      <c r="AE546" s="36"/>
      <c r="AF546" s="36"/>
      <c r="AG546" s="36" t="s">
        <v>141</v>
      </c>
      <c r="AH546" s="36"/>
      <c r="AI546" s="36"/>
      <c r="AJ546" s="36" t="s">
        <v>141</v>
      </c>
      <c r="AK546" s="117"/>
      <c r="AL546" s="36" t="s">
        <v>141</v>
      </c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117"/>
      <c r="AX546" s="117"/>
      <c r="AY546" s="36"/>
      <c r="AZ546" s="36"/>
      <c r="BA546" s="117"/>
      <c r="BB546" s="117"/>
      <c r="BC546" s="117"/>
      <c r="BD546" s="117"/>
      <c r="BE546" s="117"/>
      <c r="BF546" s="117"/>
      <c r="BG546" s="117"/>
      <c r="BH546" s="117" t="s">
        <v>141</v>
      </c>
      <c r="BI546" s="117" t="s">
        <v>141</v>
      </c>
      <c r="BJ546" s="117"/>
      <c r="BK546" s="117"/>
      <c r="BL546" s="117"/>
      <c r="BM546" s="117">
        <f t="shared" si="89"/>
        <v>5</v>
      </c>
      <c r="BN546" s="117">
        <f t="shared" si="90"/>
        <v>2</v>
      </c>
      <c r="BO546" s="117">
        <f t="shared" si="91"/>
        <v>2</v>
      </c>
      <c r="BP546" s="153">
        <f t="shared" si="92"/>
        <v>3</v>
      </c>
      <c r="BQ546" s="74" t="s">
        <v>1033</v>
      </c>
      <c r="BR546" s="74"/>
    </row>
    <row r="547" spans="1:70" hidden="1">
      <c r="A547">
        <v>533</v>
      </c>
      <c r="B547" s="75">
        <v>45968.443657407406</v>
      </c>
      <c r="E547" s="7">
        <v>45968</v>
      </c>
      <c r="F547">
        <v>1088</v>
      </c>
      <c r="I547" s="10" t="s">
        <v>1851</v>
      </c>
      <c r="J547" s="69">
        <v>45968</v>
      </c>
      <c r="K547" s="97">
        <f t="shared" si="95"/>
        <v>11</v>
      </c>
      <c r="L547" s="97">
        <v>545</v>
      </c>
      <c r="O547" s="7" t="s">
        <v>1852</v>
      </c>
      <c r="T547" t="s">
        <v>1820</v>
      </c>
      <c r="X547" s="36"/>
      <c r="Y547" s="36"/>
      <c r="Z547" s="36"/>
      <c r="AA547" s="36" t="s">
        <v>141</v>
      </c>
      <c r="AB547" s="36"/>
      <c r="AC547" s="36"/>
      <c r="AD547" s="36" t="s">
        <v>141</v>
      </c>
      <c r="AE547" s="36"/>
      <c r="AF547" s="36"/>
      <c r="AG547" s="36" t="s">
        <v>141</v>
      </c>
      <c r="AH547" s="36"/>
      <c r="AI547" s="36"/>
      <c r="AJ547" s="36" t="s">
        <v>141</v>
      </c>
      <c r="AK547" s="117"/>
      <c r="AL547" s="36" t="s">
        <v>141</v>
      </c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117"/>
      <c r="AX547" s="117"/>
      <c r="AY547" s="36"/>
      <c r="AZ547" s="36"/>
      <c r="BA547" s="117"/>
      <c r="BB547" s="117"/>
      <c r="BC547" s="117"/>
      <c r="BD547" s="117"/>
      <c r="BE547" s="117"/>
      <c r="BF547" s="117"/>
      <c r="BG547" s="117"/>
      <c r="BH547" s="117" t="s">
        <v>141</v>
      </c>
      <c r="BI547" s="117" t="s">
        <v>141</v>
      </c>
      <c r="BJ547" s="117"/>
      <c r="BK547" s="117"/>
      <c r="BL547" s="117"/>
      <c r="BM547" s="117">
        <f t="shared" si="89"/>
        <v>5</v>
      </c>
      <c r="BN547" s="117">
        <f t="shared" si="90"/>
        <v>2</v>
      </c>
      <c r="BO547" s="117">
        <f t="shared" si="91"/>
        <v>2</v>
      </c>
      <c r="BP547" s="153">
        <f t="shared" si="92"/>
        <v>3</v>
      </c>
      <c r="BQ547" s="74" t="s">
        <v>1756</v>
      </c>
      <c r="BR547" s="74"/>
    </row>
    <row r="548" spans="1:70" hidden="1">
      <c r="A548">
        <v>534</v>
      </c>
      <c r="B548" s="75">
        <v>45968.652800925927</v>
      </c>
      <c r="E548" s="7">
        <v>45969</v>
      </c>
      <c r="F548">
        <v>1089</v>
      </c>
      <c r="I548" s="10" t="s">
        <v>1853</v>
      </c>
      <c r="J548" s="69">
        <v>45969</v>
      </c>
      <c r="K548" s="97">
        <f t="shared" si="95"/>
        <v>11</v>
      </c>
      <c r="L548" s="97">
        <v>546</v>
      </c>
      <c r="O548" s="7" t="s">
        <v>134</v>
      </c>
      <c r="T548" t="s">
        <v>1854</v>
      </c>
      <c r="X548" s="36"/>
      <c r="Y548" s="36"/>
      <c r="Z548" s="36"/>
      <c r="AA548" s="36" t="s">
        <v>141</v>
      </c>
      <c r="AB548" s="36"/>
      <c r="AC548" s="36"/>
      <c r="AD548" s="36" t="s">
        <v>141</v>
      </c>
      <c r="AE548" s="36"/>
      <c r="AF548" s="36"/>
      <c r="AG548" s="36"/>
      <c r="AH548" s="36"/>
      <c r="AI548" s="36"/>
      <c r="AJ548" s="36" t="s">
        <v>141</v>
      </c>
      <c r="AK548" s="117"/>
      <c r="AL548" s="36" t="s">
        <v>141</v>
      </c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117"/>
      <c r="AX548" s="117"/>
      <c r="AY548" s="36"/>
      <c r="AZ548" s="36"/>
      <c r="BA548" s="117" t="s">
        <v>141</v>
      </c>
      <c r="BB548" s="117"/>
      <c r="BC548" s="117"/>
      <c r="BD548" s="117"/>
      <c r="BE548" s="117"/>
      <c r="BF548" s="117"/>
      <c r="BG548" s="117"/>
      <c r="BH548" s="117" t="s">
        <v>141</v>
      </c>
      <c r="BI548" s="117" t="s">
        <v>141</v>
      </c>
      <c r="BJ548" s="117"/>
      <c r="BK548" s="117"/>
      <c r="BL548" s="117"/>
      <c r="BM548" s="117">
        <f t="shared" si="89"/>
        <v>5</v>
      </c>
      <c r="BN548" s="117">
        <f t="shared" si="90"/>
        <v>1</v>
      </c>
      <c r="BO548" s="117">
        <f t="shared" si="91"/>
        <v>2</v>
      </c>
      <c r="BP548" s="153">
        <f t="shared" si="92"/>
        <v>3</v>
      </c>
      <c r="BQ548" s="74" t="s">
        <v>1855</v>
      </c>
      <c r="BR548" s="74"/>
    </row>
    <row r="549" spans="1:70" hidden="1">
      <c r="A549">
        <v>535</v>
      </c>
      <c r="B549" s="75">
        <v>45968.694606481484</v>
      </c>
      <c r="E549" s="7">
        <v>45969</v>
      </c>
      <c r="F549">
        <v>1090</v>
      </c>
      <c r="I549" s="10" t="s">
        <v>1856</v>
      </c>
      <c r="J549" s="69">
        <v>45969</v>
      </c>
      <c r="K549" s="97">
        <f t="shared" si="95"/>
        <v>11</v>
      </c>
      <c r="L549" s="97">
        <v>547</v>
      </c>
      <c r="O549" s="7" t="s">
        <v>197</v>
      </c>
      <c r="T549" t="s">
        <v>1857</v>
      </c>
      <c r="X549" s="36" t="s">
        <v>141</v>
      </c>
      <c r="Y549" s="36"/>
      <c r="Z549" s="36" t="s">
        <v>141</v>
      </c>
      <c r="AA549" s="36" t="s">
        <v>141</v>
      </c>
      <c r="AB549" s="36"/>
      <c r="AC549" s="36"/>
      <c r="AD549" s="36" t="s">
        <v>141</v>
      </c>
      <c r="AE549" s="36"/>
      <c r="AF549" s="36"/>
      <c r="AG549" s="36"/>
      <c r="AH549" s="36"/>
      <c r="AI549" s="36" t="s">
        <v>141</v>
      </c>
      <c r="AJ549" s="36" t="s">
        <v>141</v>
      </c>
      <c r="AK549" s="117"/>
      <c r="AL549" s="36" t="s">
        <v>141</v>
      </c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117"/>
      <c r="AX549" s="117"/>
      <c r="AY549" s="36"/>
      <c r="AZ549" s="36"/>
      <c r="BA549" s="117" t="s">
        <v>141</v>
      </c>
      <c r="BB549" s="117"/>
      <c r="BC549" s="117"/>
      <c r="BD549" s="117"/>
      <c r="BE549" s="117"/>
      <c r="BF549" s="117"/>
      <c r="BG549" s="117"/>
      <c r="BH549" s="117" t="s">
        <v>141</v>
      </c>
      <c r="BI549" s="117" t="s">
        <v>141</v>
      </c>
      <c r="BJ549" s="117"/>
      <c r="BK549" s="117"/>
      <c r="BL549" s="117"/>
      <c r="BM549" s="117">
        <f t="shared" si="89"/>
        <v>8</v>
      </c>
      <c r="BN549" s="117">
        <f t="shared" si="90"/>
        <v>1</v>
      </c>
      <c r="BO549" s="117">
        <f t="shared" si="91"/>
        <v>4</v>
      </c>
      <c r="BP549" s="153">
        <f t="shared" si="92"/>
        <v>4</v>
      </c>
      <c r="BQ549" s="74" t="s">
        <v>1756</v>
      </c>
      <c r="BR549" s="74"/>
    </row>
    <row r="550" spans="1:70" hidden="1">
      <c r="A550">
        <v>536</v>
      </c>
      <c r="B550" s="75">
        <v>45969.956018518518</v>
      </c>
      <c r="E550" s="7">
        <v>45970</v>
      </c>
      <c r="F550">
        <v>1091</v>
      </c>
      <c r="I550" s="10" t="s">
        <v>1858</v>
      </c>
      <c r="J550" s="69">
        <v>45970</v>
      </c>
      <c r="K550" s="97">
        <f t="shared" si="95"/>
        <v>11</v>
      </c>
      <c r="L550" s="97">
        <v>548</v>
      </c>
      <c r="O550" s="7" t="s">
        <v>156</v>
      </c>
      <c r="T550" t="s">
        <v>1859</v>
      </c>
      <c r="X550" s="36" t="s">
        <v>141</v>
      </c>
      <c r="Y550" s="36"/>
      <c r="Z550" s="36" t="s">
        <v>141</v>
      </c>
      <c r="AA550" s="36"/>
      <c r="AB550" s="36"/>
      <c r="AC550" s="36"/>
      <c r="AD550" s="36"/>
      <c r="AE550" s="36"/>
      <c r="AF550" s="36"/>
      <c r="AG550" s="36"/>
      <c r="AH550" s="36"/>
      <c r="AI550" s="36"/>
      <c r="AJ550" s="36" t="s">
        <v>141</v>
      </c>
      <c r="AK550" s="117" t="s">
        <v>141</v>
      </c>
      <c r="AL550" s="36" t="s">
        <v>141</v>
      </c>
      <c r="AM550" s="36" t="s">
        <v>141</v>
      </c>
      <c r="AN550" s="36"/>
      <c r="AO550" s="36"/>
      <c r="AP550" s="36"/>
      <c r="AQ550" s="36"/>
      <c r="AR550" s="36" t="s">
        <v>141</v>
      </c>
      <c r="AS550" s="36"/>
      <c r="AT550" s="36"/>
      <c r="AU550" s="36"/>
      <c r="AV550" s="36" t="s">
        <v>141</v>
      </c>
      <c r="AW550" s="117"/>
      <c r="AX550" s="117"/>
      <c r="AY550" s="36"/>
      <c r="AZ550" s="36" t="s">
        <v>141</v>
      </c>
      <c r="BA550" s="117" t="s">
        <v>141</v>
      </c>
      <c r="BB550" s="117"/>
      <c r="BC550" s="117"/>
      <c r="BD550" s="117"/>
      <c r="BE550" s="117" t="s">
        <v>141</v>
      </c>
      <c r="BF550" s="117"/>
      <c r="BG550" s="117"/>
      <c r="BH550" s="117" t="s">
        <v>141</v>
      </c>
      <c r="BI550" s="117" t="s">
        <v>141</v>
      </c>
      <c r="BJ550" s="117" t="s">
        <v>141</v>
      </c>
      <c r="BK550" s="117"/>
      <c r="BL550" s="117"/>
      <c r="BM550" s="117">
        <f t="shared" si="89"/>
        <v>11</v>
      </c>
      <c r="BN550" s="117">
        <f t="shared" si="90"/>
        <v>4</v>
      </c>
      <c r="BO550" s="117">
        <f t="shared" si="91"/>
        <v>2</v>
      </c>
      <c r="BP550" s="153">
        <f t="shared" si="92"/>
        <v>8</v>
      </c>
      <c r="BQ550" s="74" t="s">
        <v>171</v>
      </c>
      <c r="BR550" s="74"/>
    </row>
    <row r="551" spans="1:70" hidden="1">
      <c r="A551">
        <v>537</v>
      </c>
      <c r="B551" s="75">
        <v>45970.842986111114</v>
      </c>
      <c r="E551" s="7">
        <v>45971</v>
      </c>
      <c r="F551">
        <v>1092</v>
      </c>
      <c r="I551" s="10" t="s">
        <v>1860</v>
      </c>
      <c r="J551" s="69">
        <v>45971</v>
      </c>
      <c r="K551" s="97">
        <f t="shared" ref="K551:K556" si="96">MONTH($J551)</f>
        <v>11</v>
      </c>
      <c r="L551" s="97">
        <v>549</v>
      </c>
      <c r="O551" s="7" t="s">
        <v>156</v>
      </c>
      <c r="T551" t="s">
        <v>1861</v>
      </c>
      <c r="X551" s="36"/>
      <c r="Y551" s="36" t="s">
        <v>141</v>
      </c>
      <c r="Z551" s="36"/>
      <c r="AA551" s="36" t="s">
        <v>141</v>
      </c>
      <c r="AB551" s="36"/>
      <c r="AC551" s="36"/>
      <c r="AD551" s="36"/>
      <c r="AE551" s="36"/>
      <c r="AF551" s="36"/>
      <c r="AG551" s="36"/>
      <c r="AH551" s="36" t="s">
        <v>141</v>
      </c>
      <c r="AI551" s="36"/>
      <c r="AJ551" s="36" t="s">
        <v>141</v>
      </c>
      <c r="AK551" s="117"/>
      <c r="AL551" s="36"/>
      <c r="AM551" s="36" t="s">
        <v>141</v>
      </c>
      <c r="AN551" s="36" t="s">
        <v>141</v>
      </c>
      <c r="AO551" s="36" t="s">
        <v>141</v>
      </c>
      <c r="AP551" s="36"/>
      <c r="AQ551" s="36"/>
      <c r="AR551" s="36"/>
      <c r="AS551" s="36" t="s">
        <v>141</v>
      </c>
      <c r="AT551" s="36" t="s">
        <v>141</v>
      </c>
      <c r="AU551" s="36"/>
      <c r="AV551" s="36"/>
      <c r="AW551" s="117" t="s">
        <v>141</v>
      </c>
      <c r="AX551" s="117"/>
      <c r="AY551" s="36"/>
      <c r="AZ551" s="36"/>
      <c r="BA551" s="117"/>
      <c r="BB551" s="117"/>
      <c r="BC551" s="117"/>
      <c r="BD551" s="117"/>
      <c r="BE551" s="117"/>
      <c r="BF551" s="117"/>
      <c r="BG551" s="117"/>
      <c r="BH551" s="117"/>
      <c r="BI551" s="117"/>
      <c r="BJ551" s="117"/>
      <c r="BK551" s="117"/>
      <c r="BL551" s="117"/>
      <c r="BM551" s="117">
        <f t="shared" si="89"/>
        <v>10</v>
      </c>
      <c r="BN551" s="117">
        <f t="shared" si="90"/>
        <v>4</v>
      </c>
      <c r="BO551" s="117">
        <f t="shared" si="91"/>
        <v>2</v>
      </c>
      <c r="BP551" s="153">
        <f t="shared" si="92"/>
        <v>8</v>
      </c>
      <c r="BQ551" s="74" t="s">
        <v>152</v>
      </c>
      <c r="BR551" s="74"/>
    </row>
    <row r="552" spans="1:70" hidden="1">
      <c r="A552">
        <v>538</v>
      </c>
      <c r="B552" s="75">
        <v>45971.061203703706</v>
      </c>
      <c r="E552" s="7">
        <v>45969</v>
      </c>
      <c r="F552">
        <v>1093</v>
      </c>
      <c r="I552" s="10" t="s">
        <v>1862</v>
      </c>
      <c r="J552" s="69">
        <v>45971</v>
      </c>
      <c r="K552" s="97">
        <f t="shared" si="96"/>
        <v>11</v>
      </c>
      <c r="L552" s="97">
        <v>550</v>
      </c>
      <c r="O552" s="7" t="s">
        <v>156</v>
      </c>
      <c r="T552" t="s">
        <v>1051</v>
      </c>
      <c r="X552" s="36"/>
      <c r="Y552" s="36" t="s">
        <v>141</v>
      </c>
      <c r="Z552" s="36"/>
      <c r="AA552" s="36" t="s">
        <v>141</v>
      </c>
      <c r="AB552" s="36"/>
      <c r="AC552" s="36"/>
      <c r="AD552" s="36"/>
      <c r="AE552" s="36" t="s">
        <v>141</v>
      </c>
      <c r="AF552" s="36"/>
      <c r="AG552" s="36"/>
      <c r="AH552" s="36" t="s">
        <v>141</v>
      </c>
      <c r="AI552" s="36"/>
      <c r="AJ552" s="36" t="s">
        <v>141</v>
      </c>
      <c r="AK552" s="117"/>
      <c r="AL552" s="36"/>
      <c r="AM552" s="36" t="s">
        <v>141</v>
      </c>
      <c r="AN552" s="36"/>
      <c r="AO552" s="36"/>
      <c r="AP552" s="36"/>
      <c r="AQ552" s="36"/>
      <c r="AR552" s="36"/>
      <c r="AS552" s="36" t="s">
        <v>141</v>
      </c>
      <c r="AT552" s="36"/>
      <c r="AU552" s="36"/>
      <c r="AV552" s="36" t="s">
        <v>141</v>
      </c>
      <c r="AW552" s="117" t="s">
        <v>141</v>
      </c>
      <c r="AX552" s="117"/>
      <c r="AY552" s="36"/>
      <c r="AZ552" s="36"/>
      <c r="BA552" s="117"/>
      <c r="BB552" s="117"/>
      <c r="BC552" s="117"/>
      <c r="BD552" s="117"/>
      <c r="BE552" s="117"/>
      <c r="BF552" s="117"/>
      <c r="BG552" s="117"/>
      <c r="BH552" s="117"/>
      <c r="BI552" s="117"/>
      <c r="BJ552" s="117"/>
      <c r="BK552" s="117"/>
      <c r="BL552" s="117"/>
      <c r="BM552" s="117">
        <f t="shared" si="89"/>
        <v>9</v>
      </c>
      <c r="BN552" s="117">
        <f t="shared" si="90"/>
        <v>3</v>
      </c>
      <c r="BO552" s="117">
        <f t="shared" si="91"/>
        <v>2</v>
      </c>
      <c r="BP552" s="153">
        <f t="shared" si="92"/>
        <v>7</v>
      </c>
      <c r="BQ552" s="74" t="s">
        <v>215</v>
      </c>
      <c r="BR552" s="74"/>
    </row>
    <row r="553" spans="1:70" hidden="1">
      <c r="A553">
        <v>539</v>
      </c>
      <c r="B553" s="75">
        <v>45971.247534722221</v>
      </c>
      <c r="E553" s="7">
        <v>45971</v>
      </c>
      <c r="F553">
        <v>1094</v>
      </c>
      <c r="I553" s="10" t="s">
        <v>1863</v>
      </c>
      <c r="J553" s="69">
        <v>45971</v>
      </c>
      <c r="K553" s="97">
        <f t="shared" si="96"/>
        <v>11</v>
      </c>
      <c r="L553" s="97">
        <v>551</v>
      </c>
      <c r="O553" s="7" t="s">
        <v>156</v>
      </c>
      <c r="T553" t="s">
        <v>1864</v>
      </c>
      <c r="X553" s="36" t="s">
        <v>141</v>
      </c>
      <c r="Y553" s="36" t="s">
        <v>141</v>
      </c>
      <c r="Z553" s="36" t="s">
        <v>141</v>
      </c>
      <c r="AA553" s="36" t="s">
        <v>141</v>
      </c>
      <c r="AB553" s="36"/>
      <c r="AC553" s="36" t="s">
        <v>141</v>
      </c>
      <c r="AD553" s="36" t="s">
        <v>141</v>
      </c>
      <c r="AE553" s="36" t="s">
        <v>141</v>
      </c>
      <c r="AF553" s="36"/>
      <c r="AG553" s="36" t="s">
        <v>141</v>
      </c>
      <c r="AH553" s="36" t="s">
        <v>141</v>
      </c>
      <c r="AI553" s="36"/>
      <c r="AJ553" s="36" t="s">
        <v>141</v>
      </c>
      <c r="AK553" s="117"/>
      <c r="AL553" s="36" t="s">
        <v>141</v>
      </c>
      <c r="AM553" s="36" t="s">
        <v>141</v>
      </c>
      <c r="AN553" s="36"/>
      <c r="AO553" s="36"/>
      <c r="AP553" s="36" t="s">
        <v>141</v>
      </c>
      <c r="AQ553" s="36"/>
      <c r="AR553" s="36" t="s">
        <v>141</v>
      </c>
      <c r="AS553" s="36" t="s">
        <v>141</v>
      </c>
      <c r="AT553" s="36"/>
      <c r="AU553" s="36" t="s">
        <v>141</v>
      </c>
      <c r="AV553" s="36" t="s">
        <v>141</v>
      </c>
      <c r="AW553" s="117" t="s">
        <v>141</v>
      </c>
      <c r="AX553" s="117" t="s">
        <v>141</v>
      </c>
      <c r="AY553" s="36" t="s">
        <v>141</v>
      </c>
      <c r="AZ553" s="36" t="s">
        <v>141</v>
      </c>
      <c r="BA553" s="117" t="s">
        <v>141</v>
      </c>
      <c r="BB553" s="117"/>
      <c r="BC553" s="117" t="s">
        <v>141</v>
      </c>
      <c r="BD553" s="117" t="s">
        <v>141</v>
      </c>
      <c r="BE553" s="117"/>
      <c r="BF553" s="117" t="s">
        <v>141</v>
      </c>
      <c r="BG553" s="117"/>
      <c r="BH553" s="117" t="s">
        <v>141</v>
      </c>
      <c r="BI553" s="117"/>
      <c r="BJ553" s="117" t="s">
        <v>141</v>
      </c>
      <c r="BK553" s="117"/>
      <c r="BL553" s="117"/>
      <c r="BM553" s="117">
        <f t="shared" si="89"/>
        <v>25</v>
      </c>
      <c r="BN553" s="117">
        <f t="shared" si="90"/>
        <v>5</v>
      </c>
      <c r="BO553" s="117">
        <f t="shared" si="91"/>
        <v>6</v>
      </c>
      <c r="BP553" s="153">
        <f t="shared" si="92"/>
        <v>17</v>
      </c>
      <c r="BQ553" s="74" t="s">
        <v>1578</v>
      </c>
      <c r="BR553" s="74"/>
    </row>
    <row r="554" spans="1:70" hidden="1">
      <c r="A554">
        <v>540</v>
      </c>
      <c r="B554" s="75">
        <v>45971.348819444444</v>
      </c>
      <c r="E554" s="7">
        <v>45971</v>
      </c>
      <c r="F554">
        <v>1095</v>
      </c>
      <c r="I554" s="10" t="s">
        <v>1865</v>
      </c>
      <c r="J554" s="69">
        <v>45971</v>
      </c>
      <c r="K554" s="97">
        <f t="shared" si="96"/>
        <v>11</v>
      </c>
      <c r="L554" s="97">
        <v>552</v>
      </c>
      <c r="O554" s="7" t="s">
        <v>156</v>
      </c>
      <c r="T554" t="s">
        <v>1866</v>
      </c>
      <c r="X554" s="36"/>
      <c r="Y554" s="36" t="s">
        <v>141</v>
      </c>
      <c r="Z554" s="36" t="s">
        <v>141</v>
      </c>
      <c r="AA554" s="36" t="s">
        <v>141</v>
      </c>
      <c r="AB554" s="36"/>
      <c r="AC554" s="36" t="s">
        <v>141</v>
      </c>
      <c r="AD554" s="36" t="s">
        <v>141</v>
      </c>
      <c r="AE554" s="36" t="s">
        <v>141</v>
      </c>
      <c r="AF554" s="36" t="s">
        <v>141</v>
      </c>
      <c r="AG554" s="36" t="s">
        <v>141</v>
      </c>
      <c r="AH554" s="36" t="s">
        <v>141</v>
      </c>
      <c r="AI554" s="36"/>
      <c r="AJ554" s="36" t="s">
        <v>141</v>
      </c>
      <c r="AK554" s="117"/>
      <c r="AL554" s="36" t="s">
        <v>141</v>
      </c>
      <c r="AM554" s="36" t="s">
        <v>141</v>
      </c>
      <c r="AN554" s="36" t="s">
        <v>141</v>
      </c>
      <c r="AO554" s="36"/>
      <c r="AP554" s="36" t="s">
        <v>141</v>
      </c>
      <c r="AQ554" s="36"/>
      <c r="AR554" s="36" t="s">
        <v>141</v>
      </c>
      <c r="AS554" s="36" t="s">
        <v>141</v>
      </c>
      <c r="AT554" s="36"/>
      <c r="AU554" s="36" t="s">
        <v>141</v>
      </c>
      <c r="AV554" s="36" t="s">
        <v>141</v>
      </c>
      <c r="AW554" s="117" t="s">
        <v>141</v>
      </c>
      <c r="AX554" s="117" t="s">
        <v>141</v>
      </c>
      <c r="AY554" s="36" t="s">
        <v>141</v>
      </c>
      <c r="AZ554" s="36" t="s">
        <v>141</v>
      </c>
      <c r="BA554" s="117" t="s">
        <v>141</v>
      </c>
      <c r="BB554" s="117"/>
      <c r="BC554" s="117" t="s">
        <v>141</v>
      </c>
      <c r="BD554" s="117" t="s">
        <v>141</v>
      </c>
      <c r="BE554" s="117" t="s">
        <v>141</v>
      </c>
      <c r="BF554" s="117" t="s">
        <v>141</v>
      </c>
      <c r="BG554" s="117"/>
      <c r="BH554" s="117" t="s">
        <v>141</v>
      </c>
      <c r="BI554" s="117"/>
      <c r="BJ554" s="117"/>
      <c r="BK554" s="117"/>
      <c r="BL554" s="117"/>
      <c r="BM554" s="117">
        <f t="shared" si="89"/>
        <v>27</v>
      </c>
      <c r="BN554" s="117">
        <f t="shared" si="90"/>
        <v>6</v>
      </c>
      <c r="BO554" s="117">
        <f t="shared" si="91"/>
        <v>5</v>
      </c>
      <c r="BP554" s="153">
        <f t="shared" si="92"/>
        <v>19</v>
      </c>
      <c r="BQ554" s="74" t="s">
        <v>358</v>
      </c>
      <c r="BR554" s="74"/>
    </row>
    <row r="555" spans="1:70" hidden="1">
      <c r="A555">
        <v>541</v>
      </c>
      <c r="B555" s="75">
        <v>45972.100682870368</v>
      </c>
      <c r="E555" s="7">
        <v>45971</v>
      </c>
      <c r="F555">
        <v>1096</v>
      </c>
      <c r="I555" s="10" t="s">
        <v>1867</v>
      </c>
      <c r="J555" s="69">
        <v>45972</v>
      </c>
      <c r="K555" s="97">
        <f t="shared" si="96"/>
        <v>11</v>
      </c>
      <c r="L555" s="97">
        <v>553</v>
      </c>
      <c r="O555" s="7" t="s">
        <v>156</v>
      </c>
      <c r="T555" t="s">
        <v>1868</v>
      </c>
      <c r="X555" s="36"/>
      <c r="Y555" s="36"/>
      <c r="Z555" s="36"/>
      <c r="AA555" s="36"/>
      <c r="AB555" s="36"/>
      <c r="AC555" s="36"/>
      <c r="AD555" s="36"/>
      <c r="AE555" s="36" t="s">
        <v>141</v>
      </c>
      <c r="AF555" s="36" t="s">
        <v>141</v>
      </c>
      <c r="AG555" s="36"/>
      <c r="AH555" s="36" t="s">
        <v>141</v>
      </c>
      <c r="AI555" s="36" t="s">
        <v>141</v>
      </c>
      <c r="AJ555" s="36" t="s">
        <v>141</v>
      </c>
      <c r="AK555" s="117"/>
      <c r="AL555" s="36"/>
      <c r="AM555" s="36" t="s">
        <v>141</v>
      </c>
      <c r="AN555" s="36"/>
      <c r="AO555" s="36" t="s">
        <v>141</v>
      </c>
      <c r="AP555" s="36"/>
      <c r="AQ555" s="36"/>
      <c r="AR555" s="36"/>
      <c r="AS555" s="36"/>
      <c r="AT555" s="36"/>
      <c r="AU555" s="36"/>
      <c r="AV555" s="36"/>
      <c r="AW555" s="117"/>
      <c r="AX555" s="117"/>
      <c r="AY555" s="36"/>
      <c r="AZ555" s="36"/>
      <c r="BA555" s="117"/>
      <c r="BB555" s="117" t="s">
        <v>141</v>
      </c>
      <c r="BC555" s="117"/>
      <c r="BD555" s="117"/>
      <c r="BE555" s="117"/>
      <c r="BF555" s="117"/>
      <c r="BG555" s="117"/>
      <c r="BH555" s="117"/>
      <c r="BI555" s="117"/>
      <c r="BJ555" s="117"/>
      <c r="BK555" s="117"/>
      <c r="BL555" s="117"/>
      <c r="BM555" s="117">
        <f t="shared" si="89"/>
        <v>8</v>
      </c>
      <c r="BN555" s="117">
        <f t="shared" si="90"/>
        <v>2</v>
      </c>
      <c r="BO555" s="117">
        <f t="shared" si="91"/>
        <v>0</v>
      </c>
      <c r="BP555" s="153">
        <f t="shared" si="92"/>
        <v>8</v>
      </c>
      <c r="BQ555" s="74" t="s">
        <v>308</v>
      </c>
      <c r="BR555" s="74"/>
    </row>
    <row r="556" spans="1:70" hidden="1">
      <c r="A556">
        <v>542</v>
      </c>
      <c r="B556" s="75">
        <v>45972.148599537039</v>
      </c>
      <c r="E556" s="7">
        <v>45972</v>
      </c>
      <c r="F556">
        <v>1097</v>
      </c>
      <c r="I556" s="10" t="s">
        <v>1869</v>
      </c>
      <c r="J556" s="69">
        <v>45972</v>
      </c>
      <c r="K556" s="97">
        <f t="shared" si="96"/>
        <v>11</v>
      </c>
      <c r="L556" s="97">
        <v>554</v>
      </c>
      <c r="O556" s="7" t="s">
        <v>1870</v>
      </c>
      <c r="T556" t="s">
        <v>1871</v>
      </c>
      <c r="X556" s="36" t="s">
        <v>141</v>
      </c>
      <c r="Y556" s="36" t="s">
        <v>141</v>
      </c>
      <c r="Z556" s="36"/>
      <c r="AA556" s="36" t="s">
        <v>141</v>
      </c>
      <c r="AB556" s="36"/>
      <c r="AC556" s="36"/>
      <c r="AD556" s="36"/>
      <c r="AE556" s="36"/>
      <c r="AF556" s="36" t="s">
        <v>141</v>
      </c>
      <c r="AG556" s="36"/>
      <c r="AH556" s="36" t="s">
        <v>141</v>
      </c>
      <c r="AI556" s="36" t="s">
        <v>141</v>
      </c>
      <c r="AJ556" s="36" t="s">
        <v>141</v>
      </c>
      <c r="AK556" s="117"/>
      <c r="AL556" s="36"/>
      <c r="AM556" s="36" t="s">
        <v>141</v>
      </c>
      <c r="AN556" s="36"/>
      <c r="AO556" s="36"/>
      <c r="AP556" s="36" t="s">
        <v>141</v>
      </c>
      <c r="AQ556" s="36"/>
      <c r="AR556" s="36"/>
      <c r="AS556" s="36" t="s">
        <v>141</v>
      </c>
      <c r="AT556" s="36"/>
      <c r="AU556" s="36"/>
      <c r="AV556" s="36" t="s">
        <v>141</v>
      </c>
      <c r="AW556" s="117" t="s">
        <v>141</v>
      </c>
      <c r="AX556" s="117" t="s">
        <v>141</v>
      </c>
      <c r="AY556" s="36"/>
      <c r="AZ556" s="36"/>
      <c r="BA556" s="117"/>
      <c r="BB556" s="117"/>
      <c r="BC556" s="117" t="s">
        <v>141</v>
      </c>
      <c r="BD556" s="117" t="s">
        <v>141</v>
      </c>
      <c r="BE556" s="117"/>
      <c r="BF556" s="117"/>
      <c r="BG556" s="117"/>
      <c r="BH556" s="117"/>
      <c r="BI556" s="117"/>
      <c r="BJ556" s="117"/>
      <c r="BK556" s="117"/>
      <c r="BL556" s="117"/>
      <c r="BM556" s="117">
        <f t="shared" si="89"/>
        <v>15</v>
      </c>
      <c r="BN556" s="117">
        <f t="shared" si="90"/>
        <v>3</v>
      </c>
      <c r="BO556" s="117">
        <f t="shared" si="91"/>
        <v>3</v>
      </c>
      <c r="BP556" s="153">
        <f t="shared" si="92"/>
        <v>11</v>
      </c>
      <c r="BQ556" s="74" t="s">
        <v>1545</v>
      </c>
      <c r="BR556" s="74"/>
    </row>
    <row r="557" spans="1:70" hidden="1">
      <c r="A557">
        <v>543</v>
      </c>
      <c r="B557" s="75">
        <v>45972.334803240738</v>
      </c>
      <c r="E557" s="7">
        <v>45972</v>
      </c>
      <c r="F557">
        <v>1098</v>
      </c>
      <c r="I557" s="10" t="s">
        <v>1872</v>
      </c>
      <c r="J557" s="69">
        <v>45972</v>
      </c>
      <c r="K557" s="97">
        <f t="shared" ref="K557:K567" si="97">MONTH($J557)</f>
        <v>11</v>
      </c>
      <c r="L557" s="97">
        <v>555</v>
      </c>
      <c r="O557" s="7" t="s">
        <v>1496</v>
      </c>
      <c r="T557" t="s">
        <v>1873</v>
      </c>
      <c r="X557" s="36" t="s">
        <v>141</v>
      </c>
      <c r="Y557" s="36" t="s">
        <v>141</v>
      </c>
      <c r="Z557" s="36" t="s">
        <v>141</v>
      </c>
      <c r="AA557" s="36" t="s">
        <v>141</v>
      </c>
      <c r="AB557" s="36"/>
      <c r="AC557" s="36" t="s">
        <v>141</v>
      </c>
      <c r="AD557" s="36"/>
      <c r="AE557" s="36"/>
      <c r="AF557" s="36"/>
      <c r="AG557" s="36" t="s">
        <v>141</v>
      </c>
      <c r="AH557" s="36"/>
      <c r="AI557" s="36"/>
      <c r="AJ557" s="36" t="s">
        <v>141</v>
      </c>
      <c r="AK557" s="117"/>
      <c r="AL557" s="36"/>
      <c r="AM557" s="36" t="s">
        <v>141</v>
      </c>
      <c r="AN557" s="36" t="s">
        <v>141</v>
      </c>
      <c r="AO557" s="36"/>
      <c r="AP557" s="36" t="s">
        <v>141</v>
      </c>
      <c r="AQ557" s="36"/>
      <c r="AR557" s="36"/>
      <c r="AS557" s="36" t="s">
        <v>141</v>
      </c>
      <c r="AT557" s="36" t="s">
        <v>141</v>
      </c>
      <c r="AU557" s="36"/>
      <c r="AV557" s="36" t="s">
        <v>141</v>
      </c>
      <c r="AW557" s="117"/>
      <c r="AX557" s="117"/>
      <c r="AY557" s="36" t="s">
        <v>141</v>
      </c>
      <c r="AZ557" s="36"/>
      <c r="BA557" s="117"/>
      <c r="BB557" s="117"/>
      <c r="BC557" s="117"/>
      <c r="BD557" s="117" t="s">
        <v>141</v>
      </c>
      <c r="BE557" s="117" t="s">
        <v>141</v>
      </c>
      <c r="BF557" s="117" t="s">
        <v>141</v>
      </c>
      <c r="BG557" s="117"/>
      <c r="BH557" s="117" t="s">
        <v>141</v>
      </c>
      <c r="BI557" s="117"/>
      <c r="BJ557" s="117"/>
      <c r="BK557" s="117"/>
      <c r="BL557" s="117"/>
      <c r="BM557" s="117">
        <f t="shared" ref="BM557:BM567" si="98">COUNTIF($X557:$BF557, "I")</f>
        <v>17</v>
      </c>
      <c r="BN557" s="117">
        <f t="shared" ref="BN557:BN567" si="99">COUNTIFS($X557:$BF557, "I",$X$2:$BF$2, "DR" )</f>
        <v>5</v>
      </c>
      <c r="BO557" s="117">
        <f t="shared" ref="BO557:BO567" si="100">COUNTIFS($X557:$BF557, "I",$X$5:$BF$5, "OF" )</f>
        <v>5</v>
      </c>
      <c r="BP557" s="153">
        <f t="shared" ref="BP557:BP567" si="101">COUNTIFS($X557:$BF557, "I",$X$5:$BF$5, "FF" )</f>
        <v>9</v>
      </c>
      <c r="BQ557" s="74" t="s">
        <v>610</v>
      </c>
      <c r="BR557" s="74"/>
    </row>
    <row r="558" spans="1:70" hidden="1">
      <c r="A558">
        <v>544</v>
      </c>
      <c r="B558" s="75">
        <v>45973.434976851851</v>
      </c>
      <c r="E558" s="7">
        <v>45973</v>
      </c>
      <c r="F558">
        <v>1099</v>
      </c>
      <c r="I558" s="10" t="s">
        <v>1874</v>
      </c>
      <c r="J558" s="69">
        <v>45973</v>
      </c>
      <c r="K558" s="97">
        <f t="shared" si="97"/>
        <v>11</v>
      </c>
      <c r="L558" s="97">
        <v>556</v>
      </c>
      <c r="O558" s="7" t="s">
        <v>156</v>
      </c>
      <c r="T558" t="s">
        <v>1875</v>
      </c>
      <c r="X558" s="36" t="s">
        <v>141</v>
      </c>
      <c r="Y558" s="36"/>
      <c r="Z558" s="36"/>
      <c r="AA558" s="36"/>
      <c r="AB558" s="36"/>
      <c r="AC558" s="36"/>
      <c r="AD558" s="36"/>
      <c r="AE558" s="36" t="s">
        <v>141</v>
      </c>
      <c r="AF558" s="36"/>
      <c r="AG558" s="36"/>
      <c r="AH558" s="36" t="s">
        <v>141</v>
      </c>
      <c r="AI558" s="36"/>
      <c r="AJ558" s="36"/>
      <c r="AK558" s="117"/>
      <c r="AL558" s="36"/>
      <c r="AM558" s="36"/>
      <c r="AN558" s="36"/>
      <c r="AO558" s="36" t="s">
        <v>141</v>
      </c>
      <c r="AP558" s="36"/>
      <c r="AQ558" s="36"/>
      <c r="AR558" s="36"/>
      <c r="AS558" s="36" t="s">
        <v>141</v>
      </c>
      <c r="AT558" s="36"/>
      <c r="AU558" s="36"/>
      <c r="AV558" s="36" t="s">
        <v>141</v>
      </c>
      <c r="AW558" s="117" t="s">
        <v>141</v>
      </c>
      <c r="AX558" s="117"/>
      <c r="AY558" s="36" t="s">
        <v>141</v>
      </c>
      <c r="AZ558" s="36"/>
      <c r="BA558" s="117"/>
      <c r="BB558" s="117"/>
      <c r="BC558" s="117"/>
      <c r="BD558" s="117"/>
      <c r="BE558" s="117"/>
      <c r="BF558" s="117"/>
      <c r="BG558" s="117"/>
      <c r="BH558" s="117" t="s">
        <v>141</v>
      </c>
      <c r="BI558" s="117"/>
      <c r="BJ558" s="117" t="s">
        <v>141</v>
      </c>
      <c r="BK558" s="117"/>
      <c r="BL558" s="117"/>
      <c r="BM558" s="117">
        <f t="shared" si="98"/>
        <v>8</v>
      </c>
      <c r="BN558" s="117">
        <f t="shared" si="99"/>
        <v>1</v>
      </c>
      <c r="BO558" s="117">
        <f t="shared" si="100"/>
        <v>1</v>
      </c>
      <c r="BP558" s="153">
        <f t="shared" si="101"/>
        <v>7</v>
      </c>
      <c r="BQ558" s="74" t="s">
        <v>1876</v>
      </c>
      <c r="BR558" s="74"/>
    </row>
    <row r="559" spans="1:70" hidden="1">
      <c r="A559">
        <v>545</v>
      </c>
      <c r="B559" s="75">
        <v>45973.977511574078</v>
      </c>
      <c r="E559" s="7">
        <v>45972</v>
      </c>
      <c r="F559">
        <v>1100</v>
      </c>
      <c r="I559" s="10" t="s">
        <v>1877</v>
      </c>
      <c r="J559" s="69">
        <v>45974</v>
      </c>
      <c r="K559" s="97">
        <f t="shared" si="97"/>
        <v>11</v>
      </c>
      <c r="L559" s="97">
        <v>557</v>
      </c>
      <c r="O559" s="7" t="s">
        <v>134</v>
      </c>
      <c r="T559" t="s">
        <v>1878</v>
      </c>
      <c r="X559" s="36"/>
      <c r="Y559" s="36" t="s">
        <v>141</v>
      </c>
      <c r="Z559" s="36"/>
      <c r="AA559" s="36" t="s">
        <v>141</v>
      </c>
      <c r="AB559" s="36"/>
      <c r="AC559" s="36" t="s">
        <v>141</v>
      </c>
      <c r="AD559" s="36"/>
      <c r="AE559" s="36" t="s">
        <v>141</v>
      </c>
      <c r="AF559" s="36"/>
      <c r="AG559" s="36"/>
      <c r="AH559" s="36" t="s">
        <v>141</v>
      </c>
      <c r="AI559" s="36"/>
      <c r="AJ559" s="36" t="s">
        <v>141</v>
      </c>
      <c r="AK559" s="117"/>
      <c r="AL559" s="36"/>
      <c r="AM559" s="36" t="s">
        <v>141</v>
      </c>
      <c r="AN559" s="36"/>
      <c r="AO559" s="36"/>
      <c r="AP559" s="36"/>
      <c r="AQ559" s="36"/>
      <c r="AR559" s="36"/>
      <c r="AS559" s="36"/>
      <c r="AT559" s="36"/>
      <c r="AU559" s="36"/>
      <c r="AV559" s="36" t="s">
        <v>141</v>
      </c>
      <c r="AW559" s="117"/>
      <c r="AX559" s="117"/>
      <c r="AY559" s="36"/>
      <c r="AZ559" s="36" t="s">
        <v>141</v>
      </c>
      <c r="BA559" s="117"/>
      <c r="BB559" s="117"/>
      <c r="BC559" s="117"/>
      <c r="BD559" s="117"/>
      <c r="BE559" s="117"/>
      <c r="BF559" s="117" t="s">
        <v>141</v>
      </c>
      <c r="BG559" s="117"/>
      <c r="BH559" s="117"/>
      <c r="BI559" s="117"/>
      <c r="BJ559" s="117"/>
      <c r="BK559" s="117"/>
      <c r="BL559" s="117"/>
      <c r="BM559" s="117">
        <f t="shared" si="98"/>
        <v>10</v>
      </c>
      <c r="BN559" s="117">
        <f t="shared" si="99"/>
        <v>2</v>
      </c>
      <c r="BO559" s="117">
        <f t="shared" si="100"/>
        <v>3</v>
      </c>
      <c r="BP559" s="153">
        <f t="shared" si="101"/>
        <v>6</v>
      </c>
      <c r="BQ559" s="74" t="s">
        <v>1245</v>
      </c>
      <c r="BR559" s="74"/>
    </row>
    <row r="560" spans="1:70" hidden="1">
      <c r="A560">
        <v>546</v>
      </c>
      <c r="B560" s="75">
        <v>45974.289895833332</v>
      </c>
      <c r="E560" s="7">
        <v>45974</v>
      </c>
      <c r="F560">
        <v>1101</v>
      </c>
      <c r="I560" s="10" t="s">
        <v>1879</v>
      </c>
      <c r="J560" s="69">
        <v>45974</v>
      </c>
      <c r="K560" s="97">
        <f t="shared" si="97"/>
        <v>11</v>
      </c>
      <c r="L560" s="97">
        <v>558</v>
      </c>
      <c r="O560" s="7" t="s">
        <v>134</v>
      </c>
      <c r="T560" t="s">
        <v>1880</v>
      </c>
      <c r="X560" s="36" t="s">
        <v>141</v>
      </c>
      <c r="Y560" s="36" t="s">
        <v>141</v>
      </c>
      <c r="Z560" s="36"/>
      <c r="AA560" s="36" t="s">
        <v>141</v>
      </c>
      <c r="AB560" s="36"/>
      <c r="AC560" s="36" t="s">
        <v>141</v>
      </c>
      <c r="AD560" s="36"/>
      <c r="AE560" s="36" t="s">
        <v>141</v>
      </c>
      <c r="AF560" s="36"/>
      <c r="AG560" s="36"/>
      <c r="AH560" s="36"/>
      <c r="AI560" s="36"/>
      <c r="AJ560" s="36"/>
      <c r="AK560" s="117"/>
      <c r="AL560" s="36"/>
      <c r="AM560" s="36" t="s">
        <v>141</v>
      </c>
      <c r="AN560" s="36" t="s">
        <v>141</v>
      </c>
      <c r="AO560" s="36" t="s">
        <v>141</v>
      </c>
      <c r="AP560" s="36"/>
      <c r="AQ560" s="36"/>
      <c r="AR560" s="36"/>
      <c r="AS560" s="36" t="s">
        <v>141</v>
      </c>
      <c r="AT560" s="36"/>
      <c r="AU560" s="36"/>
      <c r="AV560" s="36"/>
      <c r="AW560" s="117"/>
      <c r="AX560" s="117"/>
      <c r="AY560" s="36"/>
      <c r="AZ560" s="36"/>
      <c r="BA560" s="117" t="s">
        <v>141</v>
      </c>
      <c r="BB560" s="117"/>
      <c r="BC560" s="117"/>
      <c r="BD560" s="117" t="s">
        <v>141</v>
      </c>
      <c r="BE560" s="117"/>
      <c r="BF560" s="117"/>
      <c r="BG560" s="117"/>
      <c r="BH560" s="117" t="s">
        <v>141</v>
      </c>
      <c r="BI560" s="117"/>
      <c r="BJ560" s="117" t="s">
        <v>141</v>
      </c>
      <c r="BK560" s="117"/>
      <c r="BL560" s="117"/>
      <c r="BM560" s="117">
        <f t="shared" si="98"/>
        <v>11</v>
      </c>
      <c r="BN560" s="117">
        <f t="shared" si="99"/>
        <v>3</v>
      </c>
      <c r="BO560" s="117">
        <f t="shared" si="100"/>
        <v>4</v>
      </c>
      <c r="BP560" s="153">
        <f t="shared" si="101"/>
        <v>6</v>
      </c>
      <c r="BQ560" s="74" t="s">
        <v>639</v>
      </c>
      <c r="BR560" s="74"/>
    </row>
    <row r="561" spans="1:70" hidden="1">
      <c r="A561">
        <v>547</v>
      </c>
      <c r="B561" s="75">
        <v>45974.458969907406</v>
      </c>
      <c r="E561" s="7">
        <v>45974</v>
      </c>
      <c r="F561">
        <v>1102</v>
      </c>
      <c r="I561" s="10" t="s">
        <v>1881</v>
      </c>
      <c r="J561" s="69">
        <v>45975</v>
      </c>
      <c r="K561" s="97">
        <f t="shared" si="97"/>
        <v>11</v>
      </c>
      <c r="L561" s="97">
        <v>559</v>
      </c>
      <c r="O561" s="7" t="s">
        <v>156</v>
      </c>
      <c r="T561" t="s">
        <v>1882</v>
      </c>
      <c r="X561" s="36"/>
      <c r="Y561" s="36"/>
      <c r="Z561" s="36"/>
      <c r="AA561" s="36"/>
      <c r="AB561" s="36"/>
      <c r="AC561" s="36" t="s">
        <v>141</v>
      </c>
      <c r="AD561" s="36"/>
      <c r="AE561" s="36" t="s">
        <v>141</v>
      </c>
      <c r="AF561" s="36"/>
      <c r="AG561" s="36"/>
      <c r="AH561" s="36" t="s">
        <v>141</v>
      </c>
      <c r="AI561" s="36"/>
      <c r="AJ561" s="36"/>
      <c r="AK561" s="117"/>
      <c r="AL561" s="36"/>
      <c r="AM561" s="36"/>
      <c r="AN561" s="36"/>
      <c r="AO561" s="36" t="s">
        <v>141</v>
      </c>
      <c r="AP561" s="36"/>
      <c r="AQ561" s="36"/>
      <c r="AR561" s="36"/>
      <c r="AS561" s="36" t="s">
        <v>141</v>
      </c>
      <c r="AT561" s="36"/>
      <c r="AU561" s="36"/>
      <c r="AV561" s="36" t="s">
        <v>141</v>
      </c>
      <c r="AW561" s="117"/>
      <c r="AX561" s="117"/>
      <c r="AY561" s="36"/>
      <c r="AZ561" s="36"/>
      <c r="BA561" s="117"/>
      <c r="BB561" s="117"/>
      <c r="BC561" s="117"/>
      <c r="BD561" s="117"/>
      <c r="BE561" s="117"/>
      <c r="BF561" s="117"/>
      <c r="BG561" s="117"/>
      <c r="BH561" s="117" t="s">
        <v>141</v>
      </c>
      <c r="BI561" s="117" t="s">
        <v>141</v>
      </c>
      <c r="BJ561" s="117" t="s">
        <v>141</v>
      </c>
      <c r="BK561" s="117"/>
      <c r="BL561" s="117"/>
      <c r="BM561" s="117">
        <f t="shared" si="98"/>
        <v>6</v>
      </c>
      <c r="BN561" s="117">
        <f t="shared" si="99"/>
        <v>1</v>
      </c>
      <c r="BO561" s="117">
        <f t="shared" si="100"/>
        <v>1</v>
      </c>
      <c r="BP561" s="153">
        <f t="shared" si="101"/>
        <v>5</v>
      </c>
      <c r="BQ561" s="74" t="s">
        <v>330</v>
      </c>
      <c r="BR561" s="74"/>
    </row>
    <row r="562" spans="1:70" hidden="1">
      <c r="A562">
        <v>548</v>
      </c>
      <c r="B562" s="75">
        <v>45974.805277777778</v>
      </c>
      <c r="E562" s="7">
        <v>45975</v>
      </c>
      <c r="F562">
        <v>1103</v>
      </c>
      <c r="I562" s="10" t="s">
        <v>1883</v>
      </c>
      <c r="J562" s="69">
        <v>45975</v>
      </c>
      <c r="K562" s="97">
        <f t="shared" si="97"/>
        <v>11</v>
      </c>
      <c r="L562" s="97">
        <v>560</v>
      </c>
      <c r="O562" s="7" t="s">
        <v>156</v>
      </c>
      <c r="T562" t="s">
        <v>471</v>
      </c>
      <c r="X562" s="36" t="s">
        <v>141</v>
      </c>
      <c r="Y562" s="36" t="s">
        <v>141</v>
      </c>
      <c r="Z562" s="36"/>
      <c r="AA562" s="36" t="s">
        <v>141</v>
      </c>
      <c r="AB562" s="36"/>
      <c r="AC562" s="36"/>
      <c r="AD562" s="36"/>
      <c r="AE562" s="36"/>
      <c r="AF562" s="36"/>
      <c r="AG562" s="36"/>
      <c r="AH562" s="36" t="s">
        <v>141</v>
      </c>
      <c r="AI562" s="36"/>
      <c r="AJ562" s="36" t="s">
        <v>141</v>
      </c>
      <c r="AK562" s="117" t="s">
        <v>141</v>
      </c>
      <c r="AL562" s="36"/>
      <c r="AM562" s="36"/>
      <c r="AN562" s="36" t="s">
        <v>141</v>
      </c>
      <c r="AO562" s="36"/>
      <c r="AP562" s="36"/>
      <c r="AQ562" s="36"/>
      <c r="AR562" s="36"/>
      <c r="AS562" s="36" t="s">
        <v>141</v>
      </c>
      <c r="AT562" s="36"/>
      <c r="AU562" s="36" t="s">
        <v>141</v>
      </c>
      <c r="AV562" s="36"/>
      <c r="AW562" s="117" t="s">
        <v>141</v>
      </c>
      <c r="AX562" s="117"/>
      <c r="AY562" s="36"/>
      <c r="AZ562" s="36"/>
      <c r="BA562" s="117"/>
      <c r="BB562" s="117"/>
      <c r="BC562" s="117"/>
      <c r="BD562" s="117"/>
      <c r="BE562" s="117"/>
      <c r="BF562" s="117" t="s">
        <v>141</v>
      </c>
      <c r="BG562" s="117"/>
      <c r="BH562" s="117" t="s">
        <v>141</v>
      </c>
      <c r="BI562" s="117"/>
      <c r="BJ562" s="117"/>
      <c r="BK562" s="117"/>
      <c r="BL562" s="117"/>
      <c r="BM562" s="117">
        <f t="shared" si="98"/>
        <v>11</v>
      </c>
      <c r="BN562" s="117">
        <f t="shared" si="99"/>
        <v>4</v>
      </c>
      <c r="BO562" s="117">
        <f t="shared" si="100"/>
        <v>3</v>
      </c>
      <c r="BP562" s="153">
        <f t="shared" si="101"/>
        <v>7</v>
      </c>
      <c r="BQ562" s="74" t="s">
        <v>178</v>
      </c>
      <c r="BR562" s="74"/>
    </row>
    <row r="563" spans="1:70" hidden="1">
      <c r="A563">
        <v>549</v>
      </c>
      <c r="B563" s="75">
        <v>45974.946006944447</v>
      </c>
      <c r="E563" s="7">
        <v>45975</v>
      </c>
      <c r="F563">
        <v>1104</v>
      </c>
      <c r="I563" s="10" t="s">
        <v>1884</v>
      </c>
      <c r="J563" s="69">
        <v>45975</v>
      </c>
      <c r="K563" s="97">
        <f t="shared" si="97"/>
        <v>11</v>
      </c>
      <c r="L563" s="97">
        <v>561</v>
      </c>
      <c r="O563" s="7" t="s">
        <v>134</v>
      </c>
      <c r="T563" t="s">
        <v>1885</v>
      </c>
      <c r="X563" s="36" t="s">
        <v>141</v>
      </c>
      <c r="Y563" s="36" t="s">
        <v>141</v>
      </c>
      <c r="Z563" s="36"/>
      <c r="AA563" s="36" t="s">
        <v>141</v>
      </c>
      <c r="AB563" s="36"/>
      <c r="AC563" s="36"/>
      <c r="AD563" s="36"/>
      <c r="AE563" s="36"/>
      <c r="AF563" s="36"/>
      <c r="AG563" s="36"/>
      <c r="AH563" s="36" t="s">
        <v>141</v>
      </c>
      <c r="AI563" s="36"/>
      <c r="AJ563" s="36" t="s">
        <v>141</v>
      </c>
      <c r="AK563" s="117" t="s">
        <v>141</v>
      </c>
      <c r="AL563" s="36"/>
      <c r="AM563" s="36"/>
      <c r="AN563" s="36" t="s">
        <v>141</v>
      </c>
      <c r="AO563" s="36"/>
      <c r="AP563" s="36" t="s">
        <v>141</v>
      </c>
      <c r="AQ563" s="36"/>
      <c r="AR563" s="36"/>
      <c r="AS563" s="36" t="s">
        <v>141</v>
      </c>
      <c r="AT563" s="36"/>
      <c r="AU563" s="36"/>
      <c r="AV563" s="36" t="s">
        <v>141</v>
      </c>
      <c r="AW563" s="117"/>
      <c r="AX563" s="117"/>
      <c r="AY563" s="36"/>
      <c r="AZ563" s="36"/>
      <c r="BA563" s="117"/>
      <c r="BB563" s="117"/>
      <c r="BC563" s="117"/>
      <c r="BD563" s="117"/>
      <c r="BE563" s="117"/>
      <c r="BF563" s="117"/>
      <c r="BG563" s="117"/>
      <c r="BH563" s="117"/>
      <c r="BI563" s="117"/>
      <c r="BJ563" s="117"/>
      <c r="BK563" s="117"/>
      <c r="BL563" s="117"/>
      <c r="BM563" s="117">
        <f t="shared" si="98"/>
        <v>10</v>
      </c>
      <c r="BN563" s="117">
        <f t="shared" si="99"/>
        <v>4</v>
      </c>
      <c r="BO563" s="117">
        <f t="shared" si="100"/>
        <v>3</v>
      </c>
      <c r="BP563" s="153">
        <f t="shared" si="101"/>
        <v>7</v>
      </c>
      <c r="BQ563" s="74" t="s">
        <v>178</v>
      </c>
      <c r="BR563" s="74"/>
    </row>
    <row r="564" spans="1:70" hidden="1">
      <c r="A564">
        <v>550</v>
      </c>
      <c r="B564" s="75">
        <v>45976.370925925927</v>
      </c>
      <c r="E564" s="7">
        <v>45976</v>
      </c>
      <c r="F564">
        <v>1105</v>
      </c>
      <c r="I564" s="10" t="s">
        <v>1886</v>
      </c>
      <c r="J564" s="69">
        <v>45976</v>
      </c>
      <c r="K564" s="97">
        <f t="shared" si="97"/>
        <v>11</v>
      </c>
      <c r="L564" s="97">
        <v>562</v>
      </c>
      <c r="O564" s="7" t="s">
        <v>1887</v>
      </c>
      <c r="T564" t="s">
        <v>1888</v>
      </c>
      <c r="X564" s="36"/>
      <c r="Y564" s="36" t="s">
        <v>141</v>
      </c>
      <c r="Z564" s="36" t="s">
        <v>141</v>
      </c>
      <c r="AA564" s="36" t="s">
        <v>141</v>
      </c>
      <c r="AB564" s="36"/>
      <c r="AC564" s="36" t="s">
        <v>141</v>
      </c>
      <c r="AD564" s="36"/>
      <c r="AE564" s="36"/>
      <c r="AF564" s="36"/>
      <c r="AG564" s="36"/>
      <c r="AH564" s="36"/>
      <c r="AI564" s="36"/>
      <c r="AJ564" s="36"/>
      <c r="AK564" s="117" t="s">
        <v>141</v>
      </c>
      <c r="AL564" s="36"/>
      <c r="AM564" s="36" t="s">
        <v>141</v>
      </c>
      <c r="AN564" s="36"/>
      <c r="AO564" s="36"/>
      <c r="AP564" s="36" t="s">
        <v>141</v>
      </c>
      <c r="AQ564" s="36"/>
      <c r="AR564" s="36" t="s">
        <v>141</v>
      </c>
      <c r="AS564" s="36" t="s">
        <v>141</v>
      </c>
      <c r="AT564" s="36"/>
      <c r="AU564" s="36" t="s">
        <v>141</v>
      </c>
      <c r="AV564" s="36" t="s">
        <v>141</v>
      </c>
      <c r="AW564" s="117"/>
      <c r="AX564" s="117"/>
      <c r="AY564" s="36"/>
      <c r="AZ564" s="36"/>
      <c r="BA564" s="117"/>
      <c r="BB564" s="117"/>
      <c r="BC564" s="117"/>
      <c r="BD564" s="117" t="s">
        <v>141</v>
      </c>
      <c r="BE564" s="117" t="s">
        <v>141</v>
      </c>
      <c r="BF564" s="117"/>
      <c r="BG564" s="117"/>
      <c r="BH564" s="117" t="s">
        <v>141</v>
      </c>
      <c r="BI564" s="117"/>
      <c r="BJ564" s="117" t="s">
        <v>141</v>
      </c>
      <c r="BK564" s="117"/>
      <c r="BL564" s="117"/>
      <c r="BM564" s="117">
        <f t="shared" si="98"/>
        <v>13</v>
      </c>
      <c r="BN564" s="117">
        <f t="shared" si="99"/>
        <v>4</v>
      </c>
      <c r="BO564" s="117">
        <f t="shared" si="100"/>
        <v>4</v>
      </c>
      <c r="BP564" s="153">
        <f t="shared" si="101"/>
        <v>7</v>
      </c>
      <c r="BQ564" s="74" t="s">
        <v>152</v>
      </c>
      <c r="BR564" s="74"/>
    </row>
    <row r="565" spans="1:70" hidden="1">
      <c r="A565">
        <v>551</v>
      </c>
      <c r="B565" s="75">
        <v>45977.842615740738</v>
      </c>
      <c r="E565" s="7">
        <v>45978</v>
      </c>
      <c r="F565">
        <v>1106</v>
      </c>
      <c r="I565" s="10" t="s">
        <v>1889</v>
      </c>
      <c r="J565" s="69">
        <v>45978</v>
      </c>
      <c r="K565" s="97">
        <f t="shared" si="97"/>
        <v>11</v>
      </c>
      <c r="L565" s="97">
        <v>563</v>
      </c>
      <c r="O565" s="7" t="s">
        <v>254</v>
      </c>
      <c r="T565" t="s">
        <v>1890</v>
      </c>
      <c r="X565" s="36"/>
      <c r="Y565" s="36" t="s">
        <v>141</v>
      </c>
      <c r="Z565" s="36"/>
      <c r="AA565" s="36" t="s">
        <v>141</v>
      </c>
      <c r="AB565" s="36"/>
      <c r="AC565" s="36"/>
      <c r="AD565" s="36"/>
      <c r="AE565" s="36"/>
      <c r="AF565" s="36"/>
      <c r="AG565" s="36"/>
      <c r="AH565" s="36" t="s">
        <v>141</v>
      </c>
      <c r="AI565" s="36"/>
      <c r="AJ565" s="36" t="s">
        <v>141</v>
      </c>
      <c r="AK565" s="117" t="s">
        <v>141</v>
      </c>
      <c r="AL565" s="36"/>
      <c r="AM565" s="36"/>
      <c r="AN565" s="36" t="s">
        <v>141</v>
      </c>
      <c r="AO565" s="36"/>
      <c r="AP565" s="36"/>
      <c r="AQ565" s="36"/>
      <c r="AR565" s="36"/>
      <c r="AS565" s="36" t="s">
        <v>141</v>
      </c>
      <c r="AT565" s="36"/>
      <c r="AU565" s="36"/>
      <c r="AV565" s="36" t="s">
        <v>141</v>
      </c>
      <c r="AW565" s="117" t="s">
        <v>141</v>
      </c>
      <c r="AX565" s="117"/>
      <c r="AY565" s="36"/>
      <c r="AZ565" s="36" t="s">
        <v>141</v>
      </c>
      <c r="BA565" s="117"/>
      <c r="BB565" s="117"/>
      <c r="BC565" s="117"/>
      <c r="BD565" s="117"/>
      <c r="BE565" s="117"/>
      <c r="BF565" s="117"/>
      <c r="BG565" s="117"/>
      <c r="BH565" s="117" t="s">
        <v>141</v>
      </c>
      <c r="BI565" s="117"/>
      <c r="BJ565" s="117"/>
      <c r="BK565" s="117"/>
      <c r="BL565" s="117"/>
      <c r="BM565" s="117">
        <f t="shared" si="98"/>
        <v>10</v>
      </c>
      <c r="BN565" s="117">
        <f t="shared" si="99"/>
        <v>4</v>
      </c>
      <c r="BO565" s="117">
        <f t="shared" si="100"/>
        <v>2</v>
      </c>
      <c r="BP565" s="153">
        <f t="shared" si="101"/>
        <v>8</v>
      </c>
      <c r="BQ565" s="74" t="s">
        <v>1891</v>
      </c>
      <c r="BR565" s="74"/>
    </row>
    <row r="566" spans="1:70" hidden="1">
      <c r="A566">
        <v>552</v>
      </c>
      <c r="B566" s="75">
        <v>45978.033518518518</v>
      </c>
      <c r="E566" s="7">
        <v>45976</v>
      </c>
      <c r="F566">
        <v>1107</v>
      </c>
      <c r="I566" s="10" t="s">
        <v>1892</v>
      </c>
      <c r="J566" s="69">
        <v>45978</v>
      </c>
      <c r="K566" s="97">
        <f t="shared" si="97"/>
        <v>11</v>
      </c>
      <c r="L566" s="97">
        <v>564</v>
      </c>
      <c r="O566" s="7" t="s">
        <v>197</v>
      </c>
      <c r="T566" t="s">
        <v>1893</v>
      </c>
      <c r="X566" s="36"/>
      <c r="Y566" s="36"/>
      <c r="Z566" s="36"/>
      <c r="AA566" s="36" t="s">
        <v>141</v>
      </c>
      <c r="AB566" s="36"/>
      <c r="AC566" s="36"/>
      <c r="AD566" s="36"/>
      <c r="AE566" s="36" t="s">
        <v>141</v>
      </c>
      <c r="AF566" s="36"/>
      <c r="AG566" s="36"/>
      <c r="AH566" s="36" t="s">
        <v>141</v>
      </c>
      <c r="AI566" s="36"/>
      <c r="AJ566" s="36"/>
      <c r="AK566" s="117"/>
      <c r="AL566" s="36"/>
      <c r="AM566" s="36" t="s">
        <v>141</v>
      </c>
      <c r="AN566" s="36" t="s">
        <v>141</v>
      </c>
      <c r="AO566" s="36"/>
      <c r="AP566" s="36"/>
      <c r="AQ566" s="36"/>
      <c r="AR566" s="36"/>
      <c r="AS566" s="36"/>
      <c r="AT566" s="36" t="s">
        <v>141</v>
      </c>
      <c r="AU566" s="36"/>
      <c r="AV566" s="36"/>
      <c r="AW566" s="117" t="s">
        <v>141</v>
      </c>
      <c r="AX566" s="117"/>
      <c r="AY566" s="36" t="s">
        <v>141</v>
      </c>
      <c r="AZ566" s="36"/>
      <c r="BA566" s="117"/>
      <c r="BB566" s="117"/>
      <c r="BC566" s="117"/>
      <c r="BD566" s="117"/>
      <c r="BE566" s="117"/>
      <c r="BF566" s="117"/>
      <c r="BG566" s="117"/>
      <c r="BH566" s="117" t="s">
        <v>141</v>
      </c>
      <c r="BI566" s="117"/>
      <c r="BJ566" s="117"/>
      <c r="BK566" s="117"/>
      <c r="BL566" s="117"/>
      <c r="BM566" s="117">
        <f t="shared" si="98"/>
        <v>8</v>
      </c>
      <c r="BN566" s="117">
        <f t="shared" si="99"/>
        <v>2</v>
      </c>
      <c r="BO566" s="117">
        <f t="shared" si="100"/>
        <v>1</v>
      </c>
      <c r="BP566" s="153">
        <f t="shared" si="101"/>
        <v>7</v>
      </c>
      <c r="BQ566" s="74" t="s">
        <v>1756</v>
      </c>
      <c r="BR566" s="74"/>
    </row>
    <row r="567" spans="1:70">
      <c r="A567">
        <v>553</v>
      </c>
      <c r="B567" s="75">
        <v>45978.034745370373</v>
      </c>
      <c r="E567" s="7">
        <v>45976</v>
      </c>
      <c r="F567">
        <v>1108</v>
      </c>
      <c r="I567" s="10" t="s">
        <v>1894</v>
      </c>
      <c r="J567" s="69">
        <v>45978</v>
      </c>
      <c r="K567" s="97">
        <f t="shared" si="97"/>
        <v>11</v>
      </c>
      <c r="L567" s="97">
        <v>565</v>
      </c>
      <c r="O567" s="7" t="s">
        <v>1013</v>
      </c>
      <c r="T567" t="s">
        <v>1895</v>
      </c>
      <c r="X567" s="36"/>
      <c r="Y567" s="36"/>
      <c r="Z567" s="36"/>
      <c r="AA567" s="36" t="s">
        <v>141</v>
      </c>
      <c r="AB567" s="36"/>
      <c r="AC567" s="36"/>
      <c r="AD567" s="36"/>
      <c r="AE567" s="36" t="s">
        <v>141</v>
      </c>
      <c r="AF567" s="36"/>
      <c r="AG567" s="36"/>
      <c r="AH567" s="36" t="s">
        <v>141</v>
      </c>
      <c r="AI567" s="36"/>
      <c r="AJ567" s="36"/>
      <c r="AK567" s="117"/>
      <c r="AL567" s="36"/>
      <c r="AM567" s="36" t="s">
        <v>141</v>
      </c>
      <c r="AN567" s="36" t="s">
        <v>141</v>
      </c>
      <c r="AO567" s="36"/>
      <c r="AP567" s="36"/>
      <c r="AQ567" s="36"/>
      <c r="AR567" s="36"/>
      <c r="AS567" s="36" t="s">
        <v>141</v>
      </c>
      <c r="AT567" s="36" t="s">
        <v>141</v>
      </c>
      <c r="AU567" s="36"/>
      <c r="AV567" s="36"/>
      <c r="AW567" s="117" t="s">
        <v>141</v>
      </c>
      <c r="AX567" s="117"/>
      <c r="AY567" s="36" t="s">
        <v>141</v>
      </c>
      <c r="AZ567" s="36"/>
      <c r="BA567" s="117"/>
      <c r="BB567" s="117"/>
      <c r="BC567" s="117"/>
      <c r="BD567" s="117"/>
      <c r="BE567" s="117"/>
      <c r="BF567" s="117"/>
      <c r="BG567" s="117"/>
      <c r="BH567" s="117" t="s">
        <v>141</v>
      </c>
      <c r="BI567" s="117"/>
      <c r="BJ567" s="117"/>
      <c r="BK567" s="117"/>
      <c r="BL567" s="117"/>
      <c r="BM567" s="117">
        <f t="shared" si="98"/>
        <v>9</v>
      </c>
      <c r="BN567" s="117">
        <f t="shared" si="99"/>
        <v>3</v>
      </c>
      <c r="BO567" s="117">
        <f t="shared" si="100"/>
        <v>1</v>
      </c>
      <c r="BP567" s="153">
        <f t="shared" si="101"/>
        <v>8</v>
      </c>
      <c r="BQ567" s="74" t="s">
        <v>1756</v>
      </c>
      <c r="BR567" s="74"/>
    </row>
    <row r="568" spans="1:70" hidden="1">
      <c r="A568">
        <v>554</v>
      </c>
      <c r="B568" s="75">
        <v>45978.23741898148</v>
      </c>
      <c r="E568" s="7">
        <v>45978</v>
      </c>
      <c r="F568">
        <v>1109</v>
      </c>
      <c r="I568" s="10" t="s">
        <v>1896</v>
      </c>
      <c r="J568" s="69">
        <v>45978</v>
      </c>
      <c r="K568" s="97">
        <f t="shared" ref="K568:K580" si="102">MONTH($J568)</f>
        <v>11</v>
      </c>
      <c r="L568" s="97">
        <v>566</v>
      </c>
      <c r="O568" s="7" t="s">
        <v>156</v>
      </c>
      <c r="T568" t="s">
        <v>1897</v>
      </c>
      <c r="X568" s="36" t="s">
        <v>141</v>
      </c>
      <c r="Y568" s="36" t="s">
        <v>141</v>
      </c>
      <c r="Z568" s="36" t="s">
        <v>141</v>
      </c>
      <c r="AA568" s="36" t="s">
        <v>141</v>
      </c>
      <c r="AB568" s="36" t="s">
        <v>141</v>
      </c>
      <c r="AC568" s="36" t="s">
        <v>141</v>
      </c>
      <c r="AD568" s="36"/>
      <c r="AE568" s="36" t="s">
        <v>141</v>
      </c>
      <c r="AF568" s="36" t="s">
        <v>141</v>
      </c>
      <c r="AG568" s="36" t="s">
        <v>141</v>
      </c>
      <c r="AH568" s="36" t="s">
        <v>141</v>
      </c>
      <c r="AI568" s="36"/>
      <c r="AJ568" s="36" t="s">
        <v>141</v>
      </c>
      <c r="AK568" s="117" t="s">
        <v>141</v>
      </c>
      <c r="AL568" s="36"/>
      <c r="AM568" s="36"/>
      <c r="AN568" s="36" t="s">
        <v>141</v>
      </c>
      <c r="AO568" s="36" t="s">
        <v>141</v>
      </c>
      <c r="AP568" s="36" t="s">
        <v>141</v>
      </c>
      <c r="AQ568" s="36"/>
      <c r="AR568" s="36"/>
      <c r="AS568" s="36" t="s">
        <v>141</v>
      </c>
      <c r="AT568" s="36"/>
      <c r="AU568" s="36"/>
      <c r="AV568" s="36" t="s">
        <v>141</v>
      </c>
      <c r="AW568" s="117"/>
      <c r="AX568" s="117" t="s">
        <v>141</v>
      </c>
      <c r="AY568" s="36"/>
      <c r="AZ568" s="36" t="s">
        <v>141</v>
      </c>
      <c r="BA568" s="117"/>
      <c r="BB568" s="117" t="s">
        <v>141</v>
      </c>
      <c r="BC568" s="117"/>
      <c r="BD568" s="117" t="s">
        <v>141</v>
      </c>
      <c r="BE568" s="117" t="s">
        <v>141</v>
      </c>
      <c r="BF568" s="117" t="s">
        <v>141</v>
      </c>
      <c r="BG568" s="117"/>
      <c r="BH568" s="117" t="s">
        <v>141</v>
      </c>
      <c r="BI568" s="117" t="s">
        <v>141</v>
      </c>
      <c r="BJ568" s="117"/>
      <c r="BK568" s="117"/>
      <c r="BL568" s="117"/>
      <c r="BM568" s="117">
        <f t="shared" ref="BM568:BM580" si="103">COUNTIF($X568:$BF568, "I")</f>
        <v>23</v>
      </c>
      <c r="BN568" s="117">
        <f t="shared" ref="BN568:BN580" si="104">COUNTIFS($X568:$BF568, "I",$X$2:$BF$2, "DR" )</f>
        <v>5</v>
      </c>
      <c r="BO568" s="117">
        <f t="shared" ref="BO568:BO580" si="105">COUNTIFS($X568:$BF568, "I",$X$5:$BF$5, "OF" )</f>
        <v>6</v>
      </c>
      <c r="BP568" s="153">
        <f t="shared" ref="BP568:BP580" si="106">COUNTIFS($X568:$BF568, "I",$X$5:$BF$5, "FF" )</f>
        <v>14</v>
      </c>
      <c r="BQ568" s="74" t="s">
        <v>610</v>
      </c>
      <c r="BR568" s="74"/>
    </row>
    <row r="569" spans="1:70" hidden="1">
      <c r="A569">
        <v>555</v>
      </c>
      <c r="B569" s="75">
        <v>45978.516365740739</v>
      </c>
      <c r="E569" s="7">
        <v>45979</v>
      </c>
      <c r="F569">
        <v>1110</v>
      </c>
      <c r="I569" s="10" t="s">
        <v>1898</v>
      </c>
      <c r="J569" s="69">
        <v>45979</v>
      </c>
      <c r="K569" s="97">
        <f t="shared" si="102"/>
        <v>11</v>
      </c>
      <c r="L569" s="97">
        <v>567</v>
      </c>
      <c r="O569" s="7" t="s">
        <v>197</v>
      </c>
      <c r="T569" t="s">
        <v>1899</v>
      </c>
      <c r="X569" s="36"/>
      <c r="Y569" s="36" t="s">
        <v>141</v>
      </c>
      <c r="Z569" s="36"/>
      <c r="AA569" s="36"/>
      <c r="AB569" s="36" t="s">
        <v>141</v>
      </c>
      <c r="AC569" s="36"/>
      <c r="AD569" s="36"/>
      <c r="AE569" s="36"/>
      <c r="AF569" s="36"/>
      <c r="AG569" s="36"/>
      <c r="AH569" s="36" t="s">
        <v>141</v>
      </c>
      <c r="AI569" s="36"/>
      <c r="AJ569" s="36"/>
      <c r="AK569" s="117" t="s">
        <v>141</v>
      </c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117"/>
      <c r="AX569" s="117" t="s">
        <v>141</v>
      </c>
      <c r="AY569" s="36"/>
      <c r="AZ569" s="36"/>
      <c r="BA569" s="117"/>
      <c r="BB569" s="117"/>
      <c r="BC569" s="117"/>
      <c r="BD569" s="117"/>
      <c r="BE569" s="117"/>
      <c r="BF569" s="117" t="s">
        <v>141</v>
      </c>
      <c r="BG569" s="117"/>
      <c r="BH569" s="117" t="s">
        <v>141</v>
      </c>
      <c r="BI569" s="117" t="s">
        <v>141</v>
      </c>
      <c r="BJ569" s="117"/>
      <c r="BK569" s="117"/>
      <c r="BL569" s="117"/>
      <c r="BM569" s="117">
        <f t="shared" si="103"/>
        <v>6</v>
      </c>
      <c r="BN569" s="117">
        <f t="shared" si="104"/>
        <v>1</v>
      </c>
      <c r="BO569" s="117">
        <f t="shared" si="105"/>
        <v>2</v>
      </c>
      <c r="BP569" s="153">
        <f t="shared" si="106"/>
        <v>3</v>
      </c>
      <c r="BQ569" s="74" t="s">
        <v>1365</v>
      </c>
      <c r="BR569" s="74"/>
    </row>
    <row r="570" spans="1:70" hidden="1">
      <c r="A570">
        <v>556</v>
      </c>
      <c r="B570" s="75">
        <v>45978.860393518517</v>
      </c>
      <c r="E570" s="7">
        <v>45979</v>
      </c>
      <c r="F570">
        <v>1111</v>
      </c>
      <c r="I570" s="10" t="s">
        <v>1900</v>
      </c>
      <c r="J570" s="69">
        <v>45979</v>
      </c>
      <c r="K570" s="97">
        <f t="shared" si="102"/>
        <v>11</v>
      </c>
      <c r="L570" s="97">
        <v>568</v>
      </c>
      <c r="O570" s="7" t="s">
        <v>197</v>
      </c>
      <c r="T570" t="s">
        <v>1901</v>
      </c>
      <c r="X570" s="36"/>
      <c r="Y570" s="36" t="s">
        <v>141</v>
      </c>
      <c r="Z570" s="36"/>
      <c r="AA570" s="36" t="s">
        <v>141</v>
      </c>
      <c r="AB570" s="36"/>
      <c r="AC570" s="36"/>
      <c r="AD570" s="36"/>
      <c r="AE570" s="36"/>
      <c r="AF570" s="36" t="s">
        <v>141</v>
      </c>
      <c r="AG570" s="36"/>
      <c r="AH570" s="36" t="s">
        <v>141</v>
      </c>
      <c r="AI570" s="36"/>
      <c r="AJ570" s="36" t="s">
        <v>141</v>
      </c>
      <c r="AK570" s="117"/>
      <c r="AL570" s="36"/>
      <c r="AM570" s="36" t="s">
        <v>141</v>
      </c>
      <c r="AN570" s="36" t="s">
        <v>141</v>
      </c>
      <c r="AO570" s="36" t="s">
        <v>141</v>
      </c>
      <c r="AP570" s="36"/>
      <c r="AQ570" s="36"/>
      <c r="AR570" s="36"/>
      <c r="AS570" s="36"/>
      <c r="AT570" s="36" t="s">
        <v>141</v>
      </c>
      <c r="AU570" s="36"/>
      <c r="AV570" s="36"/>
      <c r="AW570" s="117" t="s">
        <v>141</v>
      </c>
      <c r="AX570" s="117"/>
      <c r="AY570" s="36"/>
      <c r="AZ570" s="36" t="s">
        <v>141</v>
      </c>
      <c r="BA570" s="117"/>
      <c r="BB570" s="117"/>
      <c r="BC570" s="117"/>
      <c r="BD570" s="117"/>
      <c r="BE570" s="117"/>
      <c r="BF570" s="117"/>
      <c r="BG570" s="117"/>
      <c r="BH570" s="117" t="s">
        <v>141</v>
      </c>
      <c r="BI570" s="117"/>
      <c r="BJ570" s="117"/>
      <c r="BK570" s="117"/>
      <c r="BL570" s="117"/>
      <c r="BM570" s="117">
        <f t="shared" si="103"/>
        <v>11</v>
      </c>
      <c r="BN570" s="117">
        <f t="shared" si="104"/>
        <v>3</v>
      </c>
      <c r="BO570" s="117">
        <f t="shared" si="105"/>
        <v>2</v>
      </c>
      <c r="BP570" s="153">
        <f t="shared" si="106"/>
        <v>9</v>
      </c>
      <c r="BQ570" s="74" t="s">
        <v>1756</v>
      </c>
      <c r="BR570" s="74"/>
    </row>
    <row r="571" spans="1:70" hidden="1">
      <c r="A571">
        <v>557</v>
      </c>
      <c r="B571" s="75">
        <v>45980.293888888889</v>
      </c>
      <c r="E571" s="7">
        <v>45980</v>
      </c>
      <c r="F571">
        <v>1112</v>
      </c>
      <c r="I571" s="10" t="s">
        <v>1902</v>
      </c>
      <c r="J571" s="69">
        <v>45980</v>
      </c>
      <c r="K571" s="97">
        <f t="shared" si="102"/>
        <v>11</v>
      </c>
      <c r="L571" s="97">
        <v>569</v>
      </c>
      <c r="O571" s="7" t="s">
        <v>134</v>
      </c>
      <c r="T571" t="s">
        <v>1903</v>
      </c>
      <c r="X571" s="36" t="s">
        <v>141</v>
      </c>
      <c r="Y571" s="36" t="s">
        <v>141</v>
      </c>
      <c r="Z571" s="36"/>
      <c r="AA571" s="36" t="s">
        <v>141</v>
      </c>
      <c r="AB571" s="36" t="s">
        <v>141</v>
      </c>
      <c r="AC571" s="36" t="s">
        <v>141</v>
      </c>
      <c r="AD571" s="36"/>
      <c r="AE571" s="36"/>
      <c r="AF571" s="36"/>
      <c r="AG571" s="36"/>
      <c r="AH571" s="36"/>
      <c r="AI571" s="36"/>
      <c r="AJ571" s="36" t="s">
        <v>141</v>
      </c>
      <c r="AK571" s="117"/>
      <c r="AL571" s="36"/>
      <c r="AM571" s="36" t="s">
        <v>141</v>
      </c>
      <c r="AN571" s="36" t="s">
        <v>141</v>
      </c>
      <c r="AO571" s="36"/>
      <c r="AP571" s="36"/>
      <c r="AQ571" s="36"/>
      <c r="AR571" s="36"/>
      <c r="AS571" s="36"/>
      <c r="AT571" s="36"/>
      <c r="AU571" s="36"/>
      <c r="AV571" s="36" t="s">
        <v>141</v>
      </c>
      <c r="AW571" s="117"/>
      <c r="AX571" s="117"/>
      <c r="AY571" s="36" t="s">
        <v>141</v>
      </c>
      <c r="AZ571" s="36"/>
      <c r="BA571" s="117" t="s">
        <v>141</v>
      </c>
      <c r="BB571" s="117"/>
      <c r="BC571" s="117"/>
      <c r="BD571" s="117" t="s">
        <v>141</v>
      </c>
      <c r="BE571" s="117"/>
      <c r="BF571" s="117" t="s">
        <v>141</v>
      </c>
      <c r="BG571" s="117"/>
      <c r="BH571" s="117" t="s">
        <v>141</v>
      </c>
      <c r="BI571" s="117"/>
      <c r="BJ571" s="117"/>
      <c r="BK571" s="117"/>
      <c r="BL571" s="117"/>
      <c r="BM571" s="117">
        <f t="shared" si="103"/>
        <v>13</v>
      </c>
      <c r="BN571" s="117">
        <f t="shared" si="104"/>
        <v>3</v>
      </c>
      <c r="BO571" s="117">
        <f t="shared" si="105"/>
        <v>5</v>
      </c>
      <c r="BP571" s="153">
        <f t="shared" si="106"/>
        <v>6</v>
      </c>
      <c r="BQ571" s="74" t="s">
        <v>208</v>
      </c>
      <c r="BR571" s="74"/>
    </row>
    <row r="572" spans="1:70" hidden="1">
      <c r="A572">
        <v>558</v>
      </c>
      <c r="B572" s="75">
        <v>45980.909733796296</v>
      </c>
      <c r="E572" s="7">
        <v>45980</v>
      </c>
      <c r="F572">
        <v>1113</v>
      </c>
      <c r="I572" s="10" t="s">
        <v>1904</v>
      </c>
      <c r="J572" s="69">
        <v>45981</v>
      </c>
      <c r="K572" s="97">
        <f t="shared" si="102"/>
        <v>11</v>
      </c>
      <c r="L572" s="97">
        <v>570</v>
      </c>
      <c r="O572" s="7" t="s">
        <v>156</v>
      </c>
      <c r="T572" t="s">
        <v>1905</v>
      </c>
      <c r="X572" s="36"/>
      <c r="Y572" s="36" t="s">
        <v>141</v>
      </c>
      <c r="Z572" s="36"/>
      <c r="AA572" s="36" t="s">
        <v>141</v>
      </c>
      <c r="AB572" s="36" t="s">
        <v>141</v>
      </c>
      <c r="AC572" s="36"/>
      <c r="AD572" s="36" t="s">
        <v>141</v>
      </c>
      <c r="AE572" s="36"/>
      <c r="AF572" s="36" t="s">
        <v>141</v>
      </c>
      <c r="AG572" s="36"/>
      <c r="AH572" s="36" t="s">
        <v>141</v>
      </c>
      <c r="AI572" s="36"/>
      <c r="AJ572" s="36" t="s">
        <v>141</v>
      </c>
      <c r="AK572" s="117" t="s">
        <v>141</v>
      </c>
      <c r="AL572" s="36"/>
      <c r="AM572" s="36"/>
      <c r="AN572" s="36"/>
      <c r="AO572" s="36"/>
      <c r="AP572" s="36"/>
      <c r="AQ572" s="36"/>
      <c r="AR572" s="36"/>
      <c r="AS572" s="36" t="s">
        <v>141</v>
      </c>
      <c r="AT572" s="36"/>
      <c r="AU572" s="36"/>
      <c r="AV572" s="36"/>
      <c r="AW572" s="117"/>
      <c r="AX572" s="117"/>
      <c r="AY572" s="36" t="s">
        <v>141</v>
      </c>
      <c r="AZ572" s="36" t="s">
        <v>141</v>
      </c>
      <c r="BA572" s="117"/>
      <c r="BB572" s="117"/>
      <c r="BC572" s="117"/>
      <c r="BD572" s="117"/>
      <c r="BE572" s="117"/>
      <c r="BF572" s="117" t="s">
        <v>141</v>
      </c>
      <c r="BG572" s="117"/>
      <c r="BH572" s="117"/>
      <c r="BI572" s="117"/>
      <c r="BJ572" s="117"/>
      <c r="BK572" s="117"/>
      <c r="BL572" s="117"/>
      <c r="BM572" s="117">
        <f t="shared" si="103"/>
        <v>12</v>
      </c>
      <c r="BN572" s="117">
        <f t="shared" si="104"/>
        <v>3</v>
      </c>
      <c r="BO572" s="117">
        <f t="shared" si="105"/>
        <v>4</v>
      </c>
      <c r="BP572" s="153">
        <f t="shared" si="106"/>
        <v>7</v>
      </c>
      <c r="BQ572" s="74" t="s">
        <v>1033</v>
      </c>
      <c r="BR572" s="74"/>
    </row>
    <row r="573" spans="1:70" hidden="1">
      <c r="A573">
        <v>559</v>
      </c>
      <c r="B573" s="75">
        <v>45980.932199074072</v>
      </c>
      <c r="E573" s="7">
        <v>45981</v>
      </c>
      <c r="F573">
        <v>1114</v>
      </c>
      <c r="I573" s="10" t="s">
        <v>1906</v>
      </c>
      <c r="J573" s="69">
        <v>45981</v>
      </c>
      <c r="K573" s="97">
        <f t="shared" si="102"/>
        <v>11</v>
      </c>
      <c r="L573" s="97">
        <v>571</v>
      </c>
      <c r="O573" s="7" t="s">
        <v>156</v>
      </c>
      <c r="T573" t="s">
        <v>1118</v>
      </c>
      <c r="X573" s="36"/>
      <c r="Y573" s="36" t="s">
        <v>141</v>
      </c>
      <c r="Z573" s="36"/>
      <c r="AA573" s="36" t="s">
        <v>141</v>
      </c>
      <c r="AB573" s="36"/>
      <c r="AC573" s="36"/>
      <c r="AD573" s="36"/>
      <c r="AE573" s="36"/>
      <c r="AF573" s="36" t="s">
        <v>141</v>
      </c>
      <c r="AG573" s="36"/>
      <c r="AH573" s="36" t="s">
        <v>141</v>
      </c>
      <c r="AI573" s="36"/>
      <c r="AJ573" s="36" t="s">
        <v>141</v>
      </c>
      <c r="AK573" s="117" t="s">
        <v>141</v>
      </c>
      <c r="AL573" s="36"/>
      <c r="AM573" s="36"/>
      <c r="AN573" s="36"/>
      <c r="AO573" s="36"/>
      <c r="AP573" s="36"/>
      <c r="AQ573" s="36"/>
      <c r="AR573" s="36"/>
      <c r="AS573" s="36" t="s">
        <v>141</v>
      </c>
      <c r="AT573" s="36"/>
      <c r="AU573" s="36"/>
      <c r="AV573" s="36"/>
      <c r="AW573" s="117"/>
      <c r="AX573" s="117"/>
      <c r="AY573" s="36" t="s">
        <v>141</v>
      </c>
      <c r="AZ573" s="36" t="s">
        <v>141</v>
      </c>
      <c r="BA573" s="117"/>
      <c r="BB573" s="117"/>
      <c r="BC573" s="117"/>
      <c r="BD573" s="117"/>
      <c r="BE573" s="117"/>
      <c r="BF573" s="117" t="s">
        <v>141</v>
      </c>
      <c r="BG573" s="117"/>
      <c r="BH573" s="117"/>
      <c r="BI573" s="117"/>
      <c r="BJ573" s="117"/>
      <c r="BK573" s="117"/>
      <c r="BL573" s="117"/>
      <c r="BM573" s="117">
        <f t="shared" si="103"/>
        <v>10</v>
      </c>
      <c r="BN573" s="117">
        <f t="shared" si="104"/>
        <v>3</v>
      </c>
      <c r="BO573" s="117">
        <f t="shared" si="105"/>
        <v>2</v>
      </c>
      <c r="BP573" s="153">
        <f t="shared" si="106"/>
        <v>7</v>
      </c>
      <c r="BQ573" s="74" t="s">
        <v>152</v>
      </c>
      <c r="BR573" s="74"/>
    </row>
    <row r="574" spans="1:70" hidden="1">
      <c r="A574">
        <v>560</v>
      </c>
      <c r="B574" s="75">
        <v>45981.042245370372</v>
      </c>
      <c r="E574" s="7">
        <v>45981</v>
      </c>
      <c r="F574">
        <v>1115</v>
      </c>
      <c r="I574" s="10" t="s">
        <v>1907</v>
      </c>
      <c r="J574" s="69">
        <v>45981</v>
      </c>
      <c r="K574" s="97">
        <f t="shared" si="102"/>
        <v>11</v>
      </c>
      <c r="L574" s="97">
        <v>572</v>
      </c>
      <c r="O574" s="7" t="s">
        <v>156</v>
      </c>
      <c r="T574" t="s">
        <v>1908</v>
      </c>
      <c r="X574" s="36"/>
      <c r="Y574" s="36" t="s">
        <v>141</v>
      </c>
      <c r="Z574" s="36"/>
      <c r="AA574" s="36" t="s">
        <v>141</v>
      </c>
      <c r="AB574" s="36"/>
      <c r="AC574" s="36"/>
      <c r="AD574" s="36" t="s">
        <v>141</v>
      </c>
      <c r="AE574" s="36"/>
      <c r="AF574" s="36" t="s">
        <v>141</v>
      </c>
      <c r="AG574" s="36"/>
      <c r="AH574" s="36" t="s">
        <v>141</v>
      </c>
      <c r="AI574" s="36"/>
      <c r="AJ574" s="36" t="s">
        <v>141</v>
      </c>
      <c r="AK574" s="117" t="s">
        <v>141</v>
      </c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117"/>
      <c r="AX574" s="117"/>
      <c r="AY574" s="36" t="s">
        <v>141</v>
      </c>
      <c r="AZ574" s="36" t="s">
        <v>141</v>
      </c>
      <c r="BA574" s="117"/>
      <c r="BB574" s="117"/>
      <c r="BC574" s="117"/>
      <c r="BD574" s="117" t="s">
        <v>141</v>
      </c>
      <c r="BE574" s="117"/>
      <c r="BF574" s="117"/>
      <c r="BG574" s="117"/>
      <c r="BH574" s="117"/>
      <c r="BI574" s="117"/>
      <c r="BJ574" s="117"/>
      <c r="BK574" s="117"/>
      <c r="BL574" s="117"/>
      <c r="BM574" s="117">
        <f t="shared" si="103"/>
        <v>10</v>
      </c>
      <c r="BN574" s="117">
        <f t="shared" si="104"/>
        <v>2</v>
      </c>
      <c r="BO574" s="117">
        <f t="shared" si="105"/>
        <v>3</v>
      </c>
      <c r="BP574" s="153">
        <f t="shared" si="106"/>
        <v>6</v>
      </c>
      <c r="BQ574" s="74" t="s">
        <v>1033</v>
      </c>
      <c r="BR574" s="74"/>
    </row>
    <row r="575" spans="1:70" hidden="1">
      <c r="A575">
        <v>561</v>
      </c>
      <c r="B575" s="75">
        <v>45982.307314814818</v>
      </c>
      <c r="E575" s="7">
        <v>45982</v>
      </c>
      <c r="F575">
        <v>1116</v>
      </c>
      <c r="I575" s="10" t="s">
        <v>1909</v>
      </c>
      <c r="J575" s="69">
        <v>45982</v>
      </c>
      <c r="K575" s="97">
        <f t="shared" si="102"/>
        <v>11</v>
      </c>
      <c r="L575" s="97">
        <v>573</v>
      </c>
      <c r="O575" s="7" t="s">
        <v>134</v>
      </c>
      <c r="T575" t="s">
        <v>1910</v>
      </c>
      <c r="X575" s="36" t="s">
        <v>141</v>
      </c>
      <c r="Y575" s="36"/>
      <c r="Z575" s="36"/>
      <c r="AA575" s="36" t="s">
        <v>141</v>
      </c>
      <c r="AB575" s="36"/>
      <c r="AC575" s="36"/>
      <c r="AD575" s="36" t="s">
        <v>141</v>
      </c>
      <c r="AE575" s="36"/>
      <c r="AF575" s="36"/>
      <c r="AG575" s="36"/>
      <c r="AH575" s="36"/>
      <c r="AI575" s="36"/>
      <c r="AJ575" s="36"/>
      <c r="AK575" s="117"/>
      <c r="AL575" s="36"/>
      <c r="AM575" s="36" t="s">
        <v>141</v>
      </c>
      <c r="AN575" s="36"/>
      <c r="AO575" s="36"/>
      <c r="AP575" s="36"/>
      <c r="AQ575" s="36"/>
      <c r="AR575" s="36"/>
      <c r="AS575" s="36"/>
      <c r="AT575" s="36"/>
      <c r="AU575" s="36" t="s">
        <v>141</v>
      </c>
      <c r="AV575" s="36" t="s">
        <v>141</v>
      </c>
      <c r="AW575" s="117"/>
      <c r="AX575" s="117" t="s">
        <v>141</v>
      </c>
      <c r="AY575" s="36"/>
      <c r="AZ575" s="36"/>
      <c r="BA575" s="117"/>
      <c r="BB575" s="117"/>
      <c r="BC575" s="117"/>
      <c r="BD575" s="117"/>
      <c r="BE575" s="117"/>
      <c r="BF575" s="117"/>
      <c r="BG575" s="117"/>
      <c r="BH575" s="117" t="s">
        <v>141</v>
      </c>
      <c r="BI575" s="117"/>
      <c r="BJ575" s="117" t="s">
        <v>141</v>
      </c>
      <c r="BK575" s="117"/>
      <c r="BL575" s="117"/>
      <c r="BM575" s="117">
        <f t="shared" si="103"/>
        <v>7</v>
      </c>
      <c r="BN575" s="117">
        <f t="shared" si="104"/>
        <v>1</v>
      </c>
      <c r="BO575" s="117">
        <f t="shared" si="105"/>
        <v>3</v>
      </c>
      <c r="BP575" s="153">
        <f t="shared" si="106"/>
        <v>4</v>
      </c>
      <c r="BQ575" s="74" t="s">
        <v>610</v>
      </c>
      <c r="BR575" s="74"/>
    </row>
    <row r="576" spans="1:70" hidden="1">
      <c r="A576">
        <v>562</v>
      </c>
      <c r="B576" s="75">
        <v>45983.316041666665</v>
      </c>
      <c r="E576" s="7">
        <v>45983</v>
      </c>
      <c r="F576">
        <v>1117</v>
      </c>
      <c r="I576" s="10" t="s">
        <v>1911</v>
      </c>
      <c r="J576" s="69">
        <v>45983</v>
      </c>
      <c r="K576" s="97">
        <f t="shared" si="102"/>
        <v>11</v>
      </c>
      <c r="L576" s="97">
        <v>574</v>
      </c>
      <c r="O576" s="7" t="s">
        <v>1912</v>
      </c>
      <c r="T576" t="s">
        <v>1913</v>
      </c>
      <c r="X576" s="36"/>
      <c r="Y576" s="36" t="s">
        <v>141</v>
      </c>
      <c r="Z576" s="36"/>
      <c r="AA576" s="36" t="s">
        <v>141</v>
      </c>
      <c r="AB576" s="36"/>
      <c r="AC576" s="36" t="s">
        <v>141</v>
      </c>
      <c r="AD576" s="36" t="s">
        <v>141</v>
      </c>
      <c r="AE576" s="36"/>
      <c r="AF576" s="36"/>
      <c r="AG576" s="36"/>
      <c r="AH576" s="36"/>
      <c r="AI576" s="36"/>
      <c r="AJ576" s="36" t="s">
        <v>141</v>
      </c>
      <c r="AK576" s="117"/>
      <c r="AL576" s="36"/>
      <c r="AM576" s="36"/>
      <c r="AN576" s="36"/>
      <c r="AO576" s="36" t="s">
        <v>141</v>
      </c>
      <c r="AP576" s="36"/>
      <c r="AQ576" s="36"/>
      <c r="AR576" s="36"/>
      <c r="AS576" s="36"/>
      <c r="AT576" s="36"/>
      <c r="AU576" s="36" t="s">
        <v>141</v>
      </c>
      <c r="AV576" s="36"/>
      <c r="AW576" s="117"/>
      <c r="AX576" s="117" t="s">
        <v>141</v>
      </c>
      <c r="AY576" s="36"/>
      <c r="AZ576" s="36"/>
      <c r="BA576" s="117"/>
      <c r="BB576" s="117"/>
      <c r="BC576" s="117"/>
      <c r="BD576" s="117"/>
      <c r="BE576" s="117"/>
      <c r="BF576" s="117" t="s">
        <v>141</v>
      </c>
      <c r="BG576" s="117"/>
      <c r="BH576" s="117" t="s">
        <v>141</v>
      </c>
      <c r="BI576" s="117"/>
      <c r="BJ576" s="117" t="s">
        <v>141</v>
      </c>
      <c r="BK576" s="117"/>
      <c r="BL576" s="117"/>
      <c r="BM576" s="117">
        <f t="shared" si="103"/>
        <v>9</v>
      </c>
      <c r="BN576" s="117">
        <f t="shared" si="104"/>
        <v>1</v>
      </c>
      <c r="BO576" s="117">
        <f t="shared" si="105"/>
        <v>4</v>
      </c>
      <c r="BP576" s="153">
        <f t="shared" si="106"/>
        <v>4</v>
      </c>
      <c r="BQ576" s="74" t="s">
        <v>1365</v>
      </c>
      <c r="BR576" s="74"/>
    </row>
    <row r="577" spans="1:70" hidden="1">
      <c r="A577">
        <v>563</v>
      </c>
      <c r="B577" s="75">
        <v>45985.571481481478</v>
      </c>
      <c r="E577" s="7">
        <v>45985</v>
      </c>
      <c r="F577">
        <v>1118</v>
      </c>
      <c r="I577" s="10" t="s">
        <v>1914</v>
      </c>
      <c r="J577" s="69">
        <v>45986</v>
      </c>
      <c r="K577" s="97">
        <f t="shared" si="102"/>
        <v>11</v>
      </c>
      <c r="L577" s="97">
        <v>575</v>
      </c>
      <c r="O577" s="7" t="s">
        <v>1915</v>
      </c>
      <c r="T577" t="s">
        <v>1916</v>
      </c>
      <c r="X577" s="36"/>
      <c r="Y577" s="36" t="s">
        <v>141</v>
      </c>
      <c r="Z577" s="36" t="s">
        <v>141</v>
      </c>
      <c r="AA577" s="36"/>
      <c r="AB577" s="36"/>
      <c r="AC577" s="36"/>
      <c r="AD577" s="36" t="s">
        <v>141</v>
      </c>
      <c r="AE577" s="36"/>
      <c r="AF577" s="36"/>
      <c r="AG577" s="36"/>
      <c r="AH577" s="36" t="s">
        <v>141</v>
      </c>
      <c r="AI577" s="36"/>
      <c r="AJ577" s="36"/>
      <c r="AK577" s="117"/>
      <c r="AL577" s="36" t="s">
        <v>141</v>
      </c>
      <c r="AM577" s="36"/>
      <c r="AN577" s="36"/>
      <c r="AO577" s="36"/>
      <c r="AP577" s="36" t="s">
        <v>141</v>
      </c>
      <c r="AQ577" s="36"/>
      <c r="AR577" s="36"/>
      <c r="AS577" s="36" t="s">
        <v>141</v>
      </c>
      <c r="AT577" s="36"/>
      <c r="AU577" s="36"/>
      <c r="AV577" s="36" t="s">
        <v>141</v>
      </c>
      <c r="AW577" s="117" t="s">
        <v>141</v>
      </c>
      <c r="AX577" s="117"/>
      <c r="AY577" s="36"/>
      <c r="AZ577" s="36"/>
      <c r="BA577" s="117" t="s">
        <v>141</v>
      </c>
      <c r="BB577" s="117"/>
      <c r="BC577" s="117"/>
      <c r="BD577" s="117" t="s">
        <v>141</v>
      </c>
      <c r="BE577" s="117"/>
      <c r="BF577" s="117" t="s">
        <v>141</v>
      </c>
      <c r="BG577" s="117"/>
      <c r="BH577" s="117" t="s">
        <v>141</v>
      </c>
      <c r="BI577" s="117"/>
      <c r="BJ577" s="117" t="s">
        <v>141</v>
      </c>
      <c r="BK577" s="117"/>
      <c r="BL577" s="117"/>
      <c r="BM577" s="117">
        <f t="shared" si="103"/>
        <v>12</v>
      </c>
      <c r="BN577" s="117">
        <f t="shared" si="104"/>
        <v>1</v>
      </c>
      <c r="BO577" s="117">
        <f t="shared" si="105"/>
        <v>3</v>
      </c>
      <c r="BP577" s="153">
        <f t="shared" si="106"/>
        <v>7</v>
      </c>
      <c r="BQ577" s="74" t="s">
        <v>1917</v>
      </c>
      <c r="BR577" s="74"/>
    </row>
    <row r="578" spans="1:70" hidden="1">
      <c r="A578">
        <v>564</v>
      </c>
      <c r="B578" s="75">
        <v>45986.122245370374</v>
      </c>
      <c r="E578" s="7">
        <v>45986</v>
      </c>
      <c r="F578">
        <v>1119</v>
      </c>
      <c r="I578" s="10" t="s">
        <v>1918</v>
      </c>
      <c r="J578" s="69">
        <v>45986</v>
      </c>
      <c r="K578" s="97">
        <f t="shared" si="102"/>
        <v>11</v>
      </c>
      <c r="L578" s="97">
        <v>576</v>
      </c>
      <c r="O578" s="7" t="s">
        <v>197</v>
      </c>
      <c r="T578" t="s">
        <v>1919</v>
      </c>
      <c r="X578" s="36"/>
      <c r="Y578" s="36" t="s">
        <v>141</v>
      </c>
      <c r="Z578" s="36" t="s">
        <v>141</v>
      </c>
      <c r="AA578" s="36" t="s">
        <v>141</v>
      </c>
      <c r="AB578" s="36"/>
      <c r="AC578" s="36"/>
      <c r="AD578" s="36"/>
      <c r="AE578" s="36"/>
      <c r="AF578" s="36"/>
      <c r="AG578" s="36" t="s">
        <v>141</v>
      </c>
      <c r="AH578" s="36" t="s">
        <v>141</v>
      </c>
      <c r="AI578" s="36"/>
      <c r="AJ578" s="36" t="s">
        <v>141</v>
      </c>
      <c r="AK578" s="117"/>
      <c r="AL578" s="36"/>
      <c r="AM578" s="36" t="s">
        <v>141</v>
      </c>
      <c r="AN578" s="36"/>
      <c r="AO578" s="36"/>
      <c r="AP578" s="36" t="s">
        <v>141</v>
      </c>
      <c r="AQ578" s="36"/>
      <c r="AR578" s="36"/>
      <c r="AS578" s="36"/>
      <c r="AT578" s="36" t="s">
        <v>141</v>
      </c>
      <c r="AU578" s="36"/>
      <c r="AV578" s="36" t="s">
        <v>141</v>
      </c>
      <c r="AW578" s="117"/>
      <c r="AX578" s="117"/>
      <c r="AY578" s="36"/>
      <c r="AZ578" s="36" t="s">
        <v>141</v>
      </c>
      <c r="BA578" s="117" t="s">
        <v>141</v>
      </c>
      <c r="BB578" s="117"/>
      <c r="BC578" s="117"/>
      <c r="BD578" s="117"/>
      <c r="BE578" s="117"/>
      <c r="BF578" s="117"/>
      <c r="BG578" s="117"/>
      <c r="BH578" s="117"/>
      <c r="BI578" s="117"/>
      <c r="BJ578" s="117"/>
      <c r="BK578" s="117"/>
      <c r="BL578" s="117"/>
      <c r="BM578" s="117">
        <f t="shared" si="103"/>
        <v>12</v>
      </c>
      <c r="BN578" s="117">
        <f t="shared" si="104"/>
        <v>3</v>
      </c>
      <c r="BO578" s="117">
        <f t="shared" si="105"/>
        <v>3</v>
      </c>
      <c r="BP578" s="153">
        <f t="shared" si="106"/>
        <v>9</v>
      </c>
      <c r="BQ578" s="74" t="s">
        <v>308</v>
      </c>
      <c r="BR578" s="74"/>
    </row>
    <row r="579" spans="1:70" hidden="1">
      <c r="A579">
        <v>565</v>
      </c>
      <c r="B579" s="75">
        <v>45987.098622685182</v>
      </c>
      <c r="E579" s="7">
        <v>45988</v>
      </c>
      <c r="F579">
        <v>1120</v>
      </c>
      <c r="I579" s="10" t="s">
        <v>1920</v>
      </c>
      <c r="J579" s="69">
        <v>45987</v>
      </c>
      <c r="K579" s="97">
        <f t="shared" si="102"/>
        <v>11</v>
      </c>
      <c r="L579" s="97">
        <v>577</v>
      </c>
      <c r="O579" s="7" t="s">
        <v>197</v>
      </c>
      <c r="T579" t="s">
        <v>1921</v>
      </c>
      <c r="X579" s="36"/>
      <c r="Y579" s="36" t="s">
        <v>141</v>
      </c>
      <c r="Z579" s="36"/>
      <c r="AA579" s="36" t="s">
        <v>141</v>
      </c>
      <c r="AB579" s="36"/>
      <c r="AC579" s="36"/>
      <c r="AD579" s="36"/>
      <c r="AE579" s="36"/>
      <c r="AF579" s="36" t="s">
        <v>141</v>
      </c>
      <c r="AG579" s="36"/>
      <c r="AH579" s="36" t="s">
        <v>141</v>
      </c>
      <c r="AI579" s="36"/>
      <c r="AJ579" s="36" t="s">
        <v>141</v>
      </c>
      <c r="AK579" s="117"/>
      <c r="AL579" s="36" t="s">
        <v>141</v>
      </c>
      <c r="AM579" s="36"/>
      <c r="AN579" s="36"/>
      <c r="AO579" s="36"/>
      <c r="AP579" s="36"/>
      <c r="AQ579" s="36"/>
      <c r="AR579" s="36"/>
      <c r="AS579" s="36" t="s">
        <v>141</v>
      </c>
      <c r="AT579" s="36" t="s">
        <v>141</v>
      </c>
      <c r="AU579" s="36"/>
      <c r="AV579" s="36"/>
      <c r="AW579" s="117"/>
      <c r="AX579" s="117"/>
      <c r="AY579" s="36" t="s">
        <v>141</v>
      </c>
      <c r="AZ579" s="36" t="s">
        <v>141</v>
      </c>
      <c r="BA579" s="117"/>
      <c r="BB579" s="117"/>
      <c r="BC579" s="117"/>
      <c r="BD579" s="117"/>
      <c r="BE579" s="117"/>
      <c r="BF579" s="117"/>
      <c r="BG579" s="117"/>
      <c r="BH579" s="117"/>
      <c r="BI579" s="117"/>
      <c r="BJ579" s="117"/>
      <c r="BK579" s="117"/>
      <c r="BL579" s="117"/>
      <c r="BM579" s="117">
        <f t="shared" si="103"/>
        <v>10</v>
      </c>
      <c r="BN579" s="117">
        <f t="shared" si="104"/>
        <v>2</v>
      </c>
      <c r="BO579" s="117">
        <f t="shared" si="105"/>
        <v>2</v>
      </c>
      <c r="BP579" s="153">
        <f t="shared" si="106"/>
        <v>8</v>
      </c>
      <c r="BQ579" s="74" t="s">
        <v>178</v>
      </c>
      <c r="BR579" s="74"/>
    </row>
    <row r="580" spans="1:70" hidden="1">
      <c r="A580">
        <v>566</v>
      </c>
      <c r="B580" s="75">
        <v>45987.779456018521</v>
      </c>
      <c r="E580" s="7">
        <v>45987</v>
      </c>
      <c r="F580">
        <v>1121</v>
      </c>
      <c r="I580" s="10" t="s">
        <v>1922</v>
      </c>
      <c r="J580" s="69">
        <v>45988</v>
      </c>
      <c r="K580" s="97">
        <f t="shared" si="102"/>
        <v>11</v>
      </c>
      <c r="L580" s="97">
        <v>578</v>
      </c>
      <c r="O580" s="7" t="s">
        <v>156</v>
      </c>
      <c r="T580" t="s">
        <v>1923</v>
      </c>
      <c r="X580" s="36"/>
      <c r="Y580" s="36" t="s">
        <v>141</v>
      </c>
      <c r="Z580" s="36"/>
      <c r="AA580" s="36"/>
      <c r="AB580" s="36"/>
      <c r="AC580" s="36"/>
      <c r="AD580" s="36"/>
      <c r="AE580" s="36"/>
      <c r="AF580" s="36"/>
      <c r="AG580" s="36"/>
      <c r="AH580" s="36" t="s">
        <v>141</v>
      </c>
      <c r="AI580" s="36" t="s">
        <v>141</v>
      </c>
      <c r="AJ580" s="36" t="s">
        <v>141</v>
      </c>
      <c r="AK580" s="117"/>
      <c r="AL580" s="36"/>
      <c r="AM580" s="36" t="s">
        <v>141</v>
      </c>
      <c r="AN580" s="36"/>
      <c r="AO580" s="36"/>
      <c r="AP580" s="36"/>
      <c r="AQ580" s="36"/>
      <c r="AR580" s="36"/>
      <c r="AS580" s="36" t="s">
        <v>141</v>
      </c>
      <c r="AT580" s="36" t="s">
        <v>141</v>
      </c>
      <c r="AU580" s="36"/>
      <c r="AV580" s="36"/>
      <c r="AW580" s="117"/>
      <c r="AX580" s="117"/>
      <c r="AY580" s="36"/>
      <c r="AZ580" s="36"/>
      <c r="BA580" s="117"/>
      <c r="BB580" s="117" t="s">
        <v>141</v>
      </c>
      <c r="BC580" s="117"/>
      <c r="BD580" s="117"/>
      <c r="BE580" s="117" t="s">
        <v>141</v>
      </c>
      <c r="BF580" s="117" t="s">
        <v>141</v>
      </c>
      <c r="BG580" s="117"/>
      <c r="BH580" s="117"/>
      <c r="BI580" s="117"/>
      <c r="BJ580" s="117"/>
      <c r="BK580" s="117"/>
      <c r="BL580" s="117"/>
      <c r="BM580" s="117">
        <f t="shared" si="103"/>
        <v>10</v>
      </c>
      <c r="BN580" s="117">
        <f t="shared" si="104"/>
        <v>3</v>
      </c>
      <c r="BO580" s="117">
        <f t="shared" si="105"/>
        <v>1</v>
      </c>
      <c r="BP580" s="153">
        <f t="shared" si="106"/>
        <v>7</v>
      </c>
      <c r="BQ580" s="74" t="s">
        <v>152</v>
      </c>
      <c r="BR580" s="74"/>
    </row>
    <row r="581" spans="1:70" hidden="1">
      <c r="A581">
        <v>567</v>
      </c>
      <c r="B581" s="75">
        <v>45988.624456018515</v>
      </c>
      <c r="E581" s="7">
        <v>45988</v>
      </c>
      <c r="F581">
        <v>1122</v>
      </c>
      <c r="I581" s="10" t="s">
        <v>1924</v>
      </c>
      <c r="J581" s="69">
        <v>45989</v>
      </c>
      <c r="K581" s="97">
        <f t="shared" ref="K581:K586" si="107">MONTH($J581)</f>
        <v>11</v>
      </c>
      <c r="L581" s="97">
        <v>579</v>
      </c>
      <c r="O581" s="7" t="s">
        <v>156</v>
      </c>
      <c r="T581" t="s">
        <v>1768</v>
      </c>
      <c r="X581" s="36"/>
      <c r="Y581" s="36" t="s">
        <v>141</v>
      </c>
      <c r="Z581" s="36" t="s">
        <v>141</v>
      </c>
      <c r="AA581" s="36" t="s">
        <v>141</v>
      </c>
      <c r="AB581" s="36"/>
      <c r="AC581" s="36" t="s">
        <v>141</v>
      </c>
      <c r="AD581" s="36"/>
      <c r="AE581" s="36"/>
      <c r="AF581" s="36"/>
      <c r="AG581" s="36"/>
      <c r="AH581" s="36" t="s">
        <v>141</v>
      </c>
      <c r="AI581" s="36" t="s">
        <v>141</v>
      </c>
      <c r="AJ581" s="36"/>
      <c r="AK581" s="117" t="s">
        <v>141</v>
      </c>
      <c r="AL581" s="36" t="s">
        <v>141</v>
      </c>
      <c r="AM581" s="36"/>
      <c r="AN581" s="36"/>
      <c r="AO581" s="36"/>
      <c r="AP581" s="36"/>
      <c r="AQ581" s="36"/>
      <c r="AR581" s="36"/>
      <c r="AS581" s="36" t="s">
        <v>141</v>
      </c>
      <c r="AT581" s="36"/>
      <c r="AU581" s="36"/>
      <c r="AV581" s="36"/>
      <c r="AW581" s="117" t="s">
        <v>141</v>
      </c>
      <c r="AX581" s="117"/>
      <c r="AY581" s="36"/>
      <c r="AZ581" s="36"/>
      <c r="BA581" s="117"/>
      <c r="BB581" s="117"/>
      <c r="BC581" s="117"/>
      <c r="BD581" s="117"/>
      <c r="BE581" s="117"/>
      <c r="BF581" s="117" t="s">
        <v>141</v>
      </c>
      <c r="BG581" s="117"/>
      <c r="BH581" s="117" t="s">
        <v>141</v>
      </c>
      <c r="BI581" s="117" t="s">
        <v>141</v>
      </c>
      <c r="BJ581" s="117"/>
      <c r="BK581" s="117"/>
      <c r="BL581" s="117"/>
      <c r="BM581" s="117">
        <f t="shared" ref="BM581:BM586" si="108">COUNTIF($X581:$BF581, "I")</f>
        <v>11</v>
      </c>
      <c r="BN581" s="117">
        <f t="shared" ref="BN581:BN586" si="109">COUNTIFS($X581:$BF581, "I",$X$2:$BF$2, "DR" )</f>
        <v>2</v>
      </c>
      <c r="BO581" s="117">
        <f t="shared" ref="BO581:BO586" si="110">COUNTIFS($X581:$BF581, "I",$X$5:$BF$5, "OF" )</f>
        <v>4</v>
      </c>
      <c r="BP581" s="153">
        <f t="shared" ref="BP581:BP586" si="111">COUNTIFS($X581:$BF581, "I",$X$5:$BF$5, "FF" )</f>
        <v>6</v>
      </c>
      <c r="BQ581" s="74" t="s">
        <v>273</v>
      </c>
      <c r="BR581" s="74"/>
    </row>
    <row r="582" spans="1:70" hidden="1">
      <c r="A582">
        <v>568</v>
      </c>
      <c r="B582" s="75">
        <v>45988.985775462963</v>
      </c>
      <c r="E582" s="7">
        <v>45989</v>
      </c>
      <c r="F582">
        <v>1123</v>
      </c>
      <c r="I582" s="10" t="s">
        <v>1925</v>
      </c>
      <c r="J582" s="69">
        <v>45989</v>
      </c>
      <c r="K582" s="97">
        <f t="shared" si="107"/>
        <v>11</v>
      </c>
      <c r="L582" s="97">
        <v>580</v>
      </c>
      <c r="O582" s="7" t="s">
        <v>449</v>
      </c>
      <c r="T582" t="s">
        <v>1926</v>
      </c>
      <c r="X582" s="36"/>
      <c r="Y582" s="36" t="s">
        <v>141</v>
      </c>
      <c r="Z582" s="36"/>
      <c r="AA582" s="36" t="s">
        <v>141</v>
      </c>
      <c r="AB582" s="36"/>
      <c r="AC582" s="36"/>
      <c r="AD582" s="36"/>
      <c r="AE582" s="36"/>
      <c r="AF582" s="36"/>
      <c r="AG582" s="36"/>
      <c r="AH582" s="36" t="s">
        <v>141</v>
      </c>
      <c r="AI582" s="36"/>
      <c r="AJ582" s="36" t="s">
        <v>141</v>
      </c>
      <c r="AK582" s="117"/>
      <c r="AL582" s="36"/>
      <c r="AM582" s="36" t="s">
        <v>141</v>
      </c>
      <c r="AN582" s="36"/>
      <c r="AO582" s="36" t="s">
        <v>141</v>
      </c>
      <c r="AP582" s="36"/>
      <c r="AQ582" s="36"/>
      <c r="AR582" s="36"/>
      <c r="AS582" s="36"/>
      <c r="AT582" s="36"/>
      <c r="AU582" s="36"/>
      <c r="AV582" s="36"/>
      <c r="AW582" s="117"/>
      <c r="AX582" s="117" t="s">
        <v>141</v>
      </c>
      <c r="AY582" s="36" t="s">
        <v>141</v>
      </c>
      <c r="AZ582" s="36" t="s">
        <v>141</v>
      </c>
      <c r="BA582" s="117"/>
      <c r="BB582" s="117"/>
      <c r="BC582" s="117"/>
      <c r="BD582" s="117" t="s">
        <v>141</v>
      </c>
      <c r="BE582" s="117"/>
      <c r="BF582" s="117" t="s">
        <v>141</v>
      </c>
      <c r="BG582" s="117"/>
      <c r="BH582" s="117"/>
      <c r="BI582" s="117"/>
      <c r="BJ582" s="117"/>
      <c r="BK582" s="117"/>
      <c r="BL582" s="117"/>
      <c r="BM582" s="117">
        <f t="shared" si="108"/>
        <v>11</v>
      </c>
      <c r="BN582" s="117">
        <f t="shared" si="109"/>
        <v>2</v>
      </c>
      <c r="BO582" s="117">
        <f t="shared" si="110"/>
        <v>2</v>
      </c>
      <c r="BP582" s="153">
        <f t="shared" si="111"/>
        <v>7</v>
      </c>
      <c r="BQ582" s="74" t="s">
        <v>1927</v>
      </c>
      <c r="BR582" s="74"/>
    </row>
    <row r="583" spans="1:70" hidden="1">
      <c r="A583">
        <v>569</v>
      </c>
      <c r="B583" s="75">
        <v>45988.99664351852</v>
      </c>
      <c r="E583" s="7">
        <v>45989</v>
      </c>
      <c r="F583">
        <v>1124</v>
      </c>
      <c r="I583" s="10" t="s">
        <v>1928</v>
      </c>
      <c r="J583" s="69">
        <v>45989</v>
      </c>
      <c r="K583" s="97">
        <f t="shared" si="107"/>
        <v>11</v>
      </c>
      <c r="L583" s="97">
        <v>581</v>
      </c>
      <c r="O583" s="7" t="s">
        <v>156</v>
      </c>
      <c r="T583" t="s">
        <v>1929</v>
      </c>
      <c r="X583" s="36"/>
      <c r="Y583" s="36" t="s">
        <v>141</v>
      </c>
      <c r="Z583" s="36"/>
      <c r="AA583" s="36" t="s">
        <v>141</v>
      </c>
      <c r="AB583" s="36"/>
      <c r="AC583" s="36"/>
      <c r="AD583" s="36"/>
      <c r="AE583" s="36"/>
      <c r="AF583" s="36"/>
      <c r="AG583" s="36"/>
      <c r="AH583" s="36" t="s">
        <v>141</v>
      </c>
      <c r="AI583" s="36"/>
      <c r="AJ583" s="36" t="s">
        <v>141</v>
      </c>
      <c r="AK583" s="117"/>
      <c r="AL583" s="36"/>
      <c r="AM583" s="36" t="s">
        <v>141</v>
      </c>
      <c r="AN583" s="36"/>
      <c r="AO583" s="36" t="s">
        <v>141</v>
      </c>
      <c r="AP583" s="36"/>
      <c r="AQ583" s="36"/>
      <c r="AR583" s="36"/>
      <c r="AS583" s="36"/>
      <c r="AT583" s="36"/>
      <c r="AU583" s="36"/>
      <c r="AV583" s="36"/>
      <c r="AW583" s="117"/>
      <c r="AX583" s="117" t="s">
        <v>141</v>
      </c>
      <c r="AY583" s="36" t="s">
        <v>141</v>
      </c>
      <c r="AZ583" s="36" t="s">
        <v>141</v>
      </c>
      <c r="BA583" s="117"/>
      <c r="BB583" s="117"/>
      <c r="BC583" s="117"/>
      <c r="BD583" s="117" t="s">
        <v>141</v>
      </c>
      <c r="BE583" s="117"/>
      <c r="BF583" s="117" t="s">
        <v>141</v>
      </c>
      <c r="BG583" s="117"/>
      <c r="BH583" s="117"/>
      <c r="BI583" s="117"/>
      <c r="BJ583" s="117"/>
      <c r="BK583" s="117"/>
      <c r="BL583" s="117"/>
      <c r="BM583" s="117">
        <f t="shared" si="108"/>
        <v>11</v>
      </c>
      <c r="BN583" s="117">
        <f t="shared" si="109"/>
        <v>2</v>
      </c>
      <c r="BO583" s="117">
        <f t="shared" si="110"/>
        <v>2</v>
      </c>
      <c r="BP583" s="153">
        <f t="shared" si="111"/>
        <v>7</v>
      </c>
      <c r="BQ583" s="74" t="s">
        <v>840</v>
      </c>
      <c r="BR583" s="74"/>
    </row>
    <row r="584" spans="1:70" hidden="1">
      <c r="A584">
        <v>570</v>
      </c>
      <c r="B584" s="75">
        <v>45989.031712962962</v>
      </c>
      <c r="E584" s="7">
        <v>45989</v>
      </c>
      <c r="F584">
        <v>1125</v>
      </c>
      <c r="I584" s="10" t="s">
        <v>1930</v>
      </c>
      <c r="J584" s="69">
        <v>45989</v>
      </c>
      <c r="K584" s="97">
        <f t="shared" si="107"/>
        <v>11</v>
      </c>
      <c r="L584" s="97">
        <v>582</v>
      </c>
      <c r="O584" s="7" t="s">
        <v>134</v>
      </c>
      <c r="T584" t="s">
        <v>1931</v>
      </c>
      <c r="X584" s="36"/>
      <c r="Y584" s="36" t="s">
        <v>141</v>
      </c>
      <c r="Z584" s="36"/>
      <c r="AA584" s="36" t="s">
        <v>141</v>
      </c>
      <c r="AB584" s="36"/>
      <c r="AC584" s="36"/>
      <c r="AD584" s="36"/>
      <c r="AE584" s="36"/>
      <c r="AF584" s="36"/>
      <c r="AG584" s="36"/>
      <c r="AH584" s="36" t="s">
        <v>141</v>
      </c>
      <c r="AI584" s="36"/>
      <c r="AJ584" s="36" t="s">
        <v>141</v>
      </c>
      <c r="AK584" s="117"/>
      <c r="AL584" s="36"/>
      <c r="AM584" s="36" t="s">
        <v>141</v>
      </c>
      <c r="AN584" s="36"/>
      <c r="AO584" s="36" t="s">
        <v>141</v>
      </c>
      <c r="AP584" s="36"/>
      <c r="AQ584" s="36"/>
      <c r="AR584" s="36"/>
      <c r="AS584" s="36" t="s">
        <v>141</v>
      </c>
      <c r="AT584" s="36"/>
      <c r="AU584" s="36"/>
      <c r="AV584" s="36" t="s">
        <v>141</v>
      </c>
      <c r="AW584" s="117"/>
      <c r="AX584" s="117"/>
      <c r="AY584" s="36" t="s">
        <v>141</v>
      </c>
      <c r="AZ584" s="36" t="s">
        <v>141</v>
      </c>
      <c r="BA584" s="117"/>
      <c r="BB584" s="117"/>
      <c r="BC584" s="117"/>
      <c r="BD584" s="117"/>
      <c r="BE584" s="117"/>
      <c r="BF584" s="117" t="s">
        <v>141</v>
      </c>
      <c r="BG584" s="117"/>
      <c r="BH584" s="117"/>
      <c r="BI584" s="117"/>
      <c r="BJ584" s="117"/>
      <c r="BK584" s="117"/>
      <c r="BL584" s="117"/>
      <c r="BM584" s="117">
        <f t="shared" si="108"/>
        <v>11</v>
      </c>
      <c r="BN584" s="117">
        <f t="shared" si="109"/>
        <v>3</v>
      </c>
      <c r="BO584" s="117">
        <f t="shared" si="110"/>
        <v>2</v>
      </c>
      <c r="BP584" s="153">
        <f t="shared" si="111"/>
        <v>8</v>
      </c>
      <c r="BQ584" s="74" t="s">
        <v>163</v>
      </c>
      <c r="BR584" s="74"/>
    </row>
    <row r="585" spans="1:70" hidden="1">
      <c r="A585">
        <v>571</v>
      </c>
      <c r="B585" s="75">
        <v>45990.242118055554</v>
      </c>
      <c r="E585" s="7">
        <v>45989</v>
      </c>
      <c r="F585">
        <v>1126</v>
      </c>
      <c r="I585" s="10" t="s">
        <v>1932</v>
      </c>
      <c r="J585" s="69">
        <v>45990</v>
      </c>
      <c r="K585" s="97">
        <f t="shared" si="107"/>
        <v>11</v>
      </c>
      <c r="L585" s="97">
        <v>583</v>
      </c>
      <c r="O585" s="7" t="s">
        <v>1526</v>
      </c>
      <c r="T585" t="s">
        <v>1933</v>
      </c>
      <c r="X585" s="36" t="s">
        <v>141</v>
      </c>
      <c r="Y585" s="36"/>
      <c r="Z585" s="36"/>
      <c r="AA585" s="36" t="s">
        <v>141</v>
      </c>
      <c r="AB585" s="36"/>
      <c r="AC585" s="36"/>
      <c r="AD585" s="36"/>
      <c r="AE585" s="36"/>
      <c r="AF585" s="36"/>
      <c r="AG585" s="36"/>
      <c r="AH585" s="36"/>
      <c r="AI585" s="36"/>
      <c r="AJ585" s="36" t="s">
        <v>141</v>
      </c>
      <c r="AK585" s="117"/>
      <c r="AL585" s="36" t="s">
        <v>141</v>
      </c>
      <c r="AM585" s="36"/>
      <c r="AN585" s="36" t="s">
        <v>141</v>
      </c>
      <c r="AO585" s="36" t="s">
        <v>141</v>
      </c>
      <c r="AP585" s="36" t="s">
        <v>141</v>
      </c>
      <c r="AQ585" s="36"/>
      <c r="AR585" s="36"/>
      <c r="AS585" s="36"/>
      <c r="AT585" s="36" t="s">
        <v>141</v>
      </c>
      <c r="AU585" s="36" t="s">
        <v>141</v>
      </c>
      <c r="AV585" s="36"/>
      <c r="AW585" s="117"/>
      <c r="AX585" s="117" t="s">
        <v>141</v>
      </c>
      <c r="AY585" s="36"/>
      <c r="AZ585" s="36"/>
      <c r="BA585" s="117"/>
      <c r="BB585" s="117"/>
      <c r="BC585" s="117"/>
      <c r="BD585" s="117" t="s">
        <v>141</v>
      </c>
      <c r="BE585" s="117"/>
      <c r="BF585" s="117"/>
      <c r="BG585" s="117"/>
      <c r="BH585" s="117" t="s">
        <v>141</v>
      </c>
      <c r="BI585" s="117"/>
      <c r="BJ585" s="117"/>
      <c r="BK585" s="117"/>
      <c r="BL585" s="117"/>
      <c r="BM585" s="117">
        <f t="shared" si="108"/>
        <v>11</v>
      </c>
      <c r="BN585" s="117">
        <f t="shared" si="109"/>
        <v>2</v>
      </c>
      <c r="BO585" s="117">
        <f t="shared" si="110"/>
        <v>2</v>
      </c>
      <c r="BP585" s="153">
        <f t="shared" si="111"/>
        <v>8</v>
      </c>
      <c r="BQ585" s="74" t="s">
        <v>1365</v>
      </c>
      <c r="BR585" s="74"/>
    </row>
    <row r="586" spans="1:70" hidden="1">
      <c r="A586">
        <v>572</v>
      </c>
      <c r="B586" s="75">
        <v>45990.322974537034</v>
      </c>
      <c r="E586" s="7">
        <v>45990</v>
      </c>
      <c r="F586">
        <v>1127</v>
      </c>
      <c r="I586" s="10" t="s">
        <v>1934</v>
      </c>
      <c r="J586" s="69">
        <v>45990</v>
      </c>
      <c r="K586" s="97">
        <f t="shared" si="107"/>
        <v>11</v>
      </c>
      <c r="L586" s="97">
        <v>584</v>
      </c>
      <c r="O586" s="7" t="s">
        <v>449</v>
      </c>
      <c r="T586" t="s">
        <v>1935</v>
      </c>
      <c r="X586" s="36" t="s">
        <v>141</v>
      </c>
      <c r="Y586" s="36"/>
      <c r="Z586" s="36"/>
      <c r="AA586" s="36" t="s">
        <v>141</v>
      </c>
      <c r="AB586" s="36"/>
      <c r="AC586" s="36" t="s">
        <v>141</v>
      </c>
      <c r="AD586" s="36"/>
      <c r="AE586" s="36"/>
      <c r="AF586" s="36"/>
      <c r="AG586" s="36"/>
      <c r="AH586" s="36"/>
      <c r="AI586" s="36"/>
      <c r="AJ586" s="36" t="s">
        <v>141</v>
      </c>
      <c r="AK586" s="117"/>
      <c r="AL586" s="36"/>
      <c r="AM586" s="36"/>
      <c r="AN586" s="36" t="s">
        <v>141</v>
      </c>
      <c r="AO586" s="36" t="s">
        <v>141</v>
      </c>
      <c r="AP586" s="36"/>
      <c r="AQ586" s="36"/>
      <c r="AR586" s="36"/>
      <c r="AS586" s="36"/>
      <c r="AT586" s="36" t="s">
        <v>141</v>
      </c>
      <c r="AU586" s="36"/>
      <c r="AV586" s="36"/>
      <c r="AW586" s="117"/>
      <c r="AX586" s="117" t="s">
        <v>141</v>
      </c>
      <c r="AY586" s="36"/>
      <c r="AZ586" s="36"/>
      <c r="BA586" s="117"/>
      <c r="BB586" s="117"/>
      <c r="BC586" s="117"/>
      <c r="BD586" s="117" t="s">
        <v>141</v>
      </c>
      <c r="BE586" s="117"/>
      <c r="BF586" s="117"/>
      <c r="BG586" s="117"/>
      <c r="BH586" s="117" t="s">
        <v>141</v>
      </c>
      <c r="BI586" s="117"/>
      <c r="BJ586" s="117"/>
      <c r="BK586" s="117"/>
      <c r="BL586" s="117"/>
      <c r="BM586" s="117">
        <f t="shared" si="108"/>
        <v>9</v>
      </c>
      <c r="BN586" s="117">
        <f t="shared" si="109"/>
        <v>2</v>
      </c>
      <c r="BO586" s="117">
        <f t="shared" si="110"/>
        <v>3</v>
      </c>
      <c r="BP586" s="153">
        <f t="shared" si="111"/>
        <v>5</v>
      </c>
      <c r="BQ586" s="74" t="s">
        <v>308</v>
      </c>
      <c r="BR586" s="74"/>
    </row>
    <row r="587" spans="1:70" hidden="1">
      <c r="A587">
        <v>573</v>
      </c>
      <c r="B587" s="75">
        <v>45991.081574074073</v>
      </c>
      <c r="E587" s="7">
        <v>45991</v>
      </c>
      <c r="F587">
        <v>1128</v>
      </c>
      <c r="I587" s="10" t="s">
        <v>1936</v>
      </c>
      <c r="J587" s="69">
        <v>45991</v>
      </c>
      <c r="K587" s="97">
        <f t="shared" ref="K587:K597" si="112">MONTH($J587)</f>
        <v>11</v>
      </c>
      <c r="L587" s="97">
        <v>585</v>
      </c>
      <c r="O587" s="7" t="s">
        <v>197</v>
      </c>
      <c r="T587" t="s">
        <v>1937</v>
      </c>
      <c r="X587" s="36" t="s">
        <v>141</v>
      </c>
      <c r="Y587" s="36" t="s">
        <v>141</v>
      </c>
      <c r="Z587" s="36" t="s">
        <v>141</v>
      </c>
      <c r="AA587" s="36" t="s">
        <v>141</v>
      </c>
      <c r="AB587" s="36" t="s">
        <v>141</v>
      </c>
      <c r="AC587" s="36"/>
      <c r="AD587" s="36"/>
      <c r="AE587" s="36"/>
      <c r="AF587" s="36"/>
      <c r="AG587" s="36"/>
      <c r="AH587" s="36" t="s">
        <v>141</v>
      </c>
      <c r="AI587" s="36"/>
      <c r="AJ587" s="36" t="s">
        <v>141</v>
      </c>
      <c r="AK587" s="117" t="s">
        <v>141</v>
      </c>
      <c r="AL587" s="36" t="s">
        <v>141</v>
      </c>
      <c r="AM587" s="36" t="s">
        <v>141</v>
      </c>
      <c r="AN587" s="36"/>
      <c r="AO587" s="36" t="s">
        <v>141</v>
      </c>
      <c r="AP587" s="36" t="s">
        <v>141</v>
      </c>
      <c r="AQ587" s="36"/>
      <c r="AR587" s="36" t="s">
        <v>141</v>
      </c>
      <c r="AS587" s="36"/>
      <c r="AT587" s="36"/>
      <c r="AU587" s="36"/>
      <c r="AV587" s="36"/>
      <c r="AW587" s="117"/>
      <c r="AX587" s="117" t="s">
        <v>141</v>
      </c>
      <c r="AY587" s="36"/>
      <c r="AZ587" s="36"/>
      <c r="BA587" s="117"/>
      <c r="BB587" s="117"/>
      <c r="BC587" s="117"/>
      <c r="BD587" s="117" t="s">
        <v>141</v>
      </c>
      <c r="BE587" s="117"/>
      <c r="BF587" s="117" t="s">
        <v>141</v>
      </c>
      <c r="BG587" s="117"/>
      <c r="BH587" s="117"/>
      <c r="BI587" s="117" t="s">
        <v>141</v>
      </c>
      <c r="BJ587" s="117"/>
      <c r="BK587" s="117"/>
      <c r="BL587" s="117"/>
      <c r="BM587" s="117">
        <f t="shared" ref="BM587:BM597" si="113">COUNTIF($X587:$BF587, "I")</f>
        <v>16</v>
      </c>
      <c r="BN587" s="117">
        <f t="shared" ref="BN587:BN597" si="114">COUNTIFS($X587:$BF587, "I",$X$2:$BF$2, "DR" )</f>
        <v>4</v>
      </c>
      <c r="BO587" s="117">
        <f t="shared" ref="BO587:BO597" si="115">COUNTIFS($X587:$BF587, "I",$X$5:$BF$5, "OF" )</f>
        <v>5</v>
      </c>
      <c r="BP587" s="153">
        <f t="shared" ref="BP587:BP597" si="116">COUNTIFS($X587:$BF587, "I",$X$5:$BF$5, "FF" )</f>
        <v>9</v>
      </c>
      <c r="BQ587" s="74" t="s">
        <v>208</v>
      </c>
      <c r="BR587" s="74"/>
    </row>
    <row r="588" spans="1:70" hidden="1">
      <c r="A588">
        <v>574</v>
      </c>
      <c r="B588" s="75">
        <v>45991.699444444443</v>
      </c>
      <c r="E588" s="7">
        <v>45992</v>
      </c>
      <c r="F588">
        <v>1129</v>
      </c>
      <c r="I588" s="10" t="s">
        <v>1938</v>
      </c>
      <c r="J588" s="69">
        <v>45992</v>
      </c>
      <c r="K588" s="97">
        <f t="shared" si="112"/>
        <v>12</v>
      </c>
      <c r="L588" s="97">
        <v>586</v>
      </c>
      <c r="O588" s="7" t="s">
        <v>156</v>
      </c>
      <c r="T588" t="s">
        <v>1939</v>
      </c>
      <c r="X588" s="36"/>
      <c r="Y588" s="36" t="s">
        <v>141</v>
      </c>
      <c r="Z588" s="36"/>
      <c r="AA588" s="36" t="s">
        <v>141</v>
      </c>
      <c r="AB588" s="36" t="s">
        <v>141</v>
      </c>
      <c r="AC588" s="36"/>
      <c r="AD588" s="36" t="s">
        <v>141</v>
      </c>
      <c r="AE588" s="36"/>
      <c r="AF588" s="36"/>
      <c r="AG588" s="36"/>
      <c r="AH588" s="36" t="s">
        <v>141</v>
      </c>
      <c r="AI588" s="36"/>
      <c r="AJ588" s="36"/>
      <c r="AK588" s="117" t="s">
        <v>141</v>
      </c>
      <c r="AL588" s="36"/>
      <c r="AM588" s="36"/>
      <c r="AN588" s="36"/>
      <c r="AO588" s="36" t="s">
        <v>141</v>
      </c>
      <c r="AP588" s="36"/>
      <c r="AQ588" s="36"/>
      <c r="AR588" s="36"/>
      <c r="AS588" s="36"/>
      <c r="AT588" s="36"/>
      <c r="AU588" s="36"/>
      <c r="AV588" s="36"/>
      <c r="AW588" s="117"/>
      <c r="AX588" s="117"/>
      <c r="AY588" s="36"/>
      <c r="AZ588" s="36"/>
      <c r="BA588" s="117"/>
      <c r="BB588" s="117"/>
      <c r="BC588" s="117"/>
      <c r="BD588" s="117"/>
      <c r="BE588" s="117"/>
      <c r="BF588" s="117" t="s">
        <v>141</v>
      </c>
      <c r="BG588" s="117"/>
      <c r="BH588" s="117" t="s">
        <v>141</v>
      </c>
      <c r="BI588" s="117"/>
      <c r="BJ588" s="117"/>
      <c r="BK588" s="117"/>
      <c r="BL588" s="117"/>
      <c r="BM588" s="117">
        <f t="shared" si="113"/>
        <v>8</v>
      </c>
      <c r="BN588" s="117">
        <f t="shared" si="114"/>
        <v>1</v>
      </c>
      <c r="BO588" s="117">
        <f t="shared" si="115"/>
        <v>4</v>
      </c>
      <c r="BP588" s="153">
        <f t="shared" si="116"/>
        <v>3</v>
      </c>
      <c r="BQ588" s="74" t="s">
        <v>178</v>
      </c>
      <c r="BR588" s="74"/>
    </row>
    <row r="589" spans="1:70" hidden="1">
      <c r="A589">
        <v>575</v>
      </c>
      <c r="B589" s="75">
        <v>45991.83017361111</v>
      </c>
      <c r="E589" s="7">
        <v>45992</v>
      </c>
      <c r="F589">
        <v>1130</v>
      </c>
      <c r="I589" s="10" t="s">
        <v>1940</v>
      </c>
      <c r="J589" s="69">
        <v>45992</v>
      </c>
      <c r="K589" s="97">
        <f t="shared" si="112"/>
        <v>12</v>
      </c>
      <c r="L589" s="97">
        <v>587</v>
      </c>
      <c r="O589" s="7" t="s">
        <v>156</v>
      </c>
      <c r="T589" t="s">
        <v>1941</v>
      </c>
      <c r="X589" s="36"/>
      <c r="Y589" s="36" t="s">
        <v>141</v>
      </c>
      <c r="Z589" s="36"/>
      <c r="AA589" s="36" t="s">
        <v>141</v>
      </c>
      <c r="AB589" s="36"/>
      <c r="AC589" s="36"/>
      <c r="AD589" s="36" t="s">
        <v>141</v>
      </c>
      <c r="AE589" s="36"/>
      <c r="AF589" s="36"/>
      <c r="AG589" s="36"/>
      <c r="AH589" s="36" t="s">
        <v>141</v>
      </c>
      <c r="AI589" s="36"/>
      <c r="AJ589" s="36" t="s">
        <v>141</v>
      </c>
      <c r="AK589" s="117" t="s">
        <v>141</v>
      </c>
      <c r="AL589" s="36" t="s">
        <v>141</v>
      </c>
      <c r="AM589" s="36"/>
      <c r="AN589" s="36"/>
      <c r="AO589" s="36"/>
      <c r="AP589" s="36"/>
      <c r="AQ589" s="36"/>
      <c r="AR589" s="36"/>
      <c r="AS589" s="36" t="s">
        <v>141</v>
      </c>
      <c r="AT589" s="36"/>
      <c r="AU589" s="36"/>
      <c r="AV589" s="36" t="s">
        <v>141</v>
      </c>
      <c r="AW589" s="117"/>
      <c r="AX589" s="117"/>
      <c r="AY589" s="36"/>
      <c r="AZ589" s="36" t="s">
        <v>141</v>
      </c>
      <c r="BA589" s="117"/>
      <c r="BB589" s="117"/>
      <c r="BC589" s="117"/>
      <c r="BD589" s="117"/>
      <c r="BE589" s="117"/>
      <c r="BF589" s="117" t="s">
        <v>141</v>
      </c>
      <c r="BG589" s="117"/>
      <c r="BH589" s="117"/>
      <c r="BI589" s="117"/>
      <c r="BJ589" s="117"/>
      <c r="BK589" s="117"/>
      <c r="BL589" s="117"/>
      <c r="BM589" s="117">
        <f t="shared" si="113"/>
        <v>11</v>
      </c>
      <c r="BN589" s="117">
        <f t="shared" si="114"/>
        <v>3</v>
      </c>
      <c r="BO589" s="117">
        <f t="shared" si="115"/>
        <v>3</v>
      </c>
      <c r="BP589" s="153">
        <f t="shared" si="116"/>
        <v>7</v>
      </c>
      <c r="BQ589" s="74" t="s">
        <v>840</v>
      </c>
      <c r="BR589" s="74"/>
    </row>
    <row r="590" spans="1:70" hidden="1">
      <c r="A590">
        <v>576</v>
      </c>
      <c r="B590" s="75">
        <v>45992.883101851854</v>
      </c>
      <c r="E590" s="7">
        <v>45993</v>
      </c>
      <c r="F590">
        <v>1131</v>
      </c>
      <c r="I590" s="10" t="s">
        <v>1942</v>
      </c>
      <c r="J590" s="69">
        <v>45993</v>
      </c>
      <c r="K590" s="97">
        <f t="shared" si="112"/>
        <v>12</v>
      </c>
      <c r="L590" s="97">
        <v>588</v>
      </c>
      <c r="O590" s="7" t="s">
        <v>146</v>
      </c>
      <c r="T590" t="s">
        <v>1943</v>
      </c>
      <c r="X590" s="36"/>
      <c r="Y590" s="36" t="s">
        <v>141</v>
      </c>
      <c r="Z590" s="36"/>
      <c r="AA590" s="36" t="s">
        <v>141</v>
      </c>
      <c r="AB590" s="36"/>
      <c r="AC590" s="36"/>
      <c r="AD590" s="36" t="s">
        <v>141</v>
      </c>
      <c r="AE590" s="36"/>
      <c r="AF590" s="36"/>
      <c r="AG590" s="36"/>
      <c r="AH590" s="36"/>
      <c r="AI590" s="36"/>
      <c r="AJ590" s="36" t="s">
        <v>141</v>
      </c>
      <c r="AK590" s="117"/>
      <c r="AL590" s="36"/>
      <c r="AM590" s="36" t="s">
        <v>141</v>
      </c>
      <c r="AN590" s="36"/>
      <c r="AO590" s="36"/>
      <c r="AP590" s="36"/>
      <c r="AQ590" s="36"/>
      <c r="AR590" s="36"/>
      <c r="AS590" s="36"/>
      <c r="AT590" s="36" t="s">
        <v>141</v>
      </c>
      <c r="AU590" s="36"/>
      <c r="AV590" s="36" t="s">
        <v>141</v>
      </c>
      <c r="AW590" s="117"/>
      <c r="AX590" s="117"/>
      <c r="AY590" s="36"/>
      <c r="AZ590" s="36"/>
      <c r="BA590" s="117"/>
      <c r="BB590" s="117"/>
      <c r="BC590" s="117"/>
      <c r="BD590" s="117"/>
      <c r="BE590" s="117"/>
      <c r="BF590" s="117"/>
      <c r="BG590" s="117"/>
      <c r="BH590" s="117"/>
      <c r="BI590" s="117"/>
      <c r="BJ590" s="117"/>
      <c r="BK590" s="117"/>
      <c r="BL590" s="117"/>
      <c r="BM590" s="117">
        <f t="shared" si="113"/>
        <v>7</v>
      </c>
      <c r="BN590" s="117">
        <f t="shared" si="114"/>
        <v>2</v>
      </c>
      <c r="BO590" s="117">
        <f t="shared" si="115"/>
        <v>3</v>
      </c>
      <c r="BP590" s="153">
        <f t="shared" si="116"/>
        <v>4</v>
      </c>
      <c r="BQ590" s="74" t="s">
        <v>502</v>
      </c>
      <c r="BR590" s="74"/>
    </row>
    <row r="591" spans="1:70" hidden="1">
      <c r="A591">
        <v>577</v>
      </c>
      <c r="B591" s="75">
        <v>45993.11478009259</v>
      </c>
      <c r="E591" s="7">
        <v>45993</v>
      </c>
      <c r="F591">
        <v>1132</v>
      </c>
      <c r="I591" s="10" t="s">
        <v>1944</v>
      </c>
      <c r="J591" s="69">
        <v>45993</v>
      </c>
      <c r="K591" s="97">
        <f t="shared" si="112"/>
        <v>12</v>
      </c>
      <c r="L591" s="97">
        <v>589</v>
      </c>
      <c r="O591" s="7" t="s">
        <v>219</v>
      </c>
      <c r="T591" t="s">
        <v>1945</v>
      </c>
      <c r="X591" s="36" t="s">
        <v>141</v>
      </c>
      <c r="Y591" s="36" t="s">
        <v>141</v>
      </c>
      <c r="Z591" s="36"/>
      <c r="AA591" s="36" t="s">
        <v>141</v>
      </c>
      <c r="AB591" s="36"/>
      <c r="AC591" s="36"/>
      <c r="AD591" s="36" t="s">
        <v>141</v>
      </c>
      <c r="AE591" s="36"/>
      <c r="AF591" s="36"/>
      <c r="AG591" s="36"/>
      <c r="AH591" s="36" t="s">
        <v>141</v>
      </c>
      <c r="AI591" s="36"/>
      <c r="AJ591" s="36" t="s">
        <v>141</v>
      </c>
      <c r="AK591" s="117"/>
      <c r="AL591" s="36"/>
      <c r="AM591" s="36" t="s">
        <v>141</v>
      </c>
      <c r="AN591" s="36"/>
      <c r="AO591" s="36"/>
      <c r="AP591" s="36" t="s">
        <v>141</v>
      </c>
      <c r="AQ591" s="36"/>
      <c r="AR591" s="36"/>
      <c r="AS591" s="36"/>
      <c r="AT591" s="36"/>
      <c r="AU591" s="36"/>
      <c r="AV591" s="36" t="s">
        <v>141</v>
      </c>
      <c r="AW591" s="117" t="s">
        <v>141</v>
      </c>
      <c r="AX591" s="117"/>
      <c r="AY591" s="36"/>
      <c r="AZ591" s="36"/>
      <c r="BA591" s="117"/>
      <c r="BB591" s="117"/>
      <c r="BC591" s="117"/>
      <c r="BD591" s="117" t="s">
        <v>141</v>
      </c>
      <c r="BE591" s="117"/>
      <c r="BF591" s="117" t="s">
        <v>141</v>
      </c>
      <c r="BG591" s="117"/>
      <c r="BH591" s="117"/>
      <c r="BI591" s="117"/>
      <c r="BJ591" s="117"/>
      <c r="BK591" s="117"/>
      <c r="BL591" s="117"/>
      <c r="BM591" s="117">
        <f t="shared" si="113"/>
        <v>12</v>
      </c>
      <c r="BN591" s="117">
        <f t="shared" si="114"/>
        <v>2</v>
      </c>
      <c r="BO591" s="117">
        <f t="shared" si="115"/>
        <v>4</v>
      </c>
      <c r="BP591" s="153">
        <f t="shared" si="116"/>
        <v>6</v>
      </c>
      <c r="BQ591" s="74" t="s">
        <v>610</v>
      </c>
      <c r="BR591" s="74"/>
    </row>
    <row r="592" spans="1:70" hidden="1">
      <c r="A592">
        <v>578</v>
      </c>
      <c r="B592" s="75">
        <v>45993.12195601852</v>
      </c>
      <c r="E592" s="7">
        <v>45993</v>
      </c>
      <c r="F592">
        <v>1133</v>
      </c>
      <c r="I592" s="10" t="s">
        <v>1946</v>
      </c>
      <c r="J592" s="69">
        <v>45993</v>
      </c>
      <c r="K592" s="97">
        <f t="shared" si="112"/>
        <v>12</v>
      </c>
      <c r="L592" s="97">
        <v>590</v>
      </c>
      <c r="O592" s="7" t="s">
        <v>234</v>
      </c>
      <c r="T592" t="s">
        <v>1947</v>
      </c>
      <c r="X592" s="36" t="s">
        <v>141</v>
      </c>
      <c r="Y592" s="36" t="s">
        <v>141</v>
      </c>
      <c r="Z592" s="36"/>
      <c r="AA592" s="36" t="s">
        <v>141</v>
      </c>
      <c r="AB592" s="36"/>
      <c r="AC592" s="36"/>
      <c r="AD592" s="36" t="s">
        <v>141</v>
      </c>
      <c r="AE592" s="36"/>
      <c r="AF592" s="36"/>
      <c r="AG592" s="36"/>
      <c r="AH592" s="36" t="s">
        <v>141</v>
      </c>
      <c r="AI592" s="36"/>
      <c r="AJ592" s="36" t="s">
        <v>141</v>
      </c>
      <c r="AK592" s="117"/>
      <c r="AL592" s="36"/>
      <c r="AM592" s="36" t="s">
        <v>141</v>
      </c>
      <c r="AN592" s="36"/>
      <c r="AO592" s="36"/>
      <c r="AP592" s="36" t="s">
        <v>141</v>
      </c>
      <c r="AQ592" s="36"/>
      <c r="AR592" s="36"/>
      <c r="AS592" s="36"/>
      <c r="AT592" s="36"/>
      <c r="AU592" s="36"/>
      <c r="AV592" s="36" t="s">
        <v>141</v>
      </c>
      <c r="AW592" s="117" t="s">
        <v>141</v>
      </c>
      <c r="AX592" s="117"/>
      <c r="AY592" s="36"/>
      <c r="AZ592" s="36"/>
      <c r="BA592" s="117"/>
      <c r="BB592" s="117"/>
      <c r="BC592" s="117"/>
      <c r="BD592" s="117" t="s">
        <v>141</v>
      </c>
      <c r="BE592" s="117"/>
      <c r="BF592" s="117" t="s">
        <v>141</v>
      </c>
      <c r="BG592" s="117"/>
      <c r="BH592" s="117"/>
      <c r="BI592" s="117" t="s">
        <v>141</v>
      </c>
      <c r="BJ592" s="117"/>
      <c r="BK592" s="117"/>
      <c r="BL592" s="117"/>
      <c r="BM592" s="117">
        <f t="shared" si="113"/>
        <v>12</v>
      </c>
      <c r="BN592" s="117">
        <f t="shared" si="114"/>
        <v>2</v>
      </c>
      <c r="BO592" s="117">
        <f t="shared" si="115"/>
        <v>4</v>
      </c>
      <c r="BP592" s="153">
        <f t="shared" si="116"/>
        <v>6</v>
      </c>
      <c r="BQ592" s="74" t="s">
        <v>1033</v>
      </c>
      <c r="BR592" s="74"/>
    </row>
    <row r="593" spans="1:70" hidden="1">
      <c r="A593">
        <v>579</v>
      </c>
      <c r="B593" s="75">
        <v>45994.207939814813</v>
      </c>
      <c r="E593" s="7">
        <v>45993</v>
      </c>
      <c r="F593">
        <v>1134</v>
      </c>
      <c r="I593" s="10" t="s">
        <v>1948</v>
      </c>
      <c r="J593" s="69">
        <v>45994</v>
      </c>
      <c r="K593" s="97">
        <f t="shared" si="112"/>
        <v>12</v>
      </c>
      <c r="L593" s="97">
        <v>591</v>
      </c>
      <c r="O593" s="7" t="s">
        <v>156</v>
      </c>
      <c r="T593" t="s">
        <v>1949</v>
      </c>
      <c r="X593" s="36" t="s">
        <v>141</v>
      </c>
      <c r="Y593" s="36" t="s">
        <v>141</v>
      </c>
      <c r="Z593" s="36"/>
      <c r="AA593" s="36" t="s">
        <v>141</v>
      </c>
      <c r="AB593" s="36"/>
      <c r="AC593" s="36"/>
      <c r="AD593" s="36" t="s">
        <v>141</v>
      </c>
      <c r="AE593" s="36"/>
      <c r="AF593" s="36"/>
      <c r="AG593" s="36" t="s">
        <v>141</v>
      </c>
      <c r="AH593" s="36"/>
      <c r="AI593" s="36"/>
      <c r="AJ593" s="36" t="s">
        <v>141</v>
      </c>
      <c r="AK593" s="117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 t="s">
        <v>141</v>
      </c>
      <c r="AW593" s="117" t="s">
        <v>141</v>
      </c>
      <c r="AX593" s="117"/>
      <c r="AY593" s="36"/>
      <c r="AZ593" s="36"/>
      <c r="BA593" s="117" t="s">
        <v>141</v>
      </c>
      <c r="BB593" s="117" t="s">
        <v>141</v>
      </c>
      <c r="BC593" s="117"/>
      <c r="BD593" s="117" t="s">
        <v>141</v>
      </c>
      <c r="BE593" s="117"/>
      <c r="BF593" s="117"/>
      <c r="BG593" s="117"/>
      <c r="BH593" s="117"/>
      <c r="BI593" s="117"/>
      <c r="BJ593" s="117"/>
      <c r="BK593" s="117"/>
      <c r="BL593" s="117"/>
      <c r="BM593" s="117">
        <f t="shared" si="113"/>
        <v>11</v>
      </c>
      <c r="BN593" s="117">
        <f t="shared" si="114"/>
        <v>2</v>
      </c>
      <c r="BO593" s="117">
        <f t="shared" si="115"/>
        <v>4</v>
      </c>
      <c r="BP593" s="153">
        <f t="shared" si="116"/>
        <v>6</v>
      </c>
      <c r="BQ593" s="74" t="s">
        <v>1950</v>
      </c>
      <c r="BR593" s="74"/>
    </row>
    <row r="594" spans="1:70" hidden="1">
      <c r="A594">
        <v>580</v>
      </c>
      <c r="B594" s="75">
        <v>45994.219363425924</v>
      </c>
      <c r="E594" s="7">
        <v>45994</v>
      </c>
      <c r="F594">
        <v>1135</v>
      </c>
      <c r="I594" s="10" t="s">
        <v>1951</v>
      </c>
      <c r="J594" s="69">
        <v>45994</v>
      </c>
      <c r="K594" s="97">
        <f t="shared" si="112"/>
        <v>12</v>
      </c>
      <c r="L594" s="97">
        <v>592</v>
      </c>
      <c r="O594" s="7" t="s">
        <v>156</v>
      </c>
      <c r="T594" t="s">
        <v>1952</v>
      </c>
      <c r="X594" s="36"/>
      <c r="Y594" s="36" t="s">
        <v>141</v>
      </c>
      <c r="Z594" s="36"/>
      <c r="AA594" s="36" t="s">
        <v>141</v>
      </c>
      <c r="AB594" s="36" t="s">
        <v>141</v>
      </c>
      <c r="AC594" s="36"/>
      <c r="AD594" s="36" t="s">
        <v>141</v>
      </c>
      <c r="AE594" s="36"/>
      <c r="AF594" s="36"/>
      <c r="AG594" s="36"/>
      <c r="AH594" s="36"/>
      <c r="AI594" s="36"/>
      <c r="AJ594" s="36"/>
      <c r="AK594" s="117"/>
      <c r="AL594" s="36" t="s">
        <v>141</v>
      </c>
      <c r="AM594" s="36"/>
      <c r="AN594" s="36"/>
      <c r="AO594" s="36"/>
      <c r="AP594" s="36"/>
      <c r="AQ594" s="36"/>
      <c r="AR594" s="36"/>
      <c r="AS594" s="36"/>
      <c r="AT594" s="36"/>
      <c r="AU594" s="36" t="s">
        <v>141</v>
      </c>
      <c r="AV594" s="36" t="s">
        <v>141</v>
      </c>
      <c r="AW594" s="117" t="s">
        <v>141</v>
      </c>
      <c r="AX594" s="117" t="s">
        <v>141</v>
      </c>
      <c r="AY594" s="36"/>
      <c r="AZ594" s="36" t="s">
        <v>141</v>
      </c>
      <c r="BA594" s="117" t="s">
        <v>141</v>
      </c>
      <c r="BB594" s="117"/>
      <c r="BC594" s="117" t="s">
        <v>141</v>
      </c>
      <c r="BD594" s="117"/>
      <c r="BE594" s="117"/>
      <c r="BF594" s="117"/>
      <c r="BG594" s="117"/>
      <c r="BH594" s="117"/>
      <c r="BI594" s="117"/>
      <c r="BJ594" s="117"/>
      <c r="BK594" s="117"/>
      <c r="BL594" s="117"/>
      <c r="BM594" s="117">
        <f t="shared" si="113"/>
        <v>12</v>
      </c>
      <c r="BN594" s="117">
        <f t="shared" si="114"/>
        <v>0</v>
      </c>
      <c r="BO594" s="117">
        <f t="shared" si="115"/>
        <v>4</v>
      </c>
      <c r="BP594" s="153">
        <f t="shared" si="116"/>
        <v>8</v>
      </c>
      <c r="BQ594" s="74" t="s">
        <v>171</v>
      </c>
      <c r="BR594" s="74"/>
    </row>
    <row r="595" spans="1:70" hidden="1">
      <c r="A595">
        <v>581</v>
      </c>
      <c r="B595" s="75">
        <v>45996.939687500002</v>
      </c>
      <c r="E595" s="7">
        <v>45993</v>
      </c>
      <c r="F595">
        <v>1136</v>
      </c>
      <c r="I595" s="10" t="s">
        <v>1953</v>
      </c>
      <c r="J595" s="69">
        <v>45997</v>
      </c>
      <c r="K595" s="97">
        <f t="shared" si="112"/>
        <v>12</v>
      </c>
      <c r="L595" s="97">
        <v>593</v>
      </c>
      <c r="O595" s="7" t="s">
        <v>197</v>
      </c>
      <c r="T595" t="s">
        <v>1954</v>
      </c>
      <c r="X595" s="36"/>
      <c r="Y595" s="36" t="s">
        <v>141</v>
      </c>
      <c r="Z595" s="36"/>
      <c r="AA595" s="36" t="s">
        <v>141</v>
      </c>
      <c r="AB595" s="36"/>
      <c r="AC595" s="36"/>
      <c r="AD595" s="36"/>
      <c r="AE595" s="36"/>
      <c r="AF595" s="36"/>
      <c r="AG595" s="36"/>
      <c r="AH595" s="36"/>
      <c r="AI595" s="36"/>
      <c r="AJ595" s="36" t="s">
        <v>141</v>
      </c>
      <c r="AK595" s="117" t="s">
        <v>141</v>
      </c>
      <c r="AL595" s="36"/>
      <c r="AM595" s="36" t="s">
        <v>141</v>
      </c>
      <c r="AN595" s="36"/>
      <c r="AO595" s="36" t="s">
        <v>141</v>
      </c>
      <c r="AP595" s="36"/>
      <c r="AQ595" s="36"/>
      <c r="AR595" s="36"/>
      <c r="AS595" s="36"/>
      <c r="AT595" s="36" t="s">
        <v>141</v>
      </c>
      <c r="AU595" s="36"/>
      <c r="AV595" s="36" t="s">
        <v>141</v>
      </c>
      <c r="AW595" s="117"/>
      <c r="AX595" s="117"/>
      <c r="AY595" s="36"/>
      <c r="AZ595" s="36"/>
      <c r="BA595" s="117"/>
      <c r="BB595" s="117"/>
      <c r="BC595" s="117"/>
      <c r="BD595" s="117"/>
      <c r="BE595" s="117" t="s">
        <v>141</v>
      </c>
      <c r="BF595" s="117"/>
      <c r="BG595" s="117"/>
      <c r="BH595" s="117"/>
      <c r="BI595" s="117"/>
      <c r="BJ595" s="117" t="s">
        <v>141</v>
      </c>
      <c r="BK595" s="117"/>
      <c r="BL595" s="117"/>
      <c r="BM595" s="117">
        <f t="shared" si="113"/>
        <v>9</v>
      </c>
      <c r="BN595" s="117">
        <f t="shared" si="114"/>
        <v>3</v>
      </c>
      <c r="BO595" s="117">
        <f t="shared" si="115"/>
        <v>2</v>
      </c>
      <c r="BP595" s="153">
        <f t="shared" si="116"/>
        <v>6</v>
      </c>
      <c r="BQ595" s="74" t="s">
        <v>178</v>
      </c>
      <c r="BR595" s="74"/>
    </row>
    <row r="596" spans="1:70" hidden="1">
      <c r="A596">
        <v>582</v>
      </c>
      <c r="B596" s="75">
        <v>45997.957245370373</v>
      </c>
      <c r="E596" s="7">
        <v>45998</v>
      </c>
      <c r="F596">
        <v>1137</v>
      </c>
      <c r="I596" s="10" t="s">
        <v>1955</v>
      </c>
      <c r="J596" s="69">
        <v>45998</v>
      </c>
      <c r="K596" s="97">
        <f t="shared" si="112"/>
        <v>12</v>
      </c>
      <c r="L596" s="97">
        <v>594</v>
      </c>
      <c r="O596" s="7" t="s">
        <v>1956</v>
      </c>
      <c r="T596" t="s">
        <v>1957</v>
      </c>
      <c r="X596" s="36"/>
      <c r="Y596" s="36"/>
      <c r="Z596" s="36" t="s">
        <v>141</v>
      </c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117"/>
      <c r="AL596" s="36"/>
      <c r="AM596" s="36"/>
      <c r="AN596" s="36"/>
      <c r="AO596" s="36"/>
      <c r="AP596" s="36"/>
      <c r="AQ596" s="36"/>
      <c r="AR596" s="36"/>
      <c r="AS596" s="36" t="s">
        <v>141</v>
      </c>
      <c r="AT596" s="36" t="s">
        <v>141</v>
      </c>
      <c r="AU596" s="36"/>
      <c r="AV596" s="36" t="s">
        <v>141</v>
      </c>
      <c r="AW596" s="117"/>
      <c r="AX596" s="117"/>
      <c r="AY596" s="36"/>
      <c r="AZ596" s="36"/>
      <c r="BA596" s="117"/>
      <c r="BB596" s="117"/>
      <c r="BC596" s="117"/>
      <c r="BD596" s="117"/>
      <c r="BE596" s="117" t="s">
        <v>141</v>
      </c>
      <c r="BF596" s="117" t="s">
        <v>141</v>
      </c>
      <c r="BG596" s="117"/>
      <c r="BH596" s="117" t="s">
        <v>141</v>
      </c>
      <c r="BI596" s="117" t="s">
        <v>141</v>
      </c>
      <c r="BJ596" s="117" t="s">
        <v>141</v>
      </c>
      <c r="BK596" s="117"/>
      <c r="BL596" s="117"/>
      <c r="BM596" s="117">
        <f t="shared" si="113"/>
        <v>6</v>
      </c>
      <c r="BN596" s="117">
        <f t="shared" si="114"/>
        <v>1</v>
      </c>
      <c r="BO596" s="117">
        <f t="shared" si="115"/>
        <v>1</v>
      </c>
      <c r="BP596" s="153">
        <f t="shared" si="116"/>
        <v>3</v>
      </c>
      <c r="BQ596" s="74" t="s">
        <v>627</v>
      </c>
      <c r="BR596" s="74"/>
    </row>
    <row r="597" spans="1:70" hidden="1">
      <c r="A597">
        <v>583</v>
      </c>
      <c r="B597" s="75">
        <v>45998.139733796299</v>
      </c>
      <c r="E597" s="7">
        <v>45998</v>
      </c>
      <c r="F597">
        <v>1138</v>
      </c>
      <c r="I597" s="10" t="s">
        <v>1958</v>
      </c>
      <c r="J597" s="69">
        <v>45998</v>
      </c>
      <c r="K597" s="97">
        <f t="shared" si="112"/>
        <v>12</v>
      </c>
      <c r="L597" s="97">
        <v>595</v>
      </c>
      <c r="O597" s="7" t="s">
        <v>182</v>
      </c>
      <c r="T597" t="s">
        <v>1959</v>
      </c>
      <c r="X597" s="36"/>
      <c r="Y597" s="36" t="s">
        <v>141</v>
      </c>
      <c r="Z597" s="36" t="s">
        <v>141</v>
      </c>
      <c r="AA597" s="36"/>
      <c r="AB597" s="36"/>
      <c r="AC597" s="36"/>
      <c r="AD597" s="36"/>
      <c r="AE597" s="36"/>
      <c r="AF597" s="36"/>
      <c r="AG597" s="36" t="s">
        <v>141</v>
      </c>
      <c r="AH597" s="36"/>
      <c r="AI597" s="36"/>
      <c r="AJ597" s="36" t="s">
        <v>141</v>
      </c>
      <c r="AK597" s="117"/>
      <c r="AL597" s="36" t="s">
        <v>141</v>
      </c>
      <c r="AM597" s="36"/>
      <c r="AN597" s="36"/>
      <c r="AO597" s="36"/>
      <c r="AP597" s="36"/>
      <c r="AQ597" s="36"/>
      <c r="AR597" s="36"/>
      <c r="AS597" s="36" t="s">
        <v>141</v>
      </c>
      <c r="AT597" s="36"/>
      <c r="AU597" s="36" t="s">
        <v>141</v>
      </c>
      <c r="AV597" s="36"/>
      <c r="AW597" s="117"/>
      <c r="AX597" s="117" t="s">
        <v>141</v>
      </c>
      <c r="AY597" s="36"/>
      <c r="AZ597" s="36" t="s">
        <v>141</v>
      </c>
      <c r="BA597" s="117"/>
      <c r="BB597" s="117"/>
      <c r="BC597" s="117"/>
      <c r="BD597" s="117" t="s">
        <v>141</v>
      </c>
      <c r="BE597" s="117"/>
      <c r="BF597" s="117" t="s">
        <v>141</v>
      </c>
      <c r="BG597" s="117"/>
      <c r="BH597" s="117" t="s">
        <v>141</v>
      </c>
      <c r="BI597" s="117"/>
      <c r="BJ597" s="117" t="s">
        <v>141</v>
      </c>
      <c r="BK597" s="117"/>
      <c r="BL597" s="117"/>
      <c r="BM597" s="117">
        <f t="shared" si="113"/>
        <v>11</v>
      </c>
      <c r="BN597" s="117">
        <f t="shared" si="114"/>
        <v>3</v>
      </c>
      <c r="BO597" s="117">
        <f t="shared" si="115"/>
        <v>2</v>
      </c>
      <c r="BP597" s="153">
        <f t="shared" si="116"/>
        <v>7</v>
      </c>
      <c r="BQ597" s="74" t="s">
        <v>639</v>
      </c>
      <c r="BR597" s="74"/>
    </row>
    <row r="598" spans="1:70">
      <c r="A598">
        <v>584</v>
      </c>
      <c r="B598" s="75">
        <v>46001.86309027778</v>
      </c>
      <c r="E598" s="7">
        <v>46002</v>
      </c>
      <c r="F598">
        <v>1139</v>
      </c>
      <c r="I598" s="10" t="s">
        <v>1960</v>
      </c>
      <c r="J598" s="69">
        <v>46002</v>
      </c>
      <c r="K598" s="97">
        <f t="shared" ref="K598:K610" si="117">MONTH($J598)</f>
        <v>12</v>
      </c>
      <c r="L598" s="97">
        <v>596</v>
      </c>
      <c r="O598" s="7" t="s">
        <v>1013</v>
      </c>
      <c r="T598" t="s">
        <v>1961</v>
      </c>
      <c r="X598" s="36"/>
      <c r="Y598" s="36"/>
      <c r="Z598" s="36"/>
      <c r="AA598" s="36" t="s">
        <v>141</v>
      </c>
      <c r="AB598" s="36"/>
      <c r="AC598" s="36"/>
      <c r="AD598" s="36"/>
      <c r="AE598" s="36"/>
      <c r="AF598" s="36" t="s">
        <v>141</v>
      </c>
      <c r="AG598" s="36"/>
      <c r="AH598" s="36" t="s">
        <v>141</v>
      </c>
      <c r="AI598" s="36"/>
      <c r="AJ598" s="36" t="s">
        <v>141</v>
      </c>
      <c r="AK598" s="117"/>
      <c r="AL598" s="36"/>
      <c r="AM598" s="36" t="s">
        <v>141</v>
      </c>
      <c r="AN598" s="36"/>
      <c r="AO598" s="36"/>
      <c r="AP598" s="36"/>
      <c r="AQ598" s="36"/>
      <c r="AR598" s="36"/>
      <c r="AS598" s="36"/>
      <c r="AT598" s="36" t="s">
        <v>141</v>
      </c>
      <c r="AU598" s="36"/>
      <c r="AV598" s="36"/>
      <c r="AW598" s="117"/>
      <c r="AX598" s="117" t="s">
        <v>141</v>
      </c>
      <c r="AY598" s="36"/>
      <c r="AZ598" s="36" t="s">
        <v>141</v>
      </c>
      <c r="BA598" s="117"/>
      <c r="BB598" s="117"/>
      <c r="BC598" s="117"/>
      <c r="BD598" s="117"/>
      <c r="BE598" s="117"/>
      <c r="BF598" s="117"/>
      <c r="BG598" s="117"/>
      <c r="BH598" s="117" t="s">
        <v>141</v>
      </c>
      <c r="BI598" s="117"/>
      <c r="BJ598" s="117"/>
      <c r="BK598" s="117"/>
      <c r="BL598" s="117"/>
      <c r="BM598" s="117">
        <f t="shared" ref="BM598:BM610" si="118">COUNTIF($X598:$BF598, "I")</f>
        <v>8</v>
      </c>
      <c r="BN598" s="117">
        <f t="shared" ref="BN598:BN610" si="119">COUNTIFS($X598:$BF598, "I",$X$2:$BF$2, "DR" )</f>
        <v>2</v>
      </c>
      <c r="BO598" s="117">
        <f t="shared" ref="BO598:BO610" si="120">COUNTIFS($X598:$BF598, "I",$X$5:$BF$5, "OF" )</f>
        <v>1</v>
      </c>
      <c r="BP598" s="153">
        <f t="shared" ref="BP598:BP610" si="121">COUNTIFS($X598:$BF598, "I",$X$5:$BF$5, "FF" )</f>
        <v>7</v>
      </c>
      <c r="BQ598" s="74" t="s">
        <v>1756</v>
      </c>
      <c r="BR598" s="74"/>
    </row>
    <row r="599" spans="1:70" hidden="1">
      <c r="A599">
        <v>585</v>
      </c>
      <c r="B599" s="75">
        <v>46002.825023148151</v>
      </c>
      <c r="E599" s="7">
        <v>46003</v>
      </c>
      <c r="F599">
        <v>1140</v>
      </c>
      <c r="I599" s="10" t="s">
        <v>1962</v>
      </c>
      <c r="J599" s="69">
        <v>46003</v>
      </c>
      <c r="K599" s="97">
        <f t="shared" si="117"/>
        <v>12</v>
      </c>
      <c r="L599" s="97">
        <v>597</v>
      </c>
      <c r="O599" s="7" t="s">
        <v>146</v>
      </c>
      <c r="T599" t="s">
        <v>1963</v>
      </c>
      <c r="X599" s="36"/>
      <c r="Y599" s="36"/>
      <c r="Z599" s="36"/>
      <c r="AA599" s="36" t="s">
        <v>141</v>
      </c>
      <c r="AB599" s="36" t="s">
        <v>141</v>
      </c>
      <c r="AC599" s="36"/>
      <c r="AD599" s="36"/>
      <c r="AE599" s="36"/>
      <c r="AF599" s="36"/>
      <c r="AG599" s="36"/>
      <c r="AH599" s="36" t="s">
        <v>141</v>
      </c>
      <c r="AI599" s="36" t="s">
        <v>141</v>
      </c>
      <c r="AJ599" s="36" t="s">
        <v>141</v>
      </c>
      <c r="AK599" s="117"/>
      <c r="AL599" s="36"/>
      <c r="AM599" s="36" t="s">
        <v>141</v>
      </c>
      <c r="AN599" s="36"/>
      <c r="AO599" s="36"/>
      <c r="AP599" s="36"/>
      <c r="AQ599" s="36"/>
      <c r="AR599" s="36"/>
      <c r="AS599" s="36" t="s">
        <v>141</v>
      </c>
      <c r="AT599" s="36"/>
      <c r="AU599" s="36"/>
      <c r="AV599" s="36"/>
      <c r="AW599" s="117"/>
      <c r="AX599" s="117"/>
      <c r="AY599" s="36"/>
      <c r="AZ599" s="36"/>
      <c r="BA599" s="117"/>
      <c r="BB599" s="117"/>
      <c r="BC599" s="117"/>
      <c r="BD599" s="117"/>
      <c r="BE599" s="117"/>
      <c r="BF599" s="117" t="s">
        <v>141</v>
      </c>
      <c r="BG599" s="117"/>
      <c r="BH599" s="117"/>
      <c r="BI599" s="117"/>
      <c r="BJ599" s="117"/>
      <c r="BK599" s="117"/>
      <c r="BL599" s="117"/>
      <c r="BM599" s="117">
        <f t="shared" si="118"/>
        <v>8</v>
      </c>
      <c r="BN599" s="117">
        <f t="shared" si="119"/>
        <v>3</v>
      </c>
      <c r="BO599" s="117">
        <f t="shared" si="120"/>
        <v>2</v>
      </c>
      <c r="BP599" s="153">
        <f t="shared" si="121"/>
        <v>5</v>
      </c>
      <c r="BQ599" s="74" t="s">
        <v>308</v>
      </c>
      <c r="BR599" s="74"/>
    </row>
    <row r="600" spans="1:70" hidden="1">
      <c r="A600">
        <v>586</v>
      </c>
      <c r="B600" s="75">
        <v>46002.83693287037</v>
      </c>
      <c r="E600" s="7">
        <v>46003</v>
      </c>
      <c r="F600">
        <v>1141</v>
      </c>
      <c r="I600" s="10" t="s">
        <v>1964</v>
      </c>
      <c r="J600" s="69">
        <v>46003</v>
      </c>
      <c r="K600" s="97">
        <f t="shared" si="117"/>
        <v>12</v>
      </c>
      <c r="L600" s="97">
        <v>598</v>
      </c>
      <c r="O600" s="7" t="s">
        <v>146</v>
      </c>
      <c r="T600" t="s">
        <v>1965</v>
      </c>
      <c r="X600" s="36"/>
      <c r="Y600" s="36"/>
      <c r="Z600" s="36"/>
      <c r="AA600" s="36" t="s">
        <v>141</v>
      </c>
      <c r="AB600" s="36" t="s">
        <v>141</v>
      </c>
      <c r="AC600" s="36" t="s">
        <v>141</v>
      </c>
      <c r="AD600" s="36"/>
      <c r="AE600" s="36"/>
      <c r="AF600" s="36"/>
      <c r="AG600" s="36"/>
      <c r="AH600" s="36" t="s">
        <v>141</v>
      </c>
      <c r="AI600" s="36" t="s">
        <v>141</v>
      </c>
      <c r="AJ600" s="36" t="s">
        <v>141</v>
      </c>
      <c r="AK600" s="117"/>
      <c r="AL600" s="36"/>
      <c r="AM600" s="36" t="s">
        <v>141</v>
      </c>
      <c r="AN600" s="36"/>
      <c r="AO600" s="36"/>
      <c r="AP600" s="36"/>
      <c r="AQ600" s="36"/>
      <c r="AR600" s="36"/>
      <c r="AS600" s="36" t="s">
        <v>141</v>
      </c>
      <c r="AT600" s="36"/>
      <c r="AU600" s="36"/>
      <c r="AV600" s="36"/>
      <c r="AW600" s="117"/>
      <c r="AX600" s="117"/>
      <c r="AY600" s="36"/>
      <c r="AZ600" s="36"/>
      <c r="BA600" s="117"/>
      <c r="BB600" s="117"/>
      <c r="BC600" s="117"/>
      <c r="BD600" s="117"/>
      <c r="BE600" s="117"/>
      <c r="BF600" s="117" t="s">
        <v>141</v>
      </c>
      <c r="BG600" s="117"/>
      <c r="BH600" s="117"/>
      <c r="BI600" s="117"/>
      <c r="BJ600" s="117"/>
      <c r="BK600" s="117"/>
      <c r="BL600" s="117"/>
      <c r="BM600" s="117">
        <f t="shared" si="118"/>
        <v>9</v>
      </c>
      <c r="BN600" s="117">
        <f t="shared" si="119"/>
        <v>3</v>
      </c>
      <c r="BO600" s="117">
        <f t="shared" si="120"/>
        <v>3</v>
      </c>
      <c r="BP600" s="153">
        <f t="shared" si="121"/>
        <v>5</v>
      </c>
      <c r="BQ600" s="74" t="s">
        <v>178</v>
      </c>
      <c r="BR600" s="74"/>
    </row>
    <row r="601" spans="1:70" hidden="1">
      <c r="A601">
        <v>587</v>
      </c>
      <c r="B601" s="75">
        <v>46003.703611111108</v>
      </c>
      <c r="E601" s="7">
        <v>46004</v>
      </c>
      <c r="F601">
        <v>1142</v>
      </c>
      <c r="I601" s="10" t="s">
        <v>1966</v>
      </c>
      <c r="J601" s="69">
        <v>46004</v>
      </c>
      <c r="K601" s="97">
        <f t="shared" si="117"/>
        <v>12</v>
      </c>
      <c r="L601" s="97">
        <v>599</v>
      </c>
      <c r="O601" s="7" t="s">
        <v>156</v>
      </c>
      <c r="T601" t="s">
        <v>1967</v>
      </c>
      <c r="X601" s="36" t="s">
        <v>141</v>
      </c>
      <c r="Y601" s="36"/>
      <c r="Z601" s="36" t="s">
        <v>141</v>
      </c>
      <c r="AA601" s="36" t="s">
        <v>141</v>
      </c>
      <c r="AB601" s="36"/>
      <c r="AC601" s="36" t="s">
        <v>141</v>
      </c>
      <c r="AD601" s="36"/>
      <c r="AE601" s="36"/>
      <c r="AF601" s="36"/>
      <c r="AG601" s="36"/>
      <c r="AH601" s="36" t="s">
        <v>141</v>
      </c>
      <c r="AI601" s="36"/>
      <c r="AJ601" s="36"/>
      <c r="AK601" s="117"/>
      <c r="AL601" s="36" t="s">
        <v>141</v>
      </c>
      <c r="AM601" s="36" t="s">
        <v>141</v>
      </c>
      <c r="AN601" s="36"/>
      <c r="AO601" s="36" t="s">
        <v>141</v>
      </c>
      <c r="AP601" s="36"/>
      <c r="AQ601" s="36"/>
      <c r="AR601" s="36"/>
      <c r="AS601" s="36"/>
      <c r="AT601" s="36"/>
      <c r="AU601" s="36"/>
      <c r="AV601" s="36"/>
      <c r="AW601" s="117"/>
      <c r="AX601" s="117"/>
      <c r="AY601" s="36" t="s">
        <v>141</v>
      </c>
      <c r="AZ601" s="36"/>
      <c r="BA601" s="117"/>
      <c r="BB601" s="117"/>
      <c r="BC601" s="117"/>
      <c r="BD601" s="117"/>
      <c r="BE601" s="117"/>
      <c r="BF601" s="117" t="s">
        <v>141</v>
      </c>
      <c r="BG601" s="117"/>
      <c r="BH601" s="117" t="s">
        <v>141</v>
      </c>
      <c r="BI601" s="117"/>
      <c r="BJ601" s="117"/>
      <c r="BK601" s="117"/>
      <c r="BL601" s="117"/>
      <c r="BM601" s="117">
        <f t="shared" si="118"/>
        <v>10</v>
      </c>
      <c r="BN601" s="117">
        <f t="shared" si="119"/>
        <v>1</v>
      </c>
      <c r="BO601" s="117">
        <f t="shared" si="120"/>
        <v>4</v>
      </c>
      <c r="BP601" s="153">
        <f t="shared" si="121"/>
        <v>5</v>
      </c>
      <c r="BQ601" s="74" t="s">
        <v>1968</v>
      </c>
      <c r="BR601" s="74"/>
    </row>
    <row r="602" spans="1:70" hidden="1">
      <c r="A602">
        <v>588</v>
      </c>
      <c r="B602" s="75">
        <v>46004.002175925925</v>
      </c>
      <c r="E602" s="7">
        <v>46004</v>
      </c>
      <c r="F602">
        <v>1143</v>
      </c>
      <c r="I602" s="10" t="s">
        <v>1969</v>
      </c>
      <c r="J602" s="69">
        <v>46004</v>
      </c>
      <c r="K602" s="97">
        <f t="shared" si="117"/>
        <v>12</v>
      </c>
      <c r="L602" s="97">
        <v>600</v>
      </c>
      <c r="O602" s="7" t="s">
        <v>134</v>
      </c>
      <c r="T602" t="s">
        <v>1970</v>
      </c>
      <c r="X602" s="36"/>
      <c r="Y602" s="36"/>
      <c r="Z602" s="36" t="s">
        <v>141</v>
      </c>
      <c r="AA602" s="36"/>
      <c r="AB602" s="36"/>
      <c r="AC602" s="36"/>
      <c r="AD602" s="36" t="s">
        <v>141</v>
      </c>
      <c r="AE602" s="36"/>
      <c r="AF602" s="36"/>
      <c r="AG602" s="36" t="s">
        <v>141</v>
      </c>
      <c r="AH602" s="36" t="s">
        <v>141</v>
      </c>
      <c r="AI602" s="36"/>
      <c r="AJ602" s="36" t="s">
        <v>141</v>
      </c>
      <c r="AK602" s="117"/>
      <c r="AL602" s="36"/>
      <c r="AM602" s="36"/>
      <c r="AN602" s="36"/>
      <c r="AO602" s="36"/>
      <c r="AP602" s="36" t="s">
        <v>141</v>
      </c>
      <c r="AQ602" s="36"/>
      <c r="AR602" s="36"/>
      <c r="AS602" s="36"/>
      <c r="AT602" s="36" t="s">
        <v>141</v>
      </c>
      <c r="AU602" s="36" t="s">
        <v>141</v>
      </c>
      <c r="AV602" s="36" t="s">
        <v>141</v>
      </c>
      <c r="AW602" s="117"/>
      <c r="AX602" s="117" t="s">
        <v>141</v>
      </c>
      <c r="AY602" s="36"/>
      <c r="AZ602" s="36"/>
      <c r="BA602" s="117"/>
      <c r="BB602" s="117"/>
      <c r="BC602" s="117" t="s">
        <v>141</v>
      </c>
      <c r="BD602" s="117"/>
      <c r="BE602" s="117"/>
      <c r="BF602" s="117"/>
      <c r="BG602" s="117"/>
      <c r="BH602" s="117" t="s">
        <v>141</v>
      </c>
      <c r="BI602" s="117" t="s">
        <v>141</v>
      </c>
      <c r="BJ602" s="117"/>
      <c r="BK602" s="117"/>
      <c r="BL602" s="117"/>
      <c r="BM602" s="117">
        <f t="shared" si="118"/>
        <v>11</v>
      </c>
      <c r="BN602" s="117">
        <f t="shared" si="119"/>
        <v>2</v>
      </c>
      <c r="BO602" s="117">
        <f t="shared" si="120"/>
        <v>2</v>
      </c>
      <c r="BP602" s="153">
        <f t="shared" si="121"/>
        <v>9</v>
      </c>
      <c r="BQ602" s="74" t="s">
        <v>1756</v>
      </c>
      <c r="BR602" s="74"/>
    </row>
    <row r="603" spans="1:70" hidden="1">
      <c r="A603">
        <v>589</v>
      </c>
      <c r="B603" s="75">
        <v>46004.07880787037</v>
      </c>
      <c r="E603" s="7">
        <v>46004</v>
      </c>
      <c r="F603">
        <v>1144</v>
      </c>
      <c r="I603" s="10" t="s">
        <v>1971</v>
      </c>
      <c r="J603" s="69">
        <v>46004</v>
      </c>
      <c r="K603" s="97">
        <f t="shared" si="117"/>
        <v>12</v>
      </c>
      <c r="L603" s="97">
        <v>601</v>
      </c>
      <c r="O603" s="7" t="s">
        <v>933</v>
      </c>
      <c r="T603" t="s">
        <v>1972</v>
      </c>
      <c r="X603" s="36" t="s">
        <v>141</v>
      </c>
      <c r="Y603" s="36" t="s">
        <v>141</v>
      </c>
      <c r="Z603" s="36" t="s">
        <v>141</v>
      </c>
      <c r="AA603" s="36" t="s">
        <v>141</v>
      </c>
      <c r="AB603" s="36"/>
      <c r="AC603" s="36"/>
      <c r="AD603" s="36" t="s">
        <v>141</v>
      </c>
      <c r="AE603" s="36"/>
      <c r="AF603" s="36"/>
      <c r="AG603" s="36" t="s">
        <v>141</v>
      </c>
      <c r="AH603" s="36" t="s">
        <v>141</v>
      </c>
      <c r="AI603" s="36"/>
      <c r="AJ603" s="36" t="s">
        <v>141</v>
      </c>
      <c r="AK603" s="117"/>
      <c r="AL603" s="36"/>
      <c r="AM603" s="36" t="s">
        <v>141</v>
      </c>
      <c r="AN603" s="36"/>
      <c r="AO603" s="36"/>
      <c r="AP603" s="36" t="s">
        <v>141</v>
      </c>
      <c r="AQ603" s="36"/>
      <c r="AR603" s="36"/>
      <c r="AS603" s="36"/>
      <c r="AT603" s="36"/>
      <c r="AU603" s="36" t="s">
        <v>141</v>
      </c>
      <c r="AV603" s="36" t="s">
        <v>141</v>
      </c>
      <c r="AW603" s="117"/>
      <c r="AX603" s="117"/>
      <c r="AY603" s="36"/>
      <c r="AZ603" s="36"/>
      <c r="BA603" s="117"/>
      <c r="BB603" s="117"/>
      <c r="BC603" s="117"/>
      <c r="BD603" s="117"/>
      <c r="BE603" s="117"/>
      <c r="BF603" s="117"/>
      <c r="BG603" s="117"/>
      <c r="BH603" s="117"/>
      <c r="BI603" s="117" t="s">
        <v>141</v>
      </c>
      <c r="BJ603" s="117"/>
      <c r="BK603" s="117"/>
      <c r="BL603" s="117"/>
      <c r="BM603" s="117">
        <f t="shared" si="118"/>
        <v>12</v>
      </c>
      <c r="BN603" s="117">
        <f t="shared" si="119"/>
        <v>3</v>
      </c>
      <c r="BO603" s="117">
        <f t="shared" si="120"/>
        <v>5</v>
      </c>
      <c r="BP603" s="153">
        <f t="shared" si="121"/>
        <v>7</v>
      </c>
      <c r="BQ603" s="74" t="s">
        <v>178</v>
      </c>
      <c r="BR603" s="74"/>
    </row>
    <row r="604" spans="1:70" hidden="1">
      <c r="A604">
        <v>590</v>
      </c>
      <c r="B604" s="75">
        <v>46004.127997685187</v>
      </c>
      <c r="E604" s="7">
        <v>46004</v>
      </c>
      <c r="F604">
        <v>1145</v>
      </c>
      <c r="I604" s="10" t="s">
        <v>1973</v>
      </c>
      <c r="J604" s="69">
        <v>46004</v>
      </c>
      <c r="K604" s="97">
        <f t="shared" si="117"/>
        <v>12</v>
      </c>
      <c r="L604" s="97">
        <v>602</v>
      </c>
      <c r="O604" s="7" t="s">
        <v>156</v>
      </c>
      <c r="T604" t="s">
        <v>346</v>
      </c>
      <c r="X604" s="36" t="s">
        <v>141</v>
      </c>
      <c r="Y604" s="36" t="s">
        <v>141</v>
      </c>
      <c r="Z604" s="36" t="s">
        <v>141</v>
      </c>
      <c r="AA604" s="36"/>
      <c r="AB604" s="36"/>
      <c r="AC604" s="36"/>
      <c r="AD604" s="36" t="s">
        <v>141</v>
      </c>
      <c r="AE604" s="36"/>
      <c r="AF604" s="36"/>
      <c r="AG604" s="36" t="s">
        <v>141</v>
      </c>
      <c r="AH604" s="36" t="s">
        <v>141</v>
      </c>
      <c r="AI604" s="36"/>
      <c r="AJ604" s="36" t="s">
        <v>141</v>
      </c>
      <c r="AK604" s="117"/>
      <c r="AL604" s="36" t="s">
        <v>141</v>
      </c>
      <c r="AM604" s="36" t="s">
        <v>141</v>
      </c>
      <c r="AN604" s="36"/>
      <c r="AO604" s="36"/>
      <c r="AP604" s="36" t="s">
        <v>141</v>
      </c>
      <c r="AQ604" s="36"/>
      <c r="AR604" s="36"/>
      <c r="AS604" s="36"/>
      <c r="AT604" s="36"/>
      <c r="AU604" s="36" t="s">
        <v>141</v>
      </c>
      <c r="AV604" s="36" t="s">
        <v>141</v>
      </c>
      <c r="AW604" s="117" t="s">
        <v>141</v>
      </c>
      <c r="AX604" s="117" t="s">
        <v>141</v>
      </c>
      <c r="AY604" s="36"/>
      <c r="AZ604" s="36"/>
      <c r="BA604" s="117"/>
      <c r="BB604" s="117"/>
      <c r="BC604" s="117"/>
      <c r="BD604" s="117"/>
      <c r="BE604" s="117"/>
      <c r="BF604" s="117"/>
      <c r="BG604" s="117"/>
      <c r="BH604" s="117"/>
      <c r="BI604" s="117" t="s">
        <v>141</v>
      </c>
      <c r="BJ604" s="117"/>
      <c r="BK604" s="117"/>
      <c r="BL604" s="117"/>
      <c r="BM604" s="117">
        <f t="shared" si="118"/>
        <v>14</v>
      </c>
      <c r="BN604" s="117">
        <f t="shared" si="119"/>
        <v>3</v>
      </c>
      <c r="BO604" s="117">
        <f t="shared" si="120"/>
        <v>4</v>
      </c>
      <c r="BP604" s="153">
        <f t="shared" si="121"/>
        <v>10</v>
      </c>
      <c r="BQ604" s="74" t="s">
        <v>532</v>
      </c>
      <c r="BR604" s="74"/>
    </row>
    <row r="605" spans="1:70" hidden="1">
      <c r="A605">
        <v>591</v>
      </c>
      <c r="B605" s="75">
        <v>46004.282835648148</v>
      </c>
      <c r="E605" s="7">
        <v>46004</v>
      </c>
      <c r="F605">
        <v>1146</v>
      </c>
      <c r="I605" s="10" t="s">
        <v>1974</v>
      </c>
      <c r="J605" s="69">
        <v>46004</v>
      </c>
      <c r="K605" s="97">
        <f t="shared" si="117"/>
        <v>12</v>
      </c>
      <c r="L605" s="97">
        <v>603</v>
      </c>
      <c r="O605" s="7" t="s">
        <v>146</v>
      </c>
      <c r="T605" t="s">
        <v>1975</v>
      </c>
      <c r="X605" s="36"/>
      <c r="Y605" s="36" t="s">
        <v>141</v>
      </c>
      <c r="Z605" s="36"/>
      <c r="AA605" s="36" t="s">
        <v>141</v>
      </c>
      <c r="AB605" s="36"/>
      <c r="AC605" s="36" t="s">
        <v>141</v>
      </c>
      <c r="AD605" s="36"/>
      <c r="AE605" s="36"/>
      <c r="AF605" s="36"/>
      <c r="AG605" s="36"/>
      <c r="AH605" s="36" t="s">
        <v>141</v>
      </c>
      <c r="AI605" s="36" t="s">
        <v>141</v>
      </c>
      <c r="AJ605" s="36" t="s">
        <v>141</v>
      </c>
      <c r="AK605" s="117"/>
      <c r="AL605" s="36"/>
      <c r="AM605" s="36" t="s">
        <v>141</v>
      </c>
      <c r="AN605" s="36"/>
      <c r="AO605" s="36"/>
      <c r="AP605" s="36" t="s">
        <v>141</v>
      </c>
      <c r="AQ605" s="36"/>
      <c r="AR605" s="36" t="s">
        <v>141</v>
      </c>
      <c r="AS605" s="36"/>
      <c r="AT605" s="36" t="s">
        <v>141</v>
      </c>
      <c r="AU605" s="36"/>
      <c r="AV605" s="36"/>
      <c r="AW605" s="117"/>
      <c r="AX605" s="117" t="s">
        <v>141</v>
      </c>
      <c r="AY605" s="36"/>
      <c r="AZ605" s="36"/>
      <c r="BA605" s="117"/>
      <c r="BB605" s="117"/>
      <c r="BC605" s="117"/>
      <c r="BD605" s="117"/>
      <c r="BE605" s="117"/>
      <c r="BF605" s="117"/>
      <c r="BG605" s="117"/>
      <c r="BH605" s="117"/>
      <c r="BI605" s="117"/>
      <c r="BJ605" s="117"/>
      <c r="BK605" s="117"/>
      <c r="BL605" s="117"/>
      <c r="BM605" s="117">
        <f t="shared" si="118"/>
        <v>11</v>
      </c>
      <c r="BN605" s="117">
        <f t="shared" si="119"/>
        <v>3</v>
      </c>
      <c r="BO605" s="117">
        <f t="shared" si="120"/>
        <v>3</v>
      </c>
      <c r="BP605" s="153">
        <f t="shared" si="121"/>
        <v>8</v>
      </c>
      <c r="BQ605" s="74" t="s">
        <v>330</v>
      </c>
      <c r="BR605" s="74"/>
    </row>
    <row r="606" spans="1:70" hidden="1">
      <c r="A606">
        <v>592</v>
      </c>
      <c r="B606" s="75">
        <v>46004.752696759257</v>
      </c>
      <c r="E606" s="7">
        <v>46005</v>
      </c>
      <c r="F606">
        <v>1147</v>
      </c>
      <c r="I606" s="10" t="s">
        <v>1976</v>
      </c>
      <c r="J606" s="69">
        <v>46005</v>
      </c>
      <c r="K606" s="97">
        <f t="shared" si="117"/>
        <v>12</v>
      </c>
      <c r="L606" s="97">
        <v>604</v>
      </c>
      <c r="O606" s="7" t="s">
        <v>134</v>
      </c>
      <c r="T606" t="s">
        <v>1977</v>
      </c>
      <c r="X606" s="36" t="s">
        <v>141</v>
      </c>
      <c r="Y606" s="36" t="s">
        <v>141</v>
      </c>
      <c r="Z606" s="36"/>
      <c r="AA606" s="36" t="s">
        <v>141</v>
      </c>
      <c r="AB606" s="36"/>
      <c r="AC606" s="36"/>
      <c r="AD606" s="36"/>
      <c r="AE606" s="36"/>
      <c r="AF606" s="36"/>
      <c r="AG606" s="36"/>
      <c r="AH606" s="36" t="s">
        <v>141</v>
      </c>
      <c r="AI606" s="36" t="s">
        <v>141</v>
      </c>
      <c r="AJ606" s="36" t="s">
        <v>141</v>
      </c>
      <c r="AK606" s="117" t="s">
        <v>141</v>
      </c>
      <c r="AL606" s="36" t="s">
        <v>141</v>
      </c>
      <c r="AM606" s="36" t="s">
        <v>141</v>
      </c>
      <c r="AN606" s="36"/>
      <c r="AO606" s="36"/>
      <c r="AP606" s="36" t="s">
        <v>141</v>
      </c>
      <c r="AQ606" s="36"/>
      <c r="AR606" s="36"/>
      <c r="AS606" s="36" t="s">
        <v>141</v>
      </c>
      <c r="AT606" s="36"/>
      <c r="AU606" s="36" t="s">
        <v>141</v>
      </c>
      <c r="AV606" s="36" t="s">
        <v>141</v>
      </c>
      <c r="AW606" s="117" t="s">
        <v>141</v>
      </c>
      <c r="AX606" s="117"/>
      <c r="AY606" s="36"/>
      <c r="AZ606" s="36"/>
      <c r="BA606" s="117"/>
      <c r="BB606" s="117"/>
      <c r="BC606" s="117" t="s">
        <v>141</v>
      </c>
      <c r="BD606" s="117"/>
      <c r="BE606" s="117"/>
      <c r="BF606" s="117"/>
      <c r="BG606" s="117"/>
      <c r="BH606" s="117" t="s">
        <v>141</v>
      </c>
      <c r="BI606" s="117" t="s">
        <v>141</v>
      </c>
      <c r="BJ606" s="117"/>
      <c r="BK606" s="117"/>
      <c r="BL606" s="117"/>
      <c r="BM606" s="117">
        <f t="shared" si="118"/>
        <v>15</v>
      </c>
      <c r="BN606" s="117">
        <f t="shared" si="119"/>
        <v>4</v>
      </c>
      <c r="BO606" s="117">
        <f t="shared" si="120"/>
        <v>3</v>
      </c>
      <c r="BP606" s="153">
        <f t="shared" si="121"/>
        <v>12</v>
      </c>
      <c r="BQ606" s="74" t="s">
        <v>152</v>
      </c>
      <c r="BR606" s="74"/>
    </row>
    <row r="607" spans="1:70" hidden="1">
      <c r="A607">
        <v>593</v>
      </c>
      <c r="B607" s="75">
        <v>46004.916458333333</v>
      </c>
      <c r="E607" s="7">
        <v>46005</v>
      </c>
      <c r="F607">
        <v>1148</v>
      </c>
      <c r="I607" s="10" t="s">
        <v>1978</v>
      </c>
      <c r="J607" s="69">
        <v>46005</v>
      </c>
      <c r="K607" s="97">
        <f t="shared" si="117"/>
        <v>12</v>
      </c>
      <c r="L607" s="97">
        <v>605</v>
      </c>
      <c r="O607" s="7" t="s">
        <v>1399</v>
      </c>
      <c r="T607" t="s">
        <v>1979</v>
      </c>
      <c r="X607" s="36"/>
      <c r="Y607" s="36" t="s">
        <v>141</v>
      </c>
      <c r="Z607" s="36" t="s">
        <v>141</v>
      </c>
      <c r="AA607" s="36"/>
      <c r="AB607" s="36"/>
      <c r="AC607" s="36"/>
      <c r="AD607" s="36" t="s">
        <v>141</v>
      </c>
      <c r="AE607" s="36"/>
      <c r="AF607" s="36"/>
      <c r="AG607" s="36"/>
      <c r="AH607" s="36"/>
      <c r="AI607" s="36" t="s">
        <v>141</v>
      </c>
      <c r="AJ607" s="36" t="s">
        <v>141</v>
      </c>
      <c r="AK607" s="117" t="s">
        <v>141</v>
      </c>
      <c r="AL607" s="36"/>
      <c r="AM607" s="36"/>
      <c r="AN607" s="36"/>
      <c r="AO607" s="36"/>
      <c r="AP607" s="36" t="s">
        <v>141</v>
      </c>
      <c r="AQ607" s="36"/>
      <c r="AR607" s="36" t="s">
        <v>141</v>
      </c>
      <c r="AS607" s="36" t="s">
        <v>141</v>
      </c>
      <c r="AT607" s="36"/>
      <c r="AU607" s="36" t="s">
        <v>141</v>
      </c>
      <c r="AV607" s="36" t="s">
        <v>141</v>
      </c>
      <c r="AW607" s="117"/>
      <c r="AX607" s="117"/>
      <c r="AY607" s="36"/>
      <c r="AZ607" s="36"/>
      <c r="BA607" s="117"/>
      <c r="BB607" s="117" t="s">
        <v>141</v>
      </c>
      <c r="BC607" s="117"/>
      <c r="BD607" s="117"/>
      <c r="BE607" s="117" t="s">
        <v>141</v>
      </c>
      <c r="BF607" s="117" t="s">
        <v>141</v>
      </c>
      <c r="BG607" s="117"/>
      <c r="BH607" s="117"/>
      <c r="BI607" s="117" t="s">
        <v>141</v>
      </c>
      <c r="BJ607" s="117" t="s">
        <v>141</v>
      </c>
      <c r="BK607" s="117"/>
      <c r="BL607" s="117"/>
      <c r="BM607" s="117">
        <f t="shared" si="118"/>
        <v>14</v>
      </c>
      <c r="BN607" s="117">
        <f t="shared" si="119"/>
        <v>4</v>
      </c>
      <c r="BO607" s="117">
        <f t="shared" si="120"/>
        <v>3</v>
      </c>
      <c r="BP607" s="153">
        <f t="shared" si="121"/>
        <v>9</v>
      </c>
      <c r="BQ607" s="74" t="s">
        <v>163</v>
      </c>
      <c r="BR607" s="74"/>
    </row>
    <row r="608" spans="1:70" hidden="1">
      <c r="A608">
        <v>594</v>
      </c>
      <c r="B608" s="75">
        <v>46004.954687500001</v>
      </c>
      <c r="E608" s="7">
        <v>46005</v>
      </c>
      <c r="F608">
        <v>1149</v>
      </c>
      <c r="I608" s="10" t="s">
        <v>1980</v>
      </c>
      <c r="J608" s="69">
        <v>46005</v>
      </c>
      <c r="K608" s="97">
        <f t="shared" si="117"/>
        <v>12</v>
      </c>
      <c r="L608" s="97">
        <v>606</v>
      </c>
      <c r="O608" s="7" t="s">
        <v>134</v>
      </c>
      <c r="T608" t="s">
        <v>1981</v>
      </c>
      <c r="X608" s="36"/>
      <c r="Y608" s="36" t="s">
        <v>141</v>
      </c>
      <c r="Z608" s="36" t="s">
        <v>141</v>
      </c>
      <c r="AA608" s="36"/>
      <c r="AB608" s="36"/>
      <c r="AC608" s="36" t="s">
        <v>141</v>
      </c>
      <c r="AD608" s="36" t="s">
        <v>141</v>
      </c>
      <c r="AE608" s="36"/>
      <c r="AF608" s="36"/>
      <c r="AG608" s="36" t="s">
        <v>141</v>
      </c>
      <c r="AH608" s="36" t="s">
        <v>141</v>
      </c>
      <c r="AI608" s="36" t="s">
        <v>141</v>
      </c>
      <c r="AJ608" s="36" t="s">
        <v>141</v>
      </c>
      <c r="AK608" s="117" t="s">
        <v>141</v>
      </c>
      <c r="AL608" s="36"/>
      <c r="AM608" s="36"/>
      <c r="AN608" s="36"/>
      <c r="AO608" s="36"/>
      <c r="AP608" s="36" t="s">
        <v>141</v>
      </c>
      <c r="AQ608" s="36"/>
      <c r="AR608" s="36" t="s">
        <v>141</v>
      </c>
      <c r="AS608" s="36" t="s">
        <v>141</v>
      </c>
      <c r="AT608" s="36"/>
      <c r="AU608" s="36" t="s">
        <v>141</v>
      </c>
      <c r="AV608" s="36" t="s">
        <v>141</v>
      </c>
      <c r="AW608" s="117"/>
      <c r="AX608" s="117" t="s">
        <v>141</v>
      </c>
      <c r="AY608" s="36"/>
      <c r="AZ608" s="36"/>
      <c r="BA608" s="117" t="s">
        <v>141</v>
      </c>
      <c r="BB608" s="117" t="s">
        <v>141</v>
      </c>
      <c r="BC608" s="117" t="s">
        <v>141</v>
      </c>
      <c r="BD608" s="117" t="s">
        <v>141</v>
      </c>
      <c r="BE608" s="117" t="s">
        <v>141</v>
      </c>
      <c r="BF608" s="117" t="s">
        <v>141</v>
      </c>
      <c r="BG608" s="117"/>
      <c r="BH608" s="117"/>
      <c r="BI608" s="117" t="s">
        <v>141</v>
      </c>
      <c r="BJ608" s="117" t="s">
        <v>141</v>
      </c>
      <c r="BK608" s="117"/>
      <c r="BL608" s="117"/>
      <c r="BM608" s="117">
        <f t="shared" si="118"/>
        <v>21</v>
      </c>
      <c r="BN608" s="117">
        <f t="shared" si="119"/>
        <v>5</v>
      </c>
      <c r="BO608" s="117">
        <f t="shared" si="120"/>
        <v>4</v>
      </c>
      <c r="BP608" s="153">
        <f t="shared" si="121"/>
        <v>14</v>
      </c>
      <c r="BQ608" s="74" t="s">
        <v>1982</v>
      </c>
      <c r="BR608" s="74"/>
    </row>
    <row r="609" spans="1:70">
      <c r="A609">
        <v>595</v>
      </c>
      <c r="B609" s="75">
        <v>46005.253101851849</v>
      </c>
      <c r="E609" s="7">
        <v>46005</v>
      </c>
      <c r="F609">
        <v>1150</v>
      </c>
      <c r="I609" s="10" t="s">
        <v>1983</v>
      </c>
      <c r="J609" s="69">
        <v>46005</v>
      </c>
      <c r="K609" s="97">
        <f t="shared" si="117"/>
        <v>12</v>
      </c>
      <c r="L609" s="97">
        <v>607</v>
      </c>
      <c r="O609" s="7" t="s">
        <v>1013</v>
      </c>
      <c r="T609" t="s">
        <v>1984</v>
      </c>
      <c r="X609" s="36" t="s">
        <v>141</v>
      </c>
      <c r="Y609" s="36"/>
      <c r="Z609" s="36" t="s">
        <v>141</v>
      </c>
      <c r="AA609" s="36" t="s">
        <v>141</v>
      </c>
      <c r="AB609" s="36"/>
      <c r="AC609" s="36"/>
      <c r="AD609" s="36"/>
      <c r="AE609" s="36"/>
      <c r="AF609" s="36"/>
      <c r="AG609" s="36"/>
      <c r="AH609" s="36"/>
      <c r="AI609" s="36" t="s">
        <v>141</v>
      </c>
      <c r="AJ609" s="36" t="s">
        <v>141</v>
      </c>
      <c r="AK609" s="117"/>
      <c r="AL609" s="36" t="s">
        <v>141</v>
      </c>
      <c r="AM609" s="36" t="s">
        <v>141</v>
      </c>
      <c r="AN609" s="36"/>
      <c r="AO609" s="36"/>
      <c r="AP609" s="36" t="s">
        <v>141</v>
      </c>
      <c r="AQ609" s="36"/>
      <c r="AR609" s="36" t="s">
        <v>141</v>
      </c>
      <c r="AS609" s="36" t="s">
        <v>141</v>
      </c>
      <c r="AT609" s="36" t="s">
        <v>141</v>
      </c>
      <c r="AU609" s="36" t="s">
        <v>141</v>
      </c>
      <c r="AV609" s="36" t="s">
        <v>141</v>
      </c>
      <c r="AW609" s="117"/>
      <c r="AX609" s="117"/>
      <c r="AY609" s="36"/>
      <c r="AZ609" s="36" t="s">
        <v>141</v>
      </c>
      <c r="BA609" s="117" t="s">
        <v>141</v>
      </c>
      <c r="BB609" s="117"/>
      <c r="BC609" s="117" t="s">
        <v>141</v>
      </c>
      <c r="BD609" s="117"/>
      <c r="BE609" s="117"/>
      <c r="BF609" s="117"/>
      <c r="BG609" s="117"/>
      <c r="BH609" s="117" t="s">
        <v>141</v>
      </c>
      <c r="BI609" s="117" t="s">
        <v>141</v>
      </c>
      <c r="BJ609" s="117" t="s">
        <v>141</v>
      </c>
      <c r="BK609" s="117"/>
      <c r="BL609" s="117"/>
      <c r="BM609" s="117">
        <f t="shared" si="118"/>
        <v>16</v>
      </c>
      <c r="BN609" s="117">
        <f t="shared" si="119"/>
        <v>4</v>
      </c>
      <c r="BO609" s="117">
        <f t="shared" si="120"/>
        <v>3</v>
      </c>
      <c r="BP609" s="153">
        <f t="shared" si="121"/>
        <v>13</v>
      </c>
      <c r="BQ609" s="74" t="s">
        <v>1985</v>
      </c>
      <c r="BR609" s="74"/>
    </row>
    <row r="610" spans="1:70" hidden="1">
      <c r="A610">
        <v>596</v>
      </c>
      <c r="B610" s="75">
        <v>46006.179976851854</v>
      </c>
      <c r="E610" s="7">
        <v>46006</v>
      </c>
      <c r="F610">
        <v>1151</v>
      </c>
      <c r="I610" s="10" t="s">
        <v>1986</v>
      </c>
      <c r="J610" s="69">
        <v>46006</v>
      </c>
      <c r="K610" s="97">
        <f t="shared" si="117"/>
        <v>12</v>
      </c>
      <c r="L610" s="97">
        <v>608</v>
      </c>
      <c r="O610" s="7" t="s">
        <v>1987</v>
      </c>
      <c r="T610" t="s">
        <v>1988</v>
      </c>
      <c r="X610" s="36" t="s">
        <v>141</v>
      </c>
      <c r="Y610" s="36"/>
      <c r="Z610" s="36" t="s">
        <v>141</v>
      </c>
      <c r="AA610" s="36" t="s">
        <v>141</v>
      </c>
      <c r="AB610" s="36" t="s">
        <v>141</v>
      </c>
      <c r="AC610" s="36"/>
      <c r="AD610" s="36" t="s">
        <v>141</v>
      </c>
      <c r="AE610" s="36"/>
      <c r="AF610" s="36"/>
      <c r="AG610" s="36"/>
      <c r="AH610" s="36" t="s">
        <v>141</v>
      </c>
      <c r="AI610" s="36"/>
      <c r="AJ610" s="36" t="s">
        <v>141</v>
      </c>
      <c r="AK610" s="117"/>
      <c r="AL610" s="36"/>
      <c r="AM610" s="36" t="s">
        <v>141</v>
      </c>
      <c r="AN610" s="36"/>
      <c r="AO610" s="36" t="s">
        <v>141</v>
      </c>
      <c r="AP610" s="36" t="s">
        <v>141</v>
      </c>
      <c r="AQ610" s="36"/>
      <c r="AR610" s="36"/>
      <c r="AS610" s="36" t="s">
        <v>141</v>
      </c>
      <c r="AT610" s="36"/>
      <c r="AU610" s="36" t="s">
        <v>141</v>
      </c>
      <c r="AV610" s="36"/>
      <c r="AW610" s="117"/>
      <c r="AX610" s="117" t="s">
        <v>141</v>
      </c>
      <c r="AY610" s="36"/>
      <c r="AZ610" s="36" t="s">
        <v>141</v>
      </c>
      <c r="BA610" s="117"/>
      <c r="BB610" s="117"/>
      <c r="BC610" s="117"/>
      <c r="BD610" s="117"/>
      <c r="BE610" s="117"/>
      <c r="BF610" s="117"/>
      <c r="BG610" s="117"/>
      <c r="BH610" s="117"/>
      <c r="BI610" s="117" t="s">
        <v>141</v>
      </c>
      <c r="BJ610" s="117"/>
      <c r="BK610" s="117"/>
      <c r="BL610" s="117"/>
      <c r="BM610" s="117">
        <f t="shared" si="118"/>
        <v>14</v>
      </c>
      <c r="BN610" s="117">
        <f t="shared" si="119"/>
        <v>3</v>
      </c>
      <c r="BO610" s="117">
        <f t="shared" si="120"/>
        <v>5</v>
      </c>
      <c r="BP610" s="153">
        <f t="shared" si="121"/>
        <v>9</v>
      </c>
      <c r="BQ610" s="74" t="s">
        <v>208</v>
      </c>
      <c r="BR610" s="74"/>
    </row>
    <row r="611" spans="1:70" hidden="1">
      <c r="A611">
        <v>597</v>
      </c>
      <c r="B611" s="75">
        <v>46006.811574074076</v>
      </c>
      <c r="E611" s="7">
        <v>46007</v>
      </c>
      <c r="F611">
        <v>1152</v>
      </c>
      <c r="I611" s="10" t="s">
        <v>1989</v>
      </c>
      <c r="J611" s="69">
        <v>46007</v>
      </c>
      <c r="K611" s="97">
        <f t="shared" ref="K611:K616" si="122">MONTH($J611)</f>
        <v>12</v>
      </c>
      <c r="L611" s="97">
        <v>609</v>
      </c>
      <c r="O611" s="7" t="s">
        <v>156</v>
      </c>
      <c r="T611" t="s">
        <v>1990</v>
      </c>
      <c r="X611" s="36"/>
      <c r="Y611" s="36"/>
      <c r="Z611" s="36"/>
      <c r="AA611" s="36" t="s">
        <v>141</v>
      </c>
      <c r="AB611" s="36" t="s">
        <v>141</v>
      </c>
      <c r="AC611" s="36"/>
      <c r="AD611" s="36" t="s">
        <v>141</v>
      </c>
      <c r="AE611" s="36"/>
      <c r="AF611" s="36"/>
      <c r="AG611" s="36"/>
      <c r="AH611" s="36" t="s">
        <v>141</v>
      </c>
      <c r="AI611" s="36"/>
      <c r="AJ611" s="36" t="s">
        <v>141</v>
      </c>
      <c r="AK611" s="117"/>
      <c r="AL611" s="36"/>
      <c r="AM611" s="36"/>
      <c r="AN611" s="36" t="s">
        <v>141</v>
      </c>
      <c r="AO611" s="36" t="s">
        <v>141</v>
      </c>
      <c r="AP611" s="36"/>
      <c r="AQ611" s="36"/>
      <c r="AR611" s="36"/>
      <c r="AS611" s="36" t="s">
        <v>141</v>
      </c>
      <c r="AT611" s="36" t="s">
        <v>141</v>
      </c>
      <c r="AU611" s="36"/>
      <c r="AV611" s="36"/>
      <c r="AW611" s="117" t="s">
        <v>141</v>
      </c>
      <c r="AX611" s="117"/>
      <c r="AY611" s="36"/>
      <c r="AZ611" s="36"/>
      <c r="BA611" s="117"/>
      <c r="BB611" s="117"/>
      <c r="BC611" s="117"/>
      <c r="BD611" s="117" t="s">
        <v>141</v>
      </c>
      <c r="BE611" s="117"/>
      <c r="BF611" s="117"/>
      <c r="BG611" s="117"/>
      <c r="BH611" s="117" t="s">
        <v>141</v>
      </c>
      <c r="BI611" s="117"/>
      <c r="BJ611" s="117"/>
      <c r="BK611" s="117"/>
      <c r="BL611" s="117"/>
      <c r="BM611" s="117">
        <f t="shared" ref="BM611:BM616" si="123">COUNTIF($X611:$BF611, "I")</f>
        <v>11</v>
      </c>
      <c r="BN611" s="117">
        <f t="shared" ref="BN611:BN616" si="124">COUNTIFS($X611:$BF611, "I",$X$2:$BF$2, "DR" )</f>
        <v>3</v>
      </c>
      <c r="BO611" s="117">
        <f t="shared" ref="BO611:BO616" si="125">COUNTIFS($X611:$BF611, "I",$X$5:$BF$5, "OF" )</f>
        <v>3</v>
      </c>
      <c r="BP611" s="153">
        <f t="shared" ref="BP611:BP616" si="126">COUNTIFS($X611:$BF611, "I",$X$5:$BF$5, "FF" )</f>
        <v>7</v>
      </c>
      <c r="BQ611" s="74" t="s">
        <v>1598</v>
      </c>
      <c r="BR611" s="74"/>
    </row>
    <row r="612" spans="1:70" hidden="1">
      <c r="A612">
        <v>598</v>
      </c>
      <c r="B612" s="75">
        <v>46007.448993055557</v>
      </c>
      <c r="E612" s="7">
        <v>46007</v>
      </c>
      <c r="F612">
        <v>1153</v>
      </c>
      <c r="I612" s="10" t="s">
        <v>1991</v>
      </c>
      <c r="J612" s="69">
        <v>46007</v>
      </c>
      <c r="K612" s="97">
        <f t="shared" si="122"/>
        <v>12</v>
      </c>
      <c r="L612" s="97">
        <v>610</v>
      </c>
      <c r="O612" s="7" t="s">
        <v>234</v>
      </c>
      <c r="T612" t="s">
        <v>1992</v>
      </c>
      <c r="X612" s="36"/>
      <c r="Y612" s="36"/>
      <c r="Z612" s="36"/>
      <c r="AA612" s="36" t="s">
        <v>141</v>
      </c>
      <c r="AB612" s="36"/>
      <c r="AC612" s="36"/>
      <c r="AD612" s="36" t="s">
        <v>141</v>
      </c>
      <c r="AE612" s="36"/>
      <c r="AF612" s="36"/>
      <c r="AG612" s="36"/>
      <c r="AH612" s="36" t="s">
        <v>141</v>
      </c>
      <c r="AI612" s="36"/>
      <c r="AJ612" s="36" t="s">
        <v>141</v>
      </c>
      <c r="AK612" s="117"/>
      <c r="AL612" s="36"/>
      <c r="AM612" s="36"/>
      <c r="AN612" s="36"/>
      <c r="AO612" s="36" t="s">
        <v>141</v>
      </c>
      <c r="AP612" s="36" t="s">
        <v>141</v>
      </c>
      <c r="AQ612" s="36"/>
      <c r="AR612" s="36"/>
      <c r="AS612" s="36"/>
      <c r="AT612" s="36"/>
      <c r="AU612" s="36"/>
      <c r="AV612" s="36"/>
      <c r="AW612" s="117" t="s">
        <v>141</v>
      </c>
      <c r="AX612" s="117"/>
      <c r="AY612" s="36" t="s">
        <v>141</v>
      </c>
      <c r="AZ612" s="36"/>
      <c r="BA612" s="117"/>
      <c r="BB612" s="117"/>
      <c r="BC612" s="117"/>
      <c r="BD612" s="117"/>
      <c r="BE612" s="117"/>
      <c r="BF612" s="117"/>
      <c r="BG612" s="117"/>
      <c r="BH612" s="117" t="s">
        <v>141</v>
      </c>
      <c r="BI612" s="117"/>
      <c r="BJ612" s="117"/>
      <c r="BK612" s="117"/>
      <c r="BL612" s="117"/>
      <c r="BM612" s="117">
        <f t="shared" si="123"/>
        <v>8</v>
      </c>
      <c r="BN612" s="117">
        <f t="shared" si="124"/>
        <v>1</v>
      </c>
      <c r="BO612" s="117">
        <f t="shared" si="125"/>
        <v>2</v>
      </c>
      <c r="BP612" s="153">
        <f t="shared" si="126"/>
        <v>6</v>
      </c>
      <c r="BQ612" s="74" t="s">
        <v>178</v>
      </c>
      <c r="BR612" s="74"/>
    </row>
    <row r="613" spans="1:70" hidden="1">
      <c r="A613">
        <v>599</v>
      </c>
      <c r="B613" s="75">
        <v>46008.060995370368</v>
      </c>
      <c r="E613" s="7">
        <v>46008</v>
      </c>
      <c r="F613">
        <v>1154</v>
      </c>
      <c r="I613" s="10" t="s">
        <v>1993</v>
      </c>
      <c r="J613" s="69">
        <v>46008</v>
      </c>
      <c r="K613" s="97">
        <f t="shared" si="122"/>
        <v>12</v>
      </c>
      <c r="L613" s="97">
        <v>611</v>
      </c>
      <c r="O613" s="7" t="s">
        <v>156</v>
      </c>
      <c r="T613" t="s">
        <v>1994</v>
      </c>
      <c r="X613" s="36"/>
      <c r="Y613" s="36"/>
      <c r="Z613" s="36"/>
      <c r="AA613" s="36" t="s">
        <v>141</v>
      </c>
      <c r="AB613" s="36" t="s">
        <v>141</v>
      </c>
      <c r="AC613" s="36" t="s">
        <v>141</v>
      </c>
      <c r="AD613" s="36" t="s">
        <v>141</v>
      </c>
      <c r="AE613" s="36" t="s">
        <v>141</v>
      </c>
      <c r="AF613" s="36" t="s">
        <v>141</v>
      </c>
      <c r="AG613" s="36"/>
      <c r="AH613" s="36" t="s">
        <v>141</v>
      </c>
      <c r="AI613" s="36" t="s">
        <v>141</v>
      </c>
      <c r="AJ613" s="36" t="s">
        <v>141</v>
      </c>
      <c r="AK613" s="117"/>
      <c r="AL613" s="36" t="s">
        <v>141</v>
      </c>
      <c r="AM613" s="36"/>
      <c r="AN613" s="36"/>
      <c r="AO613" s="36" t="s">
        <v>141</v>
      </c>
      <c r="AP613" s="36" t="s">
        <v>141</v>
      </c>
      <c r="AQ613" s="36"/>
      <c r="AR613" s="36"/>
      <c r="AS613" s="36"/>
      <c r="AT613" s="36"/>
      <c r="AU613" s="36"/>
      <c r="AV613" s="36"/>
      <c r="AW613" s="117" t="s">
        <v>141</v>
      </c>
      <c r="AX613" s="117"/>
      <c r="AY613" s="36"/>
      <c r="AZ613" s="36" t="s">
        <v>141</v>
      </c>
      <c r="BA613" s="117"/>
      <c r="BB613" s="117"/>
      <c r="BC613" s="117"/>
      <c r="BD613" s="117"/>
      <c r="BE613" s="117"/>
      <c r="BF613" s="117"/>
      <c r="BG613" s="117"/>
      <c r="BH613" s="117" t="s">
        <v>141</v>
      </c>
      <c r="BI613" s="117"/>
      <c r="BJ613" s="117"/>
      <c r="BK613" s="117"/>
      <c r="BL613" s="117"/>
      <c r="BM613" s="117">
        <f t="shared" si="123"/>
        <v>14</v>
      </c>
      <c r="BN613" s="117">
        <f t="shared" si="124"/>
        <v>1</v>
      </c>
      <c r="BO613" s="117">
        <f t="shared" si="125"/>
        <v>4</v>
      </c>
      <c r="BP613" s="153">
        <f t="shared" si="126"/>
        <v>10</v>
      </c>
      <c r="BQ613" s="74" t="s">
        <v>1598</v>
      </c>
      <c r="BR613" s="74"/>
    </row>
    <row r="614" spans="1:70" hidden="1">
      <c r="A614">
        <v>600</v>
      </c>
      <c r="B614" s="75">
        <v>46009.237025462964</v>
      </c>
      <c r="E614" s="7">
        <v>46009</v>
      </c>
      <c r="F614">
        <v>1155</v>
      </c>
      <c r="I614" s="10" t="s">
        <v>1995</v>
      </c>
      <c r="J614" s="69">
        <v>46009</v>
      </c>
      <c r="K614" s="97">
        <f t="shared" si="122"/>
        <v>12</v>
      </c>
      <c r="L614" s="97">
        <v>612</v>
      </c>
      <c r="O614" s="7" t="s">
        <v>156</v>
      </c>
      <c r="T614" t="s">
        <v>1996</v>
      </c>
      <c r="X614" s="36"/>
      <c r="Y614" s="36" t="s">
        <v>141</v>
      </c>
      <c r="Z614" s="36"/>
      <c r="AA614" s="36" t="s">
        <v>141</v>
      </c>
      <c r="AB614" s="36"/>
      <c r="AC614" s="36"/>
      <c r="AD614" s="36"/>
      <c r="AE614" s="36"/>
      <c r="AF614" s="36"/>
      <c r="AG614" s="36"/>
      <c r="AH614" s="36"/>
      <c r="AI614" s="36" t="s">
        <v>141</v>
      </c>
      <c r="AJ614" s="36"/>
      <c r="AK614" s="117"/>
      <c r="AL614" s="36"/>
      <c r="AM614" s="36"/>
      <c r="AN614" s="36"/>
      <c r="AO614" s="36" t="s">
        <v>141</v>
      </c>
      <c r="AP614" s="36"/>
      <c r="AQ614" s="36"/>
      <c r="AR614" s="36"/>
      <c r="AS614" s="36"/>
      <c r="AT614" s="36" t="s">
        <v>141</v>
      </c>
      <c r="AU614" s="36"/>
      <c r="AV614" s="36" t="s">
        <v>141</v>
      </c>
      <c r="AW614" s="117"/>
      <c r="AX614" s="117"/>
      <c r="AY614" s="36"/>
      <c r="AZ614" s="36"/>
      <c r="BA614" s="117" t="s">
        <v>141</v>
      </c>
      <c r="BB614" s="117"/>
      <c r="BC614" s="117" t="s">
        <v>141</v>
      </c>
      <c r="BD614" s="117" t="s">
        <v>141</v>
      </c>
      <c r="BE614" s="117"/>
      <c r="BF614" s="117"/>
      <c r="BG614" s="117"/>
      <c r="BH614" s="117" t="s">
        <v>141</v>
      </c>
      <c r="BI614" s="117"/>
      <c r="BJ614" s="117"/>
      <c r="BK614" s="117"/>
      <c r="BL614" s="117"/>
      <c r="BM614" s="117">
        <f t="shared" si="123"/>
        <v>9</v>
      </c>
      <c r="BN614" s="117">
        <f t="shared" si="124"/>
        <v>0</v>
      </c>
      <c r="BO614" s="117">
        <f t="shared" si="125"/>
        <v>2</v>
      </c>
      <c r="BP614" s="153">
        <f t="shared" si="126"/>
        <v>6</v>
      </c>
      <c r="BQ614" s="74" t="s">
        <v>163</v>
      </c>
      <c r="BR614" s="74"/>
    </row>
    <row r="615" spans="1:70" hidden="1">
      <c r="A615">
        <v>601</v>
      </c>
      <c r="B615" s="75">
        <v>46009.701851851853</v>
      </c>
      <c r="E615" s="7">
        <v>46010</v>
      </c>
      <c r="F615">
        <v>1156</v>
      </c>
      <c r="I615" s="10" t="s">
        <v>1997</v>
      </c>
      <c r="J615" s="69">
        <v>46010</v>
      </c>
      <c r="K615" s="97">
        <f t="shared" si="122"/>
        <v>12</v>
      </c>
      <c r="L615" s="97">
        <v>613</v>
      </c>
      <c r="O615" s="7" t="s">
        <v>197</v>
      </c>
      <c r="T615" t="s">
        <v>1998</v>
      </c>
      <c r="X615" s="36" t="s">
        <v>141</v>
      </c>
      <c r="Y615" s="36" t="s">
        <v>141</v>
      </c>
      <c r="Z615" s="36"/>
      <c r="AA615" s="36" t="s">
        <v>141</v>
      </c>
      <c r="AB615" s="36" t="s">
        <v>141</v>
      </c>
      <c r="AC615" s="36"/>
      <c r="AD615" s="36"/>
      <c r="AE615" s="36"/>
      <c r="AF615" s="36"/>
      <c r="AG615" s="36"/>
      <c r="AH615" s="36" t="s">
        <v>141</v>
      </c>
      <c r="AI615" s="36" t="s">
        <v>141</v>
      </c>
      <c r="AJ615" s="36"/>
      <c r="AK615" s="117"/>
      <c r="AL615" s="36" t="s">
        <v>141</v>
      </c>
      <c r="AM615" s="36"/>
      <c r="AN615" s="36"/>
      <c r="AO615" s="36"/>
      <c r="AP615" s="36"/>
      <c r="AQ615" s="36"/>
      <c r="AR615" s="36"/>
      <c r="AS615" s="36"/>
      <c r="AT615" s="36"/>
      <c r="AU615" s="36"/>
      <c r="AV615" s="36" t="s">
        <v>141</v>
      </c>
      <c r="AW615" s="117"/>
      <c r="AX615" s="117"/>
      <c r="AY615" s="36" t="s">
        <v>141</v>
      </c>
      <c r="AZ615" s="36"/>
      <c r="BA615" s="117"/>
      <c r="BB615" s="117"/>
      <c r="BC615" s="117"/>
      <c r="BD615" s="117"/>
      <c r="BE615" s="117"/>
      <c r="BF615" s="117"/>
      <c r="BG615" s="117"/>
      <c r="BH615" s="117" t="s">
        <v>141</v>
      </c>
      <c r="BI615" s="117"/>
      <c r="BJ615" s="117"/>
      <c r="BK615" s="117"/>
      <c r="BL615" s="117"/>
      <c r="BM615" s="117">
        <f t="shared" si="123"/>
        <v>9</v>
      </c>
      <c r="BN615" s="117">
        <f t="shared" si="124"/>
        <v>0</v>
      </c>
      <c r="BO615" s="117">
        <f t="shared" si="125"/>
        <v>4</v>
      </c>
      <c r="BP615" s="153">
        <f t="shared" si="126"/>
        <v>5</v>
      </c>
      <c r="BQ615" s="74" t="s">
        <v>178</v>
      </c>
      <c r="BR615" s="74"/>
    </row>
    <row r="616" spans="1:70" hidden="1">
      <c r="A616">
        <v>602</v>
      </c>
      <c r="B616" s="75">
        <v>46009.986817129633</v>
      </c>
      <c r="E616" s="7">
        <v>46010</v>
      </c>
      <c r="F616">
        <v>1157</v>
      </c>
      <c r="I616" s="10" t="s">
        <v>1999</v>
      </c>
      <c r="J616" s="69">
        <v>46010</v>
      </c>
      <c r="K616" s="97">
        <f t="shared" si="122"/>
        <v>12</v>
      </c>
      <c r="L616" s="97">
        <v>614</v>
      </c>
      <c r="O616" s="7" t="s">
        <v>134</v>
      </c>
      <c r="T616" t="s">
        <v>2000</v>
      </c>
      <c r="X616" s="36" t="s">
        <v>141</v>
      </c>
      <c r="Y616" s="36"/>
      <c r="Z616" s="36"/>
      <c r="AA616" s="36" t="s">
        <v>141</v>
      </c>
      <c r="AB616" s="36"/>
      <c r="AC616" s="36"/>
      <c r="AD616" s="36"/>
      <c r="AE616" s="36" t="s">
        <v>141</v>
      </c>
      <c r="AF616" s="36"/>
      <c r="AG616" s="36"/>
      <c r="AH616" s="36" t="s">
        <v>141</v>
      </c>
      <c r="AI616" s="36"/>
      <c r="AJ616" s="36" t="s">
        <v>141</v>
      </c>
      <c r="AK616" s="117"/>
      <c r="AL616" s="36" t="s">
        <v>141</v>
      </c>
      <c r="AM616" s="36"/>
      <c r="AN616" s="36"/>
      <c r="AO616" s="36"/>
      <c r="AP616" s="36"/>
      <c r="AQ616" s="36"/>
      <c r="AR616" s="36"/>
      <c r="AS616" s="36"/>
      <c r="AT616" s="36" t="s">
        <v>141</v>
      </c>
      <c r="AU616" s="36"/>
      <c r="AV616" s="36"/>
      <c r="AW616" s="117"/>
      <c r="AX616" s="117"/>
      <c r="AY616" s="36"/>
      <c r="AZ616" s="36"/>
      <c r="BA616" s="117"/>
      <c r="BB616" s="117"/>
      <c r="BC616" s="117"/>
      <c r="BD616" s="117"/>
      <c r="BE616" s="117"/>
      <c r="BF616" s="117"/>
      <c r="BG616" s="117"/>
      <c r="BH616" s="117" t="s">
        <v>141</v>
      </c>
      <c r="BI616" s="117" t="s">
        <v>141</v>
      </c>
      <c r="BJ616" s="117"/>
      <c r="BK616" s="117"/>
      <c r="BL616" s="117"/>
      <c r="BM616" s="117">
        <f t="shared" si="123"/>
        <v>7</v>
      </c>
      <c r="BN616" s="117">
        <f t="shared" si="124"/>
        <v>1</v>
      </c>
      <c r="BO616" s="117">
        <f t="shared" si="125"/>
        <v>2</v>
      </c>
      <c r="BP616" s="153">
        <f t="shared" si="126"/>
        <v>5</v>
      </c>
      <c r="BQ616" s="74" t="s">
        <v>1245</v>
      </c>
      <c r="BR616" s="74"/>
    </row>
    <row r="617" spans="1:70" hidden="1">
      <c r="A617">
        <v>603</v>
      </c>
      <c r="B617" s="75">
        <v>46010.059398148151</v>
      </c>
      <c r="E617" s="7">
        <v>46010</v>
      </c>
      <c r="F617">
        <v>1158</v>
      </c>
      <c r="I617" s="10" t="s">
        <v>2001</v>
      </c>
      <c r="J617" s="69">
        <v>46010</v>
      </c>
      <c r="K617" s="97">
        <f t="shared" ref="K617:K622" si="127">MONTH($J617)</f>
        <v>12</v>
      </c>
      <c r="L617" s="97">
        <v>615</v>
      </c>
      <c r="O617" s="7" t="s">
        <v>146</v>
      </c>
      <c r="T617" t="s">
        <v>1214</v>
      </c>
      <c r="X617" s="36"/>
      <c r="Y617" s="36"/>
      <c r="Z617" s="36"/>
      <c r="AA617" s="36" t="s">
        <v>141</v>
      </c>
      <c r="AB617" s="36" t="s">
        <v>141</v>
      </c>
      <c r="AC617" s="36"/>
      <c r="AD617" s="36"/>
      <c r="AE617" s="36" t="s">
        <v>141</v>
      </c>
      <c r="AF617" s="36"/>
      <c r="AG617" s="36"/>
      <c r="AH617" s="36" t="s">
        <v>141</v>
      </c>
      <c r="AI617" s="36"/>
      <c r="AJ617" s="36"/>
      <c r="AK617" s="117"/>
      <c r="AL617" s="36"/>
      <c r="AM617" s="36" t="s">
        <v>141</v>
      </c>
      <c r="AN617" s="36"/>
      <c r="AO617" s="36"/>
      <c r="AP617" s="36"/>
      <c r="AQ617" s="36"/>
      <c r="AR617" s="36"/>
      <c r="AS617" s="36"/>
      <c r="AT617" s="36" t="s">
        <v>141</v>
      </c>
      <c r="AU617" s="36"/>
      <c r="AV617" s="36"/>
      <c r="AW617" s="117" t="s">
        <v>141</v>
      </c>
      <c r="AX617" s="117"/>
      <c r="AY617" s="36" t="s">
        <v>141</v>
      </c>
      <c r="AZ617" s="36"/>
      <c r="BA617" s="117"/>
      <c r="BB617" s="117"/>
      <c r="BC617" s="117"/>
      <c r="BD617" s="117" t="s">
        <v>141</v>
      </c>
      <c r="BE617" s="117"/>
      <c r="BF617" s="117" t="s">
        <v>141</v>
      </c>
      <c r="BG617" s="117"/>
      <c r="BH617" s="117" t="s">
        <v>141</v>
      </c>
      <c r="BI617" s="117"/>
      <c r="BJ617" s="117"/>
      <c r="BK617" s="117"/>
      <c r="BL617" s="117"/>
      <c r="BM617" s="117">
        <f t="shared" ref="BM617:BM622" si="128">COUNTIF($X617:$BF617, "I")</f>
        <v>10</v>
      </c>
      <c r="BN617" s="117">
        <f t="shared" ref="BN617:BN622" si="129">COUNTIFS($X617:$BF617, "I",$X$2:$BF$2, "DR" )</f>
        <v>1</v>
      </c>
      <c r="BO617" s="117">
        <f t="shared" ref="BO617:BO622" si="130">COUNTIFS($X617:$BF617, "I",$X$5:$BF$5, "OF" )</f>
        <v>2</v>
      </c>
      <c r="BP617" s="153">
        <f t="shared" ref="BP617:BP622" si="131">COUNTIFS($X617:$BF617, "I",$X$5:$BF$5, "FF" )</f>
        <v>6</v>
      </c>
      <c r="BQ617" s="74" t="s">
        <v>208</v>
      </c>
      <c r="BR617" s="74"/>
    </row>
    <row r="618" spans="1:70" hidden="1">
      <c r="A618">
        <v>604</v>
      </c>
      <c r="B618" s="75">
        <v>46010.242071759261</v>
      </c>
      <c r="E618" s="7">
        <v>46010</v>
      </c>
      <c r="F618">
        <v>1159</v>
      </c>
      <c r="I618" s="10" t="s">
        <v>2002</v>
      </c>
      <c r="J618" s="69">
        <v>46010</v>
      </c>
      <c r="K618" s="97">
        <f t="shared" si="127"/>
        <v>12</v>
      </c>
      <c r="L618" s="97">
        <v>616</v>
      </c>
      <c r="O618" s="7" t="s">
        <v>197</v>
      </c>
      <c r="T618" t="s">
        <v>2003</v>
      </c>
      <c r="X618" s="36" t="s">
        <v>141</v>
      </c>
      <c r="Y618" s="36" t="s">
        <v>141</v>
      </c>
      <c r="Z618" s="36"/>
      <c r="AA618" s="36" t="s">
        <v>141</v>
      </c>
      <c r="AB618" s="36"/>
      <c r="AC618" s="36"/>
      <c r="AD618" s="36"/>
      <c r="AE618" s="36"/>
      <c r="AF618" s="36"/>
      <c r="AG618" s="36"/>
      <c r="AH618" s="36" t="s">
        <v>141</v>
      </c>
      <c r="AI618" s="36" t="s">
        <v>141</v>
      </c>
      <c r="AJ618" s="36" t="s">
        <v>141</v>
      </c>
      <c r="AK618" s="117" t="s">
        <v>141</v>
      </c>
      <c r="AL618" s="36"/>
      <c r="AM618" s="36"/>
      <c r="AN618" s="36"/>
      <c r="AO618" s="36"/>
      <c r="AP618" s="36"/>
      <c r="AQ618" s="36"/>
      <c r="AR618" s="36"/>
      <c r="AS618" s="36" t="s">
        <v>141</v>
      </c>
      <c r="AT618" s="36"/>
      <c r="AU618" s="36"/>
      <c r="AV618" s="36"/>
      <c r="AW618" s="117" t="s">
        <v>141</v>
      </c>
      <c r="AX618" s="117"/>
      <c r="AY618" s="36"/>
      <c r="AZ618" s="36" t="s">
        <v>141</v>
      </c>
      <c r="BA618" s="117" t="s">
        <v>141</v>
      </c>
      <c r="BB618" s="117"/>
      <c r="BC618" s="117" t="s">
        <v>141</v>
      </c>
      <c r="BD618" s="117" t="s">
        <v>141</v>
      </c>
      <c r="BE618" s="117"/>
      <c r="BF618" s="117"/>
      <c r="BG618" s="117"/>
      <c r="BH618" s="117" t="s">
        <v>141</v>
      </c>
      <c r="BI618" s="117"/>
      <c r="BJ618" s="117"/>
      <c r="BK618" s="117"/>
      <c r="BL618" s="117"/>
      <c r="BM618" s="117">
        <f t="shared" si="128"/>
        <v>13</v>
      </c>
      <c r="BN618" s="117">
        <f t="shared" si="129"/>
        <v>3</v>
      </c>
      <c r="BO618" s="117">
        <f t="shared" si="130"/>
        <v>3</v>
      </c>
      <c r="BP618" s="153">
        <f t="shared" si="131"/>
        <v>9</v>
      </c>
      <c r="BQ618" s="74" t="s">
        <v>178</v>
      </c>
      <c r="BR618" s="74"/>
    </row>
    <row r="619" spans="1:70" hidden="1">
      <c r="A619">
        <v>605</v>
      </c>
      <c r="B619" s="75">
        <v>46010.35083333333</v>
      </c>
      <c r="E619" s="7">
        <v>46009</v>
      </c>
      <c r="F619">
        <v>1160</v>
      </c>
      <c r="I619" s="10" t="s">
        <v>2004</v>
      </c>
      <c r="J619" s="69">
        <v>46010</v>
      </c>
      <c r="K619" s="97">
        <f t="shared" si="127"/>
        <v>12</v>
      </c>
      <c r="L619" s="97">
        <v>617</v>
      </c>
      <c r="O619" s="7" t="s">
        <v>254</v>
      </c>
      <c r="T619" t="s">
        <v>2005</v>
      </c>
      <c r="X619" s="36"/>
      <c r="Y619" s="36" t="s">
        <v>141</v>
      </c>
      <c r="Z619" s="36"/>
      <c r="AA619" s="36" t="s">
        <v>141</v>
      </c>
      <c r="AB619" s="36"/>
      <c r="AC619" s="36"/>
      <c r="AD619" s="36"/>
      <c r="AE619" s="36"/>
      <c r="AF619" s="36"/>
      <c r="AG619" s="36"/>
      <c r="AH619" s="36"/>
      <c r="AI619" s="36" t="s">
        <v>141</v>
      </c>
      <c r="AJ619" s="36" t="s">
        <v>141</v>
      </c>
      <c r="AK619" s="117" t="s">
        <v>141</v>
      </c>
      <c r="AL619" s="36"/>
      <c r="AM619" s="36"/>
      <c r="AN619" s="36"/>
      <c r="AO619" s="36" t="s">
        <v>141</v>
      </c>
      <c r="AP619" s="36"/>
      <c r="AQ619" s="36"/>
      <c r="AR619" s="36" t="s">
        <v>141</v>
      </c>
      <c r="AS619" s="36"/>
      <c r="AT619" s="36"/>
      <c r="AU619" s="36" t="s">
        <v>141</v>
      </c>
      <c r="AV619" s="36"/>
      <c r="AW619" s="117" t="s">
        <v>141</v>
      </c>
      <c r="AX619" s="117"/>
      <c r="AY619" s="36"/>
      <c r="AZ619" s="36"/>
      <c r="BA619" s="117" t="s">
        <v>141</v>
      </c>
      <c r="BB619" s="117"/>
      <c r="BC619" s="117" t="s">
        <v>141</v>
      </c>
      <c r="BD619" s="117"/>
      <c r="BE619" s="117"/>
      <c r="BF619" s="117"/>
      <c r="BG619" s="117"/>
      <c r="BH619" s="117" t="s">
        <v>141</v>
      </c>
      <c r="BI619" s="117"/>
      <c r="BJ619" s="117"/>
      <c r="BK619" s="117"/>
      <c r="BL619" s="117"/>
      <c r="BM619" s="117">
        <f t="shared" si="128"/>
        <v>11</v>
      </c>
      <c r="BN619" s="117">
        <f t="shared" si="129"/>
        <v>3</v>
      </c>
      <c r="BO619" s="117">
        <f t="shared" si="130"/>
        <v>2</v>
      </c>
      <c r="BP619" s="153">
        <f t="shared" si="131"/>
        <v>9</v>
      </c>
      <c r="BQ619" s="74" t="s">
        <v>525</v>
      </c>
      <c r="BR619" s="74"/>
    </row>
    <row r="620" spans="1:70" hidden="1">
      <c r="A620">
        <v>606</v>
      </c>
      <c r="B620" s="75">
        <v>46010.373576388891</v>
      </c>
      <c r="E620" s="7">
        <v>46010</v>
      </c>
      <c r="F620">
        <v>1161</v>
      </c>
      <c r="I620" s="10" t="s">
        <v>2006</v>
      </c>
      <c r="J620" s="69">
        <v>46010</v>
      </c>
      <c r="K620" s="97">
        <f t="shared" si="127"/>
        <v>12</v>
      </c>
      <c r="L620" s="97">
        <v>618</v>
      </c>
      <c r="O620" s="7" t="s">
        <v>1526</v>
      </c>
      <c r="T620" t="s">
        <v>2007</v>
      </c>
      <c r="X620" s="36"/>
      <c r="Y620" s="36" t="s">
        <v>141</v>
      </c>
      <c r="Z620" s="36"/>
      <c r="AA620" s="36" t="s">
        <v>141</v>
      </c>
      <c r="AB620" s="36"/>
      <c r="AC620" s="36"/>
      <c r="AD620" s="36"/>
      <c r="AE620" s="36"/>
      <c r="AF620" s="36"/>
      <c r="AG620" s="36"/>
      <c r="AH620" s="36"/>
      <c r="AI620" s="36"/>
      <c r="AJ620" s="36" t="s">
        <v>141</v>
      </c>
      <c r="AK620" s="117" t="s">
        <v>141</v>
      </c>
      <c r="AL620" s="36"/>
      <c r="AM620" s="36"/>
      <c r="AN620" s="36"/>
      <c r="AO620" s="36" t="s">
        <v>141</v>
      </c>
      <c r="AP620" s="36"/>
      <c r="AQ620" s="36"/>
      <c r="AR620" s="36" t="s">
        <v>141</v>
      </c>
      <c r="AS620" s="36" t="s">
        <v>141</v>
      </c>
      <c r="AT620" s="36"/>
      <c r="AU620" s="36"/>
      <c r="AV620" s="36"/>
      <c r="AW620" s="117" t="s">
        <v>141</v>
      </c>
      <c r="AX620" s="117"/>
      <c r="AY620" s="36"/>
      <c r="AZ620" s="36" t="s">
        <v>141</v>
      </c>
      <c r="BA620" s="117" t="s">
        <v>141</v>
      </c>
      <c r="BB620" s="117"/>
      <c r="BC620" s="117" t="s">
        <v>141</v>
      </c>
      <c r="BD620" s="117"/>
      <c r="BE620" s="117"/>
      <c r="BF620" s="117"/>
      <c r="BG620" s="117"/>
      <c r="BH620" s="117" t="s">
        <v>141</v>
      </c>
      <c r="BI620" s="117"/>
      <c r="BJ620" s="117"/>
      <c r="BK620" s="117"/>
      <c r="BL620" s="117"/>
      <c r="BM620" s="117">
        <f t="shared" si="128"/>
        <v>11</v>
      </c>
      <c r="BN620" s="117">
        <f t="shared" si="129"/>
        <v>4</v>
      </c>
      <c r="BO620" s="117">
        <f t="shared" si="130"/>
        <v>2</v>
      </c>
      <c r="BP620" s="153">
        <f t="shared" si="131"/>
        <v>9</v>
      </c>
      <c r="BQ620" s="74" t="s">
        <v>1756</v>
      </c>
      <c r="BR620" s="74"/>
    </row>
    <row r="621" spans="1:70" hidden="1">
      <c r="A621">
        <v>607</v>
      </c>
      <c r="B621" s="75">
        <v>46011.057696759257</v>
      </c>
      <c r="E621" s="7">
        <v>46011</v>
      </c>
      <c r="F621">
        <v>1162</v>
      </c>
      <c r="I621" s="10" t="s">
        <v>2008</v>
      </c>
      <c r="J621" s="69">
        <v>46011</v>
      </c>
      <c r="K621" s="97">
        <f t="shared" si="127"/>
        <v>12</v>
      </c>
      <c r="L621" s="97">
        <v>619</v>
      </c>
      <c r="O621" s="7" t="s">
        <v>156</v>
      </c>
      <c r="T621" t="s">
        <v>2009</v>
      </c>
      <c r="X621" s="36" t="s">
        <v>141</v>
      </c>
      <c r="Y621" s="36" t="s">
        <v>141</v>
      </c>
      <c r="Z621" s="36" t="s">
        <v>141</v>
      </c>
      <c r="AA621" s="36" t="s">
        <v>141</v>
      </c>
      <c r="AB621" s="36"/>
      <c r="AC621" s="36"/>
      <c r="AD621" s="36"/>
      <c r="AE621" s="36" t="s">
        <v>141</v>
      </c>
      <c r="AF621" s="36"/>
      <c r="AG621" s="36"/>
      <c r="AH621" s="36"/>
      <c r="AI621" s="36" t="s">
        <v>141</v>
      </c>
      <c r="AJ621" s="36"/>
      <c r="AK621" s="117"/>
      <c r="AL621" s="36" t="s">
        <v>141</v>
      </c>
      <c r="AM621" s="36"/>
      <c r="AN621" s="36"/>
      <c r="AO621" s="36"/>
      <c r="AP621" s="36" t="s">
        <v>141</v>
      </c>
      <c r="AQ621" s="36"/>
      <c r="AR621" s="36"/>
      <c r="AS621" s="36" t="s">
        <v>141</v>
      </c>
      <c r="AT621" s="36"/>
      <c r="AU621" s="36"/>
      <c r="AV621" s="36" t="s">
        <v>141</v>
      </c>
      <c r="AW621" s="117"/>
      <c r="AX621" s="117"/>
      <c r="AY621" s="36" t="s">
        <v>141</v>
      </c>
      <c r="AZ621" s="36"/>
      <c r="BA621" s="117"/>
      <c r="BB621" s="117"/>
      <c r="BC621" s="117"/>
      <c r="BD621" s="117"/>
      <c r="BE621" s="117"/>
      <c r="BF621" s="117"/>
      <c r="BG621" s="117"/>
      <c r="BH621" s="117" t="s">
        <v>141</v>
      </c>
      <c r="BI621" s="117"/>
      <c r="BJ621" s="117"/>
      <c r="BK621" s="117"/>
      <c r="BL621" s="117"/>
      <c r="BM621" s="117">
        <f t="shared" si="128"/>
        <v>11</v>
      </c>
      <c r="BN621" s="117">
        <f t="shared" si="129"/>
        <v>1</v>
      </c>
      <c r="BO621" s="117">
        <f t="shared" si="130"/>
        <v>4</v>
      </c>
      <c r="BP621" s="153">
        <f t="shared" si="131"/>
        <v>7</v>
      </c>
      <c r="BQ621" s="74" t="s">
        <v>1756</v>
      </c>
      <c r="BR621" s="74"/>
    </row>
    <row r="622" spans="1:70" hidden="1">
      <c r="A622">
        <v>608</v>
      </c>
      <c r="B622" s="75">
        <v>46012.528124999997</v>
      </c>
      <c r="E622" s="7">
        <v>46013</v>
      </c>
      <c r="F622">
        <v>1163</v>
      </c>
      <c r="I622" s="10" t="s">
        <v>2010</v>
      </c>
      <c r="J622" s="69">
        <v>46013</v>
      </c>
      <c r="K622" s="97">
        <f t="shared" si="127"/>
        <v>12</v>
      </c>
      <c r="L622" s="97">
        <v>620</v>
      </c>
      <c r="O622" s="7" t="s">
        <v>234</v>
      </c>
      <c r="T622" t="s">
        <v>2011</v>
      </c>
      <c r="X622" s="36"/>
      <c r="Y622" s="36"/>
      <c r="Z622" s="36" t="s">
        <v>141</v>
      </c>
      <c r="AA622" s="36"/>
      <c r="AB622" s="36"/>
      <c r="AC622" s="36" t="s">
        <v>141</v>
      </c>
      <c r="AD622" s="36"/>
      <c r="AE622" s="36"/>
      <c r="AF622" s="36"/>
      <c r="AG622" s="36"/>
      <c r="AH622" s="36"/>
      <c r="AI622" s="36"/>
      <c r="AJ622" s="36" t="s">
        <v>141</v>
      </c>
      <c r="AK622" s="117" t="s">
        <v>141</v>
      </c>
      <c r="AL622" s="36" t="s">
        <v>141</v>
      </c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117" t="s">
        <v>141</v>
      </c>
      <c r="AX622" s="117"/>
      <c r="AY622" s="36"/>
      <c r="AZ622" s="36"/>
      <c r="BA622" s="117" t="s">
        <v>141</v>
      </c>
      <c r="BB622" s="117"/>
      <c r="BC622" s="117"/>
      <c r="BD622" s="117"/>
      <c r="BE622" s="117" t="s">
        <v>141</v>
      </c>
      <c r="BF622" s="117" t="s">
        <v>141</v>
      </c>
      <c r="BG622" s="117"/>
      <c r="BH622" s="117" t="s">
        <v>141</v>
      </c>
      <c r="BI622" s="117"/>
      <c r="BJ622" s="117" t="s">
        <v>141</v>
      </c>
      <c r="BK622" s="117"/>
      <c r="BL622" s="117"/>
      <c r="BM622" s="117">
        <f t="shared" si="128"/>
        <v>9</v>
      </c>
      <c r="BN622" s="117">
        <f t="shared" si="129"/>
        <v>2</v>
      </c>
      <c r="BO622" s="117">
        <f t="shared" si="130"/>
        <v>2</v>
      </c>
      <c r="BP622" s="153">
        <f t="shared" si="131"/>
        <v>5</v>
      </c>
      <c r="BQ622" s="74" t="s">
        <v>1598</v>
      </c>
      <c r="BR622" s="74"/>
    </row>
    <row r="623" spans="1:70" hidden="1">
      <c r="A623">
        <v>609</v>
      </c>
      <c r="B623" s="75">
        <v>46012.894143518519</v>
      </c>
      <c r="E623" s="7">
        <v>46013</v>
      </c>
      <c r="F623">
        <v>1164</v>
      </c>
      <c r="I623" s="10" t="s">
        <v>2012</v>
      </c>
      <c r="J623" s="69">
        <v>46013</v>
      </c>
      <c r="K623" s="97">
        <f t="shared" ref="K623:K628" si="132">MONTH($J623)</f>
        <v>12</v>
      </c>
      <c r="L623" s="97">
        <v>621</v>
      </c>
      <c r="O623" s="7" t="s">
        <v>134</v>
      </c>
      <c r="T623" t="s">
        <v>2013</v>
      </c>
      <c r="X623" s="36"/>
      <c r="Y623" s="36"/>
      <c r="Z623" s="36"/>
      <c r="AA623" s="36" t="s">
        <v>141</v>
      </c>
      <c r="AB623" s="36"/>
      <c r="AC623" s="36"/>
      <c r="AD623" s="36"/>
      <c r="AE623" s="36"/>
      <c r="AF623" s="36"/>
      <c r="AG623" s="36"/>
      <c r="AH623" s="36" t="s">
        <v>141</v>
      </c>
      <c r="AI623" s="36"/>
      <c r="AJ623" s="36" t="s">
        <v>141</v>
      </c>
      <c r="AK623" s="117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117" t="s">
        <v>141</v>
      </c>
      <c r="AX623" s="117"/>
      <c r="AY623" s="36"/>
      <c r="AZ623" s="36" t="s">
        <v>141</v>
      </c>
      <c r="BA623" s="117"/>
      <c r="BB623" s="117"/>
      <c r="BC623" s="117"/>
      <c r="BD623" s="117"/>
      <c r="BE623" s="117"/>
      <c r="BF623" s="117" t="s">
        <v>141</v>
      </c>
      <c r="BG623" s="117"/>
      <c r="BH623" s="117" t="s">
        <v>141</v>
      </c>
      <c r="BI623" s="117" t="s">
        <v>141</v>
      </c>
      <c r="BJ623" s="117"/>
      <c r="BK623" s="117"/>
      <c r="BL623" s="117"/>
      <c r="BM623" s="117">
        <f t="shared" ref="BM623:BM628" si="133">COUNTIF($X623:$BF623, "I")</f>
        <v>6</v>
      </c>
      <c r="BN623" s="117">
        <f t="shared" ref="BN623:BN628" si="134">COUNTIFS($X623:$BF623, "I",$X$2:$BF$2, "DR" )</f>
        <v>1</v>
      </c>
      <c r="BO623" s="117">
        <f t="shared" ref="BO623:BO628" si="135">COUNTIFS($X623:$BF623, "I",$X$5:$BF$5, "OF" )</f>
        <v>1</v>
      </c>
      <c r="BP623" s="153">
        <f t="shared" ref="BP623:BP628" si="136">COUNTIFS($X623:$BF623, "I",$X$5:$BF$5, "FF" )</f>
        <v>4</v>
      </c>
      <c r="BQ623" s="74" t="s">
        <v>1688</v>
      </c>
      <c r="BR623" s="74"/>
    </row>
    <row r="624" spans="1:70" hidden="1">
      <c r="A624">
        <v>610</v>
      </c>
      <c r="B624" s="75">
        <v>46013.265787037039</v>
      </c>
      <c r="E624" s="7">
        <v>46013</v>
      </c>
      <c r="F624">
        <v>1165</v>
      </c>
      <c r="I624" s="10" t="s">
        <v>2014</v>
      </c>
      <c r="J624" s="69">
        <v>46013</v>
      </c>
      <c r="K624" s="97">
        <f t="shared" si="132"/>
        <v>12</v>
      </c>
      <c r="L624" s="97">
        <v>622</v>
      </c>
      <c r="O624" s="7" t="s">
        <v>1870</v>
      </c>
      <c r="T624" t="s">
        <v>2015</v>
      </c>
      <c r="X624" s="36" t="s">
        <v>141</v>
      </c>
      <c r="Y624" s="36" t="s">
        <v>141</v>
      </c>
      <c r="Z624" s="36"/>
      <c r="AA624" s="36" t="s">
        <v>141</v>
      </c>
      <c r="AB624" s="36" t="s">
        <v>141</v>
      </c>
      <c r="AC624" s="36"/>
      <c r="AD624" s="36"/>
      <c r="AE624" s="36" t="s">
        <v>141</v>
      </c>
      <c r="AF624" s="36"/>
      <c r="AG624" s="36"/>
      <c r="AH624" s="36"/>
      <c r="AI624" s="36" t="s">
        <v>141</v>
      </c>
      <c r="AJ624" s="36"/>
      <c r="AK624" s="117"/>
      <c r="AL624" s="36"/>
      <c r="AM624" s="36"/>
      <c r="AN624" s="36" t="s">
        <v>141</v>
      </c>
      <c r="AO624" s="36"/>
      <c r="AP624" s="36" t="s">
        <v>141</v>
      </c>
      <c r="AQ624" s="36"/>
      <c r="AR624" s="36"/>
      <c r="AS624" s="36" t="s">
        <v>141</v>
      </c>
      <c r="AT624" s="36"/>
      <c r="AU624" s="36" t="s">
        <v>141</v>
      </c>
      <c r="AV624" s="36" t="s">
        <v>141</v>
      </c>
      <c r="AW624" s="117"/>
      <c r="AX624" s="117"/>
      <c r="AY624" s="36" t="s">
        <v>141</v>
      </c>
      <c r="AZ624" s="36"/>
      <c r="BA624" s="117" t="s">
        <v>141</v>
      </c>
      <c r="BB624" s="117"/>
      <c r="BC624" s="117" t="s">
        <v>141</v>
      </c>
      <c r="BD624" s="117"/>
      <c r="BE624" s="117" t="s">
        <v>141</v>
      </c>
      <c r="BF624" s="117"/>
      <c r="BG624" s="117"/>
      <c r="BH624" s="117" t="s">
        <v>141</v>
      </c>
      <c r="BI624" s="117" t="s">
        <v>141</v>
      </c>
      <c r="BJ624" s="117" t="s">
        <v>141</v>
      </c>
      <c r="BK624" s="117"/>
      <c r="BL624" s="117"/>
      <c r="BM624" s="117">
        <f t="shared" si="133"/>
        <v>15</v>
      </c>
      <c r="BN624" s="117">
        <f t="shared" si="134"/>
        <v>2</v>
      </c>
      <c r="BO624" s="117">
        <f t="shared" si="135"/>
        <v>4</v>
      </c>
      <c r="BP624" s="153">
        <f t="shared" si="136"/>
        <v>10</v>
      </c>
      <c r="BQ624" s="74" t="s">
        <v>610</v>
      </c>
      <c r="BR624" s="74"/>
    </row>
    <row r="625" spans="1:70" hidden="1">
      <c r="A625">
        <v>611</v>
      </c>
      <c r="B625" s="75">
        <v>46013.840787037036</v>
      </c>
      <c r="E625" s="7">
        <v>46014</v>
      </c>
      <c r="F625">
        <v>1166</v>
      </c>
      <c r="I625" s="10" t="s">
        <v>2016</v>
      </c>
      <c r="J625" s="69">
        <v>46014</v>
      </c>
      <c r="K625" s="97">
        <f t="shared" si="132"/>
        <v>12</v>
      </c>
      <c r="L625" s="97">
        <v>623</v>
      </c>
      <c r="O625" s="7" t="s">
        <v>156</v>
      </c>
      <c r="T625" t="s">
        <v>2017</v>
      </c>
      <c r="X625" s="36"/>
      <c r="Y625" s="36" t="s">
        <v>141</v>
      </c>
      <c r="Z625" s="36"/>
      <c r="AA625" s="36" t="s">
        <v>141</v>
      </c>
      <c r="AB625" s="36" t="s">
        <v>141</v>
      </c>
      <c r="AC625" s="36"/>
      <c r="AD625" s="36" t="s">
        <v>141</v>
      </c>
      <c r="AE625" s="36" t="s">
        <v>141</v>
      </c>
      <c r="AF625" s="36"/>
      <c r="AG625" s="36"/>
      <c r="AH625" s="36" t="s">
        <v>141</v>
      </c>
      <c r="AI625" s="36"/>
      <c r="AJ625" s="36" t="s">
        <v>141</v>
      </c>
      <c r="AK625" s="117"/>
      <c r="AL625" s="36"/>
      <c r="AM625" s="36" t="s">
        <v>141</v>
      </c>
      <c r="AN625" s="36"/>
      <c r="AO625" s="36"/>
      <c r="AP625" s="36"/>
      <c r="AQ625" s="36"/>
      <c r="AR625" s="36"/>
      <c r="AS625" s="36" t="s">
        <v>141</v>
      </c>
      <c r="AT625" s="36"/>
      <c r="AU625" s="36"/>
      <c r="AV625" s="36"/>
      <c r="AW625" s="117"/>
      <c r="AX625" s="117"/>
      <c r="AY625" s="36"/>
      <c r="AZ625" s="36"/>
      <c r="BA625" s="117"/>
      <c r="BB625" s="117"/>
      <c r="BC625" s="117"/>
      <c r="BD625" s="117"/>
      <c r="BE625" s="117" t="s">
        <v>141</v>
      </c>
      <c r="BF625" s="117"/>
      <c r="BG625" s="117"/>
      <c r="BH625" s="117" t="s">
        <v>141</v>
      </c>
      <c r="BI625" s="117"/>
      <c r="BJ625" s="117"/>
      <c r="BK625" s="117"/>
      <c r="BL625" s="117"/>
      <c r="BM625" s="117">
        <f t="shared" si="133"/>
        <v>10</v>
      </c>
      <c r="BN625" s="117">
        <f t="shared" si="134"/>
        <v>3</v>
      </c>
      <c r="BO625" s="117">
        <f t="shared" si="135"/>
        <v>4</v>
      </c>
      <c r="BP625" s="153">
        <f t="shared" si="136"/>
        <v>5</v>
      </c>
      <c r="BQ625" s="74" t="s">
        <v>152</v>
      </c>
      <c r="BR625" s="74"/>
    </row>
    <row r="626" spans="1:70" hidden="1">
      <c r="A626">
        <v>612</v>
      </c>
      <c r="B626" s="75">
        <v>46013.927083333336</v>
      </c>
      <c r="E626" s="7">
        <v>46014</v>
      </c>
      <c r="F626">
        <v>1167</v>
      </c>
      <c r="I626" s="10" t="s">
        <v>2018</v>
      </c>
      <c r="J626" s="69">
        <v>46014</v>
      </c>
      <c r="K626" s="97">
        <f t="shared" si="132"/>
        <v>12</v>
      </c>
      <c r="L626" s="97">
        <v>624</v>
      </c>
      <c r="O626" s="7" t="s">
        <v>449</v>
      </c>
      <c r="T626" t="s">
        <v>2019</v>
      </c>
      <c r="X626" s="36"/>
      <c r="Y626" s="36"/>
      <c r="Z626" s="36"/>
      <c r="AA626" s="36"/>
      <c r="AB626" s="36"/>
      <c r="AC626" s="36"/>
      <c r="AD626" s="36"/>
      <c r="AE626" s="36" t="s">
        <v>141</v>
      </c>
      <c r="AF626" s="36"/>
      <c r="AG626" s="36"/>
      <c r="AH626" s="36"/>
      <c r="AI626" s="36"/>
      <c r="AJ626" s="36" t="s">
        <v>141</v>
      </c>
      <c r="AK626" s="117"/>
      <c r="AL626" s="36"/>
      <c r="AM626" s="36"/>
      <c r="AN626" s="36"/>
      <c r="AO626" s="36"/>
      <c r="AP626" s="36"/>
      <c r="AQ626" s="36"/>
      <c r="AR626" s="36"/>
      <c r="AS626" s="36" t="s">
        <v>141</v>
      </c>
      <c r="AT626" s="36"/>
      <c r="AU626" s="36"/>
      <c r="AV626" s="36"/>
      <c r="AW626" s="117"/>
      <c r="AX626" s="117"/>
      <c r="AY626" s="36"/>
      <c r="AZ626" s="36"/>
      <c r="BA626" s="117"/>
      <c r="BB626" s="117"/>
      <c r="BC626" s="117"/>
      <c r="BD626" s="117"/>
      <c r="BE626" s="117" t="s">
        <v>141</v>
      </c>
      <c r="BF626" s="117" t="s">
        <v>141</v>
      </c>
      <c r="BG626" s="117"/>
      <c r="BH626" s="117" t="s">
        <v>141</v>
      </c>
      <c r="BI626" s="117"/>
      <c r="BJ626" s="117"/>
      <c r="BK626" s="117"/>
      <c r="BL626" s="117"/>
      <c r="BM626" s="117">
        <f t="shared" si="133"/>
        <v>5</v>
      </c>
      <c r="BN626" s="117">
        <f t="shared" si="134"/>
        <v>2</v>
      </c>
      <c r="BO626" s="117">
        <f t="shared" si="135"/>
        <v>0</v>
      </c>
      <c r="BP626" s="153">
        <f t="shared" si="136"/>
        <v>3</v>
      </c>
      <c r="BQ626" s="74" t="s">
        <v>1245</v>
      </c>
      <c r="BR626" s="74"/>
    </row>
    <row r="627" spans="1:70" hidden="1">
      <c r="A627">
        <v>613</v>
      </c>
      <c r="B627" s="75">
        <v>46013.949305555558</v>
      </c>
      <c r="E627" s="7">
        <v>46014</v>
      </c>
      <c r="F627">
        <v>1168</v>
      </c>
      <c r="I627" s="10" t="s">
        <v>2020</v>
      </c>
      <c r="J627" s="69">
        <v>46014</v>
      </c>
      <c r="K627" s="97">
        <f t="shared" si="132"/>
        <v>12</v>
      </c>
      <c r="L627" s="97">
        <v>625</v>
      </c>
      <c r="O627" s="7" t="s">
        <v>2021</v>
      </c>
      <c r="T627" t="s">
        <v>2022</v>
      </c>
      <c r="X627" s="36"/>
      <c r="Y627" s="36"/>
      <c r="Z627" s="36"/>
      <c r="AA627" s="36" t="s">
        <v>141</v>
      </c>
      <c r="AB627" s="36"/>
      <c r="AC627" s="36"/>
      <c r="AD627" s="36"/>
      <c r="AE627" s="36"/>
      <c r="AF627" s="36"/>
      <c r="AG627" s="36"/>
      <c r="AH627" s="36"/>
      <c r="AI627" s="36"/>
      <c r="AJ627" s="36" t="s">
        <v>141</v>
      </c>
      <c r="AK627" s="117" t="s">
        <v>141</v>
      </c>
      <c r="AL627" s="36"/>
      <c r="AM627" s="36"/>
      <c r="AN627" s="36"/>
      <c r="AO627" s="36"/>
      <c r="AP627" s="36"/>
      <c r="AQ627" s="36"/>
      <c r="AR627" s="36"/>
      <c r="AS627" s="36" t="s">
        <v>141</v>
      </c>
      <c r="AT627" s="36"/>
      <c r="AU627" s="36"/>
      <c r="AV627" s="36"/>
      <c r="AW627" s="117"/>
      <c r="AX627" s="117"/>
      <c r="AY627" s="36"/>
      <c r="AZ627" s="36" t="s">
        <v>141</v>
      </c>
      <c r="BA627" s="117"/>
      <c r="BB627" s="117"/>
      <c r="BC627" s="117"/>
      <c r="BD627" s="117"/>
      <c r="BE627" s="117" t="s">
        <v>141</v>
      </c>
      <c r="BF627" s="117" t="s">
        <v>141</v>
      </c>
      <c r="BG627" s="117"/>
      <c r="BH627" s="117" t="s">
        <v>141</v>
      </c>
      <c r="BI627" s="117" t="s">
        <v>141</v>
      </c>
      <c r="BJ627" s="117"/>
      <c r="BK627" s="117"/>
      <c r="BL627" s="117"/>
      <c r="BM627" s="117">
        <f t="shared" si="133"/>
        <v>7</v>
      </c>
      <c r="BN627" s="117">
        <f t="shared" si="134"/>
        <v>3</v>
      </c>
      <c r="BO627" s="117">
        <f t="shared" si="135"/>
        <v>1</v>
      </c>
      <c r="BP627" s="153">
        <f t="shared" si="136"/>
        <v>4</v>
      </c>
      <c r="BQ627" s="74" t="s">
        <v>1891</v>
      </c>
      <c r="BR627" s="74"/>
    </row>
    <row r="628" spans="1:70" hidden="1">
      <c r="A628">
        <v>614</v>
      </c>
      <c r="B628" s="75">
        <v>46014.080243055556</v>
      </c>
      <c r="E628" s="7">
        <v>46014</v>
      </c>
      <c r="F628">
        <v>1169</v>
      </c>
      <c r="I628" s="10" t="s">
        <v>2023</v>
      </c>
      <c r="J628" s="69">
        <v>46014</v>
      </c>
      <c r="K628" s="97">
        <f t="shared" si="132"/>
        <v>12</v>
      </c>
      <c r="L628" s="97">
        <v>626</v>
      </c>
      <c r="O628" s="7" t="s">
        <v>134</v>
      </c>
      <c r="T628" t="s">
        <v>2024</v>
      </c>
      <c r="X628" s="36"/>
      <c r="Y628" s="36"/>
      <c r="Z628" s="36"/>
      <c r="AA628" s="36" t="s">
        <v>141</v>
      </c>
      <c r="AB628" s="36"/>
      <c r="AC628" s="36"/>
      <c r="AD628" s="36"/>
      <c r="AE628" s="36"/>
      <c r="AF628" s="36"/>
      <c r="AG628" s="36"/>
      <c r="AH628" s="36"/>
      <c r="AI628" s="36" t="s">
        <v>141</v>
      </c>
      <c r="AJ628" s="36"/>
      <c r="AK628" s="117" t="s">
        <v>141</v>
      </c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 t="s">
        <v>141</v>
      </c>
      <c r="AW628" s="117"/>
      <c r="AX628" s="117"/>
      <c r="AY628" s="36"/>
      <c r="AZ628" s="36" t="s">
        <v>141</v>
      </c>
      <c r="BA628" s="117"/>
      <c r="BB628" s="117"/>
      <c r="BC628" s="117"/>
      <c r="BD628" s="117"/>
      <c r="BE628" s="117" t="s">
        <v>141</v>
      </c>
      <c r="BF628" s="117" t="s">
        <v>141</v>
      </c>
      <c r="BG628" s="117"/>
      <c r="BH628" s="117" t="s">
        <v>141</v>
      </c>
      <c r="BI628" s="117" t="s">
        <v>141</v>
      </c>
      <c r="BJ628" s="117"/>
      <c r="BK628" s="117"/>
      <c r="BL628" s="117"/>
      <c r="BM628" s="117">
        <f t="shared" si="133"/>
        <v>7</v>
      </c>
      <c r="BN628" s="117">
        <f t="shared" si="134"/>
        <v>1</v>
      </c>
      <c r="BO628" s="117">
        <f t="shared" si="135"/>
        <v>1</v>
      </c>
      <c r="BP628" s="153">
        <f t="shared" si="136"/>
        <v>4</v>
      </c>
      <c r="BQ628" s="74" t="s">
        <v>163</v>
      </c>
      <c r="BR628" s="74"/>
    </row>
    <row r="629" spans="1:70" hidden="1">
      <c r="A629">
        <v>615</v>
      </c>
      <c r="B629" s="75">
        <v>46015.174270833333</v>
      </c>
      <c r="E629" s="7">
        <v>46015</v>
      </c>
      <c r="F629">
        <v>1170</v>
      </c>
      <c r="I629" s="10" t="s">
        <v>2025</v>
      </c>
      <c r="J629" s="69">
        <v>46015</v>
      </c>
      <c r="K629" s="97">
        <f t="shared" ref="K629:K635" si="137">MONTH($J629)</f>
        <v>12</v>
      </c>
      <c r="L629" s="97">
        <v>627</v>
      </c>
      <c r="O629" s="7" t="s">
        <v>156</v>
      </c>
      <c r="T629" t="s">
        <v>672</v>
      </c>
      <c r="X629" s="36" t="s">
        <v>141</v>
      </c>
      <c r="Y629" s="36" t="s">
        <v>141</v>
      </c>
      <c r="Z629" s="36"/>
      <c r="AA629" s="36" t="s">
        <v>141</v>
      </c>
      <c r="AB629" s="36"/>
      <c r="AC629" s="36"/>
      <c r="AD629" s="36"/>
      <c r="AE629" s="36"/>
      <c r="AF629" s="36" t="s">
        <v>141</v>
      </c>
      <c r="AG629" s="36"/>
      <c r="AH629" s="36" t="s">
        <v>141</v>
      </c>
      <c r="AI629" s="36"/>
      <c r="AJ629" s="36" t="s">
        <v>141</v>
      </c>
      <c r="AK629" s="117" t="s">
        <v>141</v>
      </c>
      <c r="AL629" s="36"/>
      <c r="AM629" s="36"/>
      <c r="AN629" s="36"/>
      <c r="AO629" s="36" t="s">
        <v>141</v>
      </c>
      <c r="AP629" s="36" t="s">
        <v>141</v>
      </c>
      <c r="AQ629" s="36"/>
      <c r="AR629" s="36"/>
      <c r="AS629" s="36"/>
      <c r="AT629" s="36"/>
      <c r="AU629" s="36"/>
      <c r="AV629" s="36" t="s">
        <v>141</v>
      </c>
      <c r="AW629" s="117"/>
      <c r="AX629" s="117"/>
      <c r="AY629" s="36"/>
      <c r="AZ629" s="36"/>
      <c r="BA629" s="117"/>
      <c r="BB629" s="117"/>
      <c r="BC629" s="117"/>
      <c r="BD629" s="117"/>
      <c r="BE629" s="117"/>
      <c r="BF629" s="117"/>
      <c r="BG629" s="117"/>
      <c r="BH629" s="117" t="s">
        <v>141</v>
      </c>
      <c r="BI629" s="117"/>
      <c r="BJ629" s="117"/>
      <c r="BK629" s="117"/>
      <c r="BL629" s="117"/>
      <c r="BM629" s="117">
        <f t="shared" ref="BM629:BM635" si="138">COUNTIF($X629:$BF629, "I")</f>
        <v>10</v>
      </c>
      <c r="BN629" s="117">
        <f t="shared" ref="BN629:BN635" si="139">COUNTIFS($X629:$BF629, "I",$X$2:$BF$2, "DR" )</f>
        <v>2</v>
      </c>
      <c r="BO629" s="117">
        <f t="shared" ref="BO629:BO635" si="140">COUNTIFS($X629:$BF629, "I",$X$5:$BF$5, "OF" )</f>
        <v>3</v>
      </c>
      <c r="BP629" s="153">
        <f t="shared" ref="BP629:BP635" si="141">COUNTIFS($X629:$BF629, "I",$X$5:$BF$5, "FF" )</f>
        <v>7</v>
      </c>
      <c r="BQ629" s="74" t="s">
        <v>178</v>
      </c>
      <c r="BR629" s="74"/>
    </row>
    <row r="630" spans="1:70">
      <c r="A630">
        <v>616</v>
      </c>
      <c r="B630" s="75">
        <v>46015.605173611111</v>
      </c>
      <c r="E630" s="7">
        <v>46015</v>
      </c>
      <c r="F630">
        <v>1171</v>
      </c>
      <c r="I630" s="10" t="s">
        <v>2026</v>
      </c>
      <c r="J630" s="69">
        <v>46016</v>
      </c>
      <c r="K630" s="97">
        <f t="shared" si="137"/>
        <v>12</v>
      </c>
      <c r="L630" s="97">
        <v>628</v>
      </c>
      <c r="O630" s="7" t="s">
        <v>1013</v>
      </c>
      <c r="T630" t="s">
        <v>2027</v>
      </c>
      <c r="X630" s="36" t="s">
        <v>141</v>
      </c>
      <c r="Y630" s="36" t="s">
        <v>141</v>
      </c>
      <c r="Z630" s="36" t="s">
        <v>141</v>
      </c>
      <c r="AA630" s="36" t="s">
        <v>141</v>
      </c>
      <c r="AB630" s="36"/>
      <c r="AC630" s="36"/>
      <c r="AD630" s="36"/>
      <c r="AE630" s="36"/>
      <c r="AF630" s="36"/>
      <c r="AG630" s="36"/>
      <c r="AH630" s="36" t="s">
        <v>141</v>
      </c>
      <c r="AI630" s="36"/>
      <c r="AJ630" s="36" t="s">
        <v>141</v>
      </c>
      <c r="AK630" s="117" t="s">
        <v>141</v>
      </c>
      <c r="AL630" s="36"/>
      <c r="AM630" s="36"/>
      <c r="AN630" s="36"/>
      <c r="AO630" s="36"/>
      <c r="AP630" s="36" t="s">
        <v>141</v>
      </c>
      <c r="AQ630" s="36"/>
      <c r="AR630" s="36"/>
      <c r="AS630" s="36"/>
      <c r="AT630" s="36"/>
      <c r="AU630" s="36"/>
      <c r="AV630" s="36" t="s">
        <v>141</v>
      </c>
      <c r="AW630" s="117" t="s">
        <v>141</v>
      </c>
      <c r="AX630" s="117" t="s">
        <v>141</v>
      </c>
      <c r="AY630" s="36"/>
      <c r="AZ630" s="36"/>
      <c r="BA630" s="117"/>
      <c r="BB630" s="117"/>
      <c r="BC630" s="117"/>
      <c r="BD630" s="117"/>
      <c r="BE630" s="117"/>
      <c r="BF630" s="117" t="s">
        <v>141</v>
      </c>
      <c r="BG630" s="117"/>
      <c r="BH630" s="117" t="s">
        <v>141</v>
      </c>
      <c r="BI630" s="117"/>
      <c r="BJ630" s="117"/>
      <c r="BK630" s="117"/>
      <c r="BL630" s="117"/>
      <c r="BM630" s="117">
        <f t="shared" si="138"/>
        <v>12</v>
      </c>
      <c r="BN630" s="117">
        <f t="shared" si="139"/>
        <v>2</v>
      </c>
      <c r="BO630" s="117">
        <f t="shared" si="140"/>
        <v>4</v>
      </c>
      <c r="BP630" s="153">
        <f t="shared" si="141"/>
        <v>7</v>
      </c>
      <c r="BQ630" s="74" t="s">
        <v>178</v>
      </c>
      <c r="BR630" s="74"/>
    </row>
    <row r="631" spans="1:70" hidden="1">
      <c r="A631">
        <v>617</v>
      </c>
      <c r="B631" s="75">
        <v>46016.000520833331</v>
      </c>
      <c r="E631" s="7">
        <v>46016</v>
      </c>
      <c r="F631">
        <v>1172</v>
      </c>
      <c r="I631" s="10" t="s">
        <v>2028</v>
      </c>
      <c r="J631" s="69">
        <v>46016</v>
      </c>
      <c r="K631" s="97">
        <f t="shared" si="137"/>
        <v>12</v>
      </c>
      <c r="L631" s="97">
        <v>629</v>
      </c>
      <c r="O631" s="7" t="s">
        <v>134</v>
      </c>
      <c r="T631" t="s">
        <v>2029</v>
      </c>
      <c r="X631" s="36"/>
      <c r="Y631" s="36"/>
      <c r="Z631" s="36" t="s">
        <v>141</v>
      </c>
      <c r="AA631" s="36" t="s">
        <v>141</v>
      </c>
      <c r="AB631" s="36"/>
      <c r="AC631" s="36"/>
      <c r="AD631" s="36"/>
      <c r="AE631" s="36"/>
      <c r="AF631" s="36"/>
      <c r="AG631" s="36"/>
      <c r="AH631" s="36" t="s">
        <v>141</v>
      </c>
      <c r="AI631" s="36" t="s">
        <v>141</v>
      </c>
      <c r="AJ631" s="36"/>
      <c r="AK631" s="117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 t="s">
        <v>141</v>
      </c>
      <c r="AV631" s="36" t="s">
        <v>141</v>
      </c>
      <c r="AW631" s="117" t="s">
        <v>141</v>
      </c>
      <c r="AX631" s="117" t="s">
        <v>141</v>
      </c>
      <c r="AY631" s="36"/>
      <c r="AZ631" s="36"/>
      <c r="BA631" s="117"/>
      <c r="BB631" s="117"/>
      <c r="BC631" s="117"/>
      <c r="BD631" s="117"/>
      <c r="BE631" s="117"/>
      <c r="BF631" s="117"/>
      <c r="BG631" s="117"/>
      <c r="BH631" s="117" t="s">
        <v>141</v>
      </c>
      <c r="BI631" s="117" t="s">
        <v>141</v>
      </c>
      <c r="BJ631" s="117"/>
      <c r="BK631" s="117"/>
      <c r="BL631" s="117"/>
      <c r="BM631" s="117">
        <f t="shared" si="138"/>
        <v>8</v>
      </c>
      <c r="BN631" s="117">
        <f t="shared" si="139"/>
        <v>0</v>
      </c>
      <c r="BO631" s="117">
        <f t="shared" si="140"/>
        <v>2</v>
      </c>
      <c r="BP631" s="153">
        <f t="shared" si="141"/>
        <v>6</v>
      </c>
      <c r="BQ631" s="74" t="s">
        <v>1365</v>
      </c>
      <c r="BR631" s="74"/>
    </row>
    <row r="632" spans="1:70" hidden="1">
      <c r="A632">
        <v>618</v>
      </c>
      <c r="B632" s="75">
        <v>46016.052905092591</v>
      </c>
      <c r="E632" s="7">
        <v>46016</v>
      </c>
      <c r="F632">
        <v>1173</v>
      </c>
      <c r="I632" s="10" t="s">
        <v>2030</v>
      </c>
      <c r="J632" s="69">
        <v>46016</v>
      </c>
      <c r="K632" s="97">
        <f t="shared" si="137"/>
        <v>12</v>
      </c>
      <c r="L632" s="97">
        <v>630</v>
      </c>
      <c r="O632" s="7" t="s">
        <v>134</v>
      </c>
      <c r="T632" t="s">
        <v>2031</v>
      </c>
      <c r="X632" s="36"/>
      <c r="Y632" s="36" t="s">
        <v>141</v>
      </c>
      <c r="Z632" s="36" t="s">
        <v>141</v>
      </c>
      <c r="AA632" s="36" t="s">
        <v>141</v>
      </c>
      <c r="AB632" s="36"/>
      <c r="AC632" s="36"/>
      <c r="AD632" s="36"/>
      <c r="AE632" s="36"/>
      <c r="AF632" s="36"/>
      <c r="AG632" s="36"/>
      <c r="AH632" s="36" t="s">
        <v>141</v>
      </c>
      <c r="AI632" s="36"/>
      <c r="AJ632" s="36"/>
      <c r="AK632" s="117"/>
      <c r="AL632" s="36"/>
      <c r="AM632" s="36"/>
      <c r="AN632" s="36" t="s">
        <v>141</v>
      </c>
      <c r="AO632" s="36"/>
      <c r="AP632" s="36"/>
      <c r="AQ632" s="36"/>
      <c r="AR632" s="36"/>
      <c r="AS632" s="36"/>
      <c r="AT632" s="36"/>
      <c r="AU632" s="36" t="s">
        <v>141</v>
      </c>
      <c r="AV632" s="36" t="s">
        <v>141</v>
      </c>
      <c r="AW632" s="117"/>
      <c r="AX632" s="117"/>
      <c r="AY632" s="36"/>
      <c r="AZ632" s="36"/>
      <c r="BA632" s="117"/>
      <c r="BB632" s="117" t="s">
        <v>141</v>
      </c>
      <c r="BC632" s="117"/>
      <c r="BD632" s="117"/>
      <c r="BE632" s="117"/>
      <c r="BF632" s="117"/>
      <c r="BG632" s="117"/>
      <c r="BH632" s="117"/>
      <c r="BI632" s="117" t="s">
        <v>141</v>
      </c>
      <c r="BJ632" s="117"/>
      <c r="BK632" s="117"/>
      <c r="BL632" s="117"/>
      <c r="BM632" s="117">
        <f t="shared" si="138"/>
        <v>8</v>
      </c>
      <c r="BN632" s="117">
        <f t="shared" si="139"/>
        <v>1</v>
      </c>
      <c r="BO632" s="117">
        <f t="shared" si="140"/>
        <v>3</v>
      </c>
      <c r="BP632" s="153">
        <f t="shared" si="141"/>
        <v>5</v>
      </c>
      <c r="BQ632" s="74" t="s">
        <v>178</v>
      </c>
      <c r="BR632" s="74"/>
    </row>
    <row r="633" spans="1:70" hidden="1">
      <c r="A633">
        <v>619</v>
      </c>
      <c r="B633" s="75">
        <v>46017.891122685185</v>
      </c>
      <c r="E633" s="7">
        <v>46018</v>
      </c>
      <c r="F633">
        <v>1174</v>
      </c>
      <c r="I633" s="10" t="s">
        <v>2032</v>
      </c>
      <c r="J633" s="69">
        <v>46018</v>
      </c>
      <c r="K633" s="97">
        <f t="shared" si="137"/>
        <v>12</v>
      </c>
      <c r="L633" s="97">
        <v>631</v>
      </c>
      <c r="O633" s="7" t="s">
        <v>156</v>
      </c>
      <c r="T633" t="s">
        <v>828</v>
      </c>
      <c r="X633" s="36" t="s">
        <v>141</v>
      </c>
      <c r="Y633" s="36" t="s">
        <v>141</v>
      </c>
      <c r="Z633" s="36" t="s">
        <v>141</v>
      </c>
      <c r="AA633" s="36" t="s">
        <v>141</v>
      </c>
      <c r="AB633" s="36" t="s">
        <v>141</v>
      </c>
      <c r="AC633" s="36"/>
      <c r="AD633" s="36"/>
      <c r="AE633" s="36" t="s">
        <v>141</v>
      </c>
      <c r="AF633" s="36"/>
      <c r="AG633" s="36"/>
      <c r="AH633" s="36"/>
      <c r="AI633" s="36" t="s">
        <v>141</v>
      </c>
      <c r="AJ633" s="36"/>
      <c r="AK633" s="117" t="s">
        <v>141</v>
      </c>
      <c r="AL633" s="36"/>
      <c r="AM633" s="36"/>
      <c r="AN633" s="36"/>
      <c r="AO633" s="36"/>
      <c r="AP633" s="36"/>
      <c r="AQ633" s="36"/>
      <c r="AR633" s="36" t="s">
        <v>141</v>
      </c>
      <c r="AS633" s="36"/>
      <c r="AT633" s="36"/>
      <c r="AU633" s="36"/>
      <c r="AV633" s="36"/>
      <c r="AW633" s="117"/>
      <c r="AX633" s="117"/>
      <c r="AY633" s="36" t="s">
        <v>141</v>
      </c>
      <c r="AZ633" s="36"/>
      <c r="BA633" s="117" t="s">
        <v>141</v>
      </c>
      <c r="BB633" s="117"/>
      <c r="BC633" s="117"/>
      <c r="BD633" s="117"/>
      <c r="BE633" s="117" t="s">
        <v>141</v>
      </c>
      <c r="BF633" s="117"/>
      <c r="BG633" s="117"/>
      <c r="BH633" s="117" t="s">
        <v>141</v>
      </c>
      <c r="BI633" s="117"/>
      <c r="BJ633" s="117"/>
      <c r="BK633" s="117"/>
      <c r="BL633" s="117"/>
      <c r="BM633" s="117">
        <f t="shared" si="138"/>
        <v>12</v>
      </c>
      <c r="BN633" s="117">
        <f t="shared" si="139"/>
        <v>2</v>
      </c>
      <c r="BO633" s="117">
        <f t="shared" si="140"/>
        <v>5</v>
      </c>
      <c r="BP633" s="153">
        <f t="shared" si="141"/>
        <v>6</v>
      </c>
      <c r="BQ633" s="74" t="s">
        <v>1245</v>
      </c>
      <c r="BR633" s="74"/>
    </row>
    <row r="634" spans="1:70" s="122" customFormat="1" hidden="1">
      <c r="A634">
        <v>620</v>
      </c>
      <c r="B634" s="178">
        <v>46020.032905092594</v>
      </c>
      <c r="C634" s="179"/>
      <c r="D634" s="179"/>
      <c r="E634" s="35">
        <v>46020</v>
      </c>
      <c r="F634" s="122">
        <v>1175</v>
      </c>
      <c r="I634" s="123" t="s">
        <v>2033</v>
      </c>
      <c r="J634" s="180">
        <v>46020</v>
      </c>
      <c r="K634" s="181">
        <f t="shared" si="137"/>
        <v>12</v>
      </c>
      <c r="L634" s="181">
        <v>632</v>
      </c>
      <c r="M634" s="35"/>
      <c r="N634" s="35"/>
      <c r="O634" s="35" t="s">
        <v>2034</v>
      </c>
      <c r="P634" s="35"/>
      <c r="Q634" s="182"/>
      <c r="R634" s="35"/>
      <c r="S634" s="35"/>
      <c r="T634" s="122" t="s">
        <v>2035</v>
      </c>
      <c r="X634" s="124" t="s">
        <v>141</v>
      </c>
      <c r="Y634" s="124" t="s">
        <v>141</v>
      </c>
      <c r="Z634" s="124"/>
      <c r="AA634" s="124" t="s">
        <v>141</v>
      </c>
      <c r="AB634" s="124" t="s">
        <v>141</v>
      </c>
      <c r="AC634" s="124"/>
      <c r="AD634" s="124"/>
      <c r="AE634" s="124" t="s">
        <v>141</v>
      </c>
      <c r="AF634" s="124"/>
      <c r="AG634" s="124" t="s">
        <v>141</v>
      </c>
      <c r="AH634" s="124" t="s">
        <v>141</v>
      </c>
      <c r="AI634" s="124" t="s">
        <v>141</v>
      </c>
      <c r="AJ634" s="124"/>
      <c r="AK634" s="125" t="s">
        <v>141</v>
      </c>
      <c r="AL634" s="124"/>
      <c r="AM634" s="124" t="s">
        <v>141</v>
      </c>
      <c r="AN634" s="124" t="s">
        <v>141</v>
      </c>
      <c r="AO634" s="124" t="s">
        <v>141</v>
      </c>
      <c r="AP634" s="124"/>
      <c r="AQ634" s="124"/>
      <c r="AR634" s="36" t="s">
        <v>141</v>
      </c>
      <c r="AS634" s="124" t="s">
        <v>141</v>
      </c>
      <c r="AT634" s="124"/>
      <c r="AU634" s="124"/>
      <c r="AV634" s="124" t="s">
        <v>141</v>
      </c>
      <c r="AW634" s="125"/>
      <c r="AX634" s="125" t="s">
        <v>141</v>
      </c>
      <c r="AY634" s="124" t="s">
        <v>141</v>
      </c>
      <c r="AZ634" s="124" t="s">
        <v>141</v>
      </c>
      <c r="BA634" s="125"/>
      <c r="BB634" s="125" t="s">
        <v>141</v>
      </c>
      <c r="BC634" s="125"/>
      <c r="BD634" s="125"/>
      <c r="BE634" s="125" t="s">
        <v>141</v>
      </c>
      <c r="BF634" s="125" t="s">
        <v>141</v>
      </c>
      <c r="BG634" s="125"/>
      <c r="BH634" s="125" t="s">
        <v>141</v>
      </c>
      <c r="BI634" s="125"/>
      <c r="BJ634" s="125" t="s">
        <v>141</v>
      </c>
      <c r="BK634" s="125"/>
      <c r="BL634" s="125"/>
      <c r="BM634" s="125">
        <f t="shared" si="138"/>
        <v>21</v>
      </c>
      <c r="BN634" s="125">
        <f t="shared" si="139"/>
        <v>6</v>
      </c>
      <c r="BO634" s="125">
        <f t="shared" si="140"/>
        <v>4</v>
      </c>
      <c r="BP634" s="183">
        <f t="shared" si="141"/>
        <v>15</v>
      </c>
      <c r="BQ634" s="184" t="s">
        <v>589</v>
      </c>
      <c r="BR634" s="184"/>
    </row>
    <row r="635" spans="1:70" hidden="1">
      <c r="A635">
        <v>621</v>
      </c>
      <c r="B635" s="75">
        <v>46020.053252314814</v>
      </c>
      <c r="E635" s="7">
        <v>46020</v>
      </c>
      <c r="F635">
        <v>1176</v>
      </c>
      <c r="I635" s="123" t="s">
        <v>2036</v>
      </c>
      <c r="J635" s="69">
        <v>46020</v>
      </c>
      <c r="K635" s="97">
        <f t="shared" si="137"/>
        <v>12</v>
      </c>
      <c r="L635" s="97">
        <v>633</v>
      </c>
      <c r="O635" s="7" t="s">
        <v>2037</v>
      </c>
      <c r="T635" t="s">
        <v>2038</v>
      </c>
      <c r="X635" s="36" t="s">
        <v>141</v>
      </c>
      <c r="Y635" s="36" t="s">
        <v>141</v>
      </c>
      <c r="Z635" s="36"/>
      <c r="AA635" s="36" t="s">
        <v>141</v>
      </c>
      <c r="AB635" s="36" t="s">
        <v>141</v>
      </c>
      <c r="AC635" s="36"/>
      <c r="AD635" s="36"/>
      <c r="AE635" s="36" t="s">
        <v>141</v>
      </c>
      <c r="AF635" s="36"/>
      <c r="AG635" s="36" t="s">
        <v>141</v>
      </c>
      <c r="AH635" s="36" t="s">
        <v>141</v>
      </c>
      <c r="AI635" s="36" t="s">
        <v>141</v>
      </c>
      <c r="AJ635" s="36"/>
      <c r="AK635" s="117" t="s">
        <v>141</v>
      </c>
      <c r="AL635" s="36"/>
      <c r="AM635" s="36" t="s">
        <v>141</v>
      </c>
      <c r="AN635" s="36" t="s">
        <v>141</v>
      </c>
      <c r="AO635" s="36" t="s">
        <v>141</v>
      </c>
      <c r="AP635" s="36"/>
      <c r="AQ635" s="36"/>
      <c r="AR635" s="36" t="s">
        <v>141</v>
      </c>
      <c r="AS635" s="36" t="s">
        <v>141</v>
      </c>
      <c r="AT635" s="36"/>
      <c r="AU635" s="36"/>
      <c r="AV635" s="124" t="s">
        <v>141</v>
      </c>
      <c r="AW635" s="117"/>
      <c r="AX635" s="125" t="s">
        <v>141</v>
      </c>
      <c r="AY635" s="36" t="s">
        <v>141</v>
      </c>
      <c r="AZ635" s="36" t="s">
        <v>141</v>
      </c>
      <c r="BA635" s="117"/>
      <c r="BB635" s="125" t="s">
        <v>141</v>
      </c>
      <c r="BC635" s="117"/>
      <c r="BD635" s="117"/>
      <c r="BE635" s="117" t="s">
        <v>141</v>
      </c>
      <c r="BF635" s="117" t="s">
        <v>141</v>
      </c>
      <c r="BG635" s="117"/>
      <c r="BH635" s="117" t="s">
        <v>141</v>
      </c>
      <c r="BI635" s="117"/>
      <c r="BJ635" s="125" t="s">
        <v>141</v>
      </c>
      <c r="BK635" s="117"/>
      <c r="BL635" s="117"/>
      <c r="BM635" s="117">
        <f t="shared" si="138"/>
        <v>21</v>
      </c>
      <c r="BN635" s="117">
        <f t="shared" si="139"/>
        <v>6</v>
      </c>
      <c r="BO635" s="117">
        <f t="shared" si="140"/>
        <v>4</v>
      </c>
      <c r="BP635" s="153">
        <f t="shared" si="141"/>
        <v>15</v>
      </c>
      <c r="BQ635" s="74" t="s">
        <v>2039</v>
      </c>
      <c r="BR635" s="74"/>
    </row>
    <row r="636" spans="1:70" hidden="1">
      <c r="A636">
        <v>622</v>
      </c>
      <c r="B636" s="75">
        <v>46020.071562500001</v>
      </c>
      <c r="E636" s="7">
        <v>46020</v>
      </c>
      <c r="F636">
        <v>1177</v>
      </c>
      <c r="I636" s="123" t="s">
        <v>2040</v>
      </c>
      <c r="J636" s="69">
        <v>46020</v>
      </c>
      <c r="K636" s="97">
        <f t="shared" ref="K636:K657" si="142">MONTH($J636)</f>
        <v>12</v>
      </c>
      <c r="L636" s="97">
        <v>634</v>
      </c>
      <c r="O636" s="7" t="s">
        <v>2041</v>
      </c>
      <c r="T636" t="s">
        <v>2042</v>
      </c>
      <c r="X636" s="36" t="s">
        <v>141</v>
      </c>
      <c r="Y636" s="36" t="s">
        <v>141</v>
      </c>
      <c r="Z636" s="36"/>
      <c r="AA636" s="36" t="s">
        <v>141</v>
      </c>
      <c r="AB636" s="36" t="s">
        <v>141</v>
      </c>
      <c r="AC636" s="36"/>
      <c r="AD636" s="36"/>
      <c r="AE636" s="36" t="s">
        <v>141</v>
      </c>
      <c r="AF636" s="36"/>
      <c r="AG636" s="36" t="s">
        <v>141</v>
      </c>
      <c r="AH636" s="36" t="s">
        <v>141</v>
      </c>
      <c r="AI636" s="36" t="s">
        <v>141</v>
      </c>
      <c r="AJ636" s="36"/>
      <c r="AK636" s="117" t="s">
        <v>141</v>
      </c>
      <c r="AL636" s="36"/>
      <c r="AM636" s="36" t="s">
        <v>141</v>
      </c>
      <c r="AN636" s="36" t="s">
        <v>141</v>
      </c>
      <c r="AO636" s="36" t="s">
        <v>141</v>
      </c>
      <c r="AP636" s="36"/>
      <c r="AQ636" s="36"/>
      <c r="AR636" s="36" t="s">
        <v>141</v>
      </c>
      <c r="AS636" s="36" t="s">
        <v>141</v>
      </c>
      <c r="AT636" s="36"/>
      <c r="AU636" s="36"/>
      <c r="AV636" s="124" t="s">
        <v>141</v>
      </c>
      <c r="AW636" s="117"/>
      <c r="AX636" s="125" t="s">
        <v>141</v>
      </c>
      <c r="AY636" s="36" t="s">
        <v>141</v>
      </c>
      <c r="AZ636" s="36" t="s">
        <v>141</v>
      </c>
      <c r="BA636" s="117"/>
      <c r="BB636" s="125" t="s">
        <v>141</v>
      </c>
      <c r="BC636" s="117"/>
      <c r="BD636" s="117"/>
      <c r="BE636" s="117" t="s">
        <v>141</v>
      </c>
      <c r="BF636" s="117" t="s">
        <v>141</v>
      </c>
      <c r="BG636" s="117"/>
      <c r="BH636" s="117" t="s">
        <v>141</v>
      </c>
      <c r="BI636" s="117"/>
      <c r="BJ636" s="125" t="s">
        <v>141</v>
      </c>
      <c r="BK636" s="117"/>
      <c r="BL636" s="117"/>
      <c r="BM636" s="117">
        <f t="shared" ref="BM636:BM657" si="143">COUNTIF($X636:$BF636, "I")</f>
        <v>21</v>
      </c>
      <c r="BN636" s="117">
        <f t="shared" ref="BN636:BN657" si="144">COUNTIFS($X636:$BF636, "I",$X$2:$BF$2, "DR" )</f>
        <v>6</v>
      </c>
      <c r="BO636" s="117">
        <f t="shared" ref="BO636:BO657" si="145">COUNTIFS($X636:$BF636, "I",$X$5:$BF$5, "OF" )</f>
        <v>4</v>
      </c>
      <c r="BP636" s="153">
        <f t="shared" ref="BP636:BP657" si="146">COUNTIFS($X636:$BF636, "I",$X$5:$BF$5, "FF" )</f>
        <v>15</v>
      </c>
      <c r="BQ636" s="74" t="s">
        <v>2039</v>
      </c>
      <c r="BR636" s="74"/>
    </row>
    <row r="637" spans="1:70" hidden="1">
      <c r="A637">
        <v>623</v>
      </c>
      <c r="B637" s="75">
        <v>46020.092627314814</v>
      </c>
      <c r="E637" s="7">
        <v>46020</v>
      </c>
      <c r="F637">
        <v>1178</v>
      </c>
      <c r="I637" s="123" t="s">
        <v>2043</v>
      </c>
      <c r="J637" s="69">
        <v>46020</v>
      </c>
      <c r="K637" s="97">
        <f t="shared" si="142"/>
        <v>12</v>
      </c>
      <c r="L637" s="97">
        <v>635</v>
      </c>
      <c r="O637" s="7" t="s">
        <v>2044</v>
      </c>
      <c r="T637" t="s">
        <v>2045</v>
      </c>
      <c r="X637" s="36" t="s">
        <v>141</v>
      </c>
      <c r="Y637" s="36" t="s">
        <v>141</v>
      </c>
      <c r="Z637" s="36"/>
      <c r="AA637" s="36" t="s">
        <v>141</v>
      </c>
      <c r="AB637" s="36" t="s">
        <v>141</v>
      </c>
      <c r="AC637" s="36"/>
      <c r="AD637" s="36"/>
      <c r="AE637" s="36" t="s">
        <v>141</v>
      </c>
      <c r="AF637" s="36"/>
      <c r="AG637" s="36" t="s">
        <v>141</v>
      </c>
      <c r="AH637" s="36" t="s">
        <v>141</v>
      </c>
      <c r="AI637" s="36" t="s">
        <v>141</v>
      </c>
      <c r="AJ637" s="36"/>
      <c r="AK637" s="117" t="s">
        <v>141</v>
      </c>
      <c r="AL637" s="36"/>
      <c r="AM637" s="36" t="s">
        <v>141</v>
      </c>
      <c r="AN637" s="36" t="s">
        <v>141</v>
      </c>
      <c r="AO637" s="36" t="s">
        <v>141</v>
      </c>
      <c r="AP637" s="36"/>
      <c r="AQ637" s="36"/>
      <c r="AR637" s="36" t="s">
        <v>141</v>
      </c>
      <c r="AS637" s="36" t="s">
        <v>141</v>
      </c>
      <c r="AT637" s="36"/>
      <c r="AU637" s="36"/>
      <c r="AV637" s="124" t="s">
        <v>141</v>
      </c>
      <c r="AW637" s="117"/>
      <c r="AX637" s="125" t="s">
        <v>141</v>
      </c>
      <c r="AY637" s="36" t="s">
        <v>141</v>
      </c>
      <c r="AZ637" s="36" t="s">
        <v>141</v>
      </c>
      <c r="BA637" s="117"/>
      <c r="BB637" s="125" t="s">
        <v>141</v>
      </c>
      <c r="BC637" s="117"/>
      <c r="BD637" s="117"/>
      <c r="BE637" s="117" t="s">
        <v>141</v>
      </c>
      <c r="BF637" s="117" t="s">
        <v>141</v>
      </c>
      <c r="BG637" s="117"/>
      <c r="BH637" s="117" t="s">
        <v>141</v>
      </c>
      <c r="BI637" s="117"/>
      <c r="BJ637" s="125" t="s">
        <v>141</v>
      </c>
      <c r="BK637" s="117"/>
      <c r="BL637" s="117"/>
      <c r="BM637" s="117">
        <f t="shared" si="143"/>
        <v>21</v>
      </c>
      <c r="BN637" s="117">
        <f t="shared" si="144"/>
        <v>6</v>
      </c>
      <c r="BO637" s="117">
        <f t="shared" si="145"/>
        <v>4</v>
      </c>
      <c r="BP637" s="153">
        <f t="shared" si="146"/>
        <v>15</v>
      </c>
      <c r="BQ637" s="74" t="s">
        <v>840</v>
      </c>
      <c r="BR637" s="74"/>
    </row>
    <row r="638" spans="1:70" hidden="1">
      <c r="A638">
        <v>624</v>
      </c>
      <c r="B638" s="75">
        <v>46020.099814814814</v>
      </c>
      <c r="E638" s="7">
        <v>46020</v>
      </c>
      <c r="F638">
        <v>1179</v>
      </c>
      <c r="I638" s="123" t="s">
        <v>2046</v>
      </c>
      <c r="J638" s="69">
        <v>46020</v>
      </c>
      <c r="K638" s="97">
        <f t="shared" si="142"/>
        <v>12</v>
      </c>
      <c r="L638" s="97">
        <v>636</v>
      </c>
      <c r="O638" s="7" t="s">
        <v>2047</v>
      </c>
      <c r="T638" t="s">
        <v>2048</v>
      </c>
      <c r="X638" s="36" t="s">
        <v>141</v>
      </c>
      <c r="Y638" s="36" t="s">
        <v>141</v>
      </c>
      <c r="Z638" s="36"/>
      <c r="AA638" s="36" t="s">
        <v>141</v>
      </c>
      <c r="AB638" s="36" t="s">
        <v>141</v>
      </c>
      <c r="AC638" s="36"/>
      <c r="AD638" s="36"/>
      <c r="AE638" s="36" t="s">
        <v>141</v>
      </c>
      <c r="AF638" s="36"/>
      <c r="AG638" s="36" t="s">
        <v>141</v>
      </c>
      <c r="AH638" s="36" t="s">
        <v>141</v>
      </c>
      <c r="AI638" s="36" t="s">
        <v>141</v>
      </c>
      <c r="AJ638" s="36"/>
      <c r="AK638" s="117" t="s">
        <v>141</v>
      </c>
      <c r="AL638" s="36"/>
      <c r="AM638" s="36" t="s">
        <v>141</v>
      </c>
      <c r="AN638" s="36" t="s">
        <v>141</v>
      </c>
      <c r="AO638" s="36" t="s">
        <v>141</v>
      </c>
      <c r="AP638" s="36"/>
      <c r="AQ638" s="36"/>
      <c r="AR638" s="36" t="s">
        <v>141</v>
      </c>
      <c r="AS638" s="36" t="s">
        <v>141</v>
      </c>
      <c r="AT638" s="36"/>
      <c r="AU638" s="36"/>
      <c r="AV638" s="124" t="s">
        <v>141</v>
      </c>
      <c r="AW638" s="117"/>
      <c r="AX638" s="125" t="s">
        <v>141</v>
      </c>
      <c r="AY638" s="36" t="s">
        <v>141</v>
      </c>
      <c r="AZ638" s="36" t="s">
        <v>141</v>
      </c>
      <c r="BA638" s="117"/>
      <c r="BB638" s="125" t="s">
        <v>141</v>
      </c>
      <c r="BC638" s="117"/>
      <c r="BD638" s="117"/>
      <c r="BE638" s="117" t="s">
        <v>141</v>
      </c>
      <c r="BF638" s="117" t="s">
        <v>141</v>
      </c>
      <c r="BG638" s="117"/>
      <c r="BH638" s="117" t="s">
        <v>141</v>
      </c>
      <c r="BI638" s="117"/>
      <c r="BJ638" s="125" t="s">
        <v>141</v>
      </c>
      <c r="BK638" s="117"/>
      <c r="BL638" s="117"/>
      <c r="BM638" s="117">
        <f t="shared" si="143"/>
        <v>21</v>
      </c>
      <c r="BN638" s="117">
        <f t="shared" si="144"/>
        <v>6</v>
      </c>
      <c r="BO638" s="117">
        <f t="shared" si="145"/>
        <v>4</v>
      </c>
      <c r="BP638" s="153">
        <f t="shared" si="146"/>
        <v>15</v>
      </c>
      <c r="BQ638" s="74" t="s">
        <v>840</v>
      </c>
      <c r="BR638" s="74"/>
    </row>
    <row r="639" spans="1:70" hidden="1">
      <c r="A639">
        <v>625</v>
      </c>
      <c r="B639" s="75">
        <v>46020.10869212963</v>
      </c>
      <c r="E639" s="7">
        <v>46020</v>
      </c>
      <c r="F639">
        <v>1180</v>
      </c>
      <c r="I639" s="123" t="s">
        <v>2049</v>
      </c>
      <c r="J639" s="69">
        <v>46020</v>
      </c>
      <c r="K639" s="97">
        <f t="shared" si="142"/>
        <v>12</v>
      </c>
      <c r="L639" s="97">
        <v>637</v>
      </c>
      <c r="O639" s="7" t="s">
        <v>2050</v>
      </c>
      <c r="T639" t="s">
        <v>2051</v>
      </c>
      <c r="X639" s="36" t="s">
        <v>141</v>
      </c>
      <c r="Y639" s="36" t="s">
        <v>141</v>
      </c>
      <c r="Z639" s="36"/>
      <c r="AA639" s="36" t="s">
        <v>141</v>
      </c>
      <c r="AB639" s="36" t="s">
        <v>141</v>
      </c>
      <c r="AC639" s="36"/>
      <c r="AD639" s="36"/>
      <c r="AE639" s="36" t="s">
        <v>141</v>
      </c>
      <c r="AF639" s="36"/>
      <c r="AG639" s="36" t="s">
        <v>141</v>
      </c>
      <c r="AH639" s="36" t="s">
        <v>141</v>
      </c>
      <c r="AI639" s="36" t="s">
        <v>141</v>
      </c>
      <c r="AJ639" s="36"/>
      <c r="AK639" s="117" t="s">
        <v>141</v>
      </c>
      <c r="AL639" s="36"/>
      <c r="AM639" s="36" t="s">
        <v>141</v>
      </c>
      <c r="AN639" s="36" t="s">
        <v>141</v>
      </c>
      <c r="AO639" s="36" t="s">
        <v>141</v>
      </c>
      <c r="AP639" s="36"/>
      <c r="AQ639" s="36"/>
      <c r="AR639" s="36" t="s">
        <v>141</v>
      </c>
      <c r="AS639" s="36" t="s">
        <v>141</v>
      </c>
      <c r="AT639" s="36"/>
      <c r="AU639" s="36"/>
      <c r="AV639" s="124" t="s">
        <v>141</v>
      </c>
      <c r="AW639" s="117"/>
      <c r="AX639" s="125" t="s">
        <v>141</v>
      </c>
      <c r="AY639" s="36" t="s">
        <v>141</v>
      </c>
      <c r="AZ639" s="36" t="s">
        <v>141</v>
      </c>
      <c r="BA639" s="117"/>
      <c r="BB639" s="125" t="s">
        <v>141</v>
      </c>
      <c r="BC639" s="117"/>
      <c r="BD639" s="117"/>
      <c r="BE639" s="117" t="s">
        <v>141</v>
      </c>
      <c r="BF639" s="117" t="s">
        <v>141</v>
      </c>
      <c r="BG639" s="117"/>
      <c r="BH639" s="117" t="s">
        <v>141</v>
      </c>
      <c r="BI639" s="117"/>
      <c r="BJ639" s="125" t="s">
        <v>141</v>
      </c>
      <c r="BK639" s="117"/>
      <c r="BL639" s="117"/>
      <c r="BM639" s="117">
        <f t="shared" si="143"/>
        <v>21</v>
      </c>
      <c r="BN639" s="117">
        <f t="shared" si="144"/>
        <v>6</v>
      </c>
      <c r="BO639" s="117">
        <f t="shared" si="145"/>
        <v>4</v>
      </c>
      <c r="BP639" s="153">
        <f t="shared" si="146"/>
        <v>15</v>
      </c>
      <c r="BQ639" s="74" t="s">
        <v>840</v>
      </c>
      <c r="BR639" s="74"/>
    </row>
    <row r="640" spans="1:70" hidden="1">
      <c r="A640">
        <v>626</v>
      </c>
      <c r="B640" s="75">
        <v>46020.120324074072</v>
      </c>
      <c r="E640" s="7">
        <v>46020</v>
      </c>
      <c r="F640">
        <v>1181</v>
      </c>
      <c r="I640" s="123" t="s">
        <v>2052</v>
      </c>
      <c r="J640" s="69">
        <v>46020</v>
      </c>
      <c r="K640" s="97">
        <f t="shared" si="142"/>
        <v>12</v>
      </c>
      <c r="L640" s="97">
        <v>638</v>
      </c>
      <c r="O640" s="7" t="s">
        <v>2053</v>
      </c>
      <c r="T640" t="s">
        <v>2054</v>
      </c>
      <c r="X640" s="36" t="s">
        <v>141</v>
      </c>
      <c r="Y640" s="36" t="s">
        <v>141</v>
      </c>
      <c r="Z640" s="36"/>
      <c r="AA640" s="36" t="s">
        <v>141</v>
      </c>
      <c r="AB640" s="36" t="s">
        <v>141</v>
      </c>
      <c r="AC640" s="36"/>
      <c r="AD640" s="36"/>
      <c r="AE640" s="36" t="s">
        <v>141</v>
      </c>
      <c r="AF640" s="36"/>
      <c r="AG640" s="36" t="s">
        <v>141</v>
      </c>
      <c r="AH640" s="36" t="s">
        <v>141</v>
      </c>
      <c r="AI640" s="36" t="s">
        <v>141</v>
      </c>
      <c r="AJ640" s="36"/>
      <c r="AK640" s="117" t="s">
        <v>141</v>
      </c>
      <c r="AL640" s="36"/>
      <c r="AM640" s="36" t="s">
        <v>141</v>
      </c>
      <c r="AN640" s="36" t="s">
        <v>141</v>
      </c>
      <c r="AO640" s="36" t="s">
        <v>141</v>
      </c>
      <c r="AP640" s="36"/>
      <c r="AQ640" s="36"/>
      <c r="AR640" s="36" t="s">
        <v>141</v>
      </c>
      <c r="AS640" s="36" t="s">
        <v>141</v>
      </c>
      <c r="AT640" s="36"/>
      <c r="AU640" s="36"/>
      <c r="AV640" s="124" t="s">
        <v>141</v>
      </c>
      <c r="AW640" s="117"/>
      <c r="AX640" s="125" t="s">
        <v>141</v>
      </c>
      <c r="AY640" s="36" t="s">
        <v>141</v>
      </c>
      <c r="AZ640" s="36" t="s">
        <v>141</v>
      </c>
      <c r="BA640" s="117"/>
      <c r="BB640" s="125" t="s">
        <v>141</v>
      </c>
      <c r="BC640" s="117"/>
      <c r="BD640" s="117"/>
      <c r="BE640" s="117" t="s">
        <v>141</v>
      </c>
      <c r="BF640" s="117" t="s">
        <v>141</v>
      </c>
      <c r="BG640" s="117"/>
      <c r="BH640" s="117" t="s">
        <v>141</v>
      </c>
      <c r="BI640" s="117"/>
      <c r="BJ640" s="125" t="s">
        <v>141</v>
      </c>
      <c r="BK640" s="117"/>
      <c r="BL640" s="117"/>
      <c r="BM640" s="117">
        <f t="shared" si="143"/>
        <v>21</v>
      </c>
      <c r="BN640" s="117">
        <f t="shared" si="144"/>
        <v>6</v>
      </c>
      <c r="BO640" s="117">
        <f t="shared" si="145"/>
        <v>4</v>
      </c>
      <c r="BP640" s="153">
        <f t="shared" si="146"/>
        <v>15</v>
      </c>
      <c r="BQ640" s="74" t="s">
        <v>840</v>
      </c>
      <c r="BR640" s="74"/>
    </row>
    <row r="641" spans="1:70" hidden="1">
      <c r="A641">
        <v>627</v>
      </c>
      <c r="B641" s="75">
        <v>46020.123773148145</v>
      </c>
      <c r="E641" s="7">
        <v>46020</v>
      </c>
      <c r="F641">
        <v>1182</v>
      </c>
      <c r="I641" s="123" t="s">
        <v>2055</v>
      </c>
      <c r="J641" s="69">
        <v>46020</v>
      </c>
      <c r="K641" s="97">
        <f t="shared" si="142"/>
        <v>12</v>
      </c>
      <c r="L641" s="97">
        <v>639</v>
      </c>
      <c r="O641" s="7" t="s">
        <v>2056</v>
      </c>
      <c r="T641" t="s">
        <v>2057</v>
      </c>
      <c r="X641" s="36" t="s">
        <v>141</v>
      </c>
      <c r="Y641" s="36" t="s">
        <v>141</v>
      </c>
      <c r="Z641" s="36"/>
      <c r="AA641" s="36" t="s">
        <v>141</v>
      </c>
      <c r="AB641" s="36" t="s">
        <v>141</v>
      </c>
      <c r="AC641" s="36"/>
      <c r="AD641" s="36"/>
      <c r="AE641" s="36" t="s">
        <v>141</v>
      </c>
      <c r="AF641" s="36"/>
      <c r="AG641" s="36" t="s">
        <v>141</v>
      </c>
      <c r="AH641" s="36" t="s">
        <v>141</v>
      </c>
      <c r="AI641" s="36" t="s">
        <v>141</v>
      </c>
      <c r="AJ641" s="36"/>
      <c r="AK641" s="117" t="s">
        <v>141</v>
      </c>
      <c r="AL641" s="36"/>
      <c r="AM641" s="36" t="s">
        <v>141</v>
      </c>
      <c r="AN641" s="36" t="s">
        <v>141</v>
      </c>
      <c r="AO641" s="36" t="s">
        <v>141</v>
      </c>
      <c r="AP641" s="36"/>
      <c r="AQ641" s="36"/>
      <c r="AR641" s="36" t="s">
        <v>141</v>
      </c>
      <c r="AS641" s="36" t="s">
        <v>141</v>
      </c>
      <c r="AT641" s="36"/>
      <c r="AU641" s="36"/>
      <c r="AV641" s="124" t="s">
        <v>141</v>
      </c>
      <c r="AW641" s="117"/>
      <c r="AX641" s="117" t="s">
        <v>141</v>
      </c>
      <c r="AY641" s="36" t="s">
        <v>141</v>
      </c>
      <c r="AZ641" s="36" t="s">
        <v>141</v>
      </c>
      <c r="BA641" s="117"/>
      <c r="BB641" s="125" t="s">
        <v>141</v>
      </c>
      <c r="BC641" s="117"/>
      <c r="BD641" s="117"/>
      <c r="BE641" s="117" t="s">
        <v>141</v>
      </c>
      <c r="BF641" s="117" t="s">
        <v>141</v>
      </c>
      <c r="BG641" s="117"/>
      <c r="BH641" s="117" t="s">
        <v>141</v>
      </c>
      <c r="BI641" s="117"/>
      <c r="BJ641" s="125" t="s">
        <v>141</v>
      </c>
      <c r="BK641" s="117"/>
      <c r="BL641" s="117"/>
      <c r="BM641" s="117">
        <f t="shared" si="143"/>
        <v>21</v>
      </c>
      <c r="BN641" s="117">
        <f t="shared" si="144"/>
        <v>6</v>
      </c>
      <c r="BO641" s="117">
        <f t="shared" si="145"/>
        <v>4</v>
      </c>
      <c r="BP641" s="153">
        <f t="shared" si="146"/>
        <v>15</v>
      </c>
      <c r="BQ641" s="74" t="s">
        <v>1365</v>
      </c>
      <c r="BR641" s="74"/>
    </row>
    <row r="642" spans="1:70" hidden="1">
      <c r="A642">
        <v>628</v>
      </c>
      <c r="B642" s="75">
        <v>46020.12699074074</v>
      </c>
      <c r="E642" s="7">
        <v>46020</v>
      </c>
      <c r="F642">
        <v>1183</v>
      </c>
      <c r="I642" s="123" t="s">
        <v>2058</v>
      </c>
      <c r="J642" s="69">
        <v>46020</v>
      </c>
      <c r="K642" s="97">
        <f t="shared" si="142"/>
        <v>12</v>
      </c>
      <c r="L642" s="97">
        <v>640</v>
      </c>
      <c r="O642" s="7" t="s">
        <v>2059</v>
      </c>
      <c r="T642" t="s">
        <v>2060</v>
      </c>
      <c r="X642" s="36" t="s">
        <v>141</v>
      </c>
      <c r="Y642" s="36" t="s">
        <v>141</v>
      </c>
      <c r="Z642" s="36"/>
      <c r="AA642" s="36" t="s">
        <v>141</v>
      </c>
      <c r="AB642" s="36" t="s">
        <v>141</v>
      </c>
      <c r="AC642" s="36"/>
      <c r="AD642" s="36"/>
      <c r="AE642" s="36" t="s">
        <v>141</v>
      </c>
      <c r="AF642" s="36"/>
      <c r="AG642" s="36" t="s">
        <v>141</v>
      </c>
      <c r="AH642" s="36" t="s">
        <v>141</v>
      </c>
      <c r="AI642" s="36" t="s">
        <v>141</v>
      </c>
      <c r="AJ642" s="36"/>
      <c r="AK642" s="117" t="s">
        <v>141</v>
      </c>
      <c r="AL642" s="36"/>
      <c r="AM642" s="36" t="s">
        <v>141</v>
      </c>
      <c r="AN642" s="36" t="s">
        <v>141</v>
      </c>
      <c r="AO642" s="36" t="s">
        <v>141</v>
      </c>
      <c r="AP642" s="36"/>
      <c r="AQ642" s="36"/>
      <c r="AR642" s="36" t="s">
        <v>141</v>
      </c>
      <c r="AS642" s="36" t="s">
        <v>141</v>
      </c>
      <c r="AT642" s="36"/>
      <c r="AU642" s="36"/>
      <c r="AV642" s="124" t="s">
        <v>141</v>
      </c>
      <c r="AW642" s="117"/>
      <c r="AX642" s="117" t="s">
        <v>141</v>
      </c>
      <c r="AY642" s="36" t="s">
        <v>141</v>
      </c>
      <c r="AZ642" s="36" t="s">
        <v>141</v>
      </c>
      <c r="BA642" s="117"/>
      <c r="BB642" s="125" t="s">
        <v>141</v>
      </c>
      <c r="BC642" s="117"/>
      <c r="BD642" s="117"/>
      <c r="BE642" s="117" t="s">
        <v>141</v>
      </c>
      <c r="BF642" s="117" t="s">
        <v>141</v>
      </c>
      <c r="BG642" s="117"/>
      <c r="BH642" s="117" t="s">
        <v>141</v>
      </c>
      <c r="BI642" s="117"/>
      <c r="BJ642" s="125" t="s">
        <v>141</v>
      </c>
      <c r="BK642" s="117"/>
      <c r="BL642" s="117"/>
      <c r="BM642" s="117">
        <f t="shared" si="143"/>
        <v>21</v>
      </c>
      <c r="BN642" s="117">
        <f t="shared" si="144"/>
        <v>6</v>
      </c>
      <c r="BO642" s="117">
        <f t="shared" si="145"/>
        <v>4</v>
      </c>
      <c r="BP642" s="153">
        <f t="shared" si="146"/>
        <v>15</v>
      </c>
      <c r="BQ642" s="74" t="s">
        <v>1365</v>
      </c>
      <c r="BR642" s="74"/>
    </row>
    <row r="643" spans="1:70" hidden="1">
      <c r="A643">
        <v>629</v>
      </c>
      <c r="B643" s="75">
        <v>46020.129444444443</v>
      </c>
      <c r="E643" s="7">
        <v>46020</v>
      </c>
      <c r="F643">
        <v>1184</v>
      </c>
      <c r="I643" s="123" t="s">
        <v>2061</v>
      </c>
      <c r="J643" s="69">
        <v>46020</v>
      </c>
      <c r="K643" s="97">
        <f t="shared" si="142"/>
        <v>12</v>
      </c>
      <c r="L643" s="97">
        <v>641</v>
      </c>
      <c r="O643" s="7" t="s">
        <v>2062</v>
      </c>
      <c r="T643" t="s">
        <v>2063</v>
      </c>
      <c r="X643" s="36" t="s">
        <v>141</v>
      </c>
      <c r="Y643" s="36" t="s">
        <v>141</v>
      </c>
      <c r="Z643" s="36"/>
      <c r="AA643" s="36" t="s">
        <v>141</v>
      </c>
      <c r="AB643" s="36" t="s">
        <v>141</v>
      </c>
      <c r="AC643" s="36"/>
      <c r="AD643" s="36"/>
      <c r="AE643" s="36" t="s">
        <v>141</v>
      </c>
      <c r="AF643" s="36"/>
      <c r="AG643" s="36" t="s">
        <v>141</v>
      </c>
      <c r="AH643" s="36" t="s">
        <v>141</v>
      </c>
      <c r="AI643" s="36" t="s">
        <v>141</v>
      </c>
      <c r="AJ643" s="36"/>
      <c r="AK643" s="117" t="s">
        <v>141</v>
      </c>
      <c r="AL643" s="36"/>
      <c r="AM643" s="36" t="s">
        <v>141</v>
      </c>
      <c r="AN643" s="36" t="s">
        <v>141</v>
      </c>
      <c r="AO643" s="36" t="s">
        <v>141</v>
      </c>
      <c r="AP643" s="36"/>
      <c r="AQ643" s="36"/>
      <c r="AR643" s="36" t="s">
        <v>141</v>
      </c>
      <c r="AS643" s="36" t="s">
        <v>141</v>
      </c>
      <c r="AT643" s="36"/>
      <c r="AU643" s="36"/>
      <c r="AV643" s="124" t="s">
        <v>141</v>
      </c>
      <c r="AW643" s="117"/>
      <c r="AX643" s="117" t="s">
        <v>141</v>
      </c>
      <c r="AY643" s="36" t="s">
        <v>141</v>
      </c>
      <c r="AZ643" s="36" t="s">
        <v>141</v>
      </c>
      <c r="BA643" s="117"/>
      <c r="BB643" s="125" t="s">
        <v>141</v>
      </c>
      <c r="BC643" s="117"/>
      <c r="BD643" s="117"/>
      <c r="BE643" s="117" t="s">
        <v>141</v>
      </c>
      <c r="BF643" s="117" t="s">
        <v>141</v>
      </c>
      <c r="BG643" s="117"/>
      <c r="BH643" s="117" t="s">
        <v>141</v>
      </c>
      <c r="BI643" s="117"/>
      <c r="BJ643" s="125" t="s">
        <v>141</v>
      </c>
      <c r="BK643" s="117"/>
      <c r="BL643" s="117"/>
      <c r="BM643" s="117">
        <f t="shared" si="143"/>
        <v>21</v>
      </c>
      <c r="BN643" s="117">
        <f t="shared" si="144"/>
        <v>6</v>
      </c>
      <c r="BO643" s="117">
        <f t="shared" si="145"/>
        <v>4</v>
      </c>
      <c r="BP643" s="153">
        <f t="shared" si="146"/>
        <v>15</v>
      </c>
      <c r="BQ643" s="74" t="s">
        <v>1365</v>
      </c>
      <c r="BR643" s="74"/>
    </row>
    <row r="644" spans="1:70" hidden="1">
      <c r="A644">
        <v>630</v>
      </c>
      <c r="B644" s="75">
        <v>46020.134756944448</v>
      </c>
      <c r="E644" s="7">
        <v>46020</v>
      </c>
      <c r="F644">
        <v>1185</v>
      </c>
      <c r="I644" s="123" t="s">
        <v>2064</v>
      </c>
      <c r="J644" s="69">
        <v>46020</v>
      </c>
      <c r="K644" s="97">
        <f t="shared" si="142"/>
        <v>12</v>
      </c>
      <c r="L644" s="97">
        <v>642</v>
      </c>
      <c r="O644" s="7" t="s">
        <v>2065</v>
      </c>
      <c r="T644" t="s">
        <v>2066</v>
      </c>
      <c r="X644" s="36" t="s">
        <v>141</v>
      </c>
      <c r="Y644" s="36" t="s">
        <v>141</v>
      </c>
      <c r="Z644" s="36"/>
      <c r="AA644" s="36" t="s">
        <v>141</v>
      </c>
      <c r="AB644" s="36" t="s">
        <v>141</v>
      </c>
      <c r="AC644" s="36"/>
      <c r="AD644" s="36"/>
      <c r="AE644" s="36" t="s">
        <v>141</v>
      </c>
      <c r="AF644" s="36"/>
      <c r="AG644" s="36" t="s">
        <v>141</v>
      </c>
      <c r="AH644" s="36" t="s">
        <v>141</v>
      </c>
      <c r="AI644" s="36" t="s">
        <v>141</v>
      </c>
      <c r="AJ644" s="36"/>
      <c r="AK644" s="117" t="s">
        <v>141</v>
      </c>
      <c r="AL644" s="36"/>
      <c r="AM644" s="36" t="s">
        <v>141</v>
      </c>
      <c r="AN644" s="36" t="s">
        <v>141</v>
      </c>
      <c r="AO644" s="36" t="s">
        <v>141</v>
      </c>
      <c r="AP644" s="36"/>
      <c r="AQ644" s="36"/>
      <c r="AR644" s="36" t="s">
        <v>141</v>
      </c>
      <c r="AS644" s="36" t="s">
        <v>141</v>
      </c>
      <c r="AT644" s="36"/>
      <c r="AU644" s="36"/>
      <c r="AV644" s="124" t="s">
        <v>141</v>
      </c>
      <c r="AW644" s="117"/>
      <c r="AX644" s="117" t="s">
        <v>141</v>
      </c>
      <c r="AY644" s="36" t="s">
        <v>141</v>
      </c>
      <c r="AZ644" s="36" t="s">
        <v>141</v>
      </c>
      <c r="BA644" s="117"/>
      <c r="BB644" s="125" t="s">
        <v>141</v>
      </c>
      <c r="BC644" s="117"/>
      <c r="BD644" s="117"/>
      <c r="BE644" s="117" t="s">
        <v>141</v>
      </c>
      <c r="BF644" s="117" t="s">
        <v>141</v>
      </c>
      <c r="BG644" s="117"/>
      <c r="BH644" s="117" t="s">
        <v>141</v>
      </c>
      <c r="BI644" s="117"/>
      <c r="BJ644" s="125" t="s">
        <v>141</v>
      </c>
      <c r="BK644" s="117"/>
      <c r="BL644" s="117"/>
      <c r="BM644" s="117">
        <f t="shared" si="143"/>
        <v>21</v>
      </c>
      <c r="BN644" s="117">
        <f t="shared" si="144"/>
        <v>6</v>
      </c>
      <c r="BO644" s="117">
        <f t="shared" si="145"/>
        <v>4</v>
      </c>
      <c r="BP644" s="153">
        <f t="shared" si="146"/>
        <v>15</v>
      </c>
      <c r="BQ644" s="74" t="s">
        <v>1365</v>
      </c>
      <c r="BR644" s="74"/>
    </row>
    <row r="645" spans="1:70" hidden="1">
      <c r="A645">
        <v>631</v>
      </c>
      <c r="B645" s="75">
        <v>46020.153831018521</v>
      </c>
      <c r="E645" s="7">
        <v>46020</v>
      </c>
      <c r="F645">
        <v>1186</v>
      </c>
      <c r="I645" s="123" t="s">
        <v>2067</v>
      </c>
      <c r="J645" s="69">
        <v>46020</v>
      </c>
      <c r="K645" s="97">
        <f t="shared" si="142"/>
        <v>12</v>
      </c>
      <c r="L645" s="97">
        <v>643</v>
      </c>
      <c r="O645" s="7" t="s">
        <v>219</v>
      </c>
      <c r="T645" t="s">
        <v>2068</v>
      </c>
      <c r="X645" s="36" t="s">
        <v>141</v>
      </c>
      <c r="Y645" s="36" t="s">
        <v>141</v>
      </c>
      <c r="Z645" s="36"/>
      <c r="AA645" s="36" t="s">
        <v>141</v>
      </c>
      <c r="AB645" s="36"/>
      <c r="AC645" s="36"/>
      <c r="AD645" s="36"/>
      <c r="AE645" s="36" t="s">
        <v>141</v>
      </c>
      <c r="AF645" s="36"/>
      <c r="AG645" s="36" t="s">
        <v>141</v>
      </c>
      <c r="AH645" s="36" t="s">
        <v>141</v>
      </c>
      <c r="AI645" s="36" t="s">
        <v>141</v>
      </c>
      <c r="AJ645" s="36"/>
      <c r="AK645" s="117"/>
      <c r="AL645" s="36"/>
      <c r="AM645" s="36" t="s">
        <v>141</v>
      </c>
      <c r="AN645" s="36" t="s">
        <v>141</v>
      </c>
      <c r="AO645" s="36" t="s">
        <v>141</v>
      </c>
      <c r="AP645" s="36"/>
      <c r="AQ645" s="36"/>
      <c r="AR645" s="36" t="s">
        <v>141</v>
      </c>
      <c r="AS645" s="36" t="s">
        <v>141</v>
      </c>
      <c r="AT645" s="36"/>
      <c r="AU645" s="36"/>
      <c r="AV645" s="36" t="s">
        <v>141</v>
      </c>
      <c r="AW645" s="117"/>
      <c r="AX645" s="117" t="s">
        <v>141</v>
      </c>
      <c r="AY645" s="36" t="s">
        <v>141</v>
      </c>
      <c r="AZ645" s="36" t="s">
        <v>141</v>
      </c>
      <c r="BA645" s="117"/>
      <c r="BB645" s="125" t="s">
        <v>141</v>
      </c>
      <c r="BC645" s="117"/>
      <c r="BD645" s="117"/>
      <c r="BE645" s="117" t="s">
        <v>141</v>
      </c>
      <c r="BF645" s="117" t="s">
        <v>141</v>
      </c>
      <c r="BG645" s="117"/>
      <c r="BH645" s="117" t="s">
        <v>141</v>
      </c>
      <c r="BI645" s="117"/>
      <c r="BJ645" s="117" t="s">
        <v>141</v>
      </c>
      <c r="BK645" s="117"/>
      <c r="BL645" s="117"/>
      <c r="BM645" s="117">
        <f t="shared" si="143"/>
        <v>19</v>
      </c>
      <c r="BN645" s="117">
        <f t="shared" si="144"/>
        <v>5</v>
      </c>
      <c r="BO645" s="117">
        <f t="shared" si="145"/>
        <v>3</v>
      </c>
      <c r="BP645" s="153">
        <f t="shared" si="146"/>
        <v>14</v>
      </c>
      <c r="BQ645" s="74" t="s">
        <v>1891</v>
      </c>
      <c r="BR645" s="74"/>
    </row>
    <row r="646" spans="1:70" hidden="1">
      <c r="A646">
        <v>632</v>
      </c>
      <c r="B646" s="75">
        <v>46020.155856481484</v>
      </c>
      <c r="E646" s="7">
        <v>46020</v>
      </c>
      <c r="F646">
        <v>1187</v>
      </c>
      <c r="I646" s="123" t="s">
        <v>2069</v>
      </c>
      <c r="J646" s="69">
        <v>46020</v>
      </c>
      <c r="K646" s="97">
        <f t="shared" si="142"/>
        <v>12</v>
      </c>
      <c r="L646" s="97">
        <v>644</v>
      </c>
      <c r="O646" s="7" t="s">
        <v>219</v>
      </c>
      <c r="T646" t="s">
        <v>2070</v>
      </c>
      <c r="X646" s="36" t="s">
        <v>141</v>
      </c>
      <c r="Y646" s="36" t="s">
        <v>141</v>
      </c>
      <c r="Z646" s="36"/>
      <c r="AA646" s="36" t="s">
        <v>141</v>
      </c>
      <c r="AB646" s="36" t="s">
        <v>141</v>
      </c>
      <c r="AC646" s="36"/>
      <c r="AD646" s="36"/>
      <c r="AE646" s="36" t="s">
        <v>141</v>
      </c>
      <c r="AF646" s="36"/>
      <c r="AG646" s="36" t="s">
        <v>141</v>
      </c>
      <c r="AH646" s="36" t="s">
        <v>141</v>
      </c>
      <c r="AI646" s="36" t="s">
        <v>141</v>
      </c>
      <c r="AJ646" s="36"/>
      <c r="AK646" s="117" t="s">
        <v>141</v>
      </c>
      <c r="AL646" s="36"/>
      <c r="AM646" s="36" t="s">
        <v>141</v>
      </c>
      <c r="AN646" s="36" t="s">
        <v>141</v>
      </c>
      <c r="AO646" s="36" t="s">
        <v>141</v>
      </c>
      <c r="AP646" s="36"/>
      <c r="AQ646" s="36"/>
      <c r="AR646" s="36" t="s">
        <v>141</v>
      </c>
      <c r="AS646" s="36" t="s">
        <v>141</v>
      </c>
      <c r="AT646" s="36"/>
      <c r="AU646" s="36"/>
      <c r="AV646" s="36" t="s">
        <v>141</v>
      </c>
      <c r="AW646" s="117"/>
      <c r="AX646" s="117" t="s">
        <v>141</v>
      </c>
      <c r="AY646" s="36" t="s">
        <v>141</v>
      </c>
      <c r="AZ646" s="36" t="s">
        <v>141</v>
      </c>
      <c r="BA646" s="117"/>
      <c r="BB646" s="125" t="s">
        <v>141</v>
      </c>
      <c r="BC646" s="117"/>
      <c r="BD646" s="117"/>
      <c r="BE646" s="117" t="s">
        <v>141</v>
      </c>
      <c r="BF646" s="117" t="s">
        <v>141</v>
      </c>
      <c r="BG646" s="117"/>
      <c r="BH646" s="117" t="s">
        <v>141</v>
      </c>
      <c r="BI646" s="117"/>
      <c r="BJ646" s="117" t="s">
        <v>141</v>
      </c>
      <c r="BK646" s="117"/>
      <c r="BL646" s="117"/>
      <c r="BM646" s="117">
        <f t="shared" si="143"/>
        <v>21</v>
      </c>
      <c r="BN646" s="117">
        <f t="shared" si="144"/>
        <v>6</v>
      </c>
      <c r="BO646" s="117">
        <f t="shared" si="145"/>
        <v>4</v>
      </c>
      <c r="BP646" s="153">
        <f t="shared" si="146"/>
        <v>15</v>
      </c>
      <c r="BQ646" s="74" t="s">
        <v>1891</v>
      </c>
      <c r="BR646" s="74"/>
    </row>
    <row r="647" spans="1:70" hidden="1">
      <c r="A647">
        <v>633</v>
      </c>
      <c r="B647" s="75">
        <v>46020.157442129632</v>
      </c>
      <c r="E647" s="7">
        <v>46020</v>
      </c>
      <c r="F647">
        <v>1188</v>
      </c>
      <c r="I647" s="123" t="s">
        <v>2071</v>
      </c>
      <c r="J647" s="69">
        <v>46020</v>
      </c>
      <c r="K647" s="97">
        <f t="shared" si="142"/>
        <v>12</v>
      </c>
      <c r="L647" s="97">
        <v>645</v>
      </c>
      <c r="O647" s="7" t="s">
        <v>2072</v>
      </c>
      <c r="T647" t="s">
        <v>2073</v>
      </c>
      <c r="X647" s="36" t="s">
        <v>141</v>
      </c>
      <c r="Y647" s="36" t="s">
        <v>141</v>
      </c>
      <c r="Z647" s="36"/>
      <c r="AA647" s="36" t="s">
        <v>141</v>
      </c>
      <c r="AB647" s="36"/>
      <c r="AC647" s="36"/>
      <c r="AD647" s="36"/>
      <c r="AE647" s="36" t="s">
        <v>141</v>
      </c>
      <c r="AF647" s="36"/>
      <c r="AG647" s="36" t="s">
        <v>141</v>
      </c>
      <c r="AH647" s="36" t="s">
        <v>141</v>
      </c>
      <c r="AI647" s="36" t="s">
        <v>141</v>
      </c>
      <c r="AJ647" s="36"/>
      <c r="AK647" s="117"/>
      <c r="AL647" s="36"/>
      <c r="AM647" s="36" t="s">
        <v>141</v>
      </c>
      <c r="AN647" s="36" t="s">
        <v>141</v>
      </c>
      <c r="AO647" s="36" t="s">
        <v>141</v>
      </c>
      <c r="AP647" s="36"/>
      <c r="AQ647" s="36"/>
      <c r="AR647" s="36" t="s">
        <v>141</v>
      </c>
      <c r="AS647" s="36" t="s">
        <v>141</v>
      </c>
      <c r="AT647" s="36"/>
      <c r="AU647" s="36"/>
      <c r="AV647" s="36" t="s">
        <v>141</v>
      </c>
      <c r="AW647" s="117"/>
      <c r="AX647" s="117" t="s">
        <v>141</v>
      </c>
      <c r="AY647" s="36" t="s">
        <v>141</v>
      </c>
      <c r="AZ647" s="36" t="s">
        <v>141</v>
      </c>
      <c r="BA647" s="117"/>
      <c r="BB647" s="125" t="s">
        <v>141</v>
      </c>
      <c r="BC647" s="117"/>
      <c r="BD647" s="117"/>
      <c r="BE647" s="117" t="s">
        <v>141</v>
      </c>
      <c r="BF647" s="117" t="s">
        <v>141</v>
      </c>
      <c r="BG647" s="117"/>
      <c r="BH647" s="117" t="s">
        <v>141</v>
      </c>
      <c r="BI647" s="117"/>
      <c r="BJ647" s="117" t="s">
        <v>141</v>
      </c>
      <c r="BK647" s="117"/>
      <c r="BL647" s="117"/>
      <c r="BM647" s="117">
        <f t="shared" si="143"/>
        <v>19</v>
      </c>
      <c r="BN647" s="117">
        <f t="shared" si="144"/>
        <v>5</v>
      </c>
      <c r="BO647" s="117">
        <f t="shared" si="145"/>
        <v>3</v>
      </c>
      <c r="BP647" s="153">
        <f t="shared" si="146"/>
        <v>14</v>
      </c>
      <c r="BQ647" s="74" t="s">
        <v>1891</v>
      </c>
      <c r="BR647" s="74"/>
    </row>
    <row r="648" spans="1:70" hidden="1">
      <c r="A648">
        <v>634</v>
      </c>
      <c r="B648" s="75">
        <v>46020.160381944443</v>
      </c>
      <c r="E648" s="7">
        <v>46020</v>
      </c>
      <c r="F648">
        <v>1189</v>
      </c>
      <c r="I648" s="123" t="s">
        <v>2074</v>
      </c>
      <c r="J648" s="69">
        <v>46020</v>
      </c>
      <c r="K648" s="97">
        <f t="shared" si="142"/>
        <v>12</v>
      </c>
      <c r="L648" s="97">
        <v>646</v>
      </c>
      <c r="O648" s="7" t="s">
        <v>146</v>
      </c>
      <c r="T648" t="s">
        <v>2075</v>
      </c>
      <c r="X648" s="36" t="s">
        <v>141</v>
      </c>
      <c r="Y648" s="36" t="s">
        <v>141</v>
      </c>
      <c r="Z648" s="36"/>
      <c r="AA648" s="36" t="s">
        <v>141</v>
      </c>
      <c r="AB648" s="36"/>
      <c r="AC648" s="36"/>
      <c r="AD648" s="36"/>
      <c r="AE648" s="36" t="s">
        <v>141</v>
      </c>
      <c r="AF648" s="36"/>
      <c r="AG648" s="36" t="s">
        <v>141</v>
      </c>
      <c r="AH648" s="36" t="s">
        <v>141</v>
      </c>
      <c r="AI648" s="36" t="s">
        <v>141</v>
      </c>
      <c r="AJ648" s="36"/>
      <c r="AK648" s="117"/>
      <c r="AL648" s="36"/>
      <c r="AM648" s="36" t="s">
        <v>141</v>
      </c>
      <c r="AN648" s="36" t="s">
        <v>141</v>
      </c>
      <c r="AO648" s="36" t="s">
        <v>141</v>
      </c>
      <c r="AP648" s="36"/>
      <c r="AQ648" s="36"/>
      <c r="AR648" s="36" t="s">
        <v>141</v>
      </c>
      <c r="AS648" s="36" t="s">
        <v>141</v>
      </c>
      <c r="AT648" s="36"/>
      <c r="AU648" s="36"/>
      <c r="AV648" s="36" t="s">
        <v>141</v>
      </c>
      <c r="AW648" s="117"/>
      <c r="AX648" s="117" t="s">
        <v>141</v>
      </c>
      <c r="AY648" s="36" t="s">
        <v>141</v>
      </c>
      <c r="AZ648" s="36" t="s">
        <v>141</v>
      </c>
      <c r="BA648" s="117"/>
      <c r="BB648" s="125" t="s">
        <v>141</v>
      </c>
      <c r="BC648" s="117"/>
      <c r="BD648" s="117"/>
      <c r="BE648" s="117" t="s">
        <v>141</v>
      </c>
      <c r="BF648" s="117" t="s">
        <v>141</v>
      </c>
      <c r="BG648" s="117"/>
      <c r="BH648" s="117" t="s">
        <v>141</v>
      </c>
      <c r="BI648" s="117"/>
      <c r="BJ648" s="117" t="s">
        <v>141</v>
      </c>
      <c r="BK648" s="117"/>
      <c r="BL648" s="117"/>
      <c r="BM648" s="117">
        <f t="shared" si="143"/>
        <v>19</v>
      </c>
      <c r="BN648" s="117">
        <f t="shared" si="144"/>
        <v>5</v>
      </c>
      <c r="BO648" s="117">
        <f t="shared" si="145"/>
        <v>3</v>
      </c>
      <c r="BP648" s="153">
        <f t="shared" si="146"/>
        <v>14</v>
      </c>
      <c r="BQ648" s="74" t="s">
        <v>1891</v>
      </c>
      <c r="BR648" s="74"/>
    </row>
    <row r="649" spans="1:70" hidden="1">
      <c r="A649">
        <v>635</v>
      </c>
      <c r="B649" s="75">
        <v>46020.163611111115</v>
      </c>
      <c r="E649" s="7">
        <v>46020</v>
      </c>
      <c r="F649">
        <v>1190</v>
      </c>
      <c r="I649" s="123" t="s">
        <v>2076</v>
      </c>
      <c r="J649" s="69">
        <v>46020</v>
      </c>
      <c r="K649" s="97">
        <f t="shared" si="142"/>
        <v>12</v>
      </c>
      <c r="L649" s="97">
        <v>647</v>
      </c>
      <c r="O649" s="7" t="s">
        <v>2077</v>
      </c>
      <c r="T649" t="s">
        <v>2078</v>
      </c>
      <c r="X649" s="36" t="s">
        <v>141</v>
      </c>
      <c r="Y649" s="36" t="s">
        <v>141</v>
      </c>
      <c r="Z649" s="36"/>
      <c r="AA649" s="36" t="s">
        <v>141</v>
      </c>
      <c r="AB649" s="36"/>
      <c r="AC649" s="36"/>
      <c r="AD649" s="36"/>
      <c r="AE649" s="36" t="s">
        <v>141</v>
      </c>
      <c r="AF649" s="36"/>
      <c r="AG649" s="36" t="s">
        <v>141</v>
      </c>
      <c r="AH649" s="36" t="s">
        <v>141</v>
      </c>
      <c r="AI649" s="36" t="s">
        <v>141</v>
      </c>
      <c r="AJ649" s="36"/>
      <c r="AK649" s="117"/>
      <c r="AL649" s="36"/>
      <c r="AM649" s="36" t="s">
        <v>141</v>
      </c>
      <c r="AN649" s="36" t="s">
        <v>141</v>
      </c>
      <c r="AO649" s="36" t="s">
        <v>141</v>
      </c>
      <c r="AP649" s="36"/>
      <c r="AQ649" s="36"/>
      <c r="AR649" s="36" t="s">
        <v>141</v>
      </c>
      <c r="AS649" s="36" t="s">
        <v>141</v>
      </c>
      <c r="AT649" s="36"/>
      <c r="AU649" s="36"/>
      <c r="AV649" s="36" t="s">
        <v>141</v>
      </c>
      <c r="AW649" s="117"/>
      <c r="AX649" s="117" t="s">
        <v>141</v>
      </c>
      <c r="AY649" s="36" t="s">
        <v>141</v>
      </c>
      <c r="AZ649" s="36" t="s">
        <v>141</v>
      </c>
      <c r="BA649" s="117"/>
      <c r="BB649" s="125" t="s">
        <v>141</v>
      </c>
      <c r="BC649" s="117"/>
      <c r="BD649" s="117"/>
      <c r="BE649" s="117" t="s">
        <v>141</v>
      </c>
      <c r="BF649" s="117" t="s">
        <v>141</v>
      </c>
      <c r="BG649" s="117"/>
      <c r="BH649" s="117" t="s">
        <v>141</v>
      </c>
      <c r="BI649" s="117"/>
      <c r="BJ649" s="117" t="s">
        <v>141</v>
      </c>
      <c r="BK649" s="117"/>
      <c r="BL649" s="117"/>
      <c r="BM649" s="117">
        <f t="shared" si="143"/>
        <v>19</v>
      </c>
      <c r="BN649" s="117">
        <f t="shared" si="144"/>
        <v>5</v>
      </c>
      <c r="BO649" s="117">
        <f t="shared" si="145"/>
        <v>3</v>
      </c>
      <c r="BP649" s="153">
        <f t="shared" si="146"/>
        <v>14</v>
      </c>
      <c r="BQ649" s="74" t="s">
        <v>1891</v>
      </c>
      <c r="BR649" s="74"/>
    </row>
    <row r="650" spans="1:70" hidden="1">
      <c r="A650">
        <v>636</v>
      </c>
      <c r="B650" s="75">
        <v>46020.173611111109</v>
      </c>
      <c r="E650" s="7">
        <v>46020</v>
      </c>
      <c r="F650">
        <v>1191</v>
      </c>
      <c r="I650" s="123" t="s">
        <v>2079</v>
      </c>
      <c r="J650" s="69">
        <v>46020</v>
      </c>
      <c r="K650" s="97">
        <f t="shared" si="142"/>
        <v>12</v>
      </c>
      <c r="L650" s="97">
        <v>648</v>
      </c>
      <c r="O650" s="7" t="s">
        <v>2080</v>
      </c>
      <c r="T650" t="s">
        <v>2081</v>
      </c>
      <c r="X650" s="36" t="s">
        <v>141</v>
      </c>
      <c r="Y650" s="36" t="s">
        <v>141</v>
      </c>
      <c r="Z650" s="36"/>
      <c r="AA650" s="36" t="s">
        <v>141</v>
      </c>
      <c r="AB650" s="36"/>
      <c r="AC650" s="36"/>
      <c r="AD650" s="36"/>
      <c r="AE650" s="36" t="s">
        <v>141</v>
      </c>
      <c r="AF650" s="36"/>
      <c r="AG650" s="36" t="s">
        <v>141</v>
      </c>
      <c r="AH650" s="36" t="s">
        <v>141</v>
      </c>
      <c r="AI650" s="36" t="s">
        <v>141</v>
      </c>
      <c r="AJ650" s="36"/>
      <c r="AK650" s="117"/>
      <c r="AL650" s="36"/>
      <c r="AM650" s="36" t="s">
        <v>141</v>
      </c>
      <c r="AN650" s="36" t="s">
        <v>141</v>
      </c>
      <c r="AO650" s="36" t="s">
        <v>141</v>
      </c>
      <c r="AP650" s="36"/>
      <c r="AQ650" s="36"/>
      <c r="AR650" s="36" t="s">
        <v>141</v>
      </c>
      <c r="AS650" s="36" t="s">
        <v>141</v>
      </c>
      <c r="AT650" s="36"/>
      <c r="AU650" s="36"/>
      <c r="AV650" s="36" t="s">
        <v>141</v>
      </c>
      <c r="AW650" s="117"/>
      <c r="AX650" s="117" t="s">
        <v>141</v>
      </c>
      <c r="AY650" s="36" t="s">
        <v>141</v>
      </c>
      <c r="AZ650" s="36" t="s">
        <v>141</v>
      </c>
      <c r="BA650" s="117"/>
      <c r="BB650" s="125" t="s">
        <v>141</v>
      </c>
      <c r="BC650" s="117"/>
      <c r="BD650" s="117"/>
      <c r="BE650" s="117" t="s">
        <v>141</v>
      </c>
      <c r="BF650" s="117" t="s">
        <v>141</v>
      </c>
      <c r="BG650" s="117"/>
      <c r="BH650" s="117" t="s">
        <v>141</v>
      </c>
      <c r="BI650" s="117"/>
      <c r="BJ650" s="117" t="s">
        <v>141</v>
      </c>
      <c r="BK650" s="117"/>
      <c r="BL650" s="117"/>
      <c r="BM650" s="117">
        <f t="shared" si="143"/>
        <v>19</v>
      </c>
      <c r="BN650" s="117">
        <f t="shared" si="144"/>
        <v>5</v>
      </c>
      <c r="BO650" s="117">
        <f t="shared" si="145"/>
        <v>3</v>
      </c>
      <c r="BP650" s="153">
        <f t="shared" si="146"/>
        <v>14</v>
      </c>
      <c r="BQ650" s="74" t="s">
        <v>1891</v>
      </c>
      <c r="BR650" s="74"/>
    </row>
    <row r="651" spans="1:70" hidden="1">
      <c r="A651">
        <v>637</v>
      </c>
      <c r="B651" s="75">
        <v>46020.197071759256</v>
      </c>
      <c r="E651" s="7">
        <v>46020</v>
      </c>
      <c r="F651">
        <v>1192</v>
      </c>
      <c r="I651" s="10" t="s">
        <v>2082</v>
      </c>
      <c r="J651" s="69">
        <v>46020</v>
      </c>
      <c r="K651" s="97">
        <f t="shared" si="142"/>
        <v>12</v>
      </c>
      <c r="L651" s="97">
        <v>649</v>
      </c>
      <c r="O651" s="7" t="s">
        <v>234</v>
      </c>
      <c r="T651" t="s">
        <v>2083</v>
      </c>
      <c r="X651" s="36" t="s">
        <v>141</v>
      </c>
      <c r="Y651" s="36" t="s">
        <v>141</v>
      </c>
      <c r="Z651" s="36"/>
      <c r="AA651" s="36" t="s">
        <v>141</v>
      </c>
      <c r="AB651" s="36" t="s">
        <v>141</v>
      </c>
      <c r="AC651" s="36"/>
      <c r="AD651" s="36"/>
      <c r="AE651" s="36" t="s">
        <v>141</v>
      </c>
      <c r="AF651" s="36"/>
      <c r="AG651" s="36" t="s">
        <v>141</v>
      </c>
      <c r="AH651" s="36" t="s">
        <v>141</v>
      </c>
      <c r="AI651" s="36" t="s">
        <v>141</v>
      </c>
      <c r="AJ651" s="36"/>
      <c r="AK651" s="117"/>
      <c r="AL651" s="36"/>
      <c r="AM651" s="36" t="s">
        <v>141</v>
      </c>
      <c r="AN651" s="36" t="s">
        <v>141</v>
      </c>
      <c r="AO651" s="36" t="s">
        <v>141</v>
      </c>
      <c r="AP651" s="36"/>
      <c r="AQ651" s="36"/>
      <c r="AR651" s="36" t="s">
        <v>141</v>
      </c>
      <c r="AS651" s="36" t="s">
        <v>141</v>
      </c>
      <c r="AT651" s="36"/>
      <c r="AU651" s="36"/>
      <c r="AV651" s="36" t="s">
        <v>141</v>
      </c>
      <c r="AW651" s="117"/>
      <c r="AX651" s="117" t="s">
        <v>141</v>
      </c>
      <c r="AY651" s="36" t="s">
        <v>141</v>
      </c>
      <c r="AZ651" s="36" t="s">
        <v>141</v>
      </c>
      <c r="BA651" s="117"/>
      <c r="BB651" s="125" t="s">
        <v>141</v>
      </c>
      <c r="BC651" s="117"/>
      <c r="BD651" s="117"/>
      <c r="BE651" s="117" t="s">
        <v>141</v>
      </c>
      <c r="BF651" s="117" t="s">
        <v>141</v>
      </c>
      <c r="BG651" s="117"/>
      <c r="BH651" s="117" t="s">
        <v>141</v>
      </c>
      <c r="BI651" s="117"/>
      <c r="BJ651" s="117" t="s">
        <v>141</v>
      </c>
      <c r="BK651" s="117"/>
      <c r="BL651" s="117"/>
      <c r="BM651" s="117">
        <f t="shared" si="143"/>
        <v>20</v>
      </c>
      <c r="BN651" s="117">
        <f t="shared" si="144"/>
        <v>5</v>
      </c>
      <c r="BO651" s="117">
        <f t="shared" si="145"/>
        <v>4</v>
      </c>
      <c r="BP651" s="153">
        <f t="shared" si="146"/>
        <v>14</v>
      </c>
      <c r="BQ651" s="74" t="s">
        <v>502</v>
      </c>
      <c r="BR651" s="74"/>
    </row>
    <row r="652" spans="1:70" hidden="1">
      <c r="A652">
        <v>638</v>
      </c>
      <c r="B652" s="75">
        <v>46020.230509259258</v>
      </c>
      <c r="E652" s="7">
        <v>46020</v>
      </c>
      <c r="F652">
        <v>1193</v>
      </c>
      <c r="I652" s="123" t="s">
        <v>2084</v>
      </c>
      <c r="J652" s="69">
        <v>46020</v>
      </c>
      <c r="K652" s="97">
        <f t="shared" si="142"/>
        <v>12</v>
      </c>
      <c r="L652" s="97">
        <v>650</v>
      </c>
      <c r="O652" s="7" t="s">
        <v>2085</v>
      </c>
      <c r="T652" t="s">
        <v>2086</v>
      </c>
      <c r="X652" s="36" t="s">
        <v>141</v>
      </c>
      <c r="Y652" s="36" t="s">
        <v>141</v>
      </c>
      <c r="Z652" s="36"/>
      <c r="AA652" s="36" t="s">
        <v>141</v>
      </c>
      <c r="AB652" s="36" t="s">
        <v>141</v>
      </c>
      <c r="AC652" s="36"/>
      <c r="AD652" s="36"/>
      <c r="AE652" s="36" t="s">
        <v>141</v>
      </c>
      <c r="AF652" s="36"/>
      <c r="AG652" s="36" t="s">
        <v>141</v>
      </c>
      <c r="AH652" s="36" t="s">
        <v>141</v>
      </c>
      <c r="AI652" s="36" t="s">
        <v>141</v>
      </c>
      <c r="AJ652" s="36"/>
      <c r="AK652" s="117"/>
      <c r="AL652" s="36"/>
      <c r="AM652" s="36" t="s">
        <v>141</v>
      </c>
      <c r="AN652" s="36" t="s">
        <v>141</v>
      </c>
      <c r="AO652" s="36" t="s">
        <v>141</v>
      </c>
      <c r="AP652" s="36"/>
      <c r="AQ652" s="36"/>
      <c r="AR652" s="36" t="s">
        <v>141</v>
      </c>
      <c r="AS652" s="36" t="s">
        <v>141</v>
      </c>
      <c r="AT652" s="36"/>
      <c r="AU652" s="36"/>
      <c r="AV652" s="36" t="s">
        <v>141</v>
      </c>
      <c r="AW652" s="117"/>
      <c r="AX652" s="117" t="s">
        <v>141</v>
      </c>
      <c r="AY652" s="36" t="s">
        <v>141</v>
      </c>
      <c r="AZ652" s="36" t="s">
        <v>141</v>
      </c>
      <c r="BA652" s="117"/>
      <c r="BB652" s="117"/>
      <c r="BC652" s="117"/>
      <c r="BD652" s="117"/>
      <c r="BE652" s="117" t="s">
        <v>141</v>
      </c>
      <c r="BF652" s="117" t="s">
        <v>141</v>
      </c>
      <c r="BG652" s="117"/>
      <c r="BH652" s="117" t="s">
        <v>141</v>
      </c>
      <c r="BI652" s="117"/>
      <c r="BJ652" s="117" t="s">
        <v>141</v>
      </c>
      <c r="BK652" s="117"/>
      <c r="BL652" s="117"/>
      <c r="BM652" s="117">
        <f t="shared" si="143"/>
        <v>19</v>
      </c>
      <c r="BN652" s="117">
        <f t="shared" si="144"/>
        <v>5</v>
      </c>
      <c r="BO652" s="117">
        <f t="shared" si="145"/>
        <v>4</v>
      </c>
      <c r="BP652" s="153">
        <f t="shared" si="146"/>
        <v>13</v>
      </c>
      <c r="BQ652" s="74" t="s">
        <v>358</v>
      </c>
      <c r="BR652" s="74"/>
    </row>
    <row r="653" spans="1:70" hidden="1">
      <c r="A653">
        <v>639</v>
      </c>
      <c r="B653" s="75">
        <v>46020.451342592591</v>
      </c>
      <c r="E653" s="7">
        <v>46020</v>
      </c>
      <c r="F653">
        <v>1194</v>
      </c>
      <c r="I653" s="10" t="s">
        <v>2087</v>
      </c>
      <c r="J653" s="69">
        <v>46020</v>
      </c>
      <c r="K653" s="97">
        <f t="shared" si="142"/>
        <v>12</v>
      </c>
      <c r="L653" s="97">
        <v>651</v>
      </c>
      <c r="O653" s="7" t="s">
        <v>156</v>
      </c>
      <c r="T653" t="s">
        <v>2088</v>
      </c>
      <c r="X653" s="36" t="s">
        <v>141</v>
      </c>
      <c r="Y653" s="36"/>
      <c r="Z653" s="36"/>
      <c r="AA653" s="36" t="s">
        <v>141</v>
      </c>
      <c r="AB653" s="36"/>
      <c r="AC653" s="36"/>
      <c r="AD653" s="36"/>
      <c r="AE653" s="36"/>
      <c r="AF653" s="36"/>
      <c r="AG653" s="36" t="s">
        <v>141</v>
      </c>
      <c r="AH653" s="36" t="s">
        <v>141</v>
      </c>
      <c r="AI653" s="36"/>
      <c r="AJ653" s="36"/>
      <c r="AK653" s="117"/>
      <c r="AL653" s="36"/>
      <c r="AM653" s="36" t="s">
        <v>141</v>
      </c>
      <c r="AN653" s="36" t="s">
        <v>141</v>
      </c>
      <c r="AO653" s="36"/>
      <c r="AP653" s="36"/>
      <c r="AQ653" s="36"/>
      <c r="AR653" s="36" t="s">
        <v>141</v>
      </c>
      <c r="AS653" s="36"/>
      <c r="AT653" s="36"/>
      <c r="AU653" s="36"/>
      <c r="AV653" s="36" t="s">
        <v>141</v>
      </c>
      <c r="AW653" s="117"/>
      <c r="AX653" s="117"/>
      <c r="AY653" s="36" t="s">
        <v>141</v>
      </c>
      <c r="AZ653" s="36" t="s">
        <v>141</v>
      </c>
      <c r="BA653" s="117"/>
      <c r="BB653" s="117"/>
      <c r="BC653" s="117"/>
      <c r="BD653" s="117"/>
      <c r="BE653" s="117"/>
      <c r="BF653" s="117" t="s">
        <v>141</v>
      </c>
      <c r="BG653" s="117"/>
      <c r="BH653" s="117" t="s">
        <v>141</v>
      </c>
      <c r="BI653" s="117"/>
      <c r="BJ653" s="117" t="s">
        <v>141</v>
      </c>
      <c r="BK653" s="117"/>
      <c r="BL653" s="117"/>
      <c r="BM653" s="117">
        <f t="shared" si="143"/>
        <v>11</v>
      </c>
      <c r="BN653" s="117">
        <f t="shared" si="144"/>
        <v>4</v>
      </c>
      <c r="BO653" s="117">
        <f t="shared" si="145"/>
        <v>2</v>
      </c>
      <c r="BP653" s="153">
        <f t="shared" si="146"/>
        <v>8</v>
      </c>
      <c r="BQ653" s="74" t="s">
        <v>163</v>
      </c>
      <c r="BR653" s="74"/>
    </row>
    <row r="654" spans="1:70" hidden="1">
      <c r="A654">
        <v>640</v>
      </c>
      <c r="B654" s="75">
        <v>46020.469895833332</v>
      </c>
      <c r="E654" s="7">
        <v>46021</v>
      </c>
      <c r="F654">
        <v>1195</v>
      </c>
      <c r="I654" s="10" t="s">
        <v>2089</v>
      </c>
      <c r="J654" s="69">
        <v>46021</v>
      </c>
      <c r="K654" s="97">
        <f t="shared" si="142"/>
        <v>12</v>
      </c>
      <c r="L654" s="97">
        <v>652</v>
      </c>
      <c r="O654" s="7" t="s">
        <v>156</v>
      </c>
      <c r="T654" t="s">
        <v>2090</v>
      </c>
      <c r="X654" s="36" t="s">
        <v>141</v>
      </c>
      <c r="Y654" s="36"/>
      <c r="Z654" s="36"/>
      <c r="AA654" s="36" t="s">
        <v>141</v>
      </c>
      <c r="AB654" s="36"/>
      <c r="AC654" s="36"/>
      <c r="AD654" s="36"/>
      <c r="AE654" s="36"/>
      <c r="AF654" s="36"/>
      <c r="AG654" s="36" t="s">
        <v>141</v>
      </c>
      <c r="AH654" s="36" t="s">
        <v>141</v>
      </c>
      <c r="AI654" s="36"/>
      <c r="AJ654" s="36"/>
      <c r="AK654" s="117"/>
      <c r="AL654" s="36"/>
      <c r="AM654" s="36" t="s">
        <v>141</v>
      </c>
      <c r="AN654" s="36" t="s">
        <v>141</v>
      </c>
      <c r="AO654" s="36"/>
      <c r="AP654" s="36"/>
      <c r="AQ654" s="36"/>
      <c r="AR654" s="36" t="s">
        <v>141</v>
      </c>
      <c r="AS654" s="36"/>
      <c r="AT654" s="36"/>
      <c r="AU654" s="36"/>
      <c r="AV654" s="36" t="s">
        <v>141</v>
      </c>
      <c r="AW654" s="117"/>
      <c r="AX654" s="117"/>
      <c r="AY654" s="36" t="s">
        <v>141</v>
      </c>
      <c r="AZ654" s="36" t="s">
        <v>141</v>
      </c>
      <c r="BA654" s="117"/>
      <c r="BB654" s="117"/>
      <c r="BC654" s="117"/>
      <c r="BD654" s="117"/>
      <c r="BE654" s="117"/>
      <c r="BF654" s="117" t="s">
        <v>141</v>
      </c>
      <c r="BG654" s="117"/>
      <c r="BH654" s="117" t="s">
        <v>141</v>
      </c>
      <c r="BI654" s="117"/>
      <c r="BJ654" s="117" t="s">
        <v>141</v>
      </c>
      <c r="BK654" s="117"/>
      <c r="BL654" s="117"/>
      <c r="BM654" s="117">
        <f t="shared" si="143"/>
        <v>11</v>
      </c>
      <c r="BN654" s="117">
        <f t="shared" si="144"/>
        <v>4</v>
      </c>
      <c r="BO654" s="117">
        <f t="shared" si="145"/>
        <v>2</v>
      </c>
      <c r="BP654" s="153">
        <f t="shared" si="146"/>
        <v>8</v>
      </c>
      <c r="BQ654" s="74" t="s">
        <v>178</v>
      </c>
      <c r="BR654" s="74"/>
    </row>
    <row r="655" spans="1:70" hidden="1">
      <c r="A655">
        <v>641</v>
      </c>
      <c r="B655" s="75">
        <v>46020.683738425927</v>
      </c>
      <c r="E655" s="7">
        <v>46020</v>
      </c>
      <c r="F655">
        <v>1196</v>
      </c>
      <c r="I655" s="123" t="s">
        <v>2091</v>
      </c>
      <c r="J655" s="69">
        <v>46021</v>
      </c>
      <c r="K655" s="97">
        <f t="shared" si="142"/>
        <v>12</v>
      </c>
      <c r="L655" s="97">
        <v>653</v>
      </c>
      <c r="O655" s="7" t="s">
        <v>2092</v>
      </c>
      <c r="T655" t="s">
        <v>2093</v>
      </c>
      <c r="X655" s="36" t="s">
        <v>141</v>
      </c>
      <c r="Y655" s="36" t="s">
        <v>141</v>
      </c>
      <c r="Z655" s="36"/>
      <c r="AA655" s="36" t="s">
        <v>141</v>
      </c>
      <c r="AB655" s="36" t="s">
        <v>141</v>
      </c>
      <c r="AC655" s="36"/>
      <c r="AD655" s="36"/>
      <c r="AE655" s="36" t="s">
        <v>141</v>
      </c>
      <c r="AF655" s="36"/>
      <c r="AG655" s="36" t="s">
        <v>141</v>
      </c>
      <c r="AH655" s="36" t="s">
        <v>141</v>
      </c>
      <c r="AI655" s="36" t="s">
        <v>141</v>
      </c>
      <c r="AJ655" s="36"/>
      <c r="AK655" s="117" t="s">
        <v>141</v>
      </c>
      <c r="AL655" s="36"/>
      <c r="AM655" s="36" t="s">
        <v>141</v>
      </c>
      <c r="AN655" s="36" t="s">
        <v>141</v>
      </c>
      <c r="AO655" s="36" t="s">
        <v>141</v>
      </c>
      <c r="AP655" s="36"/>
      <c r="AQ655" s="36"/>
      <c r="AR655" s="36" t="s">
        <v>141</v>
      </c>
      <c r="AS655" s="36" t="s">
        <v>141</v>
      </c>
      <c r="AT655" s="36"/>
      <c r="AU655" s="36"/>
      <c r="AV655" s="36" t="s">
        <v>141</v>
      </c>
      <c r="AW655" s="117"/>
      <c r="AX655" s="117" t="s">
        <v>141</v>
      </c>
      <c r="AY655" s="36" t="s">
        <v>141</v>
      </c>
      <c r="AZ655" s="36" t="s">
        <v>141</v>
      </c>
      <c r="BA655" s="117"/>
      <c r="BB655" s="117" t="s">
        <v>141</v>
      </c>
      <c r="BC655" s="117"/>
      <c r="BD655" s="117"/>
      <c r="BE655" s="117" t="s">
        <v>141</v>
      </c>
      <c r="BF655" s="117" t="s">
        <v>141</v>
      </c>
      <c r="BG655" s="117"/>
      <c r="BH655" s="117" t="s">
        <v>141</v>
      </c>
      <c r="BI655" s="117"/>
      <c r="BJ655" s="117" t="s">
        <v>141</v>
      </c>
      <c r="BK655" s="117"/>
      <c r="BL655" s="117"/>
      <c r="BM655" s="117">
        <f t="shared" si="143"/>
        <v>21</v>
      </c>
      <c r="BN655" s="117">
        <f t="shared" si="144"/>
        <v>6</v>
      </c>
      <c r="BO655" s="117">
        <f t="shared" si="145"/>
        <v>4</v>
      </c>
      <c r="BP655" s="153">
        <f t="shared" si="146"/>
        <v>15</v>
      </c>
      <c r="BQ655" s="74" t="s">
        <v>2094</v>
      </c>
      <c r="BR655" s="74"/>
    </row>
    <row r="656" spans="1:70" hidden="1">
      <c r="A656">
        <v>642</v>
      </c>
      <c r="B656" s="75">
        <v>46020.685532407406</v>
      </c>
      <c r="E656" s="7">
        <v>46020</v>
      </c>
      <c r="F656">
        <v>1197</v>
      </c>
      <c r="I656" s="123" t="s">
        <v>2095</v>
      </c>
      <c r="J656" s="69">
        <v>46021</v>
      </c>
      <c r="K656" s="97">
        <f t="shared" si="142"/>
        <v>12</v>
      </c>
      <c r="L656" s="97">
        <v>654</v>
      </c>
      <c r="O656" s="7" t="s">
        <v>219</v>
      </c>
      <c r="T656" t="s">
        <v>2096</v>
      </c>
      <c r="X656" s="36" t="s">
        <v>141</v>
      </c>
      <c r="Y656" s="36" t="s">
        <v>141</v>
      </c>
      <c r="Z656" s="36"/>
      <c r="AA656" s="36" t="s">
        <v>141</v>
      </c>
      <c r="AB656" s="36" t="s">
        <v>141</v>
      </c>
      <c r="AC656" s="36"/>
      <c r="AD656" s="36"/>
      <c r="AE656" s="36" t="s">
        <v>141</v>
      </c>
      <c r="AF656" s="36"/>
      <c r="AG656" s="36" t="s">
        <v>141</v>
      </c>
      <c r="AH656" s="36" t="s">
        <v>141</v>
      </c>
      <c r="AI656" s="36" t="s">
        <v>141</v>
      </c>
      <c r="AJ656" s="36"/>
      <c r="AK656" s="117" t="s">
        <v>141</v>
      </c>
      <c r="AL656" s="36"/>
      <c r="AM656" s="36" t="s">
        <v>141</v>
      </c>
      <c r="AN656" s="36" t="s">
        <v>141</v>
      </c>
      <c r="AO656" s="36" t="s">
        <v>141</v>
      </c>
      <c r="AP656" s="36"/>
      <c r="AQ656" s="36"/>
      <c r="AR656" s="36" t="s">
        <v>141</v>
      </c>
      <c r="AS656" s="36" t="s">
        <v>141</v>
      </c>
      <c r="AT656" s="36"/>
      <c r="AU656" s="36"/>
      <c r="AV656" s="36" t="s">
        <v>141</v>
      </c>
      <c r="AW656" s="117"/>
      <c r="AX656" s="117" t="s">
        <v>141</v>
      </c>
      <c r="AY656" s="36" t="s">
        <v>141</v>
      </c>
      <c r="AZ656" s="36" t="s">
        <v>141</v>
      </c>
      <c r="BA656" s="117"/>
      <c r="BB656" s="117" t="s">
        <v>141</v>
      </c>
      <c r="BC656" s="117"/>
      <c r="BD656" s="117"/>
      <c r="BE656" s="117" t="s">
        <v>141</v>
      </c>
      <c r="BF656" s="117" t="s">
        <v>141</v>
      </c>
      <c r="BG656" s="117"/>
      <c r="BH656" s="117" t="s">
        <v>141</v>
      </c>
      <c r="BI656" s="117"/>
      <c r="BJ656" s="117" t="s">
        <v>141</v>
      </c>
      <c r="BK656" s="117"/>
      <c r="BL656" s="117"/>
      <c r="BM656" s="117">
        <f t="shared" si="143"/>
        <v>21</v>
      </c>
      <c r="BN656" s="117">
        <f t="shared" si="144"/>
        <v>6</v>
      </c>
      <c r="BO656" s="117">
        <f t="shared" si="145"/>
        <v>4</v>
      </c>
      <c r="BP656" s="153">
        <f t="shared" si="146"/>
        <v>15</v>
      </c>
      <c r="BQ656" s="74" t="s">
        <v>2097</v>
      </c>
      <c r="BR656" s="74"/>
    </row>
    <row r="657" spans="1:70" hidden="1">
      <c r="A657">
        <v>643</v>
      </c>
      <c r="B657" s="75">
        <v>46021.050810185188</v>
      </c>
      <c r="E657" s="7">
        <v>46021</v>
      </c>
      <c r="F657">
        <v>1201</v>
      </c>
      <c r="I657" s="10" t="s">
        <v>2098</v>
      </c>
      <c r="J657" s="69">
        <v>46021</v>
      </c>
      <c r="K657" s="97">
        <f t="shared" si="142"/>
        <v>12</v>
      </c>
      <c r="L657" s="97">
        <v>655</v>
      </c>
      <c r="O657" s="7" t="s">
        <v>156</v>
      </c>
      <c r="T657" t="s">
        <v>2099</v>
      </c>
      <c r="X657" s="36" t="s">
        <v>141</v>
      </c>
      <c r="Y657" s="36" t="s">
        <v>141</v>
      </c>
      <c r="Z657" s="36"/>
      <c r="AA657" s="36" t="s">
        <v>141</v>
      </c>
      <c r="AB657" s="36"/>
      <c r="AC657" s="36"/>
      <c r="AD657" s="36"/>
      <c r="AE657" s="36" t="s">
        <v>141</v>
      </c>
      <c r="AF657" s="36"/>
      <c r="AG657" s="36" t="s">
        <v>141</v>
      </c>
      <c r="AH657" s="36" t="s">
        <v>141</v>
      </c>
      <c r="AI657" s="36" t="s">
        <v>141</v>
      </c>
      <c r="AJ657" s="36"/>
      <c r="AK657" s="117"/>
      <c r="AL657" s="36"/>
      <c r="AM657" s="36" t="s">
        <v>141</v>
      </c>
      <c r="AN657" s="36"/>
      <c r="AO657" s="36" t="s">
        <v>141</v>
      </c>
      <c r="AP657" s="36"/>
      <c r="AQ657" s="36"/>
      <c r="AR657" s="36"/>
      <c r="AS657" s="36" t="s">
        <v>141</v>
      </c>
      <c r="AT657" s="36"/>
      <c r="AU657" s="36"/>
      <c r="AV657" s="36" t="s">
        <v>141</v>
      </c>
      <c r="AW657" s="117"/>
      <c r="AX657" s="117"/>
      <c r="AY657" s="36"/>
      <c r="AZ657" s="36" t="s">
        <v>141</v>
      </c>
      <c r="BA657" s="117"/>
      <c r="BB657" s="117"/>
      <c r="BC657" s="117"/>
      <c r="BD657" s="117"/>
      <c r="BE657" s="117" t="s">
        <v>141</v>
      </c>
      <c r="BF657" s="117"/>
      <c r="BG657" s="117"/>
      <c r="BH657" s="117" t="s">
        <v>141</v>
      </c>
      <c r="BI657" s="117"/>
      <c r="BJ657" s="117"/>
      <c r="BK657" s="117"/>
      <c r="BL657" s="117"/>
      <c r="BM657" s="117">
        <f t="shared" si="143"/>
        <v>13</v>
      </c>
      <c r="BN657" s="117">
        <f t="shared" si="144"/>
        <v>3</v>
      </c>
      <c r="BO657" s="117">
        <f t="shared" si="145"/>
        <v>3</v>
      </c>
      <c r="BP657" s="153">
        <f t="shared" si="146"/>
        <v>9</v>
      </c>
      <c r="BQ657" s="74" t="s">
        <v>840</v>
      </c>
      <c r="BR657" s="74"/>
    </row>
    <row r="658" spans="1:70" hidden="1">
      <c r="A658">
        <v>644</v>
      </c>
      <c r="B658" s="75">
        <v>46021.163321759261</v>
      </c>
      <c r="E658" s="7">
        <v>46021</v>
      </c>
      <c r="F658">
        <v>1202</v>
      </c>
      <c r="I658" s="10" t="s">
        <v>2100</v>
      </c>
      <c r="J658" s="69">
        <v>46021</v>
      </c>
      <c r="K658" s="97">
        <f>MONTH($J658)</f>
        <v>12</v>
      </c>
      <c r="L658" s="97">
        <v>656</v>
      </c>
      <c r="O658" s="7" t="s">
        <v>156</v>
      </c>
      <c r="T658" t="s">
        <v>2101</v>
      </c>
      <c r="X658" s="36" t="s">
        <v>141</v>
      </c>
      <c r="Y658" s="36" t="s">
        <v>141</v>
      </c>
      <c r="Z658" s="36"/>
      <c r="AA658" s="36" t="s">
        <v>141</v>
      </c>
      <c r="AB658" s="36"/>
      <c r="AC658" s="36"/>
      <c r="AD658" s="36"/>
      <c r="AE658" s="36" t="s">
        <v>141</v>
      </c>
      <c r="AF658" s="36"/>
      <c r="AG658" s="36" t="s">
        <v>141</v>
      </c>
      <c r="AH658" s="36" t="s">
        <v>141</v>
      </c>
      <c r="AI658" s="36" t="s">
        <v>141</v>
      </c>
      <c r="AJ658" s="36"/>
      <c r="AK658" s="117"/>
      <c r="AL658" s="36"/>
      <c r="AM658" s="36" t="s">
        <v>141</v>
      </c>
      <c r="AN658" s="36"/>
      <c r="AO658" s="36" t="s">
        <v>141</v>
      </c>
      <c r="AP658" s="36" t="s">
        <v>141</v>
      </c>
      <c r="AQ658" s="36"/>
      <c r="AR658" s="36" t="s">
        <v>141</v>
      </c>
      <c r="AS658" s="36" t="s">
        <v>141</v>
      </c>
      <c r="AT658" s="36"/>
      <c r="AU658" s="36"/>
      <c r="AV658" s="36"/>
      <c r="AW658" s="117"/>
      <c r="AX658" s="117"/>
      <c r="AY658" s="36"/>
      <c r="AZ658" s="36" t="s">
        <v>141</v>
      </c>
      <c r="BA658" s="117"/>
      <c r="BB658" s="117"/>
      <c r="BC658" s="117"/>
      <c r="BD658" s="117"/>
      <c r="BE658" s="117" t="s">
        <v>141</v>
      </c>
      <c r="BF658" s="117"/>
      <c r="BG658" s="117"/>
      <c r="BH658" s="117" t="s">
        <v>141</v>
      </c>
      <c r="BI658" s="117"/>
      <c r="BJ658" s="117"/>
      <c r="BK658" s="117"/>
      <c r="BL658" s="117"/>
      <c r="BM658" s="117">
        <f t="shared" ref="BM658:BM665" si="147">COUNTIF($X658:$BF658, "I")</f>
        <v>14</v>
      </c>
      <c r="BN658" s="117">
        <f t="shared" ref="BN658:BN665" si="148">COUNTIFS($X658:$BF658, "I",$X$2:$BF$2, "DR" )</f>
        <v>4</v>
      </c>
      <c r="BO658" s="117">
        <f t="shared" ref="BO658:BO665" si="149">COUNTIFS($X658:$BF658, "I",$X$5:$BF$5, "OF" )</f>
        <v>3</v>
      </c>
      <c r="BP658" s="153">
        <f t="shared" ref="BP658:BP665" si="150">COUNTIFS($X658:$BF658, "I",$X$5:$BF$5, "FF" )</f>
        <v>10</v>
      </c>
      <c r="BQ658" s="74" t="s">
        <v>1756</v>
      </c>
      <c r="BR658" s="74"/>
    </row>
    <row r="659" spans="1:70" hidden="1">
      <c r="A659">
        <v>645</v>
      </c>
      <c r="B659" s="75">
        <v>46021.473541666666</v>
      </c>
      <c r="E659" s="7">
        <v>46022</v>
      </c>
      <c r="F659">
        <v>1203</v>
      </c>
      <c r="I659" s="10" t="s">
        <v>2102</v>
      </c>
      <c r="J659" s="69">
        <v>46022</v>
      </c>
      <c r="K659" s="97">
        <f>MONTH($J659)</f>
        <v>12</v>
      </c>
      <c r="L659" s="97">
        <v>657</v>
      </c>
      <c r="O659" s="7" t="s">
        <v>156</v>
      </c>
      <c r="T659" t="s">
        <v>2103</v>
      </c>
      <c r="X659" s="36" t="s">
        <v>141</v>
      </c>
      <c r="Y659" s="36" t="s">
        <v>141</v>
      </c>
      <c r="Z659" s="36"/>
      <c r="AA659" s="36" t="s">
        <v>141</v>
      </c>
      <c r="AB659" s="36"/>
      <c r="AC659" s="36"/>
      <c r="AD659" s="36"/>
      <c r="AE659" s="36" t="s">
        <v>141</v>
      </c>
      <c r="AF659" s="36"/>
      <c r="AG659" s="36" t="s">
        <v>141</v>
      </c>
      <c r="AH659" s="36" t="s">
        <v>141</v>
      </c>
      <c r="AI659" s="36" t="s">
        <v>141</v>
      </c>
      <c r="AJ659" s="36"/>
      <c r="AK659" s="117"/>
      <c r="AL659" s="36"/>
      <c r="AM659" s="36" t="s">
        <v>141</v>
      </c>
      <c r="AN659" s="36"/>
      <c r="AO659" s="36" t="s">
        <v>141</v>
      </c>
      <c r="AP659" s="36" t="s">
        <v>141</v>
      </c>
      <c r="AQ659" s="36"/>
      <c r="AR659" s="36" t="s">
        <v>141</v>
      </c>
      <c r="AS659" s="36"/>
      <c r="AT659" s="36"/>
      <c r="AU659" s="36"/>
      <c r="AV659" s="36" t="s">
        <v>141</v>
      </c>
      <c r="AW659" s="117"/>
      <c r="AX659" s="117" t="s">
        <v>141</v>
      </c>
      <c r="AY659" s="36" t="s">
        <v>141</v>
      </c>
      <c r="AZ659" s="36" t="s">
        <v>141</v>
      </c>
      <c r="BA659" s="117"/>
      <c r="BB659" s="117"/>
      <c r="BC659" s="117"/>
      <c r="BD659" s="117"/>
      <c r="BE659" s="117"/>
      <c r="BF659" s="117"/>
      <c r="BG659" s="117"/>
      <c r="BH659" s="117" t="s">
        <v>141</v>
      </c>
      <c r="BI659" s="117"/>
      <c r="BJ659" s="117" t="s">
        <v>141</v>
      </c>
      <c r="BK659" s="117"/>
      <c r="BL659" s="117"/>
      <c r="BM659" s="117">
        <f t="shared" si="147"/>
        <v>15</v>
      </c>
      <c r="BN659" s="117">
        <f t="shared" si="148"/>
        <v>3</v>
      </c>
      <c r="BO659" s="117">
        <f t="shared" si="149"/>
        <v>3</v>
      </c>
      <c r="BP659" s="153">
        <f t="shared" si="150"/>
        <v>12</v>
      </c>
      <c r="BQ659" s="74" t="s">
        <v>1245</v>
      </c>
      <c r="BR659" s="74"/>
    </row>
    <row r="660" spans="1:70" hidden="1">
      <c r="A660">
        <v>646</v>
      </c>
      <c r="B660" s="75">
        <v>46021.864849537036</v>
      </c>
      <c r="E660" s="7">
        <v>46022</v>
      </c>
      <c r="F660">
        <v>1204</v>
      </c>
      <c r="I660" s="10" t="s">
        <v>2104</v>
      </c>
      <c r="J660" s="69">
        <v>46022</v>
      </c>
      <c r="K660" s="97">
        <f t="shared" ref="K660:K665" si="151">MONTH($J658)</f>
        <v>12</v>
      </c>
      <c r="L660" s="97">
        <v>658</v>
      </c>
      <c r="O660" s="7" t="s">
        <v>2105</v>
      </c>
      <c r="T660" t="s">
        <v>586</v>
      </c>
      <c r="X660" s="36" t="s">
        <v>141</v>
      </c>
      <c r="Y660" s="36" t="s">
        <v>141</v>
      </c>
      <c r="Z660" s="36"/>
      <c r="AA660" s="36" t="s">
        <v>141</v>
      </c>
      <c r="AB660" s="36"/>
      <c r="AC660" s="36"/>
      <c r="AD660" s="36"/>
      <c r="AE660" s="36" t="s">
        <v>141</v>
      </c>
      <c r="AF660" s="36"/>
      <c r="AG660" s="36" t="s">
        <v>141</v>
      </c>
      <c r="AH660" s="36" t="s">
        <v>141</v>
      </c>
      <c r="AI660" s="36" t="s">
        <v>141</v>
      </c>
      <c r="AJ660" s="36"/>
      <c r="AK660" s="117"/>
      <c r="AL660" s="36"/>
      <c r="AM660" s="36" t="s">
        <v>141</v>
      </c>
      <c r="AN660" s="36"/>
      <c r="AO660" s="36" t="s">
        <v>141</v>
      </c>
      <c r="AP660" s="36" t="s">
        <v>141</v>
      </c>
      <c r="AQ660" s="36"/>
      <c r="AR660" s="36" t="s">
        <v>141</v>
      </c>
      <c r="AS660" s="36"/>
      <c r="AT660" s="36"/>
      <c r="AU660" s="36"/>
      <c r="AV660" s="36" t="s">
        <v>141</v>
      </c>
      <c r="AW660" s="117"/>
      <c r="AX660" s="117" t="s">
        <v>141</v>
      </c>
      <c r="AY660" s="36" t="s">
        <v>141</v>
      </c>
      <c r="AZ660" s="36" t="s">
        <v>141</v>
      </c>
      <c r="BA660" s="117"/>
      <c r="BB660" s="117"/>
      <c r="BC660" s="117"/>
      <c r="BD660" s="117"/>
      <c r="BE660" s="117"/>
      <c r="BF660" s="117"/>
      <c r="BG660" s="117"/>
      <c r="BH660" s="117"/>
      <c r="BI660" s="117"/>
      <c r="BJ660" s="117"/>
      <c r="BK660" s="117"/>
      <c r="BL660" s="117"/>
      <c r="BM660" s="117">
        <f t="shared" si="147"/>
        <v>15</v>
      </c>
      <c r="BN660" s="117">
        <f t="shared" si="148"/>
        <v>3</v>
      </c>
      <c r="BO660" s="117">
        <f t="shared" si="149"/>
        <v>3</v>
      </c>
      <c r="BP660" s="153">
        <f t="shared" si="150"/>
        <v>12</v>
      </c>
      <c r="BQ660" s="74" t="s">
        <v>502</v>
      </c>
      <c r="BR660" s="74"/>
    </row>
    <row r="661" spans="1:70" hidden="1">
      <c r="A661">
        <v>647</v>
      </c>
      <c r="B661" s="75">
        <v>46021.892337962963</v>
      </c>
      <c r="E661" s="7">
        <v>46022</v>
      </c>
      <c r="F661">
        <v>1205</v>
      </c>
      <c r="I661" s="10" t="s">
        <v>2106</v>
      </c>
      <c r="J661" s="69">
        <v>46022</v>
      </c>
      <c r="K661" s="97">
        <f t="shared" si="151"/>
        <v>12</v>
      </c>
      <c r="L661" s="97">
        <v>659</v>
      </c>
      <c r="O661" s="7" t="s">
        <v>764</v>
      </c>
      <c r="T661" t="s">
        <v>2107</v>
      </c>
      <c r="X661" s="36" t="s">
        <v>141</v>
      </c>
      <c r="Y661" s="36" t="s">
        <v>141</v>
      </c>
      <c r="Z661" s="36"/>
      <c r="AA661" s="36" t="s">
        <v>141</v>
      </c>
      <c r="AB661" s="36"/>
      <c r="AC661" s="36"/>
      <c r="AD661" s="36"/>
      <c r="AE661" s="36" t="s">
        <v>141</v>
      </c>
      <c r="AF661" s="36"/>
      <c r="AG661" s="36" t="s">
        <v>141</v>
      </c>
      <c r="AH661" s="36" t="s">
        <v>141</v>
      </c>
      <c r="AI661" s="36" t="s">
        <v>141</v>
      </c>
      <c r="AJ661" s="36"/>
      <c r="AK661" s="117"/>
      <c r="AL661" s="36"/>
      <c r="AM661" s="36" t="s">
        <v>141</v>
      </c>
      <c r="AN661" s="36"/>
      <c r="AO661" s="36" t="s">
        <v>141</v>
      </c>
      <c r="AP661" s="36" t="s">
        <v>141</v>
      </c>
      <c r="AQ661" s="36"/>
      <c r="AR661" s="36" t="s">
        <v>141</v>
      </c>
      <c r="AS661" s="36"/>
      <c r="AT661" s="36"/>
      <c r="AU661" s="36"/>
      <c r="AV661" s="36" t="s">
        <v>141</v>
      </c>
      <c r="AW661" s="117"/>
      <c r="AX661" s="117" t="s">
        <v>141</v>
      </c>
      <c r="AY661" s="36" t="s">
        <v>141</v>
      </c>
      <c r="AZ661" s="36" t="s">
        <v>141</v>
      </c>
      <c r="BA661" s="117"/>
      <c r="BB661" s="117"/>
      <c r="BC661" s="117"/>
      <c r="BD661" s="117"/>
      <c r="BE661" s="117"/>
      <c r="BF661" s="117"/>
      <c r="BG661" s="117"/>
      <c r="BH661" s="117"/>
      <c r="BI661" s="117"/>
      <c r="BJ661" s="117"/>
      <c r="BK661" s="117"/>
      <c r="BL661" s="117"/>
      <c r="BM661" s="117">
        <f t="shared" si="147"/>
        <v>15</v>
      </c>
      <c r="BN661" s="117">
        <f t="shared" si="148"/>
        <v>3</v>
      </c>
      <c r="BO661" s="117">
        <f t="shared" si="149"/>
        <v>3</v>
      </c>
      <c r="BP661" s="153">
        <f t="shared" si="150"/>
        <v>12</v>
      </c>
      <c r="BQ661" s="74" t="s">
        <v>1562</v>
      </c>
      <c r="BR661" s="74"/>
    </row>
    <row r="662" spans="1:70" hidden="1">
      <c r="A662">
        <v>648</v>
      </c>
      <c r="B662" s="75">
        <v>46021.895208333335</v>
      </c>
      <c r="E662" s="7">
        <v>46022</v>
      </c>
      <c r="F662">
        <v>1206</v>
      </c>
      <c r="I662" s="10" t="s">
        <v>2108</v>
      </c>
      <c r="J662" s="69">
        <v>46022</v>
      </c>
      <c r="K662" s="97">
        <f t="shared" si="151"/>
        <v>12</v>
      </c>
      <c r="L662" s="97">
        <v>660</v>
      </c>
      <c r="O662" s="7" t="s">
        <v>156</v>
      </c>
      <c r="T662" t="s">
        <v>2109</v>
      </c>
      <c r="X662" s="36" t="s">
        <v>141</v>
      </c>
      <c r="Y662" s="36" t="s">
        <v>141</v>
      </c>
      <c r="Z662" s="36"/>
      <c r="AA662" s="36" t="s">
        <v>141</v>
      </c>
      <c r="AB662" s="36"/>
      <c r="AC662" s="36"/>
      <c r="AD662" s="36"/>
      <c r="AE662" s="36" t="s">
        <v>141</v>
      </c>
      <c r="AF662" s="36"/>
      <c r="AG662" s="36" t="s">
        <v>141</v>
      </c>
      <c r="AH662" s="36" t="s">
        <v>141</v>
      </c>
      <c r="AI662" s="36" t="s">
        <v>141</v>
      </c>
      <c r="AJ662" s="36"/>
      <c r="AK662" s="117"/>
      <c r="AL662" s="36"/>
      <c r="AM662" s="36" t="s">
        <v>141</v>
      </c>
      <c r="AN662" s="36"/>
      <c r="AO662" s="36" t="s">
        <v>141</v>
      </c>
      <c r="AP662" s="36" t="s">
        <v>141</v>
      </c>
      <c r="AQ662" s="36"/>
      <c r="AR662" s="36" t="s">
        <v>141</v>
      </c>
      <c r="AS662" s="36"/>
      <c r="AT662" s="36"/>
      <c r="AU662" s="36"/>
      <c r="AV662" s="36" t="s">
        <v>141</v>
      </c>
      <c r="AW662" s="117"/>
      <c r="AX662" s="117" t="s">
        <v>141</v>
      </c>
      <c r="AY662" s="36" t="s">
        <v>141</v>
      </c>
      <c r="AZ662" s="36" t="s">
        <v>141</v>
      </c>
      <c r="BA662" s="117"/>
      <c r="BB662" s="117"/>
      <c r="BC662" s="117"/>
      <c r="BD662" s="117"/>
      <c r="BE662" s="117"/>
      <c r="BF662" s="117"/>
      <c r="BG662" s="117"/>
      <c r="BH662" s="117"/>
      <c r="BI662" s="117"/>
      <c r="BJ662" s="117"/>
      <c r="BK662" s="117"/>
      <c r="BL662" s="117"/>
      <c r="BM662" s="117">
        <f t="shared" si="147"/>
        <v>15</v>
      </c>
      <c r="BN662" s="117">
        <f t="shared" si="148"/>
        <v>3</v>
      </c>
      <c r="BO662" s="117">
        <f t="shared" si="149"/>
        <v>3</v>
      </c>
      <c r="BP662" s="153">
        <f t="shared" si="150"/>
        <v>12</v>
      </c>
      <c r="BQ662" s="74" t="s">
        <v>2110</v>
      </c>
      <c r="BR662" s="74"/>
    </row>
    <row r="663" spans="1:70" hidden="1">
      <c r="A663">
        <v>649</v>
      </c>
      <c r="B663" s="75">
        <v>46021.900937500002</v>
      </c>
      <c r="E663" s="7">
        <v>46022</v>
      </c>
      <c r="F663">
        <v>1207</v>
      </c>
      <c r="I663" s="10" t="s">
        <v>2111</v>
      </c>
      <c r="J663" s="69">
        <v>46022</v>
      </c>
      <c r="K663" s="97">
        <f t="shared" si="151"/>
        <v>12</v>
      </c>
      <c r="L663" s="97">
        <v>661</v>
      </c>
      <c r="O663" s="7" t="s">
        <v>134</v>
      </c>
      <c r="T663" t="s">
        <v>2112</v>
      </c>
      <c r="X663" s="36" t="s">
        <v>141</v>
      </c>
      <c r="Y663" s="36" t="s">
        <v>141</v>
      </c>
      <c r="Z663" s="36"/>
      <c r="AA663" s="36" t="s">
        <v>141</v>
      </c>
      <c r="AB663" s="36"/>
      <c r="AC663" s="36"/>
      <c r="AD663" s="36"/>
      <c r="AE663" s="36" t="s">
        <v>141</v>
      </c>
      <c r="AF663" s="36"/>
      <c r="AG663" s="36" t="s">
        <v>141</v>
      </c>
      <c r="AH663" s="36" t="s">
        <v>141</v>
      </c>
      <c r="AI663" s="36" t="s">
        <v>141</v>
      </c>
      <c r="AJ663" s="36"/>
      <c r="AK663" s="117"/>
      <c r="AL663" s="36"/>
      <c r="AM663" s="36" t="s">
        <v>141</v>
      </c>
      <c r="AN663" s="36"/>
      <c r="AO663" s="36" t="s">
        <v>141</v>
      </c>
      <c r="AP663" s="36" t="s">
        <v>141</v>
      </c>
      <c r="AQ663" s="36"/>
      <c r="AR663" s="36" t="s">
        <v>141</v>
      </c>
      <c r="AS663" s="36"/>
      <c r="AT663" s="36"/>
      <c r="AU663" s="36"/>
      <c r="AV663" s="36" t="s">
        <v>141</v>
      </c>
      <c r="AW663" s="117"/>
      <c r="AX663" s="117" t="s">
        <v>141</v>
      </c>
      <c r="AY663" s="36" t="s">
        <v>141</v>
      </c>
      <c r="AZ663" s="36" t="s">
        <v>141</v>
      </c>
      <c r="BA663" s="117"/>
      <c r="BB663" s="117"/>
      <c r="BC663" s="117"/>
      <c r="BD663" s="117"/>
      <c r="BE663" s="117"/>
      <c r="BF663" s="117"/>
      <c r="BG663" s="117"/>
      <c r="BH663" s="117"/>
      <c r="BI663" s="117"/>
      <c r="BJ663" s="117"/>
      <c r="BK663" s="117"/>
      <c r="BL663" s="117"/>
      <c r="BM663" s="117">
        <f t="shared" si="147"/>
        <v>15</v>
      </c>
      <c r="BN663" s="117">
        <f t="shared" si="148"/>
        <v>3</v>
      </c>
      <c r="BO663" s="117">
        <f t="shared" si="149"/>
        <v>3</v>
      </c>
      <c r="BP663" s="153">
        <f t="shared" si="150"/>
        <v>12</v>
      </c>
      <c r="BQ663" s="74" t="s">
        <v>2110</v>
      </c>
      <c r="BR663" s="74"/>
    </row>
    <row r="664" spans="1:70" hidden="1">
      <c r="A664">
        <v>650</v>
      </c>
      <c r="B664" s="75">
        <v>46021.907986111109</v>
      </c>
      <c r="E664" s="7">
        <v>46022</v>
      </c>
      <c r="F664">
        <v>1208</v>
      </c>
      <c r="I664" s="10" t="s">
        <v>2113</v>
      </c>
      <c r="J664" s="69">
        <v>46022</v>
      </c>
      <c r="K664" s="97">
        <f t="shared" si="151"/>
        <v>12</v>
      </c>
      <c r="L664" s="97">
        <v>662</v>
      </c>
      <c r="O664" s="7" t="s">
        <v>134</v>
      </c>
      <c r="T664" t="s">
        <v>2114</v>
      </c>
      <c r="X664" s="36" t="s">
        <v>141</v>
      </c>
      <c r="Y664" s="36" t="s">
        <v>141</v>
      </c>
      <c r="Z664" s="36"/>
      <c r="AA664" s="36" t="s">
        <v>141</v>
      </c>
      <c r="AB664" s="36"/>
      <c r="AC664" s="36"/>
      <c r="AD664" s="36"/>
      <c r="AE664" s="36" t="s">
        <v>141</v>
      </c>
      <c r="AF664" s="36"/>
      <c r="AG664" s="36" t="s">
        <v>141</v>
      </c>
      <c r="AH664" s="36" t="s">
        <v>141</v>
      </c>
      <c r="AI664" s="36" t="s">
        <v>141</v>
      </c>
      <c r="AJ664" s="36"/>
      <c r="AK664" s="117"/>
      <c r="AL664" s="36"/>
      <c r="AM664" s="36" t="s">
        <v>141</v>
      </c>
      <c r="AN664" s="36"/>
      <c r="AO664" s="36" t="s">
        <v>141</v>
      </c>
      <c r="AP664" s="36" t="s">
        <v>141</v>
      </c>
      <c r="AQ664" s="36"/>
      <c r="AR664" s="36" t="s">
        <v>141</v>
      </c>
      <c r="AS664" s="36"/>
      <c r="AT664" s="36"/>
      <c r="AU664" s="36"/>
      <c r="AV664" s="36" t="s">
        <v>141</v>
      </c>
      <c r="AW664" s="117"/>
      <c r="AX664" s="117" t="s">
        <v>141</v>
      </c>
      <c r="AY664" s="36" t="s">
        <v>141</v>
      </c>
      <c r="AZ664" s="36" t="s">
        <v>141</v>
      </c>
      <c r="BA664" s="117"/>
      <c r="BB664" s="117"/>
      <c r="BC664" s="117"/>
      <c r="BD664" s="117"/>
      <c r="BE664" s="117"/>
      <c r="BF664" s="117"/>
      <c r="BG664" s="117"/>
      <c r="BH664" s="117"/>
      <c r="BI664" s="117"/>
      <c r="BJ664" s="117"/>
      <c r="BK664" s="117"/>
      <c r="BL664" s="117"/>
      <c r="BM664" s="117">
        <f t="shared" si="147"/>
        <v>15</v>
      </c>
      <c r="BN664" s="117">
        <f t="shared" si="148"/>
        <v>3</v>
      </c>
      <c r="BO664" s="117">
        <f t="shared" si="149"/>
        <v>3</v>
      </c>
      <c r="BP664" s="153">
        <f t="shared" si="150"/>
        <v>12</v>
      </c>
      <c r="BQ664" s="74" t="s">
        <v>2110</v>
      </c>
      <c r="BR664" s="74"/>
    </row>
    <row r="665" spans="1:70" hidden="1">
      <c r="A665">
        <v>651</v>
      </c>
      <c r="B665" s="75">
        <v>46022.124780092592</v>
      </c>
      <c r="E665" s="7">
        <v>46022</v>
      </c>
      <c r="F665">
        <v>1209</v>
      </c>
      <c r="I665" s="10" t="s">
        <v>2115</v>
      </c>
      <c r="J665" s="69">
        <v>46022</v>
      </c>
      <c r="K665" s="97">
        <f t="shared" si="151"/>
        <v>12</v>
      </c>
      <c r="L665" s="97">
        <v>663</v>
      </c>
      <c r="O665" s="7" t="s">
        <v>146</v>
      </c>
      <c r="T665" t="s">
        <v>2116</v>
      </c>
      <c r="X665" s="36" t="s">
        <v>141</v>
      </c>
      <c r="Y665" s="36"/>
      <c r="Z665" s="36"/>
      <c r="AA665" s="36"/>
      <c r="AB665" s="36"/>
      <c r="AC665" s="36"/>
      <c r="AD665" s="36"/>
      <c r="AE665" s="36" t="s">
        <v>141</v>
      </c>
      <c r="AF665" s="36"/>
      <c r="AG665" s="36"/>
      <c r="AH665" s="36" t="s">
        <v>141</v>
      </c>
      <c r="AI665" s="36" t="s">
        <v>141</v>
      </c>
      <c r="AJ665" s="36"/>
      <c r="AK665" s="117"/>
      <c r="AL665" s="36"/>
      <c r="AM665" s="36" t="s">
        <v>141</v>
      </c>
      <c r="AN665" s="36"/>
      <c r="AO665" s="36" t="s">
        <v>141</v>
      </c>
      <c r="AP665" s="36" t="s">
        <v>141</v>
      </c>
      <c r="AQ665" s="36"/>
      <c r="AR665" s="36"/>
      <c r="AS665" s="36"/>
      <c r="AT665" s="36"/>
      <c r="AU665" s="36"/>
      <c r="AV665" s="36"/>
      <c r="AW665" s="117"/>
      <c r="AX665" s="117" t="s">
        <v>141</v>
      </c>
      <c r="AY665" s="36"/>
      <c r="AZ665" s="36"/>
      <c r="BA665" s="117"/>
      <c r="BB665" s="117"/>
      <c r="BC665" s="117"/>
      <c r="BD665" s="117"/>
      <c r="BE665" s="117"/>
      <c r="BF665" s="117" t="s">
        <v>141</v>
      </c>
      <c r="BG665" s="117"/>
      <c r="BH665" s="117"/>
      <c r="BI665" s="117"/>
      <c r="BJ665" s="117"/>
      <c r="BK665" s="117"/>
      <c r="BL665" s="117"/>
      <c r="BM665" s="117">
        <f t="shared" si="147"/>
        <v>9</v>
      </c>
      <c r="BN665" s="117">
        <f t="shared" si="148"/>
        <v>1</v>
      </c>
      <c r="BO665" s="117">
        <f t="shared" si="149"/>
        <v>1</v>
      </c>
      <c r="BP665" s="153">
        <f t="shared" si="150"/>
        <v>7</v>
      </c>
      <c r="BQ665" s="74" t="s">
        <v>2117</v>
      </c>
      <c r="BR665" s="74"/>
    </row>
    <row r="666" spans="1:70" hidden="1">
      <c r="A666">
        <v>652</v>
      </c>
      <c r="B666" s="75">
        <v>46022.315879629627</v>
      </c>
      <c r="E666" s="7">
        <v>46020</v>
      </c>
      <c r="F666">
        <v>1210</v>
      </c>
      <c r="I666" s="10" t="s">
        <v>2118</v>
      </c>
      <c r="J666" s="69">
        <v>46022</v>
      </c>
      <c r="K666" s="97">
        <f>MONTH($J664)</f>
        <v>12</v>
      </c>
      <c r="L666" s="97">
        <v>664</v>
      </c>
      <c r="O666" s="7" t="s">
        <v>156</v>
      </c>
      <c r="T666" t="s">
        <v>2119</v>
      </c>
      <c r="X666" s="36" t="s">
        <v>141</v>
      </c>
      <c r="Y666" s="36" t="s">
        <v>141</v>
      </c>
      <c r="Z666" s="36"/>
      <c r="AA666" s="36" t="s">
        <v>141</v>
      </c>
      <c r="AB666" s="36"/>
      <c r="AC666" s="36"/>
      <c r="AD666" s="36"/>
      <c r="AE666" s="36" t="s">
        <v>141</v>
      </c>
      <c r="AF666" s="36"/>
      <c r="AG666" s="36"/>
      <c r="AH666" s="36" t="s">
        <v>141</v>
      </c>
      <c r="AI666" s="36"/>
      <c r="AJ666" s="36"/>
      <c r="AK666" s="117"/>
      <c r="AL666" s="36"/>
      <c r="AM666" s="36"/>
      <c r="AN666" s="36" t="s">
        <v>141</v>
      </c>
      <c r="AO666" s="36" t="s">
        <v>141</v>
      </c>
      <c r="AP666" s="36"/>
      <c r="AQ666" s="36"/>
      <c r="AR666" s="36"/>
      <c r="AS666" s="36"/>
      <c r="AT666" s="36"/>
      <c r="AU666" s="36"/>
      <c r="AV666" s="36"/>
      <c r="AW666" s="117"/>
      <c r="AX666" s="117" t="s">
        <v>141</v>
      </c>
      <c r="AY666" s="36" t="s">
        <v>141</v>
      </c>
      <c r="AZ666" s="36" t="s">
        <v>141</v>
      </c>
      <c r="BA666" s="117"/>
      <c r="BB666" s="117"/>
      <c r="BC666" s="117"/>
      <c r="BD666" s="117"/>
      <c r="BE666" s="117"/>
      <c r="BF666" s="117"/>
      <c r="BG666" s="117"/>
      <c r="BH666" s="117"/>
      <c r="BI666" s="117"/>
      <c r="BJ666" s="117" t="s">
        <v>141</v>
      </c>
      <c r="BK666" s="117"/>
      <c r="BL666" s="117"/>
      <c r="BM666" s="117">
        <f>COUNTIF($X666:$BF666, "I")</f>
        <v>10</v>
      </c>
      <c r="BN666" s="117">
        <f>COUNTIFS($X666:$BF666, "I",$X$2:$BF$2, "DR" )</f>
        <v>1</v>
      </c>
      <c r="BO666" s="117">
        <f>COUNTIFS($X666:$BF666, "I",$X$5:$BF$5, "OF" )</f>
        <v>3</v>
      </c>
      <c r="BP666" s="153">
        <f>COUNTIFS($X666:$BF666, "I",$X$5:$BF$5, "FF" )</f>
        <v>7</v>
      </c>
      <c r="BQ666" s="74" t="s">
        <v>273</v>
      </c>
      <c r="BR666" s="74"/>
    </row>
  </sheetData>
  <phoneticPr fontId="5" type="noConversion"/>
  <conditionalFormatting sqref="A2:W40 BQ15:BQ666 A41:B41 E41:L41 O41:Q41 S41:T41 A42:W69 A70:T70 V70:W70 A71:W666">
    <cfRule type="beginsWith" dxfId="923" priority="22" operator="beginsWith" text="Muster">
      <formula>LEFT(A2,LEN("Muster"))="Muster"</formula>
    </cfRule>
  </conditionalFormatting>
  <conditionalFormatting sqref="X12:BC12">
    <cfRule type="cellIs" dxfId="922" priority="1" stopIfTrue="1" operator="greaterThanOrEqual">
      <formula>0.195</formula>
    </cfRule>
    <cfRule type="cellIs" dxfId="921" priority="2" stopIfTrue="1" operator="greaterThanOrEqual">
      <formula>0.145</formula>
    </cfRule>
    <cfRule type="cellIs" dxfId="920" priority="3" stopIfTrue="1" operator="lessThanOrEqual">
      <formula>0.1</formula>
    </cfRule>
    <cfRule type="cellIs" dxfId="919" priority="4" stopIfTrue="1" operator="greaterThanOrEqual">
      <formula>0.09</formula>
    </cfRule>
  </conditionalFormatting>
  <conditionalFormatting sqref="X15:BL1366">
    <cfRule type="expression" dxfId="918" priority="11">
      <formula>_xlfn.IFS(X15 ="I", X$2 = "RC")</formula>
    </cfRule>
    <cfRule type="expression" dxfId="917" priority="12">
      <formula>_xlfn.IFS(X15 ="I", X$2 = "DR*")</formula>
    </cfRule>
    <cfRule type="expression" dxfId="916" priority="13">
      <formula>_xlfn.IFS(X15 ="I", X$2 = "DR")</formula>
    </cfRule>
    <cfRule type="expression" dxfId="915" priority="14">
      <formula>_xlfn.IFS(X15 ="I", X$2 = "OF")</formula>
    </cfRule>
    <cfRule type="containsText" dxfId="914" priority="19" operator="containsText" text="I">
      <formula>NOT(ISERROR(SEARCH("I",X15)))</formula>
    </cfRule>
  </conditionalFormatting>
  <conditionalFormatting sqref="BM1:BM1048576">
    <cfRule type="cellIs" dxfId="913" priority="6" operator="lessThan">
      <formula>8</formula>
    </cfRule>
  </conditionalFormatting>
  <conditionalFormatting sqref="BO1:BO1048576">
    <cfRule type="cellIs" dxfId="912" priority="7" operator="lessThan">
      <formula>2</formula>
    </cfRule>
  </conditionalFormatting>
  <conditionalFormatting sqref="BP1:BP1048576">
    <cfRule type="cellIs" dxfId="911" priority="5" operator="lessThan">
      <formula>3</formula>
    </cfRule>
    <cfRule type="cellIs" dxfId="910" priority="8" operator="lessThan">
      <formula>6</formula>
    </cfRule>
  </conditionalFormatting>
  <pageMargins left="0.7" right="0.7" top="0.75" bottom="0.75" header="0.3" footer="0.3"/>
  <pageSetup orientation="portrait" r:id="rId1"/>
  <ignoredErrors>
    <ignoredError sqref="F22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CDC-4567-41F6-B24C-0D353698DCBF}">
  <dimension ref="A1:BA63"/>
  <sheetViews>
    <sheetView zoomScaleNormal="100" workbookViewId="0">
      <pane ySplit="14" topLeftCell="A39" activePane="bottomLeft" state="frozen"/>
      <selection pane="bottomLeft" activeCell="AX15" sqref="AX15"/>
    </sheetView>
  </sheetViews>
  <sheetFormatPr defaultRowHeight="15"/>
  <cols>
    <col min="1" max="1" width="3.5703125" customWidth="1"/>
    <col min="2" max="2" width="8.140625" hidden="1" customWidth="1"/>
    <col min="3" max="3" width="18" hidden="1" customWidth="1"/>
    <col min="4" max="4" width="16.42578125" style="7" customWidth="1"/>
    <col min="5" max="5" width="11.5703125" style="99" customWidth="1"/>
    <col min="6" max="6" width="1.28515625" style="100" customWidth="1"/>
    <col min="7" max="7" width="7.140625" style="100" bestFit="1" customWidth="1"/>
    <col min="8" max="8" width="15.5703125" style="7" customWidth="1"/>
    <col min="9" max="9" width="25.42578125" customWidth="1"/>
    <col min="10" max="16" width="3.7109375" bestFit="1" customWidth="1"/>
    <col min="17" max="17" width="3.7109375" customWidth="1"/>
    <col min="18" max="22" width="3.7109375" bestFit="1" customWidth="1"/>
    <col min="23" max="23" width="3.7109375" customWidth="1"/>
    <col min="24" max="32" width="3.7109375" bestFit="1" customWidth="1"/>
    <col min="33" max="36" width="3.7109375" customWidth="1"/>
    <col min="37" max="40" width="3.7109375" bestFit="1" customWidth="1"/>
    <col min="41" max="41" width="3.7109375" customWidth="1"/>
    <col min="42" max="44" width="3.7109375" bestFit="1" customWidth="1"/>
    <col min="45" max="52" width="3.7109375" customWidth="1"/>
    <col min="53" max="53" width="15.140625" bestFit="1" customWidth="1"/>
  </cols>
  <sheetData>
    <row r="1" spans="1:53" ht="132.75">
      <c r="A1" s="79" t="s">
        <v>2120</v>
      </c>
      <c r="B1" t="s">
        <v>2121</v>
      </c>
      <c r="C1" t="s">
        <v>74</v>
      </c>
      <c r="D1" s="7" t="s">
        <v>76</v>
      </c>
      <c r="E1" s="99" t="s">
        <v>5</v>
      </c>
      <c r="F1" s="100" t="s">
        <v>81</v>
      </c>
      <c r="G1" s="100" t="s">
        <v>2122</v>
      </c>
      <c r="H1" s="7" t="s">
        <v>2123</v>
      </c>
      <c r="I1" t="s">
        <v>90</v>
      </c>
      <c r="J1" s="135" t="s">
        <v>21</v>
      </c>
      <c r="K1" s="135" t="s">
        <v>23</v>
      </c>
      <c r="L1" s="135" t="s">
        <v>24</v>
      </c>
      <c r="M1" s="135" t="s">
        <v>25</v>
      </c>
      <c r="N1" s="135" t="s">
        <v>26</v>
      </c>
      <c r="O1" s="135" t="s">
        <v>27</v>
      </c>
      <c r="P1" s="135" t="s">
        <v>28</v>
      </c>
      <c r="Q1" s="135" t="s">
        <v>29</v>
      </c>
      <c r="R1" s="135" t="s">
        <v>30</v>
      </c>
      <c r="S1" s="135" t="s">
        <v>32</v>
      </c>
      <c r="T1" s="135" t="s">
        <v>34</v>
      </c>
      <c r="U1" s="135" t="s">
        <v>35</v>
      </c>
      <c r="V1" s="135" t="s">
        <v>36</v>
      </c>
      <c r="W1" s="135" t="s">
        <v>37</v>
      </c>
      <c r="X1" s="135" t="s">
        <v>38</v>
      </c>
      <c r="Y1" s="135" t="s">
        <v>39</v>
      </c>
      <c r="Z1" s="135" t="s">
        <v>40</v>
      </c>
      <c r="AA1" s="135" t="s">
        <v>41</v>
      </c>
      <c r="AB1" s="135" t="s">
        <v>42</v>
      </c>
      <c r="AC1" s="135" t="s">
        <v>43</v>
      </c>
      <c r="AD1" s="135" t="s">
        <v>44</v>
      </c>
      <c r="AE1" s="135" t="s">
        <v>45</v>
      </c>
      <c r="AF1" s="135" t="s">
        <v>46</v>
      </c>
      <c r="AG1" s="135" t="s">
        <v>47</v>
      </c>
      <c r="AH1" s="135" t="s">
        <v>48</v>
      </c>
      <c r="AI1" s="135" t="s">
        <v>49</v>
      </c>
      <c r="AJ1" s="135" t="s">
        <v>50</v>
      </c>
      <c r="AK1" s="135" t="s">
        <v>51</v>
      </c>
      <c r="AL1" s="135" t="s">
        <v>52</v>
      </c>
      <c r="AM1" s="135" t="s">
        <v>53</v>
      </c>
      <c r="AN1" s="135" t="s">
        <v>55</v>
      </c>
      <c r="AO1" s="135" t="s">
        <v>56</v>
      </c>
      <c r="AP1" s="135" t="s">
        <v>58</v>
      </c>
      <c r="AQ1" s="135" t="s">
        <v>59</v>
      </c>
      <c r="AR1" s="135" t="s">
        <v>60</v>
      </c>
      <c r="AS1" s="135" t="s">
        <v>61</v>
      </c>
      <c r="AT1" s="135" t="s">
        <v>62</v>
      </c>
      <c r="AU1" s="135" t="s">
        <v>63</v>
      </c>
      <c r="AV1" s="135" t="s">
        <v>64</v>
      </c>
      <c r="AW1" s="135" t="s">
        <v>65</v>
      </c>
      <c r="AX1" s="135" t="s">
        <v>66</v>
      </c>
      <c r="AY1" s="135" t="s">
        <v>2124</v>
      </c>
      <c r="AZ1" s="135" t="s">
        <v>2125</v>
      </c>
      <c r="BA1" t="s">
        <v>98</v>
      </c>
    </row>
    <row r="2" spans="1:53" ht="30.75" hidden="1" customHeight="1">
      <c r="A2" s="101" t="s">
        <v>2126</v>
      </c>
      <c r="C2" s="38"/>
      <c r="D2" s="102">
        <f>MAX(A15:A1047)</f>
        <v>49</v>
      </c>
      <c r="E2" s="99">
        <f ca="1">TODAY()</f>
        <v>46055</v>
      </c>
      <c r="F2" s="100" t="s">
        <v>2127</v>
      </c>
      <c r="G2" s="100">
        <f>D2+1</f>
        <v>50</v>
      </c>
      <c r="H2" s="7" t="s">
        <v>2128</v>
      </c>
      <c r="I2" s="100">
        <f>MAX($G$3:$G$1047)+1</f>
        <v>64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>
        <f t="shared" ref="AY2:AY33" si="0">COUNTIF($J2:$AV2,"I")</f>
        <v>0</v>
      </c>
      <c r="AZ2" s="10">
        <f t="shared" ref="AZ2:AZ33" si="1">COUNTIF($J2:$AR2,"L")</f>
        <v>0</v>
      </c>
    </row>
    <row r="3" spans="1:53" hidden="1">
      <c r="A3" s="98"/>
      <c r="C3" s="38"/>
      <c r="D3" s="7" t="s">
        <v>105</v>
      </c>
      <c r="E3">
        <f>COUNTIF($F$15:$F$1197, "1")</f>
        <v>3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>
        <f t="shared" si="0"/>
        <v>0</v>
      </c>
      <c r="AZ3" s="10">
        <f t="shared" si="1"/>
        <v>0</v>
      </c>
    </row>
    <row r="4" spans="1:53" hidden="1">
      <c r="A4" s="98"/>
      <c r="C4" s="38"/>
      <c r="D4" s="7" t="s">
        <v>109</v>
      </c>
      <c r="E4">
        <f>COUNTIF($F$15:$F$1197, "2")</f>
        <v>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>
        <f t="shared" si="0"/>
        <v>0</v>
      </c>
      <c r="AZ4" s="10">
        <f t="shared" si="1"/>
        <v>0</v>
      </c>
    </row>
    <row r="5" spans="1:53" hidden="1">
      <c r="A5" s="98"/>
      <c r="C5" s="38"/>
      <c r="D5" s="7" t="s">
        <v>18</v>
      </c>
      <c r="E5">
        <f>COUNTIF($F$15:$F$1197, "3")</f>
        <v>5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>
        <f t="shared" si="0"/>
        <v>0</v>
      </c>
      <c r="AZ5" s="10">
        <f t="shared" si="1"/>
        <v>0</v>
      </c>
    </row>
    <row r="6" spans="1:53" hidden="1">
      <c r="A6" s="98"/>
      <c r="C6" s="38"/>
      <c r="D6" s="7" t="s">
        <v>19</v>
      </c>
      <c r="E6">
        <f>COUNTIF($F$15:$F$1197, "4")</f>
        <v>4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>
        <f t="shared" si="0"/>
        <v>0</v>
      </c>
      <c r="AZ6" s="10">
        <f t="shared" si="1"/>
        <v>0</v>
      </c>
    </row>
    <row r="7" spans="1:53" hidden="1">
      <c r="A7" s="98"/>
      <c r="C7" s="38"/>
      <c r="D7" s="7" t="s">
        <v>6</v>
      </c>
      <c r="E7">
        <f>COUNTIF($F$15:$F$1197, "5")</f>
        <v>4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>
        <f t="shared" si="0"/>
        <v>0</v>
      </c>
      <c r="AZ7" s="10">
        <f t="shared" si="1"/>
        <v>0</v>
      </c>
    </row>
    <row r="8" spans="1:53" hidden="1">
      <c r="A8" s="98"/>
      <c r="C8" s="38"/>
      <c r="D8" s="7" t="s">
        <v>7</v>
      </c>
      <c r="E8">
        <f>COUNTIF($F$15:$F$1197, "6")</f>
        <v>5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>
        <f t="shared" si="0"/>
        <v>0</v>
      </c>
      <c r="AZ8" s="10">
        <f t="shared" si="1"/>
        <v>0</v>
      </c>
    </row>
    <row r="9" spans="1:53" hidden="1">
      <c r="A9" s="98"/>
      <c r="C9" s="38"/>
      <c r="D9" s="7" t="s">
        <v>8</v>
      </c>
      <c r="E9">
        <f>COUNTIF($F$15:$F$1197, "7")</f>
        <v>4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>
        <f t="shared" si="0"/>
        <v>0</v>
      </c>
      <c r="AZ9" s="10">
        <f t="shared" si="1"/>
        <v>0</v>
      </c>
    </row>
    <row r="10" spans="1:53" hidden="1">
      <c r="A10" s="98"/>
      <c r="C10" s="38"/>
      <c r="D10" s="7" t="s">
        <v>9</v>
      </c>
      <c r="E10">
        <f>COUNTIF($F$15:$F$1197, "8")</f>
        <v>4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>
        <f t="shared" si="0"/>
        <v>0</v>
      </c>
      <c r="AZ10" s="10">
        <f t="shared" si="1"/>
        <v>0</v>
      </c>
    </row>
    <row r="11" spans="1:53" hidden="1">
      <c r="A11" s="98"/>
      <c r="C11" s="38"/>
      <c r="D11" s="7" t="s">
        <v>10</v>
      </c>
      <c r="E11">
        <f>COUNTIF($F$15:$F$1197, "9")</f>
        <v>5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>
        <f t="shared" si="0"/>
        <v>0</v>
      </c>
      <c r="AZ11" s="10">
        <f t="shared" si="1"/>
        <v>0</v>
      </c>
    </row>
    <row r="12" spans="1:53" hidden="1">
      <c r="A12" s="98"/>
      <c r="C12" s="38"/>
      <c r="D12" s="7" t="s">
        <v>11</v>
      </c>
      <c r="E12">
        <f>COUNTIF($F$15:$F$1197, "10")</f>
        <v>4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>
        <f t="shared" si="0"/>
        <v>0</v>
      </c>
      <c r="AZ12" s="10">
        <f t="shared" si="1"/>
        <v>0</v>
      </c>
    </row>
    <row r="13" spans="1:53" hidden="1">
      <c r="A13" s="98"/>
      <c r="C13" s="38"/>
      <c r="D13" s="7" t="s">
        <v>12</v>
      </c>
      <c r="E13">
        <f>COUNTIF($F$15:$F$1197, "11")</f>
        <v>4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>
        <f t="shared" si="0"/>
        <v>0</v>
      </c>
      <c r="AZ13" s="10">
        <f t="shared" si="1"/>
        <v>0</v>
      </c>
    </row>
    <row r="14" spans="1:53" hidden="1">
      <c r="A14" s="98"/>
      <c r="C14" s="38"/>
      <c r="D14" s="7" t="s">
        <v>13</v>
      </c>
      <c r="E14">
        <f>COUNTIF($F$15:$F$1197, "12")</f>
        <v>3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>
        <f t="shared" si="0"/>
        <v>0</v>
      </c>
      <c r="AZ14" s="10">
        <f t="shared" si="1"/>
        <v>0</v>
      </c>
    </row>
    <row r="15" spans="1:53">
      <c r="A15" s="10">
        <v>1</v>
      </c>
      <c r="B15">
        <v>2056</v>
      </c>
      <c r="C15" s="38">
        <v>45670.251481481479</v>
      </c>
      <c r="D15" s="7">
        <v>45670</v>
      </c>
      <c r="E15" s="99">
        <f t="shared" ref="E15:E16" si="2">$D15</f>
        <v>45670</v>
      </c>
      <c r="F15" s="100">
        <f t="shared" ref="F15:F20" si="3">MONTH($E15)</f>
        <v>1</v>
      </c>
      <c r="G15" s="100">
        <v>15</v>
      </c>
      <c r="H15" s="7" t="s">
        <v>2129</v>
      </c>
      <c r="I15" t="s">
        <v>2130</v>
      </c>
      <c r="J15" s="10" t="s">
        <v>141</v>
      </c>
      <c r="K15" s="10" t="s">
        <v>141</v>
      </c>
      <c r="L15" s="10" t="s">
        <v>141</v>
      </c>
      <c r="M15" s="10" t="s">
        <v>2131</v>
      </c>
      <c r="N15" s="10" t="s">
        <v>141</v>
      </c>
      <c r="O15" s="10" t="s">
        <v>141</v>
      </c>
      <c r="P15" s="10" t="s">
        <v>2131</v>
      </c>
      <c r="Q15" s="10" t="s">
        <v>141</v>
      </c>
      <c r="R15" s="10" t="s">
        <v>141</v>
      </c>
      <c r="S15" s="10" t="s">
        <v>141</v>
      </c>
      <c r="T15" s="10" t="s">
        <v>141</v>
      </c>
      <c r="U15" s="10" t="s">
        <v>141</v>
      </c>
      <c r="V15" s="10" t="s">
        <v>141</v>
      </c>
      <c r="W15" s="10" t="s">
        <v>141</v>
      </c>
      <c r="X15" s="10" t="s">
        <v>141</v>
      </c>
      <c r="Y15" s="10" t="s">
        <v>141</v>
      </c>
      <c r="Z15" s="10" t="s">
        <v>140</v>
      </c>
      <c r="AA15" s="10" t="s">
        <v>141</v>
      </c>
      <c r="AB15" s="10" t="s">
        <v>141</v>
      </c>
      <c r="AC15" s="10" t="s">
        <v>141</v>
      </c>
      <c r="AD15" s="10" t="s">
        <v>141</v>
      </c>
      <c r="AE15" s="10" t="s">
        <v>141</v>
      </c>
      <c r="AF15" s="10" t="s">
        <v>141</v>
      </c>
      <c r="AG15" s="10" t="s">
        <v>140</v>
      </c>
      <c r="AH15" s="10" t="s">
        <v>141</v>
      </c>
      <c r="AI15" s="10" t="s">
        <v>2131</v>
      </c>
      <c r="AJ15" s="10" t="s">
        <v>2131</v>
      </c>
      <c r="AK15" s="10" t="s">
        <v>2131</v>
      </c>
      <c r="AL15" s="10" t="s">
        <v>141</v>
      </c>
      <c r="AM15" s="10" t="s">
        <v>141</v>
      </c>
      <c r="AN15" s="10" t="s">
        <v>141</v>
      </c>
      <c r="AO15" s="10" t="s">
        <v>141</v>
      </c>
      <c r="AP15" s="10" t="s">
        <v>141</v>
      </c>
      <c r="AQ15" s="10" t="s">
        <v>140</v>
      </c>
      <c r="AR15" s="10" t="s">
        <v>2131</v>
      </c>
      <c r="AS15" s="10" t="s">
        <v>2131</v>
      </c>
      <c r="AT15" s="10" t="s">
        <v>140</v>
      </c>
      <c r="AU15" s="10" t="s">
        <v>140</v>
      </c>
      <c r="AV15" s="10"/>
      <c r="AW15" s="10"/>
      <c r="AX15" s="10"/>
      <c r="AY15" s="77">
        <f t="shared" si="0"/>
        <v>26</v>
      </c>
      <c r="AZ15" s="77">
        <f t="shared" si="1"/>
        <v>6</v>
      </c>
      <c r="BA15" t="s">
        <v>1248</v>
      </c>
    </row>
    <row r="16" spans="1:53">
      <c r="A16" s="10">
        <v>2</v>
      </c>
      <c r="B16">
        <v>2058</v>
      </c>
      <c r="C16" s="38">
        <v>45677.251377314817</v>
      </c>
      <c r="D16" s="7">
        <v>45677</v>
      </c>
      <c r="E16" s="99">
        <f t="shared" si="2"/>
        <v>45677</v>
      </c>
      <c r="F16" s="100">
        <f t="shared" si="3"/>
        <v>1</v>
      </c>
      <c r="G16" s="100">
        <v>16</v>
      </c>
      <c r="H16" s="7" t="s">
        <v>2129</v>
      </c>
      <c r="I16" t="s">
        <v>2130</v>
      </c>
      <c r="J16" s="10" t="s">
        <v>141</v>
      </c>
      <c r="K16" s="10" t="s">
        <v>141</v>
      </c>
      <c r="L16" s="10" t="s">
        <v>141</v>
      </c>
      <c r="M16" s="10" t="s">
        <v>141</v>
      </c>
      <c r="N16" s="10" t="s">
        <v>141</v>
      </c>
      <c r="O16" s="10" t="s">
        <v>2131</v>
      </c>
      <c r="P16" s="10" t="s">
        <v>2131</v>
      </c>
      <c r="Q16" s="10" t="s">
        <v>2131</v>
      </c>
      <c r="R16" s="10" t="s">
        <v>2131</v>
      </c>
      <c r="S16" s="10" t="s">
        <v>141</v>
      </c>
      <c r="T16" s="10" t="s">
        <v>141</v>
      </c>
      <c r="U16" s="10" t="s">
        <v>141</v>
      </c>
      <c r="V16" s="10" t="s">
        <v>141</v>
      </c>
      <c r="W16" s="10" t="s">
        <v>141</v>
      </c>
      <c r="X16" s="10" t="s">
        <v>141</v>
      </c>
      <c r="Y16" s="10" t="s">
        <v>141</v>
      </c>
      <c r="Z16" s="10" t="s">
        <v>2131</v>
      </c>
      <c r="AA16" s="10" t="s">
        <v>141</v>
      </c>
      <c r="AB16" s="10" t="s">
        <v>2131</v>
      </c>
      <c r="AC16" s="10" t="s">
        <v>2131</v>
      </c>
      <c r="AD16" s="10" t="s">
        <v>140</v>
      </c>
      <c r="AE16" s="10" t="s">
        <v>141</v>
      </c>
      <c r="AF16" s="10" t="s">
        <v>141</v>
      </c>
      <c r="AG16" s="10" t="s">
        <v>141</v>
      </c>
      <c r="AH16" s="10" t="s">
        <v>141</v>
      </c>
      <c r="AI16" s="10" t="s">
        <v>2131</v>
      </c>
      <c r="AJ16" s="10" t="s">
        <v>141</v>
      </c>
      <c r="AK16" s="10" t="s">
        <v>2131</v>
      </c>
      <c r="AL16" s="10" t="s">
        <v>141</v>
      </c>
      <c r="AM16" s="10" t="s">
        <v>2131</v>
      </c>
      <c r="AN16" s="10" t="s">
        <v>2131</v>
      </c>
      <c r="AO16" s="10" t="s">
        <v>2131</v>
      </c>
      <c r="AP16" s="10" t="s">
        <v>141</v>
      </c>
      <c r="AQ16" s="10" t="s">
        <v>141</v>
      </c>
      <c r="AR16" s="10" t="s">
        <v>141</v>
      </c>
      <c r="AS16" s="10" t="s">
        <v>141</v>
      </c>
      <c r="AT16" s="10" t="s">
        <v>140</v>
      </c>
      <c r="AU16" s="10" t="s">
        <v>140</v>
      </c>
      <c r="AV16" s="10"/>
      <c r="AW16" s="10"/>
      <c r="AX16" s="10"/>
      <c r="AY16" s="77">
        <f t="shared" si="0"/>
        <v>23</v>
      </c>
      <c r="AZ16" s="77">
        <f t="shared" si="1"/>
        <v>12</v>
      </c>
      <c r="BA16" t="s">
        <v>1248</v>
      </c>
    </row>
    <row r="17" spans="1:53">
      <c r="A17" s="10">
        <v>3</v>
      </c>
      <c r="B17">
        <v>2059</v>
      </c>
      <c r="C17" s="38">
        <v>45685.256238425929</v>
      </c>
      <c r="D17" s="7">
        <v>45685</v>
      </c>
      <c r="E17" s="99">
        <v>45685</v>
      </c>
      <c r="F17" s="100">
        <f t="shared" si="3"/>
        <v>1</v>
      </c>
      <c r="G17" s="100">
        <v>17</v>
      </c>
      <c r="H17" s="7" t="s">
        <v>2129</v>
      </c>
      <c r="I17" t="s">
        <v>2130</v>
      </c>
      <c r="J17" s="10" t="s">
        <v>141</v>
      </c>
      <c r="K17" s="10" t="s">
        <v>141</v>
      </c>
      <c r="L17" s="10" t="s">
        <v>141</v>
      </c>
      <c r="M17" s="10" t="s">
        <v>141</v>
      </c>
      <c r="N17" s="10" t="s">
        <v>141</v>
      </c>
      <c r="O17" s="10" t="s">
        <v>2131</v>
      </c>
      <c r="P17" s="10" t="s">
        <v>2131</v>
      </c>
      <c r="Q17" s="10" t="s">
        <v>141</v>
      </c>
      <c r="R17" s="10" t="s">
        <v>141</v>
      </c>
      <c r="S17" s="10" t="s">
        <v>2131</v>
      </c>
      <c r="T17" s="10" t="s">
        <v>2131</v>
      </c>
      <c r="U17" s="10" t="s">
        <v>141</v>
      </c>
      <c r="V17" s="10" t="s">
        <v>141</v>
      </c>
      <c r="W17" s="10" t="s">
        <v>2132</v>
      </c>
      <c r="X17" s="10" t="s">
        <v>141</v>
      </c>
      <c r="Y17" s="10" t="s">
        <v>141</v>
      </c>
      <c r="Z17" s="10" t="s">
        <v>141</v>
      </c>
      <c r="AA17" s="10" t="s">
        <v>141</v>
      </c>
      <c r="AB17" s="10" t="s">
        <v>2131</v>
      </c>
      <c r="AC17" s="10" t="s">
        <v>141</v>
      </c>
      <c r="AD17" s="10" t="s">
        <v>141</v>
      </c>
      <c r="AE17" s="10" t="s">
        <v>141</v>
      </c>
      <c r="AF17" s="10" t="s">
        <v>141</v>
      </c>
      <c r="AG17" s="10" t="s">
        <v>2131</v>
      </c>
      <c r="AH17" s="10" t="s">
        <v>141</v>
      </c>
      <c r="AI17" s="10" t="s">
        <v>2131</v>
      </c>
      <c r="AJ17" s="10" t="s">
        <v>2131</v>
      </c>
      <c r="AK17" s="10" t="s">
        <v>2131</v>
      </c>
      <c r="AL17" s="10" t="s">
        <v>141</v>
      </c>
      <c r="AM17" s="10" t="s">
        <v>141</v>
      </c>
      <c r="AN17" s="10" t="s">
        <v>141</v>
      </c>
      <c r="AO17" s="10" t="s">
        <v>141</v>
      </c>
      <c r="AP17" s="10" t="s">
        <v>141</v>
      </c>
      <c r="AQ17" s="10" t="s">
        <v>141</v>
      </c>
      <c r="AR17" s="10" t="s">
        <v>141</v>
      </c>
      <c r="AS17" s="10" t="s">
        <v>2131</v>
      </c>
      <c r="AT17" s="10" t="s">
        <v>140</v>
      </c>
      <c r="AU17" s="10" t="s">
        <v>140</v>
      </c>
      <c r="AV17" s="10"/>
      <c r="AW17" s="10"/>
      <c r="AX17" s="10"/>
      <c r="AY17" s="77">
        <f t="shared" si="0"/>
        <v>25</v>
      </c>
      <c r="AZ17" s="77">
        <f t="shared" si="1"/>
        <v>9</v>
      </c>
      <c r="BA17" t="s">
        <v>358</v>
      </c>
    </row>
    <row r="18" spans="1:53">
      <c r="A18" s="10">
        <v>4</v>
      </c>
      <c r="B18">
        <v>2060</v>
      </c>
      <c r="C18" s="38">
        <v>45691.253159722219</v>
      </c>
      <c r="D18" s="7">
        <v>45691</v>
      </c>
      <c r="E18" s="99">
        <v>45691</v>
      </c>
      <c r="F18" s="100">
        <f t="shared" si="3"/>
        <v>2</v>
      </c>
      <c r="G18" s="100">
        <v>18</v>
      </c>
      <c r="H18" s="7" t="s">
        <v>2129</v>
      </c>
      <c r="I18" t="s">
        <v>2130</v>
      </c>
      <c r="J18" s="10" t="s">
        <v>141</v>
      </c>
      <c r="K18" s="10" t="s">
        <v>141</v>
      </c>
      <c r="L18" s="10" t="s">
        <v>141</v>
      </c>
      <c r="M18" s="10" t="s">
        <v>141</v>
      </c>
      <c r="N18" s="10" t="s">
        <v>141</v>
      </c>
      <c r="O18" s="10" t="s">
        <v>141</v>
      </c>
      <c r="P18" s="10" t="s">
        <v>2131</v>
      </c>
      <c r="Q18" s="10" t="s">
        <v>141</v>
      </c>
      <c r="R18" s="10" t="s">
        <v>141</v>
      </c>
      <c r="S18" s="10" t="s">
        <v>2131</v>
      </c>
      <c r="T18" s="10" t="s">
        <v>2131</v>
      </c>
      <c r="U18" s="10" t="s">
        <v>141</v>
      </c>
      <c r="V18" s="10" t="s">
        <v>141</v>
      </c>
      <c r="W18" s="10" t="s">
        <v>2132</v>
      </c>
      <c r="X18" s="10" t="s">
        <v>141</v>
      </c>
      <c r="Y18" s="10" t="s">
        <v>141</v>
      </c>
      <c r="Z18" s="10" t="s">
        <v>141</v>
      </c>
      <c r="AA18" s="10" t="s">
        <v>2131</v>
      </c>
      <c r="AB18" s="10" t="s">
        <v>141</v>
      </c>
      <c r="AC18" s="10" t="s">
        <v>2131</v>
      </c>
      <c r="AD18" s="10" t="s">
        <v>2131</v>
      </c>
      <c r="AE18" s="10" t="s">
        <v>2131</v>
      </c>
      <c r="AF18" s="10" t="s">
        <v>2131</v>
      </c>
      <c r="AG18" s="10" t="s">
        <v>2131</v>
      </c>
      <c r="AH18" s="10" t="s">
        <v>141</v>
      </c>
      <c r="AI18" s="10" t="s">
        <v>2131</v>
      </c>
      <c r="AJ18" s="10" t="s">
        <v>2131</v>
      </c>
      <c r="AK18" s="10" t="s">
        <v>2131</v>
      </c>
      <c r="AL18" s="10" t="s">
        <v>141</v>
      </c>
      <c r="AM18" s="10" t="s">
        <v>141</v>
      </c>
      <c r="AN18" s="10" t="s">
        <v>141</v>
      </c>
      <c r="AO18" s="10" t="s">
        <v>141</v>
      </c>
      <c r="AP18" s="10" t="s">
        <v>140</v>
      </c>
      <c r="AQ18" s="10" t="s">
        <v>141</v>
      </c>
      <c r="AR18" s="10" t="s">
        <v>141</v>
      </c>
      <c r="AS18" s="10" t="s">
        <v>141</v>
      </c>
      <c r="AT18" s="10" t="s">
        <v>140</v>
      </c>
      <c r="AU18" s="10" t="s">
        <v>140</v>
      </c>
      <c r="AV18" s="10"/>
      <c r="AW18" s="10"/>
      <c r="AX18" s="10"/>
      <c r="AY18" s="77">
        <f t="shared" si="0"/>
        <v>22</v>
      </c>
      <c r="AZ18" s="77">
        <f t="shared" si="1"/>
        <v>12</v>
      </c>
      <c r="BA18" t="s">
        <v>2133</v>
      </c>
    </row>
    <row r="19" spans="1:53">
      <c r="A19" s="10">
        <v>5</v>
      </c>
      <c r="B19">
        <v>2062</v>
      </c>
      <c r="C19" s="38">
        <v>45698.252465277779</v>
      </c>
      <c r="D19" s="7">
        <v>45698</v>
      </c>
      <c r="E19" s="99">
        <v>45698</v>
      </c>
      <c r="F19" s="100">
        <f t="shared" si="3"/>
        <v>2</v>
      </c>
      <c r="G19" s="100">
        <v>19</v>
      </c>
      <c r="H19" s="7" t="s">
        <v>2129</v>
      </c>
      <c r="I19" t="s">
        <v>2130</v>
      </c>
      <c r="J19" s="10" t="s">
        <v>141</v>
      </c>
      <c r="K19" s="10" t="s">
        <v>141</v>
      </c>
      <c r="L19" s="10" t="s">
        <v>141</v>
      </c>
      <c r="M19" s="10" t="s">
        <v>141</v>
      </c>
      <c r="N19" s="10" t="s">
        <v>2131</v>
      </c>
      <c r="O19" s="10" t="s">
        <v>141</v>
      </c>
      <c r="P19" s="10" t="s">
        <v>2131</v>
      </c>
      <c r="Q19" s="10" t="s">
        <v>2131</v>
      </c>
      <c r="R19" s="10" t="s">
        <v>140</v>
      </c>
      <c r="S19" s="10" t="s">
        <v>141</v>
      </c>
      <c r="T19" s="10" t="s">
        <v>141</v>
      </c>
      <c r="U19" s="10" t="s">
        <v>140</v>
      </c>
      <c r="V19" s="10" t="s">
        <v>141</v>
      </c>
      <c r="W19" s="10" t="s">
        <v>141</v>
      </c>
      <c r="X19" s="10" t="s">
        <v>2131</v>
      </c>
      <c r="Y19" s="10" t="s">
        <v>2131</v>
      </c>
      <c r="Z19" s="10" t="s">
        <v>141</v>
      </c>
      <c r="AA19" s="10" t="s">
        <v>141</v>
      </c>
      <c r="AB19" s="10" t="s">
        <v>2131</v>
      </c>
      <c r="AC19" s="10" t="s">
        <v>141</v>
      </c>
      <c r="AD19" s="10" t="s">
        <v>141</v>
      </c>
      <c r="AE19" s="10" t="s">
        <v>141</v>
      </c>
      <c r="AF19" s="10" t="s">
        <v>2131</v>
      </c>
      <c r="AG19" s="10" t="s">
        <v>141</v>
      </c>
      <c r="AH19" s="10" t="s">
        <v>141</v>
      </c>
      <c r="AI19" s="10" t="s">
        <v>141</v>
      </c>
      <c r="AJ19" s="10" t="s">
        <v>141</v>
      </c>
      <c r="AK19" s="10" t="s">
        <v>2131</v>
      </c>
      <c r="AL19" s="10" t="s">
        <v>141</v>
      </c>
      <c r="AM19" s="10" t="s">
        <v>141</v>
      </c>
      <c r="AN19" s="10"/>
      <c r="AO19" s="10" t="s">
        <v>2131</v>
      </c>
      <c r="AP19" s="10" t="s">
        <v>141</v>
      </c>
      <c r="AQ19" s="10" t="s">
        <v>141</v>
      </c>
      <c r="AR19" s="10" t="s">
        <v>141</v>
      </c>
      <c r="AS19" s="10" t="s">
        <v>140</v>
      </c>
      <c r="AT19" s="10" t="s">
        <v>140</v>
      </c>
      <c r="AU19" s="10" t="s">
        <v>140</v>
      </c>
      <c r="AV19" s="10"/>
      <c r="AW19" s="10"/>
      <c r="AX19" s="10"/>
      <c r="AY19" s="77">
        <f t="shared" si="0"/>
        <v>23</v>
      </c>
      <c r="AZ19" s="77">
        <f t="shared" si="1"/>
        <v>9</v>
      </c>
      <c r="BA19" t="s">
        <v>273</v>
      </c>
    </row>
    <row r="20" spans="1:53">
      <c r="A20" s="10">
        <v>6</v>
      </c>
      <c r="B20">
        <v>2063</v>
      </c>
      <c r="C20" s="38">
        <v>45705.267893518518</v>
      </c>
      <c r="D20" s="7">
        <v>45705</v>
      </c>
      <c r="E20" s="99">
        <v>45705</v>
      </c>
      <c r="F20" s="100">
        <f t="shared" si="3"/>
        <v>2</v>
      </c>
      <c r="G20" s="100">
        <v>20</v>
      </c>
      <c r="H20" s="7" t="s">
        <v>2134</v>
      </c>
      <c r="I20" t="s">
        <v>2130</v>
      </c>
      <c r="J20" s="10" t="s">
        <v>141</v>
      </c>
      <c r="K20" s="10" t="s">
        <v>141</v>
      </c>
      <c r="L20" s="10" t="s">
        <v>2131</v>
      </c>
      <c r="M20" s="10" t="s">
        <v>141</v>
      </c>
      <c r="N20" s="10" t="s">
        <v>141</v>
      </c>
      <c r="O20" s="10" t="s">
        <v>2131</v>
      </c>
      <c r="P20" s="10" t="s">
        <v>2131</v>
      </c>
      <c r="Q20" s="10" t="s">
        <v>141</v>
      </c>
      <c r="R20" s="10" t="s">
        <v>141</v>
      </c>
      <c r="S20" s="10" t="s">
        <v>2131</v>
      </c>
      <c r="T20" s="10" t="s">
        <v>141</v>
      </c>
      <c r="U20" s="10" t="s">
        <v>141</v>
      </c>
      <c r="V20" s="10" t="s">
        <v>141</v>
      </c>
      <c r="W20" s="10" t="s">
        <v>2132</v>
      </c>
      <c r="X20" s="10" t="s">
        <v>141</v>
      </c>
      <c r="Y20" s="10" t="s">
        <v>2131</v>
      </c>
      <c r="Z20" s="10" t="s">
        <v>141</v>
      </c>
      <c r="AA20" s="10" t="s">
        <v>141</v>
      </c>
      <c r="AB20" s="10" t="s">
        <v>2131</v>
      </c>
      <c r="AC20" s="10" t="s">
        <v>141</v>
      </c>
      <c r="AD20" s="10" t="s">
        <v>141</v>
      </c>
      <c r="AE20" s="10" t="s">
        <v>141</v>
      </c>
      <c r="AF20" s="10" t="s">
        <v>141</v>
      </c>
      <c r="AG20" s="10" t="s">
        <v>141</v>
      </c>
      <c r="AH20" s="10" t="s">
        <v>141</v>
      </c>
      <c r="AI20" s="10" t="s">
        <v>141</v>
      </c>
      <c r="AJ20" s="10" t="s">
        <v>141</v>
      </c>
      <c r="AK20" s="10" t="s">
        <v>2131</v>
      </c>
      <c r="AL20" s="10" t="s">
        <v>141</v>
      </c>
      <c r="AM20" s="10" t="s">
        <v>141</v>
      </c>
      <c r="AN20" s="10" t="s">
        <v>141</v>
      </c>
      <c r="AO20" s="10" t="s">
        <v>141</v>
      </c>
      <c r="AP20" s="10" t="s">
        <v>141</v>
      </c>
      <c r="AQ20" s="10" t="s">
        <v>141</v>
      </c>
      <c r="AR20" s="10" t="s">
        <v>141</v>
      </c>
      <c r="AS20" s="10" t="s">
        <v>141</v>
      </c>
      <c r="AT20" s="10" t="s">
        <v>140</v>
      </c>
      <c r="AU20" s="10" t="s">
        <v>140</v>
      </c>
      <c r="AV20" s="10"/>
      <c r="AW20" s="10"/>
      <c r="AX20" s="10"/>
      <c r="AY20" s="77">
        <f t="shared" si="0"/>
        <v>28</v>
      </c>
      <c r="AZ20" s="77">
        <f t="shared" si="1"/>
        <v>7</v>
      </c>
      <c r="BA20" t="s">
        <v>273</v>
      </c>
    </row>
    <row r="21" spans="1:53">
      <c r="A21" s="10">
        <v>7</v>
      </c>
      <c r="B21">
        <v>2064</v>
      </c>
      <c r="C21" s="38">
        <v>45712.252939814818</v>
      </c>
      <c r="D21" s="7">
        <v>45712</v>
      </c>
      <c r="E21" s="99">
        <v>45712</v>
      </c>
      <c r="F21" s="100">
        <f t="shared" ref="F21:F26" si="4">MONTH($E21)</f>
        <v>2</v>
      </c>
      <c r="G21" s="100">
        <v>21</v>
      </c>
      <c r="H21" s="7" t="s">
        <v>2129</v>
      </c>
      <c r="I21" t="s">
        <v>2130</v>
      </c>
      <c r="J21" s="10" t="s">
        <v>141</v>
      </c>
      <c r="K21" s="10" t="s">
        <v>141</v>
      </c>
      <c r="L21" s="10" t="s">
        <v>141</v>
      </c>
      <c r="M21" s="10" t="s">
        <v>141</v>
      </c>
      <c r="N21" s="10" t="s">
        <v>141</v>
      </c>
      <c r="O21" s="10" t="s">
        <v>141</v>
      </c>
      <c r="P21" s="10" t="s">
        <v>141</v>
      </c>
      <c r="Q21" s="10" t="s">
        <v>2131</v>
      </c>
      <c r="R21" s="10" t="s">
        <v>2131</v>
      </c>
      <c r="S21" s="10" t="s">
        <v>2131</v>
      </c>
      <c r="T21" s="10" t="s">
        <v>141</v>
      </c>
      <c r="U21" s="10" t="s">
        <v>141</v>
      </c>
      <c r="V21" s="10" t="s">
        <v>141</v>
      </c>
      <c r="W21" s="10" t="s">
        <v>2131</v>
      </c>
      <c r="X21" s="10" t="s">
        <v>141</v>
      </c>
      <c r="Y21" s="10" t="s">
        <v>141</v>
      </c>
      <c r="Z21" s="10" t="s">
        <v>140</v>
      </c>
      <c r="AA21" s="10" t="s">
        <v>141</v>
      </c>
      <c r="AB21" s="10" t="s">
        <v>141</v>
      </c>
      <c r="AC21" s="10" t="s">
        <v>141</v>
      </c>
      <c r="AD21" s="10" t="s">
        <v>141</v>
      </c>
      <c r="AE21" s="10" t="s">
        <v>141</v>
      </c>
      <c r="AF21" s="10" t="s">
        <v>140</v>
      </c>
      <c r="AG21" s="10" t="s">
        <v>2131</v>
      </c>
      <c r="AH21" s="10" t="s">
        <v>2131</v>
      </c>
      <c r="AI21" s="10" t="s">
        <v>141</v>
      </c>
      <c r="AJ21" s="10" t="s">
        <v>2131</v>
      </c>
      <c r="AK21" s="10" t="s">
        <v>2131</v>
      </c>
      <c r="AL21" s="10" t="s">
        <v>140</v>
      </c>
      <c r="AM21" s="10" t="s">
        <v>141</v>
      </c>
      <c r="AN21" s="10"/>
      <c r="AO21" s="10" t="s">
        <v>141</v>
      </c>
      <c r="AP21" s="10" t="s">
        <v>141</v>
      </c>
      <c r="AQ21" s="10" t="s">
        <v>141</v>
      </c>
      <c r="AR21" s="10" t="s">
        <v>141</v>
      </c>
      <c r="AS21" s="10" t="s">
        <v>141</v>
      </c>
      <c r="AT21" s="10" t="s">
        <v>140</v>
      </c>
      <c r="AU21" s="10" t="s">
        <v>140</v>
      </c>
      <c r="AV21" s="10"/>
      <c r="AW21" s="10"/>
      <c r="AX21" s="10"/>
      <c r="AY21" s="77">
        <f t="shared" si="0"/>
        <v>24</v>
      </c>
      <c r="AZ21" s="77">
        <f t="shared" si="1"/>
        <v>8</v>
      </c>
      <c r="BA21" t="s">
        <v>273</v>
      </c>
    </row>
    <row r="22" spans="1:53">
      <c r="A22" s="10">
        <v>8</v>
      </c>
      <c r="B22">
        <v>2065</v>
      </c>
      <c r="C22" s="38">
        <v>45719.256307870368</v>
      </c>
      <c r="D22" s="7">
        <v>45719</v>
      </c>
      <c r="E22" s="99">
        <v>45719</v>
      </c>
      <c r="F22" s="100">
        <f t="shared" si="4"/>
        <v>3</v>
      </c>
      <c r="G22" s="100">
        <v>22</v>
      </c>
      <c r="H22" s="7" t="s">
        <v>2129</v>
      </c>
      <c r="I22" t="s">
        <v>2130</v>
      </c>
      <c r="J22" s="10" t="s">
        <v>141</v>
      </c>
      <c r="K22" s="10" t="s">
        <v>141</v>
      </c>
      <c r="L22" s="10" t="s">
        <v>141</v>
      </c>
      <c r="M22" s="10" t="s">
        <v>141</v>
      </c>
      <c r="N22" s="10" t="s">
        <v>141</v>
      </c>
      <c r="O22" s="10" t="s">
        <v>141</v>
      </c>
      <c r="P22" s="10" t="s">
        <v>141</v>
      </c>
      <c r="Q22" s="10" t="s">
        <v>2131</v>
      </c>
      <c r="R22" s="10" t="s">
        <v>141</v>
      </c>
      <c r="S22" s="10" t="s">
        <v>141</v>
      </c>
      <c r="T22" s="10" t="s">
        <v>141</v>
      </c>
      <c r="U22" s="10" t="s">
        <v>141</v>
      </c>
      <c r="V22" s="10" t="s">
        <v>141</v>
      </c>
      <c r="W22" s="10" t="s">
        <v>2132</v>
      </c>
      <c r="X22" s="10" t="s">
        <v>141</v>
      </c>
      <c r="Y22" s="10" t="s">
        <v>2131</v>
      </c>
      <c r="Z22" s="10" t="s">
        <v>2131</v>
      </c>
      <c r="AA22" s="10" t="s">
        <v>141</v>
      </c>
      <c r="AB22" s="10" t="s">
        <v>140</v>
      </c>
      <c r="AC22" s="10" t="s">
        <v>141</v>
      </c>
      <c r="AD22" s="10" t="s">
        <v>141</v>
      </c>
      <c r="AE22" s="10" t="s">
        <v>2131</v>
      </c>
      <c r="AF22" s="10" t="s">
        <v>141</v>
      </c>
      <c r="AG22" s="10" t="s">
        <v>141</v>
      </c>
      <c r="AH22" s="10" t="s">
        <v>2131</v>
      </c>
      <c r="AI22" s="10" t="s">
        <v>141</v>
      </c>
      <c r="AJ22" s="10" t="s">
        <v>141</v>
      </c>
      <c r="AK22" s="10" t="s">
        <v>141</v>
      </c>
      <c r="AL22" s="10" t="s">
        <v>141</v>
      </c>
      <c r="AM22" s="10" t="s">
        <v>141</v>
      </c>
      <c r="AN22" s="10"/>
      <c r="AO22" s="10" t="s">
        <v>141</v>
      </c>
      <c r="AP22" s="10" t="s">
        <v>141</v>
      </c>
      <c r="AQ22" s="10" t="s">
        <v>141</v>
      </c>
      <c r="AR22" s="10" t="s">
        <v>141</v>
      </c>
      <c r="AS22" s="10" t="s">
        <v>141</v>
      </c>
      <c r="AT22" s="10" t="s">
        <v>140</v>
      </c>
      <c r="AU22" s="10" t="s">
        <v>140</v>
      </c>
      <c r="AV22" s="10"/>
      <c r="AW22" s="10"/>
      <c r="AX22" s="10"/>
      <c r="AY22" s="77">
        <f t="shared" si="0"/>
        <v>28</v>
      </c>
      <c r="AZ22" s="77">
        <f t="shared" si="1"/>
        <v>5</v>
      </c>
      <c r="BA22" t="s">
        <v>273</v>
      </c>
    </row>
    <row r="23" spans="1:53">
      <c r="A23" s="10">
        <v>9</v>
      </c>
      <c r="B23">
        <v>2066</v>
      </c>
      <c r="C23" s="38">
        <v>45726.253020833334</v>
      </c>
      <c r="D23" s="7">
        <v>45726</v>
      </c>
      <c r="E23" s="99">
        <v>45726</v>
      </c>
      <c r="F23" s="100">
        <f t="shared" si="4"/>
        <v>3</v>
      </c>
      <c r="G23" s="100">
        <v>23</v>
      </c>
      <c r="H23" s="7" t="s">
        <v>2129</v>
      </c>
      <c r="I23" t="s">
        <v>2130</v>
      </c>
      <c r="J23" s="10" t="s">
        <v>141</v>
      </c>
      <c r="K23" s="10" t="s">
        <v>141</v>
      </c>
      <c r="L23" s="10" t="s">
        <v>141</v>
      </c>
      <c r="M23" s="10" t="s">
        <v>2131</v>
      </c>
      <c r="N23" s="10" t="s">
        <v>140</v>
      </c>
      <c r="O23" s="10" t="s">
        <v>141</v>
      </c>
      <c r="P23" s="10" t="s">
        <v>141</v>
      </c>
      <c r="Q23" s="10" t="s">
        <v>141</v>
      </c>
      <c r="R23" s="10" t="s">
        <v>141</v>
      </c>
      <c r="S23" s="10" t="s">
        <v>140</v>
      </c>
      <c r="T23" s="10" t="s">
        <v>141</v>
      </c>
      <c r="U23" s="10" t="s">
        <v>141</v>
      </c>
      <c r="V23" s="10" t="s">
        <v>141</v>
      </c>
      <c r="W23" s="10" t="s">
        <v>2132</v>
      </c>
      <c r="X23" s="10" t="s">
        <v>2131</v>
      </c>
      <c r="Y23" s="10" t="s">
        <v>141</v>
      </c>
      <c r="Z23" s="10" t="s">
        <v>141</v>
      </c>
      <c r="AA23" s="10" t="s">
        <v>141</v>
      </c>
      <c r="AB23" s="10" t="s">
        <v>141</v>
      </c>
      <c r="AC23" s="10" t="s">
        <v>141</v>
      </c>
      <c r="AD23" s="10" t="s">
        <v>140</v>
      </c>
      <c r="AE23" s="10" t="s">
        <v>2131</v>
      </c>
      <c r="AF23" s="10" t="s">
        <v>2131</v>
      </c>
      <c r="AG23" s="10" t="s">
        <v>2131</v>
      </c>
      <c r="AH23" s="10" t="s">
        <v>2131</v>
      </c>
      <c r="AI23" s="10" t="s">
        <v>141</v>
      </c>
      <c r="AJ23" s="10" t="s">
        <v>141</v>
      </c>
      <c r="AK23" s="10" t="s">
        <v>141</v>
      </c>
      <c r="AL23" s="10" t="s">
        <v>141</v>
      </c>
      <c r="AM23" s="10" t="s">
        <v>141</v>
      </c>
      <c r="AN23" s="10"/>
      <c r="AO23" s="10" t="s">
        <v>141</v>
      </c>
      <c r="AP23" s="10" t="s">
        <v>141</v>
      </c>
      <c r="AQ23" s="10" t="s">
        <v>141</v>
      </c>
      <c r="AR23" s="10" t="s">
        <v>141</v>
      </c>
      <c r="AS23" s="10" t="s">
        <v>141</v>
      </c>
      <c r="AT23" s="10" t="s">
        <v>140</v>
      </c>
      <c r="AU23" s="10" t="s">
        <v>140</v>
      </c>
      <c r="AV23" s="10"/>
      <c r="AW23" s="10"/>
      <c r="AX23" s="10"/>
      <c r="AY23" s="77">
        <f t="shared" si="0"/>
        <v>25</v>
      </c>
      <c r="AZ23" s="77">
        <f t="shared" si="1"/>
        <v>6</v>
      </c>
      <c r="BA23" t="s">
        <v>1248</v>
      </c>
    </row>
    <row r="24" spans="1:53">
      <c r="A24" s="10">
        <v>10</v>
      </c>
      <c r="B24">
        <v>2067</v>
      </c>
      <c r="C24" s="38">
        <v>45733.252152777779</v>
      </c>
      <c r="D24" s="7">
        <v>45733</v>
      </c>
      <c r="E24" s="99">
        <v>45733</v>
      </c>
      <c r="F24" s="100">
        <f t="shared" si="4"/>
        <v>3</v>
      </c>
      <c r="G24" s="100">
        <v>24</v>
      </c>
      <c r="H24" s="7" t="s">
        <v>2129</v>
      </c>
      <c r="I24" t="s">
        <v>2130</v>
      </c>
      <c r="J24" s="10" t="s">
        <v>141</v>
      </c>
      <c r="K24" s="10" t="s">
        <v>141</v>
      </c>
      <c r="L24" s="10" t="s">
        <v>141</v>
      </c>
      <c r="M24" s="10" t="s">
        <v>2131</v>
      </c>
      <c r="N24" s="10" t="s">
        <v>2131</v>
      </c>
      <c r="O24" s="10" t="s">
        <v>2131</v>
      </c>
      <c r="P24" s="10" t="s">
        <v>141</v>
      </c>
      <c r="Q24" s="10" t="s">
        <v>2131</v>
      </c>
      <c r="R24" s="10" t="s">
        <v>2131</v>
      </c>
      <c r="S24" s="10" t="s">
        <v>141</v>
      </c>
      <c r="T24" s="10" t="s">
        <v>141</v>
      </c>
      <c r="U24" s="10" t="s">
        <v>141</v>
      </c>
      <c r="V24" s="10" t="s">
        <v>141</v>
      </c>
      <c r="W24" s="10" t="s">
        <v>2131</v>
      </c>
      <c r="X24" s="10" t="s">
        <v>2131</v>
      </c>
      <c r="Y24" s="10" t="s">
        <v>141</v>
      </c>
      <c r="Z24" s="10" t="s">
        <v>2131</v>
      </c>
      <c r="AA24" s="10" t="s">
        <v>141</v>
      </c>
      <c r="AB24" s="10" t="s">
        <v>141</v>
      </c>
      <c r="AC24" s="10" t="s">
        <v>2131</v>
      </c>
      <c r="AD24" s="10" t="s">
        <v>141</v>
      </c>
      <c r="AE24" s="10" t="s">
        <v>141</v>
      </c>
      <c r="AF24" s="10" t="s">
        <v>141</v>
      </c>
      <c r="AG24" s="10" t="s">
        <v>2131</v>
      </c>
      <c r="AH24" s="10" t="s">
        <v>2131</v>
      </c>
      <c r="AI24" s="10" t="s">
        <v>141</v>
      </c>
      <c r="AJ24" s="10" t="s">
        <v>2131</v>
      </c>
      <c r="AK24" s="10" t="s">
        <v>2131</v>
      </c>
      <c r="AL24" s="10" t="s">
        <v>141</v>
      </c>
      <c r="AM24" s="10" t="s">
        <v>141</v>
      </c>
      <c r="AN24" s="10" t="s">
        <v>141</v>
      </c>
      <c r="AO24" s="10" t="s">
        <v>141</v>
      </c>
      <c r="AP24" s="10" t="s">
        <v>141</v>
      </c>
      <c r="AQ24" s="10" t="s">
        <v>141</v>
      </c>
      <c r="AR24" s="10" t="s">
        <v>141</v>
      </c>
      <c r="AS24" s="10" t="s">
        <v>141</v>
      </c>
      <c r="AT24" s="10" t="s">
        <v>140</v>
      </c>
      <c r="AU24" s="10" t="s">
        <v>140</v>
      </c>
      <c r="AV24" s="10"/>
      <c r="AW24" s="10"/>
      <c r="AX24" s="10"/>
      <c r="AY24" s="77">
        <f t="shared" si="0"/>
        <v>23</v>
      </c>
      <c r="AZ24" s="77">
        <f t="shared" si="1"/>
        <v>13</v>
      </c>
      <c r="BA24" t="s">
        <v>273</v>
      </c>
    </row>
    <row r="25" spans="1:53">
      <c r="A25" s="10">
        <v>11</v>
      </c>
      <c r="B25">
        <v>2068</v>
      </c>
      <c r="C25" s="38">
        <v>45740.255983796298</v>
      </c>
      <c r="D25" s="7">
        <v>45740</v>
      </c>
      <c r="E25" s="99">
        <v>45740</v>
      </c>
      <c r="F25" s="100">
        <f t="shared" si="4"/>
        <v>3</v>
      </c>
      <c r="G25" s="100">
        <v>25</v>
      </c>
      <c r="H25" s="7" t="s">
        <v>2129</v>
      </c>
      <c r="I25" t="s">
        <v>2130</v>
      </c>
      <c r="J25" s="10" t="s">
        <v>141</v>
      </c>
      <c r="K25" s="10" t="s">
        <v>141</v>
      </c>
      <c r="L25" s="10" t="s">
        <v>2131</v>
      </c>
      <c r="M25" s="10" t="s">
        <v>141</v>
      </c>
      <c r="N25" s="10" t="s">
        <v>2131</v>
      </c>
      <c r="O25" s="10" t="s">
        <v>2131</v>
      </c>
      <c r="P25" s="10" t="s">
        <v>2131</v>
      </c>
      <c r="Q25" s="10" t="s">
        <v>141</v>
      </c>
      <c r="R25" s="10" t="s">
        <v>2131</v>
      </c>
      <c r="S25" s="10" t="s">
        <v>141</v>
      </c>
      <c r="T25" s="10" t="s">
        <v>141</v>
      </c>
      <c r="U25" s="10" t="s">
        <v>141</v>
      </c>
      <c r="V25" s="10" t="s">
        <v>141</v>
      </c>
      <c r="W25" s="10" t="s">
        <v>141</v>
      </c>
      <c r="X25" s="10" t="s">
        <v>141</v>
      </c>
      <c r="Y25" s="10" t="s">
        <v>141</v>
      </c>
      <c r="Z25" s="10" t="s">
        <v>141</v>
      </c>
      <c r="AA25" s="10" t="s">
        <v>2131</v>
      </c>
      <c r="AB25" s="10" t="s">
        <v>141</v>
      </c>
      <c r="AC25" s="10" t="s">
        <v>141</v>
      </c>
      <c r="AD25" s="10" t="s">
        <v>141</v>
      </c>
      <c r="AE25" s="10" t="s">
        <v>141</v>
      </c>
      <c r="AF25" s="10" t="s">
        <v>141</v>
      </c>
      <c r="AG25" s="10" t="s">
        <v>141</v>
      </c>
      <c r="AH25" s="10" t="s">
        <v>2131</v>
      </c>
      <c r="AI25" s="10" t="s">
        <v>141</v>
      </c>
      <c r="AJ25" s="10" t="s">
        <v>141</v>
      </c>
      <c r="AK25" s="10" t="s">
        <v>141</v>
      </c>
      <c r="AL25" s="10" t="s">
        <v>141</v>
      </c>
      <c r="AM25" s="10" t="s">
        <v>141</v>
      </c>
      <c r="AN25" s="10" t="s">
        <v>141</v>
      </c>
      <c r="AO25" s="10" t="s">
        <v>141</v>
      </c>
      <c r="AP25" s="10" t="s">
        <v>141</v>
      </c>
      <c r="AQ25" s="10" t="s">
        <v>141</v>
      </c>
      <c r="AR25" s="10" t="s">
        <v>141</v>
      </c>
      <c r="AS25" s="10" t="s">
        <v>2131</v>
      </c>
      <c r="AT25" s="10" t="s">
        <v>140</v>
      </c>
      <c r="AU25" s="10" t="s">
        <v>140</v>
      </c>
      <c r="AV25" s="10"/>
      <c r="AW25" s="10"/>
      <c r="AX25" s="10"/>
      <c r="AY25" s="77">
        <f t="shared" si="0"/>
        <v>28</v>
      </c>
      <c r="AZ25" s="77">
        <f t="shared" si="1"/>
        <v>7</v>
      </c>
      <c r="BA25" t="s">
        <v>1248</v>
      </c>
    </row>
    <row r="26" spans="1:53">
      <c r="A26" s="10">
        <v>12</v>
      </c>
      <c r="B26">
        <v>2069</v>
      </c>
      <c r="C26" s="38">
        <v>45747.24895833333</v>
      </c>
      <c r="D26" s="7">
        <v>45747</v>
      </c>
      <c r="E26" s="99">
        <v>45747</v>
      </c>
      <c r="F26" s="100">
        <f t="shared" si="4"/>
        <v>3</v>
      </c>
      <c r="G26" s="100">
        <v>26</v>
      </c>
      <c r="H26" s="7" t="s">
        <v>2129</v>
      </c>
      <c r="I26" t="s">
        <v>2130</v>
      </c>
      <c r="J26" s="10" t="s">
        <v>141</v>
      </c>
      <c r="K26" s="10" t="s">
        <v>141</v>
      </c>
      <c r="L26" s="10" t="s">
        <v>141</v>
      </c>
      <c r="M26" s="10" t="s">
        <v>141</v>
      </c>
      <c r="N26" s="10" t="s">
        <v>2131</v>
      </c>
      <c r="O26" s="10" t="s">
        <v>141</v>
      </c>
      <c r="P26" s="10" t="s">
        <v>141</v>
      </c>
      <c r="Q26" s="10" t="s">
        <v>141</v>
      </c>
      <c r="R26" s="10" t="s">
        <v>141</v>
      </c>
      <c r="S26" s="10" t="s">
        <v>2131</v>
      </c>
      <c r="T26" s="10" t="s">
        <v>141</v>
      </c>
      <c r="U26" s="10" t="s">
        <v>141</v>
      </c>
      <c r="V26" s="10" t="s">
        <v>141</v>
      </c>
      <c r="W26" s="10" t="s">
        <v>141</v>
      </c>
      <c r="X26" s="10" t="s">
        <v>141</v>
      </c>
      <c r="Y26" s="10" t="s">
        <v>141</v>
      </c>
      <c r="Z26" s="10" t="s">
        <v>141</v>
      </c>
      <c r="AA26" s="10" t="s">
        <v>2131</v>
      </c>
      <c r="AB26" s="10" t="s">
        <v>141</v>
      </c>
      <c r="AC26" s="10" t="s">
        <v>141</v>
      </c>
      <c r="AD26" s="10" t="s">
        <v>2131</v>
      </c>
      <c r="AE26" s="10" t="s">
        <v>141</v>
      </c>
      <c r="AF26" s="10" t="s">
        <v>2131</v>
      </c>
      <c r="AG26" s="10" t="s">
        <v>141</v>
      </c>
      <c r="AH26" s="10" t="s">
        <v>2131</v>
      </c>
      <c r="AI26" s="10" t="s">
        <v>141</v>
      </c>
      <c r="AJ26" s="10" t="s">
        <v>141</v>
      </c>
      <c r="AK26" s="10" t="s">
        <v>141</v>
      </c>
      <c r="AL26" s="10" t="s">
        <v>141</v>
      </c>
      <c r="AM26" s="10" t="s">
        <v>141</v>
      </c>
      <c r="AN26" s="10" t="s">
        <v>2131</v>
      </c>
      <c r="AO26" s="10" t="s">
        <v>141</v>
      </c>
      <c r="AP26" s="10" t="s">
        <v>141</v>
      </c>
      <c r="AQ26" s="10" t="s">
        <v>141</v>
      </c>
      <c r="AR26" s="10" t="s">
        <v>141</v>
      </c>
      <c r="AS26" s="10" t="s">
        <v>2131</v>
      </c>
      <c r="AT26" s="10" t="s">
        <v>140</v>
      </c>
      <c r="AU26" s="10" t="s">
        <v>140</v>
      </c>
      <c r="AV26" s="10"/>
      <c r="AW26" s="10"/>
      <c r="AX26" s="10"/>
      <c r="AY26" s="77">
        <f t="shared" si="0"/>
        <v>28</v>
      </c>
      <c r="AZ26" s="77">
        <f t="shared" si="1"/>
        <v>7</v>
      </c>
      <c r="BA26" t="s">
        <v>1248</v>
      </c>
    </row>
    <row r="27" spans="1:53">
      <c r="A27" s="10">
        <v>13</v>
      </c>
      <c r="B27">
        <v>2070</v>
      </c>
      <c r="C27" s="38">
        <v>45754.345057870371</v>
      </c>
      <c r="D27" s="7">
        <v>45754</v>
      </c>
      <c r="E27" s="99">
        <v>45754</v>
      </c>
      <c r="F27" s="100">
        <f t="shared" ref="F27:F32" si="5">MONTH($E27)</f>
        <v>4</v>
      </c>
      <c r="G27" s="100">
        <v>27</v>
      </c>
      <c r="H27" s="7" t="s">
        <v>2134</v>
      </c>
      <c r="I27" t="s">
        <v>2130</v>
      </c>
      <c r="J27" s="10" t="s">
        <v>2131</v>
      </c>
      <c r="K27" s="10" t="s">
        <v>2131</v>
      </c>
      <c r="L27" s="10" t="s">
        <v>141</v>
      </c>
      <c r="M27" s="10" t="s">
        <v>141</v>
      </c>
      <c r="N27" s="10" t="s">
        <v>141</v>
      </c>
      <c r="O27" s="10" t="s">
        <v>141</v>
      </c>
      <c r="P27" s="10" t="s">
        <v>141</v>
      </c>
      <c r="Q27" s="10" t="s">
        <v>141</v>
      </c>
      <c r="R27" s="10" t="s">
        <v>141</v>
      </c>
      <c r="S27" s="10" t="s">
        <v>141</v>
      </c>
      <c r="T27" s="10" t="s">
        <v>141</v>
      </c>
      <c r="U27" s="10" t="s">
        <v>141</v>
      </c>
      <c r="V27" s="10" t="s">
        <v>141</v>
      </c>
      <c r="W27" s="10" t="s">
        <v>141</v>
      </c>
      <c r="X27" s="10" t="s">
        <v>141</v>
      </c>
      <c r="Y27" s="10" t="s">
        <v>141</v>
      </c>
      <c r="Z27" s="10" t="s">
        <v>141</v>
      </c>
      <c r="AA27" s="10" t="s">
        <v>141</v>
      </c>
      <c r="AB27" s="10" t="s">
        <v>2131</v>
      </c>
      <c r="AC27" s="10" t="s">
        <v>2131</v>
      </c>
      <c r="AD27" s="10" t="s">
        <v>2131</v>
      </c>
      <c r="AE27" s="10" t="s">
        <v>141</v>
      </c>
      <c r="AF27" s="10" t="s">
        <v>2131</v>
      </c>
      <c r="AG27" s="10" t="s">
        <v>141</v>
      </c>
      <c r="AH27" s="10" t="s">
        <v>141</v>
      </c>
      <c r="AI27" s="10" t="s">
        <v>141</v>
      </c>
      <c r="AJ27" s="10" t="s">
        <v>2131</v>
      </c>
      <c r="AK27" s="10" t="s">
        <v>2131</v>
      </c>
      <c r="AL27" s="10" t="s">
        <v>141</v>
      </c>
      <c r="AM27" s="10" t="s">
        <v>141</v>
      </c>
      <c r="AN27" s="10" t="s">
        <v>141</v>
      </c>
      <c r="AO27" s="10" t="s">
        <v>141</v>
      </c>
      <c r="AP27" s="10" t="s">
        <v>141</v>
      </c>
      <c r="AQ27" s="10" t="s">
        <v>141</v>
      </c>
      <c r="AR27" s="10" t="s">
        <v>141</v>
      </c>
      <c r="AS27" s="10" t="s">
        <v>141</v>
      </c>
      <c r="AT27" s="10" t="s">
        <v>2131</v>
      </c>
      <c r="AU27" s="10" t="s">
        <v>140</v>
      </c>
      <c r="AV27" s="10"/>
      <c r="AW27" s="10"/>
      <c r="AX27" s="10"/>
      <c r="AY27" s="77">
        <f t="shared" si="0"/>
        <v>28</v>
      </c>
      <c r="AZ27" s="77">
        <f t="shared" si="1"/>
        <v>8</v>
      </c>
      <c r="BA27" t="s">
        <v>273</v>
      </c>
    </row>
    <row r="28" spans="1:53">
      <c r="A28" s="10">
        <v>14</v>
      </c>
      <c r="B28">
        <v>2071</v>
      </c>
      <c r="C28" s="38">
        <v>45761.29791666667</v>
      </c>
      <c r="D28" s="7">
        <v>45761</v>
      </c>
      <c r="E28" s="99">
        <v>45761</v>
      </c>
      <c r="F28" s="100">
        <f t="shared" si="5"/>
        <v>4</v>
      </c>
      <c r="G28" s="100">
        <v>28</v>
      </c>
      <c r="H28" s="7" t="s">
        <v>2129</v>
      </c>
      <c r="I28" t="s">
        <v>2130</v>
      </c>
      <c r="J28" s="10" t="s">
        <v>141</v>
      </c>
      <c r="K28" s="10" t="s">
        <v>141</v>
      </c>
      <c r="L28" s="10" t="s">
        <v>2131</v>
      </c>
      <c r="M28" s="10" t="s">
        <v>141</v>
      </c>
      <c r="N28" s="10" t="s">
        <v>141</v>
      </c>
      <c r="O28" s="10" t="s">
        <v>2131</v>
      </c>
      <c r="P28" s="10" t="s">
        <v>141</v>
      </c>
      <c r="Q28" s="10" t="s">
        <v>141</v>
      </c>
      <c r="R28" s="10" t="s">
        <v>141</v>
      </c>
      <c r="S28" s="10" t="s">
        <v>2131</v>
      </c>
      <c r="T28" s="10" t="s">
        <v>141</v>
      </c>
      <c r="U28" s="10" t="s">
        <v>141</v>
      </c>
      <c r="V28" s="10" t="s">
        <v>141</v>
      </c>
      <c r="W28" s="10" t="s">
        <v>141</v>
      </c>
      <c r="X28" s="10" t="s">
        <v>141</v>
      </c>
      <c r="Y28" s="10" t="s">
        <v>2131</v>
      </c>
      <c r="Z28" s="10" t="s">
        <v>140</v>
      </c>
      <c r="AA28" s="10" t="s">
        <v>141</v>
      </c>
      <c r="AB28" s="10" t="s">
        <v>141</v>
      </c>
      <c r="AC28" s="10" t="s">
        <v>141</v>
      </c>
      <c r="AD28" s="10" t="s">
        <v>141</v>
      </c>
      <c r="AE28" s="10" t="s">
        <v>141</v>
      </c>
      <c r="AF28" s="10" t="s">
        <v>2131</v>
      </c>
      <c r="AG28" s="10" t="s">
        <v>2131</v>
      </c>
      <c r="AH28" s="10" t="s">
        <v>141</v>
      </c>
      <c r="AI28" s="10" t="s">
        <v>141</v>
      </c>
      <c r="AJ28" s="10" t="s">
        <v>2131</v>
      </c>
      <c r="AK28" s="10" t="s">
        <v>141</v>
      </c>
      <c r="AL28" s="10" t="s">
        <v>141</v>
      </c>
      <c r="AM28" s="10" t="s">
        <v>2131</v>
      </c>
      <c r="AN28" s="10" t="s">
        <v>141</v>
      </c>
      <c r="AO28" s="10" t="s">
        <v>141</v>
      </c>
      <c r="AP28" s="10" t="s">
        <v>141</v>
      </c>
      <c r="AQ28" s="10" t="s">
        <v>141</v>
      </c>
      <c r="AR28" s="10" t="s">
        <v>141</v>
      </c>
      <c r="AS28" s="10" t="s">
        <v>140</v>
      </c>
      <c r="AT28" s="10" t="s">
        <v>2132</v>
      </c>
      <c r="AU28" s="10" t="s">
        <v>140</v>
      </c>
      <c r="AV28" s="10"/>
      <c r="AW28" s="10"/>
      <c r="AX28" s="10"/>
      <c r="AY28" s="77">
        <f t="shared" si="0"/>
        <v>26</v>
      </c>
      <c r="AZ28" s="77">
        <f t="shared" si="1"/>
        <v>8</v>
      </c>
      <c r="BA28" t="s">
        <v>1248</v>
      </c>
    </row>
    <row r="29" spans="1:53">
      <c r="A29" s="10">
        <v>15</v>
      </c>
      <c r="B29">
        <v>2072</v>
      </c>
      <c r="C29" s="38">
        <v>45769.294166666667</v>
      </c>
      <c r="D29" s="7">
        <v>45769</v>
      </c>
      <c r="E29" s="99">
        <v>45769</v>
      </c>
      <c r="F29" s="100">
        <f t="shared" si="5"/>
        <v>4</v>
      </c>
      <c r="G29" s="100">
        <v>29</v>
      </c>
      <c r="H29" s="7" t="s">
        <v>2129</v>
      </c>
      <c r="I29" t="s">
        <v>2130</v>
      </c>
      <c r="J29" s="10" t="s">
        <v>141</v>
      </c>
      <c r="K29" s="10" t="s">
        <v>2131</v>
      </c>
      <c r="L29" s="10" t="s">
        <v>141</v>
      </c>
      <c r="M29" s="10" t="s">
        <v>141</v>
      </c>
      <c r="N29" s="10" t="s">
        <v>141</v>
      </c>
      <c r="O29" s="10" t="s">
        <v>141</v>
      </c>
      <c r="P29" s="10" t="s">
        <v>141</v>
      </c>
      <c r="Q29" s="10" t="s">
        <v>141</v>
      </c>
      <c r="R29" s="10" t="s">
        <v>2131</v>
      </c>
      <c r="S29" s="10" t="s">
        <v>140</v>
      </c>
      <c r="T29" s="10" t="s">
        <v>141</v>
      </c>
      <c r="U29" s="10" t="s">
        <v>2131</v>
      </c>
      <c r="V29" s="10" t="s">
        <v>141</v>
      </c>
      <c r="W29" s="10" t="s">
        <v>2131</v>
      </c>
      <c r="X29" s="10" t="s">
        <v>141</v>
      </c>
      <c r="Y29" s="10" t="s">
        <v>2131</v>
      </c>
      <c r="Z29" s="10" t="s">
        <v>140</v>
      </c>
      <c r="AA29" s="10" t="s">
        <v>2131</v>
      </c>
      <c r="AB29" s="10" t="s">
        <v>2131</v>
      </c>
      <c r="AC29" s="10" t="s">
        <v>2131</v>
      </c>
      <c r="AD29" s="10" t="s">
        <v>2131</v>
      </c>
      <c r="AE29" s="10" t="s">
        <v>2131</v>
      </c>
      <c r="AF29" s="10" t="s">
        <v>140</v>
      </c>
      <c r="AG29" s="10" t="s">
        <v>141</v>
      </c>
      <c r="AH29" s="10" t="s">
        <v>2131</v>
      </c>
      <c r="AI29" s="10" t="s">
        <v>2131</v>
      </c>
      <c r="AJ29" s="10" t="s">
        <v>140</v>
      </c>
      <c r="AK29" s="10" t="s">
        <v>141</v>
      </c>
      <c r="AL29" s="10" t="s">
        <v>141</v>
      </c>
      <c r="AM29" s="10" t="s">
        <v>2131</v>
      </c>
      <c r="AN29" s="10" t="s">
        <v>141</v>
      </c>
      <c r="AO29" s="10" t="s">
        <v>141</v>
      </c>
      <c r="AP29" s="10" t="s">
        <v>141</v>
      </c>
      <c r="AQ29" s="10" t="s">
        <v>141</v>
      </c>
      <c r="AR29" s="10" t="s">
        <v>141</v>
      </c>
      <c r="AS29" s="10" t="s">
        <v>140</v>
      </c>
      <c r="AT29" s="10" t="s">
        <v>2131</v>
      </c>
      <c r="AU29" s="10" t="s">
        <v>140</v>
      </c>
      <c r="AV29" s="10"/>
      <c r="AW29" s="10"/>
      <c r="AX29" s="10"/>
      <c r="AY29" s="77">
        <f t="shared" si="0"/>
        <v>18</v>
      </c>
      <c r="AZ29" s="77">
        <f t="shared" si="1"/>
        <v>13</v>
      </c>
      <c r="BA29" t="s">
        <v>273</v>
      </c>
    </row>
    <row r="30" spans="1:53">
      <c r="A30" s="10">
        <v>16</v>
      </c>
      <c r="B30">
        <v>2073</v>
      </c>
      <c r="C30" s="38">
        <v>45775.292928240742</v>
      </c>
      <c r="D30" s="7">
        <v>45775</v>
      </c>
      <c r="E30" s="99">
        <v>45775</v>
      </c>
      <c r="F30" s="100">
        <f t="shared" si="5"/>
        <v>4</v>
      </c>
      <c r="G30" s="100">
        <v>30</v>
      </c>
      <c r="H30" s="7" t="s">
        <v>2129</v>
      </c>
      <c r="I30" t="s">
        <v>2130</v>
      </c>
      <c r="J30" s="10" t="s">
        <v>141</v>
      </c>
      <c r="K30" s="10" t="s">
        <v>141</v>
      </c>
      <c r="L30" s="10" t="s">
        <v>141</v>
      </c>
      <c r="M30" s="10" t="s">
        <v>141</v>
      </c>
      <c r="N30" s="10" t="s">
        <v>141</v>
      </c>
      <c r="O30" s="10" t="s">
        <v>141</v>
      </c>
      <c r="P30" s="10" t="s">
        <v>141</v>
      </c>
      <c r="Q30" s="10" t="s">
        <v>141</v>
      </c>
      <c r="R30" s="10" t="s">
        <v>141</v>
      </c>
      <c r="S30" s="10" t="s">
        <v>141</v>
      </c>
      <c r="T30" s="10" t="s">
        <v>141</v>
      </c>
      <c r="U30" s="10" t="s">
        <v>141</v>
      </c>
      <c r="V30" s="10" t="s">
        <v>141</v>
      </c>
      <c r="W30" s="10" t="s">
        <v>141</v>
      </c>
      <c r="X30" s="10" t="s">
        <v>141</v>
      </c>
      <c r="Y30" s="10" t="s">
        <v>141</v>
      </c>
      <c r="Z30" s="10" t="s">
        <v>141</v>
      </c>
      <c r="AA30" s="10" t="s">
        <v>141</v>
      </c>
      <c r="AB30" s="10" t="s">
        <v>141</v>
      </c>
      <c r="AC30" s="10" t="s">
        <v>140</v>
      </c>
      <c r="AD30" s="10" t="s">
        <v>140</v>
      </c>
      <c r="AE30" s="10" t="s">
        <v>141</v>
      </c>
      <c r="AF30" s="10" t="s">
        <v>141</v>
      </c>
      <c r="AG30" s="10" t="s">
        <v>141</v>
      </c>
      <c r="AH30" s="10" t="s">
        <v>2131</v>
      </c>
      <c r="AI30" s="10" t="s">
        <v>141</v>
      </c>
      <c r="AJ30" s="10" t="s">
        <v>2131</v>
      </c>
      <c r="AK30" s="10" t="s">
        <v>141</v>
      </c>
      <c r="AL30" s="10" t="s">
        <v>141</v>
      </c>
      <c r="AM30" s="10" t="s">
        <v>2131</v>
      </c>
      <c r="AN30" s="10" t="s">
        <v>141</v>
      </c>
      <c r="AO30" s="10" t="s">
        <v>141</v>
      </c>
      <c r="AP30" s="10" t="s">
        <v>140</v>
      </c>
      <c r="AQ30" s="10" t="s">
        <v>141</v>
      </c>
      <c r="AR30" s="10" t="s">
        <v>141</v>
      </c>
      <c r="AS30" s="10" t="s">
        <v>141</v>
      </c>
      <c r="AT30" s="10" t="s">
        <v>2131</v>
      </c>
      <c r="AU30" s="10" t="s">
        <v>140</v>
      </c>
      <c r="AV30" s="10"/>
      <c r="AW30" s="10"/>
      <c r="AX30" s="10"/>
      <c r="AY30" s="77">
        <f t="shared" si="0"/>
        <v>30</v>
      </c>
      <c r="AZ30" s="77">
        <f t="shared" si="1"/>
        <v>3</v>
      </c>
      <c r="BA30" t="s">
        <v>1248</v>
      </c>
    </row>
    <row r="31" spans="1:53">
      <c r="A31" s="10">
        <v>17</v>
      </c>
      <c r="B31">
        <v>2074</v>
      </c>
      <c r="C31" s="38">
        <v>45782.295428240737</v>
      </c>
      <c r="D31" s="7">
        <v>45782</v>
      </c>
      <c r="E31" s="99">
        <v>45782</v>
      </c>
      <c r="F31" s="100">
        <f t="shared" si="5"/>
        <v>5</v>
      </c>
      <c r="G31" s="100">
        <v>31</v>
      </c>
      <c r="H31" s="7" t="s">
        <v>2129</v>
      </c>
      <c r="I31" t="s">
        <v>2130</v>
      </c>
      <c r="J31" s="10" t="s">
        <v>141</v>
      </c>
      <c r="K31" s="10" t="s">
        <v>141</v>
      </c>
      <c r="L31" s="10" t="s">
        <v>2131</v>
      </c>
      <c r="M31" s="10" t="s">
        <v>141</v>
      </c>
      <c r="N31" s="10" t="s">
        <v>2131</v>
      </c>
      <c r="O31" s="10" t="s">
        <v>141</v>
      </c>
      <c r="P31" s="10" t="s">
        <v>141</v>
      </c>
      <c r="Q31" s="10" t="s">
        <v>141</v>
      </c>
      <c r="R31" s="10" t="s">
        <v>141</v>
      </c>
      <c r="S31" s="10" t="s">
        <v>141</v>
      </c>
      <c r="T31" s="10" t="s">
        <v>141</v>
      </c>
      <c r="U31" s="10" t="s">
        <v>141</v>
      </c>
      <c r="V31" s="10" t="s">
        <v>141</v>
      </c>
      <c r="W31" s="10" t="s">
        <v>2131</v>
      </c>
      <c r="X31" s="10" t="s">
        <v>141</v>
      </c>
      <c r="Y31" s="10" t="s">
        <v>141</v>
      </c>
      <c r="Z31" s="10" t="s">
        <v>140</v>
      </c>
      <c r="AA31" s="10" t="s">
        <v>141</v>
      </c>
      <c r="AB31" s="10" t="s">
        <v>141</v>
      </c>
      <c r="AC31" s="10" t="s">
        <v>141</v>
      </c>
      <c r="AD31" s="10" t="s">
        <v>2131</v>
      </c>
      <c r="AE31" s="10" t="s">
        <v>141</v>
      </c>
      <c r="AF31" s="10" t="s">
        <v>2131</v>
      </c>
      <c r="AG31" s="10" t="s">
        <v>2131</v>
      </c>
      <c r="AH31" s="10" t="s">
        <v>2131</v>
      </c>
      <c r="AI31" s="10" t="s">
        <v>141</v>
      </c>
      <c r="AJ31" s="10" t="s">
        <v>141</v>
      </c>
      <c r="AK31" s="10" t="s">
        <v>141</v>
      </c>
      <c r="AL31" s="10" t="s">
        <v>141</v>
      </c>
      <c r="AM31" s="10" t="s">
        <v>2131</v>
      </c>
      <c r="AN31" s="10" t="s">
        <v>2131</v>
      </c>
      <c r="AO31" s="10" t="s">
        <v>2131</v>
      </c>
      <c r="AP31" s="10" t="s">
        <v>140</v>
      </c>
      <c r="AQ31" s="10" t="s">
        <v>141</v>
      </c>
      <c r="AR31" s="10" t="s">
        <v>2131</v>
      </c>
      <c r="AS31" s="10" t="s">
        <v>141</v>
      </c>
      <c r="AT31" s="10" t="s">
        <v>140</v>
      </c>
      <c r="AU31" s="10" t="s">
        <v>140</v>
      </c>
      <c r="AV31" s="10"/>
      <c r="AW31" s="10"/>
      <c r="AX31" s="10"/>
      <c r="AY31" s="77">
        <f t="shared" si="0"/>
        <v>23</v>
      </c>
      <c r="AZ31" s="77">
        <f t="shared" si="1"/>
        <v>11</v>
      </c>
      <c r="BA31" t="s">
        <v>273</v>
      </c>
    </row>
    <row r="32" spans="1:53">
      <c r="A32" s="10">
        <v>18</v>
      </c>
      <c r="B32">
        <v>2075</v>
      </c>
      <c r="C32" s="38">
        <v>45789.294641203705</v>
      </c>
      <c r="D32" s="7">
        <v>45789</v>
      </c>
      <c r="E32" s="99">
        <v>45789</v>
      </c>
      <c r="F32" s="100">
        <f t="shared" si="5"/>
        <v>5</v>
      </c>
      <c r="G32" s="100">
        <v>32</v>
      </c>
      <c r="H32" s="7" t="s">
        <v>2129</v>
      </c>
      <c r="I32" t="s">
        <v>2130</v>
      </c>
      <c r="J32" s="10" t="s">
        <v>141</v>
      </c>
      <c r="K32" s="10" t="s">
        <v>141</v>
      </c>
      <c r="L32" s="10" t="s">
        <v>141</v>
      </c>
      <c r="M32" s="10" t="s">
        <v>141</v>
      </c>
      <c r="N32" s="10" t="s">
        <v>2131</v>
      </c>
      <c r="O32" s="10" t="s">
        <v>141</v>
      </c>
      <c r="P32" s="10" t="s">
        <v>2131</v>
      </c>
      <c r="Q32" s="10" t="s">
        <v>141</v>
      </c>
      <c r="R32" s="10" t="s">
        <v>2131</v>
      </c>
      <c r="S32" s="10" t="s">
        <v>141</v>
      </c>
      <c r="T32" s="10" t="s">
        <v>141</v>
      </c>
      <c r="U32" s="10" t="s">
        <v>141</v>
      </c>
      <c r="V32" s="10" t="s">
        <v>141</v>
      </c>
      <c r="W32" s="10" t="s">
        <v>2131</v>
      </c>
      <c r="X32" s="10" t="s">
        <v>141</v>
      </c>
      <c r="Y32" s="10" t="s">
        <v>141</v>
      </c>
      <c r="Z32" s="10" t="s">
        <v>2131</v>
      </c>
      <c r="AA32" s="10" t="s">
        <v>141</v>
      </c>
      <c r="AB32" s="10" t="s">
        <v>141</v>
      </c>
      <c r="AC32" s="10" t="s">
        <v>2131</v>
      </c>
      <c r="AD32" s="10" t="s">
        <v>2131</v>
      </c>
      <c r="AE32" s="10" t="s">
        <v>2131</v>
      </c>
      <c r="AF32" s="10" t="s">
        <v>141</v>
      </c>
      <c r="AG32" s="10" t="s">
        <v>141</v>
      </c>
      <c r="AH32" s="10" t="s">
        <v>2131</v>
      </c>
      <c r="AI32" s="10" t="s">
        <v>141</v>
      </c>
      <c r="AJ32" s="10" t="s">
        <v>141</v>
      </c>
      <c r="AK32" s="10" t="s">
        <v>141</v>
      </c>
      <c r="AL32" s="10" t="s">
        <v>141</v>
      </c>
      <c r="AM32" s="10" t="s">
        <v>2131</v>
      </c>
      <c r="AN32" s="10" t="s">
        <v>141</v>
      </c>
      <c r="AO32" s="10" t="s">
        <v>141</v>
      </c>
      <c r="AP32" s="10" t="s">
        <v>140</v>
      </c>
      <c r="AQ32" s="10" t="s">
        <v>141</v>
      </c>
      <c r="AR32" s="10" t="s">
        <v>141</v>
      </c>
      <c r="AS32" s="10" t="s">
        <v>2131</v>
      </c>
      <c r="AT32" s="10" t="s">
        <v>141</v>
      </c>
      <c r="AU32" s="10" t="s">
        <v>140</v>
      </c>
      <c r="AV32" s="10"/>
      <c r="AW32" s="10"/>
      <c r="AX32" s="10"/>
      <c r="AY32" s="77">
        <f t="shared" si="0"/>
        <v>25</v>
      </c>
      <c r="AZ32" s="77">
        <f t="shared" si="1"/>
        <v>10</v>
      </c>
      <c r="BA32" t="s">
        <v>273</v>
      </c>
    </row>
    <row r="33" spans="1:53">
      <c r="A33" s="10">
        <v>19</v>
      </c>
      <c r="B33">
        <v>2076</v>
      </c>
      <c r="C33" s="38">
        <v>45796.29515046296</v>
      </c>
      <c r="D33" s="7">
        <v>45796</v>
      </c>
      <c r="E33" s="99">
        <v>45796</v>
      </c>
      <c r="F33" s="100">
        <f t="shared" ref="F33:F38" si="6">MONTH($E33)</f>
        <v>5</v>
      </c>
      <c r="G33" s="100">
        <v>33</v>
      </c>
      <c r="H33" s="7" t="s">
        <v>2129</v>
      </c>
      <c r="I33" t="s">
        <v>2130</v>
      </c>
      <c r="J33" s="10" t="s">
        <v>141</v>
      </c>
      <c r="K33" s="10" t="s">
        <v>141</v>
      </c>
      <c r="L33" s="10" t="s">
        <v>141</v>
      </c>
      <c r="M33" s="10" t="s">
        <v>141</v>
      </c>
      <c r="N33" s="10" t="s">
        <v>2131</v>
      </c>
      <c r="O33" s="10" t="s">
        <v>141</v>
      </c>
      <c r="P33" s="10" t="s">
        <v>141</v>
      </c>
      <c r="Q33" s="10" t="s">
        <v>141</v>
      </c>
      <c r="R33" s="10" t="s">
        <v>141</v>
      </c>
      <c r="S33" s="10" t="s">
        <v>141</v>
      </c>
      <c r="T33" s="10" t="s">
        <v>141</v>
      </c>
      <c r="U33" s="10" t="s">
        <v>2131</v>
      </c>
      <c r="V33" s="10" t="s">
        <v>141</v>
      </c>
      <c r="W33" s="10" t="s">
        <v>2131</v>
      </c>
      <c r="X33" s="10" t="s">
        <v>141</v>
      </c>
      <c r="Y33" s="10" t="s">
        <v>141</v>
      </c>
      <c r="Z33" s="10" t="s">
        <v>141</v>
      </c>
      <c r="AA33" s="10" t="s">
        <v>2131</v>
      </c>
      <c r="AB33" s="10" t="s">
        <v>2131</v>
      </c>
      <c r="AC33" s="10" t="s">
        <v>141</v>
      </c>
      <c r="AD33" s="10" t="s">
        <v>141</v>
      </c>
      <c r="AE33" s="10" t="s">
        <v>2135</v>
      </c>
      <c r="AF33" s="10" t="s">
        <v>141</v>
      </c>
      <c r="AG33" s="10" t="s">
        <v>2131</v>
      </c>
      <c r="AH33" s="10" t="s">
        <v>2131</v>
      </c>
      <c r="AI33" s="10" t="s">
        <v>2131</v>
      </c>
      <c r="AJ33" s="10" t="s">
        <v>141</v>
      </c>
      <c r="AK33" s="10" t="s">
        <v>2131</v>
      </c>
      <c r="AL33" s="10" t="s">
        <v>141</v>
      </c>
      <c r="AM33" s="10" t="s">
        <v>2131</v>
      </c>
      <c r="AN33" s="10" t="s">
        <v>140</v>
      </c>
      <c r="AO33" s="10" t="s">
        <v>141</v>
      </c>
      <c r="AP33" s="10" t="s">
        <v>141</v>
      </c>
      <c r="AQ33" s="10" t="s">
        <v>2131</v>
      </c>
      <c r="AR33" s="10" t="s">
        <v>141</v>
      </c>
      <c r="AS33" s="10" t="s">
        <v>141</v>
      </c>
      <c r="AT33" s="10" t="s">
        <v>141</v>
      </c>
      <c r="AU33" s="10" t="s">
        <v>140</v>
      </c>
      <c r="AV33" s="10"/>
      <c r="AW33" s="10"/>
      <c r="AX33" s="10"/>
      <c r="AY33" s="77">
        <f t="shared" si="0"/>
        <v>24</v>
      </c>
      <c r="AZ33" s="77">
        <f t="shared" si="1"/>
        <v>11</v>
      </c>
      <c r="BA33" t="s">
        <v>1248</v>
      </c>
    </row>
    <row r="34" spans="1:53">
      <c r="A34" s="10">
        <v>20</v>
      </c>
      <c r="B34">
        <v>2077</v>
      </c>
      <c r="C34" s="38">
        <v>45803.296157407407</v>
      </c>
      <c r="D34" s="7">
        <v>45803</v>
      </c>
      <c r="E34" s="99">
        <v>45803</v>
      </c>
      <c r="F34" s="100">
        <f t="shared" si="6"/>
        <v>5</v>
      </c>
      <c r="G34" s="100">
        <v>34</v>
      </c>
      <c r="H34" s="7" t="s">
        <v>2129</v>
      </c>
      <c r="I34" t="s">
        <v>2130</v>
      </c>
      <c r="J34" s="10" t="s">
        <v>141</v>
      </c>
      <c r="K34" s="10" t="s">
        <v>141</v>
      </c>
      <c r="L34" s="10" t="s">
        <v>2131</v>
      </c>
      <c r="M34" s="10" t="s">
        <v>141</v>
      </c>
      <c r="N34" s="10" t="s">
        <v>141</v>
      </c>
      <c r="O34" s="10" t="s">
        <v>141</v>
      </c>
      <c r="P34" s="10" t="s">
        <v>141</v>
      </c>
      <c r="Q34" s="10" t="s">
        <v>141</v>
      </c>
      <c r="R34" s="10" t="s">
        <v>2131</v>
      </c>
      <c r="S34" s="10" t="s">
        <v>141</v>
      </c>
      <c r="T34" s="10" t="s">
        <v>2131</v>
      </c>
      <c r="U34" s="10" t="s">
        <v>141</v>
      </c>
      <c r="V34" s="10" t="s">
        <v>141</v>
      </c>
      <c r="W34" s="10" t="s">
        <v>141</v>
      </c>
      <c r="X34" s="10" t="s">
        <v>141</v>
      </c>
      <c r="Y34" s="10" t="s">
        <v>141</v>
      </c>
      <c r="Z34" s="10" t="s">
        <v>2131</v>
      </c>
      <c r="AA34" s="10" t="s">
        <v>2131</v>
      </c>
      <c r="AB34" s="10" t="s">
        <v>141</v>
      </c>
      <c r="AC34" s="10" t="s">
        <v>2131</v>
      </c>
      <c r="AD34" s="10" t="s">
        <v>141</v>
      </c>
      <c r="AE34" s="10" t="s">
        <v>2131</v>
      </c>
      <c r="AF34" s="10" t="s">
        <v>2131</v>
      </c>
      <c r="AG34" s="10" t="s">
        <v>141</v>
      </c>
      <c r="AH34" s="10" t="s">
        <v>2131</v>
      </c>
      <c r="AI34" s="10" t="s">
        <v>141</v>
      </c>
      <c r="AJ34" s="10" t="s">
        <v>2131</v>
      </c>
      <c r="AK34" s="10" t="s">
        <v>141</v>
      </c>
      <c r="AL34" s="10" t="s">
        <v>141</v>
      </c>
      <c r="AM34" s="10" t="s">
        <v>2131</v>
      </c>
      <c r="AN34" s="10" t="s">
        <v>141</v>
      </c>
      <c r="AO34" s="10" t="s">
        <v>2131</v>
      </c>
      <c r="AP34" s="10" t="s">
        <v>140</v>
      </c>
      <c r="AQ34" s="10" t="s">
        <v>141</v>
      </c>
      <c r="AR34" s="10" t="s">
        <v>141</v>
      </c>
      <c r="AS34" s="10" t="s">
        <v>141</v>
      </c>
      <c r="AT34" s="10" t="s">
        <v>141</v>
      </c>
      <c r="AU34" s="10" t="s">
        <v>140</v>
      </c>
      <c r="AV34" s="10"/>
      <c r="AW34" s="10"/>
      <c r="AX34" s="10"/>
      <c r="AY34" s="77">
        <f t="shared" ref="AY34:AY58" si="7">COUNTIF($J34:$AV34,"I")</f>
        <v>24</v>
      </c>
      <c r="AZ34" s="77">
        <f t="shared" ref="AZ34:AZ52" si="8">COUNTIF($J34:$AR34,"L")</f>
        <v>12</v>
      </c>
      <c r="BA34" t="s">
        <v>1245</v>
      </c>
    </row>
    <row r="35" spans="1:53">
      <c r="A35" s="10">
        <v>21</v>
      </c>
      <c r="B35">
        <v>2078</v>
      </c>
      <c r="C35" s="38">
        <v>45811.296203703707</v>
      </c>
      <c r="D35" s="7">
        <v>45811</v>
      </c>
      <c r="E35" s="99">
        <v>45811</v>
      </c>
      <c r="F35" s="100">
        <f t="shared" si="6"/>
        <v>6</v>
      </c>
      <c r="G35" s="100">
        <v>35</v>
      </c>
      <c r="H35" s="7" t="s">
        <v>2129</v>
      </c>
      <c r="I35" t="s">
        <v>2130</v>
      </c>
      <c r="J35" s="10" t="s">
        <v>141</v>
      </c>
      <c r="K35" s="10" t="s">
        <v>141</v>
      </c>
      <c r="L35" s="10" t="s">
        <v>2131</v>
      </c>
      <c r="M35" s="10" t="s">
        <v>141</v>
      </c>
      <c r="N35" s="10" t="s">
        <v>141</v>
      </c>
      <c r="O35" s="10" t="s">
        <v>2131</v>
      </c>
      <c r="P35" s="10" t="s">
        <v>141</v>
      </c>
      <c r="Q35" s="10" t="s">
        <v>2131</v>
      </c>
      <c r="R35" s="10" t="s">
        <v>141</v>
      </c>
      <c r="S35" s="10" t="s">
        <v>141</v>
      </c>
      <c r="T35" s="10" t="s">
        <v>2131</v>
      </c>
      <c r="U35" s="10" t="s">
        <v>2131</v>
      </c>
      <c r="V35" s="10" t="s">
        <v>141</v>
      </c>
      <c r="W35" s="10" t="s">
        <v>141</v>
      </c>
      <c r="X35" s="10" t="s">
        <v>141</v>
      </c>
      <c r="Y35" s="10" t="s">
        <v>141</v>
      </c>
      <c r="Z35" s="10" t="s">
        <v>141</v>
      </c>
      <c r="AA35" s="10" t="s">
        <v>2131</v>
      </c>
      <c r="AB35" s="10" t="s">
        <v>2131</v>
      </c>
      <c r="AC35" s="10" t="s">
        <v>141</v>
      </c>
      <c r="AD35" s="10" t="s">
        <v>2131</v>
      </c>
      <c r="AE35" s="10" t="s">
        <v>141</v>
      </c>
      <c r="AF35" s="10" t="s">
        <v>2131</v>
      </c>
      <c r="AG35" s="10" t="s">
        <v>141</v>
      </c>
      <c r="AH35" s="10" t="s">
        <v>141</v>
      </c>
      <c r="AI35" s="10" t="s">
        <v>141</v>
      </c>
      <c r="AJ35" s="10" t="s">
        <v>2131</v>
      </c>
      <c r="AK35" s="10" t="s">
        <v>141</v>
      </c>
      <c r="AL35" s="10" t="s">
        <v>2131</v>
      </c>
      <c r="AM35" s="10" t="s">
        <v>141</v>
      </c>
      <c r="AN35" s="10" t="s">
        <v>2131</v>
      </c>
      <c r="AO35" s="10" t="s">
        <v>141</v>
      </c>
      <c r="AP35" s="10" t="s">
        <v>141</v>
      </c>
      <c r="AQ35" s="10" t="s">
        <v>141</v>
      </c>
      <c r="AR35" s="10" t="s">
        <v>141</v>
      </c>
      <c r="AS35" s="10" t="s">
        <v>2131</v>
      </c>
      <c r="AT35" s="10" t="s">
        <v>141</v>
      </c>
      <c r="AU35" s="10" t="s">
        <v>140</v>
      </c>
      <c r="AV35" s="10"/>
      <c r="AW35" s="10"/>
      <c r="AX35" s="10"/>
      <c r="AY35" s="77">
        <f t="shared" si="7"/>
        <v>24</v>
      </c>
      <c r="AZ35" s="77">
        <f t="shared" si="8"/>
        <v>12</v>
      </c>
      <c r="BA35" t="s">
        <v>1950</v>
      </c>
    </row>
    <row r="36" spans="1:53">
      <c r="A36" s="10">
        <v>22</v>
      </c>
      <c r="B36">
        <v>2079</v>
      </c>
      <c r="C36" s="38">
        <v>45817.308703703704</v>
      </c>
      <c r="D36" s="7">
        <v>45817</v>
      </c>
      <c r="E36" s="99">
        <v>45817</v>
      </c>
      <c r="F36" s="100">
        <f t="shared" si="6"/>
        <v>6</v>
      </c>
      <c r="G36" s="100">
        <v>36</v>
      </c>
      <c r="H36" s="7" t="s">
        <v>2134</v>
      </c>
      <c r="I36" t="s">
        <v>2130</v>
      </c>
      <c r="J36" s="10" t="s">
        <v>141</v>
      </c>
      <c r="K36" s="10" t="s">
        <v>141</v>
      </c>
      <c r="L36" s="10" t="s">
        <v>2131</v>
      </c>
      <c r="M36" s="10" t="s">
        <v>141</v>
      </c>
      <c r="N36" s="10" t="s">
        <v>141</v>
      </c>
      <c r="O36" s="10" t="s">
        <v>2131</v>
      </c>
      <c r="P36" s="10" t="s">
        <v>141</v>
      </c>
      <c r="Q36" s="10" t="s">
        <v>141</v>
      </c>
      <c r="R36" s="10" t="s">
        <v>141</v>
      </c>
      <c r="S36" s="10" t="s">
        <v>141</v>
      </c>
      <c r="T36" s="10" t="s">
        <v>2131</v>
      </c>
      <c r="U36" s="10" t="s">
        <v>141</v>
      </c>
      <c r="V36" s="10" t="s">
        <v>141</v>
      </c>
      <c r="W36" s="10" t="s">
        <v>2131</v>
      </c>
      <c r="X36" s="10" t="s">
        <v>141</v>
      </c>
      <c r="Y36" s="10" t="s">
        <v>2131</v>
      </c>
      <c r="Z36" s="10" t="s">
        <v>2131</v>
      </c>
      <c r="AA36" s="10" t="s">
        <v>2131</v>
      </c>
      <c r="AB36" s="10" t="s">
        <v>141</v>
      </c>
      <c r="AC36" s="10" t="s">
        <v>141</v>
      </c>
      <c r="AD36" s="10" t="s">
        <v>2131</v>
      </c>
      <c r="AE36" s="10" t="s">
        <v>141</v>
      </c>
      <c r="AF36" s="10" t="s">
        <v>2131</v>
      </c>
      <c r="AG36" s="10" t="s">
        <v>141</v>
      </c>
      <c r="AH36" s="10" t="s">
        <v>141</v>
      </c>
      <c r="AI36" s="10" t="s">
        <v>141</v>
      </c>
      <c r="AJ36" s="10" t="s">
        <v>141</v>
      </c>
      <c r="AK36" s="10" t="s">
        <v>141</v>
      </c>
      <c r="AL36" s="10" t="s">
        <v>2131</v>
      </c>
      <c r="AM36" s="10" t="s">
        <v>141</v>
      </c>
      <c r="AN36" s="10" t="s">
        <v>141</v>
      </c>
      <c r="AO36" s="10" t="s">
        <v>141</v>
      </c>
      <c r="AP36" s="10" t="s">
        <v>141</v>
      </c>
      <c r="AQ36" s="10" t="s">
        <v>2131</v>
      </c>
      <c r="AR36" s="10" t="s">
        <v>141</v>
      </c>
      <c r="AS36" s="10" t="s">
        <v>141</v>
      </c>
      <c r="AT36" s="10" t="s">
        <v>141</v>
      </c>
      <c r="AU36" s="10" t="s">
        <v>140</v>
      </c>
      <c r="AV36" s="10"/>
      <c r="AW36" s="10"/>
      <c r="AX36" s="10"/>
      <c r="AY36" s="77">
        <f t="shared" si="7"/>
        <v>26</v>
      </c>
      <c r="AZ36" s="77">
        <f t="shared" si="8"/>
        <v>11</v>
      </c>
      <c r="BA36" t="s">
        <v>1245</v>
      </c>
    </row>
    <row r="37" spans="1:53">
      <c r="A37" s="10">
        <v>23</v>
      </c>
      <c r="B37">
        <v>2080</v>
      </c>
      <c r="C37" s="38">
        <v>45824.293680555558</v>
      </c>
      <c r="D37" s="7">
        <v>45824</v>
      </c>
      <c r="E37" s="99">
        <v>45824</v>
      </c>
      <c r="F37" s="100">
        <f t="shared" si="6"/>
        <v>6</v>
      </c>
      <c r="G37" s="100">
        <v>37</v>
      </c>
      <c r="H37" s="7" t="s">
        <v>2134</v>
      </c>
      <c r="I37" t="s">
        <v>2130</v>
      </c>
      <c r="J37" s="10" t="s">
        <v>141</v>
      </c>
      <c r="K37" s="10" t="s">
        <v>141</v>
      </c>
      <c r="L37" s="10" t="s">
        <v>141</v>
      </c>
      <c r="M37" s="10" t="s">
        <v>141</v>
      </c>
      <c r="N37" s="10" t="s">
        <v>141</v>
      </c>
      <c r="O37" s="10" t="s">
        <v>141</v>
      </c>
      <c r="P37" s="10" t="s">
        <v>141</v>
      </c>
      <c r="Q37" s="10" t="s">
        <v>141</v>
      </c>
      <c r="R37" s="10" t="s">
        <v>2131</v>
      </c>
      <c r="S37" s="10" t="s">
        <v>141</v>
      </c>
      <c r="T37" s="10" t="s">
        <v>141</v>
      </c>
      <c r="U37" s="10" t="s">
        <v>141</v>
      </c>
      <c r="V37" s="10" t="s">
        <v>141</v>
      </c>
      <c r="W37" s="10" t="s">
        <v>141</v>
      </c>
      <c r="X37" s="10" t="s">
        <v>2131</v>
      </c>
      <c r="Y37" s="10" t="s">
        <v>141</v>
      </c>
      <c r="Z37" s="10" t="s">
        <v>2131</v>
      </c>
      <c r="AA37" s="10" t="s">
        <v>141</v>
      </c>
      <c r="AB37" s="10" t="s">
        <v>2131</v>
      </c>
      <c r="AC37" s="10" t="s">
        <v>141</v>
      </c>
      <c r="AD37" s="10" t="s">
        <v>141</v>
      </c>
      <c r="AE37" s="10" t="s">
        <v>141</v>
      </c>
      <c r="AF37" s="10" t="s">
        <v>2131</v>
      </c>
      <c r="AG37" s="10" t="s">
        <v>141</v>
      </c>
      <c r="AH37" s="10" t="s">
        <v>141</v>
      </c>
      <c r="AI37" s="10" t="s">
        <v>141</v>
      </c>
      <c r="AJ37" s="10" t="s">
        <v>2131</v>
      </c>
      <c r="AK37" s="10" t="s">
        <v>141</v>
      </c>
      <c r="AL37" s="10" t="s">
        <v>141</v>
      </c>
      <c r="AM37" s="10" t="s">
        <v>141</v>
      </c>
      <c r="AN37" s="10" t="s">
        <v>141</v>
      </c>
      <c r="AO37" s="10" t="s">
        <v>141</v>
      </c>
      <c r="AP37" s="10" t="s">
        <v>141</v>
      </c>
      <c r="AQ37" s="10" t="s">
        <v>141</v>
      </c>
      <c r="AR37" s="10" t="s">
        <v>141</v>
      </c>
      <c r="AS37" s="10" t="s">
        <v>141</v>
      </c>
      <c r="AT37" s="10" t="s">
        <v>141</v>
      </c>
      <c r="AU37" s="10" t="s">
        <v>140</v>
      </c>
      <c r="AV37" s="10"/>
      <c r="AW37" s="10"/>
      <c r="AX37" s="10"/>
      <c r="AY37" s="77">
        <f t="shared" si="7"/>
        <v>31</v>
      </c>
      <c r="AZ37" s="77">
        <f t="shared" si="8"/>
        <v>6</v>
      </c>
      <c r="BA37" t="s">
        <v>273</v>
      </c>
    </row>
    <row r="38" spans="1:53">
      <c r="A38" s="10">
        <v>24</v>
      </c>
      <c r="B38">
        <v>2081</v>
      </c>
      <c r="C38" s="38">
        <v>45831.294872685183</v>
      </c>
      <c r="D38" s="7">
        <v>45831</v>
      </c>
      <c r="E38" s="99">
        <v>45831</v>
      </c>
      <c r="F38" s="100">
        <f t="shared" si="6"/>
        <v>6</v>
      </c>
      <c r="G38" s="100">
        <v>38</v>
      </c>
      <c r="H38" s="7" t="s">
        <v>2129</v>
      </c>
      <c r="I38" t="s">
        <v>2130</v>
      </c>
      <c r="J38" s="10" t="s">
        <v>141</v>
      </c>
      <c r="K38" s="10" t="s">
        <v>141</v>
      </c>
      <c r="L38" s="10" t="s">
        <v>141</v>
      </c>
      <c r="M38" s="10" t="s">
        <v>141</v>
      </c>
      <c r="N38" s="10" t="s">
        <v>141</v>
      </c>
      <c r="O38" s="10" t="s">
        <v>141</v>
      </c>
      <c r="P38" s="10" t="s">
        <v>141</v>
      </c>
      <c r="Q38" s="10" t="s">
        <v>141</v>
      </c>
      <c r="R38" s="10" t="s">
        <v>141</v>
      </c>
      <c r="S38" s="10" t="s">
        <v>141</v>
      </c>
      <c r="T38" s="10" t="s">
        <v>141</v>
      </c>
      <c r="U38" s="10" t="s">
        <v>141</v>
      </c>
      <c r="V38" s="10" t="s">
        <v>141</v>
      </c>
      <c r="W38" s="10" t="s">
        <v>141</v>
      </c>
      <c r="X38" s="10" t="s">
        <v>141</v>
      </c>
      <c r="Y38" s="10" t="s">
        <v>141</v>
      </c>
      <c r="Z38" s="10" t="s">
        <v>2131</v>
      </c>
      <c r="AA38" s="10" t="s">
        <v>141</v>
      </c>
      <c r="AB38" s="10" t="s">
        <v>141</v>
      </c>
      <c r="AC38" s="10" t="s">
        <v>141</v>
      </c>
      <c r="AD38" s="10" t="s">
        <v>141</v>
      </c>
      <c r="AE38" s="10" t="s">
        <v>141</v>
      </c>
      <c r="AF38" s="10" t="s">
        <v>141</v>
      </c>
      <c r="AG38" s="10" t="s">
        <v>2131</v>
      </c>
      <c r="AH38" s="10" t="s">
        <v>141</v>
      </c>
      <c r="AI38" s="10" t="s">
        <v>141</v>
      </c>
      <c r="AJ38" s="10" t="s">
        <v>140</v>
      </c>
      <c r="AK38" s="10" t="s">
        <v>141</v>
      </c>
      <c r="AL38" s="10" t="s">
        <v>141</v>
      </c>
      <c r="AM38" s="10" t="s">
        <v>141</v>
      </c>
      <c r="AN38" s="10" t="s">
        <v>141</v>
      </c>
      <c r="AO38" s="10" t="s">
        <v>141</v>
      </c>
      <c r="AP38" s="10" t="s">
        <v>141</v>
      </c>
      <c r="AQ38" s="10" t="s">
        <v>141</v>
      </c>
      <c r="AR38" s="10" t="s">
        <v>2131</v>
      </c>
      <c r="AS38" s="10" t="s">
        <v>141</v>
      </c>
      <c r="AT38" s="10" t="s">
        <v>141</v>
      </c>
      <c r="AU38" s="10" t="s">
        <v>140</v>
      </c>
      <c r="AV38" s="10"/>
      <c r="AW38" s="10"/>
      <c r="AX38" s="10"/>
      <c r="AY38" s="77">
        <f t="shared" si="7"/>
        <v>33</v>
      </c>
      <c r="AZ38" s="77">
        <f t="shared" si="8"/>
        <v>3</v>
      </c>
      <c r="BA38" t="s">
        <v>273</v>
      </c>
    </row>
    <row r="39" spans="1:53">
      <c r="A39" s="10">
        <v>25</v>
      </c>
      <c r="B39">
        <v>2082</v>
      </c>
      <c r="C39" s="38">
        <v>45838.295162037037</v>
      </c>
      <c r="D39" s="7">
        <v>45838</v>
      </c>
      <c r="E39" s="99">
        <v>45838</v>
      </c>
      <c r="F39" s="100">
        <f t="shared" ref="F39:F44" si="9">MONTH($E39)</f>
        <v>6</v>
      </c>
      <c r="G39" s="100">
        <v>39</v>
      </c>
      <c r="H39" s="7" t="s">
        <v>2129</v>
      </c>
      <c r="I39" t="s">
        <v>2130</v>
      </c>
      <c r="J39" s="10" t="s">
        <v>141</v>
      </c>
      <c r="K39" s="10" t="s">
        <v>2131</v>
      </c>
      <c r="L39" s="10" t="s">
        <v>141</v>
      </c>
      <c r="M39" s="10" t="s">
        <v>141</v>
      </c>
      <c r="N39" s="10" t="s">
        <v>141</v>
      </c>
      <c r="O39" s="10" t="s">
        <v>2131</v>
      </c>
      <c r="P39" s="10" t="s">
        <v>141</v>
      </c>
      <c r="Q39" s="10" t="s">
        <v>141</v>
      </c>
      <c r="R39" s="10" t="s">
        <v>2131</v>
      </c>
      <c r="S39" s="10" t="s">
        <v>2131</v>
      </c>
      <c r="T39" s="10" t="s">
        <v>141</v>
      </c>
      <c r="U39" s="10" t="s">
        <v>2131</v>
      </c>
      <c r="V39" s="10" t="s">
        <v>141</v>
      </c>
      <c r="W39" s="10" t="s">
        <v>2131</v>
      </c>
      <c r="X39" s="10" t="s">
        <v>141</v>
      </c>
      <c r="Y39" s="10" t="s">
        <v>141</v>
      </c>
      <c r="Z39" s="10" t="s">
        <v>141</v>
      </c>
      <c r="AA39" s="10" t="s">
        <v>141</v>
      </c>
      <c r="AB39" s="10" t="s">
        <v>141</v>
      </c>
      <c r="AC39" s="10" t="s">
        <v>2131</v>
      </c>
      <c r="AD39" s="10" t="s">
        <v>141</v>
      </c>
      <c r="AE39" s="10" t="s">
        <v>2131</v>
      </c>
      <c r="AF39" s="10" t="s">
        <v>141</v>
      </c>
      <c r="AG39" s="10" t="s">
        <v>141</v>
      </c>
      <c r="AH39" s="10" t="s">
        <v>2131</v>
      </c>
      <c r="AI39" s="10" t="s">
        <v>141</v>
      </c>
      <c r="AJ39" s="10" t="s">
        <v>141</v>
      </c>
      <c r="AK39" s="10" t="s">
        <v>141</v>
      </c>
      <c r="AL39" s="10" t="s">
        <v>141</v>
      </c>
      <c r="AM39" s="10" t="s">
        <v>141</v>
      </c>
      <c r="AN39" s="10" t="s">
        <v>141</v>
      </c>
      <c r="AO39" s="10" t="s">
        <v>141</v>
      </c>
      <c r="AP39" s="10" t="s">
        <v>141</v>
      </c>
      <c r="AQ39" s="10" t="s">
        <v>2131</v>
      </c>
      <c r="AR39" s="10" t="s">
        <v>2131</v>
      </c>
      <c r="AS39" s="10" t="s">
        <v>141</v>
      </c>
      <c r="AT39" s="10" t="s">
        <v>141</v>
      </c>
      <c r="AU39" s="10" t="s">
        <v>140</v>
      </c>
      <c r="AV39" s="10"/>
      <c r="AW39" s="10"/>
      <c r="AX39" s="10"/>
      <c r="AY39" s="77">
        <f t="shared" si="7"/>
        <v>26</v>
      </c>
      <c r="AZ39" s="77">
        <f t="shared" si="8"/>
        <v>11</v>
      </c>
      <c r="BA39" t="s">
        <v>273</v>
      </c>
    </row>
    <row r="40" spans="1:53">
      <c r="A40" s="10">
        <v>26</v>
      </c>
      <c r="B40">
        <v>2083</v>
      </c>
      <c r="C40" s="38">
        <v>45845.296134259261</v>
      </c>
      <c r="D40" s="7">
        <v>45845</v>
      </c>
      <c r="E40" s="99">
        <v>45845</v>
      </c>
      <c r="F40" s="100">
        <f t="shared" si="9"/>
        <v>7</v>
      </c>
      <c r="G40" s="100">
        <v>40</v>
      </c>
      <c r="H40" s="7" t="s">
        <v>2129</v>
      </c>
      <c r="I40" t="s">
        <v>2130</v>
      </c>
      <c r="J40" s="10" t="s">
        <v>141</v>
      </c>
      <c r="K40" s="10" t="s">
        <v>141</v>
      </c>
      <c r="L40" s="10" t="s">
        <v>141</v>
      </c>
      <c r="M40" s="10" t="s">
        <v>141</v>
      </c>
      <c r="N40" s="10" t="s">
        <v>141</v>
      </c>
      <c r="O40" s="10" t="s">
        <v>141</v>
      </c>
      <c r="P40" s="10" t="s">
        <v>141</v>
      </c>
      <c r="Q40" s="10" t="s">
        <v>141</v>
      </c>
      <c r="R40" s="10" t="s">
        <v>141</v>
      </c>
      <c r="S40" s="10" t="s">
        <v>141</v>
      </c>
      <c r="T40" s="10" t="s">
        <v>141</v>
      </c>
      <c r="U40" s="10" t="s">
        <v>141</v>
      </c>
      <c r="V40" s="10" t="s">
        <v>141</v>
      </c>
      <c r="W40" s="10" t="s">
        <v>140</v>
      </c>
      <c r="X40" s="10" t="s">
        <v>141</v>
      </c>
      <c r="Y40" s="10" t="s">
        <v>141</v>
      </c>
      <c r="Z40" s="10" t="s">
        <v>140</v>
      </c>
      <c r="AA40" s="10" t="s">
        <v>141</v>
      </c>
      <c r="AB40" s="10" t="s">
        <v>140</v>
      </c>
      <c r="AC40" s="10" t="s">
        <v>2131</v>
      </c>
      <c r="AD40" s="10" t="s">
        <v>141</v>
      </c>
      <c r="AE40" s="10" t="s">
        <v>141</v>
      </c>
      <c r="AF40" s="10" t="s">
        <v>141</v>
      </c>
      <c r="AG40" s="10" t="s">
        <v>2131</v>
      </c>
      <c r="AH40" s="10" t="s">
        <v>141</v>
      </c>
      <c r="AI40" s="10" t="s">
        <v>2131</v>
      </c>
      <c r="AJ40" s="10" t="s">
        <v>2131</v>
      </c>
      <c r="AK40" s="10" t="s">
        <v>141</v>
      </c>
      <c r="AL40" s="10" t="s">
        <v>141</v>
      </c>
      <c r="AM40" s="10" t="s">
        <v>2131</v>
      </c>
      <c r="AN40" s="10" t="s">
        <v>140</v>
      </c>
      <c r="AO40" s="10" t="s">
        <v>2131</v>
      </c>
      <c r="AP40" s="10" t="s">
        <v>2131</v>
      </c>
      <c r="AQ40" s="10" t="s">
        <v>141</v>
      </c>
      <c r="AR40" s="10" t="s">
        <v>2131</v>
      </c>
      <c r="AS40" s="10" t="s">
        <v>2131</v>
      </c>
      <c r="AT40" s="10" t="s">
        <v>141</v>
      </c>
      <c r="AU40" s="10" t="s">
        <v>140</v>
      </c>
      <c r="AV40" s="10"/>
      <c r="AW40" s="10"/>
      <c r="AX40" s="10"/>
      <c r="AY40" s="77">
        <f t="shared" si="7"/>
        <v>24</v>
      </c>
      <c r="AZ40" s="77">
        <f t="shared" si="8"/>
        <v>8</v>
      </c>
      <c r="BA40" t="s">
        <v>273</v>
      </c>
    </row>
    <row r="41" spans="1:53">
      <c r="A41" s="10">
        <v>27</v>
      </c>
      <c r="B41">
        <v>2084</v>
      </c>
      <c r="C41" s="38">
        <v>45852.292615740742</v>
      </c>
      <c r="D41" s="7">
        <v>45852</v>
      </c>
      <c r="E41" s="99">
        <v>45852</v>
      </c>
      <c r="F41" s="100">
        <f t="shared" si="9"/>
        <v>7</v>
      </c>
      <c r="G41" s="100">
        <v>41</v>
      </c>
      <c r="H41" s="7" t="s">
        <v>2129</v>
      </c>
      <c r="I41" t="s">
        <v>2130</v>
      </c>
      <c r="J41" s="10" t="s">
        <v>141</v>
      </c>
      <c r="K41" s="10" t="s">
        <v>141</v>
      </c>
      <c r="L41" s="10" t="s">
        <v>141</v>
      </c>
      <c r="M41" s="10" t="s">
        <v>141</v>
      </c>
      <c r="N41" s="10" t="s">
        <v>2131</v>
      </c>
      <c r="O41" s="10" t="s">
        <v>2131</v>
      </c>
      <c r="P41" s="10" t="s">
        <v>141</v>
      </c>
      <c r="Q41" s="10" t="s">
        <v>141</v>
      </c>
      <c r="R41" s="10" t="s">
        <v>141</v>
      </c>
      <c r="S41" s="10" t="s">
        <v>141</v>
      </c>
      <c r="T41" s="10" t="s">
        <v>141</v>
      </c>
      <c r="U41" s="10" t="s">
        <v>2131</v>
      </c>
      <c r="V41" s="10" t="s">
        <v>141</v>
      </c>
      <c r="W41" s="10" t="s">
        <v>141</v>
      </c>
      <c r="X41" s="10" t="s">
        <v>141</v>
      </c>
      <c r="Y41" s="10" t="s">
        <v>141</v>
      </c>
      <c r="Z41" s="10" t="s">
        <v>2131</v>
      </c>
      <c r="AA41" s="10" t="s">
        <v>140</v>
      </c>
      <c r="AB41" s="10" t="s">
        <v>141</v>
      </c>
      <c r="AC41" s="10" t="s">
        <v>2131</v>
      </c>
      <c r="AD41" s="10" t="s">
        <v>2131</v>
      </c>
      <c r="AE41" s="10" t="s">
        <v>2131</v>
      </c>
      <c r="AF41" s="10" t="s">
        <v>141</v>
      </c>
      <c r="AG41" s="10" t="s">
        <v>141</v>
      </c>
      <c r="AH41" s="10" t="s">
        <v>141</v>
      </c>
      <c r="AI41" s="10" t="s">
        <v>141</v>
      </c>
      <c r="AJ41" s="10" t="s">
        <v>2131</v>
      </c>
      <c r="AK41" s="10" t="s">
        <v>141</v>
      </c>
      <c r="AL41" s="10" t="s">
        <v>141</v>
      </c>
      <c r="AM41" s="10" t="s">
        <v>2131</v>
      </c>
      <c r="AN41" s="10" t="s">
        <v>141</v>
      </c>
      <c r="AO41" s="10" t="s">
        <v>2131</v>
      </c>
      <c r="AP41" s="10" t="s">
        <v>140</v>
      </c>
      <c r="AQ41" s="10" t="s">
        <v>141</v>
      </c>
      <c r="AR41" s="10" t="s">
        <v>2131</v>
      </c>
      <c r="AS41" s="10" t="s">
        <v>2131</v>
      </c>
      <c r="AT41" s="10" t="s">
        <v>141</v>
      </c>
      <c r="AU41" s="10" t="s">
        <v>140</v>
      </c>
      <c r="AV41" s="10"/>
      <c r="AW41" s="10"/>
      <c r="AX41" s="10"/>
      <c r="AY41" s="77">
        <f t="shared" si="7"/>
        <v>23</v>
      </c>
      <c r="AZ41" s="77">
        <f t="shared" si="8"/>
        <v>11</v>
      </c>
      <c r="BA41" t="s">
        <v>273</v>
      </c>
    </row>
    <row r="42" spans="1:53">
      <c r="A42" s="10">
        <v>28</v>
      </c>
      <c r="B42">
        <v>2085</v>
      </c>
      <c r="C42" s="38">
        <v>45859.295543981483</v>
      </c>
      <c r="D42" s="7">
        <v>45859</v>
      </c>
      <c r="E42" s="99">
        <v>45859</v>
      </c>
      <c r="F42" s="100">
        <f t="shared" si="9"/>
        <v>7</v>
      </c>
      <c r="G42" s="100">
        <v>42</v>
      </c>
      <c r="H42" s="7" t="s">
        <v>2129</v>
      </c>
      <c r="I42" t="s">
        <v>2130</v>
      </c>
      <c r="J42" s="10" t="s">
        <v>141</v>
      </c>
      <c r="K42" s="10" t="s">
        <v>141</v>
      </c>
      <c r="L42" s="10" t="s">
        <v>141</v>
      </c>
      <c r="M42" s="10" t="s">
        <v>141</v>
      </c>
      <c r="N42" s="10" t="s">
        <v>141</v>
      </c>
      <c r="O42" s="10" t="s">
        <v>141</v>
      </c>
      <c r="P42" s="10" t="s">
        <v>2131</v>
      </c>
      <c r="Q42" s="10" t="s">
        <v>2131</v>
      </c>
      <c r="R42" s="10" t="s">
        <v>2131</v>
      </c>
      <c r="S42" s="10" t="s">
        <v>2131</v>
      </c>
      <c r="T42" s="10" t="s">
        <v>141</v>
      </c>
      <c r="U42" s="10" t="s">
        <v>2131</v>
      </c>
      <c r="V42" s="10" t="s">
        <v>141</v>
      </c>
      <c r="W42" s="10" t="s">
        <v>141</v>
      </c>
      <c r="X42" s="10" t="s">
        <v>141</v>
      </c>
      <c r="Y42" s="10" t="s">
        <v>2131</v>
      </c>
      <c r="Z42" s="10" t="s">
        <v>2131</v>
      </c>
      <c r="AA42" s="10" t="s">
        <v>140</v>
      </c>
      <c r="AB42" s="10" t="s">
        <v>141</v>
      </c>
      <c r="AC42" s="10" t="s">
        <v>2131</v>
      </c>
      <c r="AD42" s="10" t="s">
        <v>2131</v>
      </c>
      <c r="AE42" s="10" t="s">
        <v>2131</v>
      </c>
      <c r="AF42" s="10" t="s">
        <v>2131</v>
      </c>
      <c r="AG42" s="10" t="s">
        <v>2131</v>
      </c>
      <c r="AH42" s="10" t="s">
        <v>141</v>
      </c>
      <c r="AI42" s="10" t="s">
        <v>141</v>
      </c>
      <c r="AJ42" s="10" t="s">
        <v>141</v>
      </c>
      <c r="AK42" s="10" t="s">
        <v>2131</v>
      </c>
      <c r="AL42" s="10" t="s">
        <v>141</v>
      </c>
      <c r="AM42" s="10" t="s">
        <v>141</v>
      </c>
      <c r="AN42" s="10" t="s">
        <v>141</v>
      </c>
      <c r="AO42" s="10" t="s">
        <v>141</v>
      </c>
      <c r="AP42" s="10" t="s">
        <v>141</v>
      </c>
      <c r="AQ42" s="10" t="s">
        <v>141</v>
      </c>
      <c r="AR42" s="10" t="s">
        <v>141</v>
      </c>
      <c r="AS42" s="10" t="s">
        <v>2131</v>
      </c>
      <c r="AT42" s="10" t="s">
        <v>140</v>
      </c>
      <c r="AU42" s="10" t="s">
        <v>140</v>
      </c>
      <c r="AV42" s="10"/>
      <c r="AW42" s="10"/>
      <c r="AX42" s="10"/>
      <c r="AY42" s="77">
        <f t="shared" si="7"/>
        <v>21</v>
      </c>
      <c r="AZ42" s="77">
        <f t="shared" si="8"/>
        <v>13</v>
      </c>
      <c r="BA42" t="s">
        <v>273</v>
      </c>
    </row>
    <row r="43" spans="1:53">
      <c r="A43" s="10">
        <v>29</v>
      </c>
      <c r="B43">
        <v>2086</v>
      </c>
      <c r="C43" s="38">
        <v>45866.291701388887</v>
      </c>
      <c r="D43" s="7">
        <v>45866</v>
      </c>
      <c r="E43" s="99">
        <v>45866</v>
      </c>
      <c r="F43" s="100">
        <f t="shared" si="9"/>
        <v>7</v>
      </c>
      <c r="G43" s="100">
        <v>43</v>
      </c>
      <c r="H43" s="7" t="s">
        <v>2129</v>
      </c>
      <c r="I43" t="s">
        <v>2130</v>
      </c>
      <c r="J43" s="10" t="s">
        <v>141</v>
      </c>
      <c r="K43" s="10" t="s">
        <v>141</v>
      </c>
      <c r="L43" s="10" t="s">
        <v>141</v>
      </c>
      <c r="M43" s="10" t="s">
        <v>141</v>
      </c>
      <c r="N43" s="10" t="s">
        <v>141</v>
      </c>
      <c r="O43" s="10" t="s">
        <v>141</v>
      </c>
      <c r="P43" s="10" t="s">
        <v>141</v>
      </c>
      <c r="Q43" s="10" t="s">
        <v>141</v>
      </c>
      <c r="R43" s="10" t="s">
        <v>141</v>
      </c>
      <c r="S43" s="10" t="s">
        <v>141</v>
      </c>
      <c r="T43" s="10" t="s">
        <v>141</v>
      </c>
      <c r="U43" s="10" t="s">
        <v>2131</v>
      </c>
      <c r="V43" s="10" t="s">
        <v>141</v>
      </c>
      <c r="W43" s="10" t="s">
        <v>141</v>
      </c>
      <c r="X43" s="10" t="s">
        <v>141</v>
      </c>
      <c r="Y43" s="10" t="s">
        <v>2131</v>
      </c>
      <c r="Z43" s="10" t="s">
        <v>141</v>
      </c>
      <c r="AA43" s="10" t="s">
        <v>141</v>
      </c>
      <c r="AB43" s="10" t="s">
        <v>141</v>
      </c>
      <c r="AC43" s="10" t="s">
        <v>2131</v>
      </c>
      <c r="AD43" s="10" t="s">
        <v>141</v>
      </c>
      <c r="AE43" s="10" t="s">
        <v>141</v>
      </c>
      <c r="AF43" s="10" t="s">
        <v>2131</v>
      </c>
      <c r="AG43" s="10" t="s">
        <v>2131</v>
      </c>
      <c r="AH43" s="10" t="s">
        <v>141</v>
      </c>
      <c r="AI43" s="10" t="s">
        <v>2131</v>
      </c>
      <c r="AJ43" s="10" t="s">
        <v>140</v>
      </c>
      <c r="AK43" s="10" t="s">
        <v>141</v>
      </c>
      <c r="AL43" s="10" t="s">
        <v>141</v>
      </c>
      <c r="AM43" s="10" t="s">
        <v>141</v>
      </c>
      <c r="AN43" s="10" t="s">
        <v>141</v>
      </c>
      <c r="AO43" s="10" t="s">
        <v>141</v>
      </c>
      <c r="AP43" s="10" t="s">
        <v>141</v>
      </c>
      <c r="AQ43" s="10" t="s">
        <v>141</v>
      </c>
      <c r="AR43" s="10" t="s">
        <v>141</v>
      </c>
      <c r="AS43" s="10" t="s">
        <v>2131</v>
      </c>
      <c r="AT43" s="10" t="s">
        <v>141</v>
      </c>
      <c r="AU43" s="10" t="s">
        <v>140</v>
      </c>
      <c r="AV43" s="10"/>
      <c r="AW43" s="10"/>
      <c r="AX43" s="10"/>
      <c r="AY43" s="77">
        <f t="shared" si="7"/>
        <v>29</v>
      </c>
      <c r="AZ43" s="77">
        <f t="shared" si="8"/>
        <v>6</v>
      </c>
      <c r="BA43" t="s">
        <v>1248</v>
      </c>
    </row>
    <row r="44" spans="1:53">
      <c r="A44" s="10">
        <v>30</v>
      </c>
      <c r="B44">
        <v>2087</v>
      </c>
      <c r="C44" s="38">
        <v>45873.296770833331</v>
      </c>
      <c r="D44" s="7">
        <v>45873</v>
      </c>
      <c r="E44" s="99">
        <v>45873</v>
      </c>
      <c r="F44" s="100">
        <f t="shared" si="9"/>
        <v>8</v>
      </c>
      <c r="G44" s="100">
        <v>44</v>
      </c>
      <c r="H44" s="7" t="s">
        <v>2136</v>
      </c>
      <c r="I44" t="s">
        <v>2130</v>
      </c>
      <c r="J44" s="10" t="s">
        <v>141</v>
      </c>
      <c r="K44" s="10" t="s">
        <v>141</v>
      </c>
      <c r="L44" s="10" t="s">
        <v>141</v>
      </c>
      <c r="M44" s="10" t="s">
        <v>141</v>
      </c>
      <c r="N44" s="10" t="s">
        <v>140</v>
      </c>
      <c r="O44" s="10" t="s">
        <v>141</v>
      </c>
      <c r="P44" s="10" t="s">
        <v>141</v>
      </c>
      <c r="Q44" s="10" t="s">
        <v>141</v>
      </c>
      <c r="R44" s="10" t="s">
        <v>141</v>
      </c>
      <c r="S44" s="10" t="s">
        <v>141</v>
      </c>
      <c r="T44" s="10" t="s">
        <v>141</v>
      </c>
      <c r="U44" s="10" t="s">
        <v>2131</v>
      </c>
      <c r="V44" s="10" t="s">
        <v>141</v>
      </c>
      <c r="W44" s="10" t="s">
        <v>141</v>
      </c>
      <c r="X44" s="10" t="s">
        <v>141</v>
      </c>
      <c r="Y44" s="10" t="s">
        <v>2131</v>
      </c>
      <c r="Z44" s="10" t="s">
        <v>2131</v>
      </c>
      <c r="AA44" s="10" t="s">
        <v>141</v>
      </c>
      <c r="AB44" s="10" t="s">
        <v>141</v>
      </c>
      <c r="AC44" s="10" t="s">
        <v>2131</v>
      </c>
      <c r="AD44" s="10" t="s">
        <v>2131</v>
      </c>
      <c r="AE44" s="10" t="s">
        <v>141</v>
      </c>
      <c r="AF44" s="10" t="s">
        <v>2131</v>
      </c>
      <c r="AG44" s="10" t="s">
        <v>141</v>
      </c>
      <c r="AH44" s="10" t="s">
        <v>141</v>
      </c>
      <c r="AI44" s="10" t="s">
        <v>2131</v>
      </c>
      <c r="AJ44" s="10" t="s">
        <v>141</v>
      </c>
      <c r="AK44" s="10" t="s">
        <v>141</v>
      </c>
      <c r="AL44" s="10" t="s">
        <v>141</v>
      </c>
      <c r="AM44" s="10" t="s">
        <v>141</v>
      </c>
      <c r="AN44" s="10" t="s">
        <v>141</v>
      </c>
      <c r="AO44" s="10" t="s">
        <v>141</v>
      </c>
      <c r="AP44" s="10" t="s">
        <v>2131</v>
      </c>
      <c r="AQ44" s="10" t="s">
        <v>141</v>
      </c>
      <c r="AR44" s="10" t="s">
        <v>141</v>
      </c>
      <c r="AS44" s="10" t="s">
        <v>2131</v>
      </c>
      <c r="AT44" s="10" t="s">
        <v>141</v>
      </c>
      <c r="AU44" s="10" t="s">
        <v>140</v>
      </c>
      <c r="AV44" s="10"/>
      <c r="AW44" s="10"/>
      <c r="AX44" s="10"/>
      <c r="AY44" s="77">
        <f t="shared" si="7"/>
        <v>27</v>
      </c>
      <c r="AZ44" s="77">
        <f t="shared" si="8"/>
        <v>8</v>
      </c>
      <c r="BA44" t="s">
        <v>273</v>
      </c>
    </row>
    <row r="45" spans="1:53">
      <c r="A45" s="10">
        <v>31</v>
      </c>
      <c r="B45">
        <v>2088</v>
      </c>
      <c r="C45" s="38">
        <v>45880.294768518521</v>
      </c>
      <c r="D45" s="7">
        <v>45880</v>
      </c>
      <c r="E45" s="99">
        <v>45880</v>
      </c>
      <c r="F45" s="100">
        <f t="shared" ref="F45:F50" si="10">MONTH($E45)</f>
        <v>8</v>
      </c>
      <c r="G45" s="100">
        <v>45</v>
      </c>
      <c r="H45" s="7" t="s">
        <v>2129</v>
      </c>
      <c r="I45" t="s">
        <v>2130</v>
      </c>
      <c r="J45" s="10" t="s">
        <v>2131</v>
      </c>
      <c r="K45" s="10" t="s">
        <v>141</v>
      </c>
      <c r="L45" s="10" t="s">
        <v>141</v>
      </c>
      <c r="M45" s="10" t="s">
        <v>141</v>
      </c>
      <c r="N45" s="10" t="s">
        <v>140</v>
      </c>
      <c r="O45" s="10" t="s">
        <v>141</v>
      </c>
      <c r="P45" s="10" t="s">
        <v>141</v>
      </c>
      <c r="Q45" s="10" t="s">
        <v>141</v>
      </c>
      <c r="R45" s="10" t="s">
        <v>141</v>
      </c>
      <c r="S45" s="10" t="s">
        <v>141</v>
      </c>
      <c r="T45" s="10" t="s">
        <v>141</v>
      </c>
      <c r="U45" s="10" t="s">
        <v>141</v>
      </c>
      <c r="V45" s="10" t="s">
        <v>141</v>
      </c>
      <c r="W45" s="10" t="s">
        <v>141</v>
      </c>
      <c r="X45" s="10" t="s">
        <v>141</v>
      </c>
      <c r="Y45" s="10" t="s">
        <v>2131</v>
      </c>
      <c r="Z45" s="10" t="s">
        <v>2131</v>
      </c>
      <c r="AA45" s="10" t="s">
        <v>141</v>
      </c>
      <c r="AB45" s="10" t="s">
        <v>141</v>
      </c>
      <c r="AC45" s="10" t="s">
        <v>2131</v>
      </c>
      <c r="AD45" s="10" t="s">
        <v>141</v>
      </c>
      <c r="AE45" s="10" t="s">
        <v>141</v>
      </c>
      <c r="AF45" s="10" t="s">
        <v>141</v>
      </c>
      <c r="AG45" s="10" t="s">
        <v>2131</v>
      </c>
      <c r="AH45" s="10" t="s">
        <v>141</v>
      </c>
      <c r="AI45" s="10" t="s">
        <v>141</v>
      </c>
      <c r="AJ45" s="10" t="s">
        <v>2131</v>
      </c>
      <c r="AK45" s="10" t="s">
        <v>141</v>
      </c>
      <c r="AL45" s="10" t="s">
        <v>141</v>
      </c>
      <c r="AM45" s="10" t="s">
        <v>141</v>
      </c>
      <c r="AN45" s="10" t="s">
        <v>140</v>
      </c>
      <c r="AO45" s="10" t="s">
        <v>141</v>
      </c>
      <c r="AP45" s="10" t="s">
        <v>141</v>
      </c>
      <c r="AQ45" s="10" t="s">
        <v>141</v>
      </c>
      <c r="AR45" s="10" t="s">
        <v>141</v>
      </c>
      <c r="AS45" s="10" t="s">
        <v>2131</v>
      </c>
      <c r="AT45" s="10" t="s">
        <v>141</v>
      </c>
      <c r="AU45" s="10" t="s">
        <v>140</v>
      </c>
      <c r="AV45" s="10"/>
      <c r="AW45" s="10"/>
      <c r="AX45" s="10"/>
      <c r="AY45" s="77">
        <f t="shared" si="7"/>
        <v>28</v>
      </c>
      <c r="AZ45" s="77">
        <f t="shared" si="8"/>
        <v>6</v>
      </c>
      <c r="BA45" t="s">
        <v>152</v>
      </c>
    </row>
    <row r="46" spans="1:53">
      <c r="A46" s="10">
        <v>32</v>
      </c>
      <c r="B46">
        <v>2089</v>
      </c>
      <c r="C46" s="38">
        <v>45887.295405092591</v>
      </c>
      <c r="D46" s="7">
        <v>45887</v>
      </c>
      <c r="E46" s="99">
        <v>45887</v>
      </c>
      <c r="F46" s="100">
        <f t="shared" si="10"/>
        <v>8</v>
      </c>
      <c r="G46" s="100">
        <v>46</v>
      </c>
      <c r="H46" s="7" t="s">
        <v>2129</v>
      </c>
      <c r="I46" t="s">
        <v>2130</v>
      </c>
      <c r="J46" s="10" t="s">
        <v>141</v>
      </c>
      <c r="K46" s="10" t="s">
        <v>141</v>
      </c>
      <c r="L46" s="10" t="s">
        <v>141</v>
      </c>
      <c r="M46" s="10" t="s">
        <v>141</v>
      </c>
      <c r="N46" s="10" t="s">
        <v>140</v>
      </c>
      <c r="O46" s="10" t="s">
        <v>2131</v>
      </c>
      <c r="P46" s="10" t="s">
        <v>141</v>
      </c>
      <c r="Q46" s="10" t="s">
        <v>141</v>
      </c>
      <c r="R46" s="10" t="s">
        <v>141</v>
      </c>
      <c r="S46" s="10" t="s">
        <v>2131</v>
      </c>
      <c r="T46" s="10" t="s">
        <v>141</v>
      </c>
      <c r="U46" s="10" t="s">
        <v>141</v>
      </c>
      <c r="V46" s="10" t="s">
        <v>141</v>
      </c>
      <c r="W46" s="10" t="s">
        <v>141</v>
      </c>
      <c r="X46" s="10" t="s">
        <v>2131</v>
      </c>
      <c r="Y46" s="10" t="s">
        <v>141</v>
      </c>
      <c r="Z46" s="10" t="s">
        <v>2131</v>
      </c>
      <c r="AA46" s="10" t="s">
        <v>141</v>
      </c>
      <c r="AB46" s="10" t="s">
        <v>141</v>
      </c>
      <c r="AC46" s="10" t="s">
        <v>2131</v>
      </c>
      <c r="AD46" s="10" t="s">
        <v>2131</v>
      </c>
      <c r="AE46" s="10" t="s">
        <v>141</v>
      </c>
      <c r="AF46" s="10" t="s">
        <v>141</v>
      </c>
      <c r="AG46" s="10" t="s">
        <v>141</v>
      </c>
      <c r="AH46" s="10" t="s">
        <v>141</v>
      </c>
      <c r="AI46" s="10" t="s">
        <v>141</v>
      </c>
      <c r="AJ46" s="10" t="s">
        <v>141</v>
      </c>
      <c r="AK46" s="10" t="s">
        <v>141</v>
      </c>
      <c r="AL46" s="10" t="s">
        <v>141</v>
      </c>
      <c r="AM46" s="10" t="s">
        <v>141</v>
      </c>
      <c r="AN46" s="10" t="s">
        <v>141</v>
      </c>
      <c r="AO46" s="10" t="s">
        <v>141</v>
      </c>
      <c r="AP46" s="10" t="s">
        <v>2131</v>
      </c>
      <c r="AQ46" s="10" t="s">
        <v>141</v>
      </c>
      <c r="AR46" s="10" t="s">
        <v>141</v>
      </c>
      <c r="AS46" s="10" t="s">
        <v>2131</v>
      </c>
      <c r="AT46" s="10" t="s">
        <v>141</v>
      </c>
      <c r="AU46" s="10" t="s">
        <v>140</v>
      </c>
      <c r="AV46" s="10"/>
      <c r="AW46" s="10"/>
      <c r="AX46" s="10"/>
      <c r="AY46" s="77">
        <f t="shared" si="7"/>
        <v>28</v>
      </c>
      <c r="AZ46" s="77">
        <f t="shared" si="8"/>
        <v>7</v>
      </c>
      <c r="BA46" t="s">
        <v>152</v>
      </c>
    </row>
    <row r="47" spans="1:53">
      <c r="A47" s="10">
        <v>33</v>
      </c>
      <c r="B47">
        <v>2090</v>
      </c>
      <c r="C47" s="38">
        <v>45894.294479166667</v>
      </c>
      <c r="D47" s="7">
        <v>45894</v>
      </c>
      <c r="E47" s="99">
        <v>45894</v>
      </c>
      <c r="F47" s="100">
        <f t="shared" si="10"/>
        <v>8</v>
      </c>
      <c r="G47" s="100">
        <v>47</v>
      </c>
      <c r="H47" s="7" t="s">
        <v>2129</v>
      </c>
      <c r="I47" t="s">
        <v>2130</v>
      </c>
      <c r="J47" s="10" t="s">
        <v>141</v>
      </c>
      <c r="K47" s="10" t="s">
        <v>141</v>
      </c>
      <c r="L47" s="10" t="s">
        <v>141</v>
      </c>
      <c r="M47" s="10" t="s">
        <v>141</v>
      </c>
      <c r="N47" s="10" t="s">
        <v>140</v>
      </c>
      <c r="O47" s="10" t="s">
        <v>141</v>
      </c>
      <c r="P47" s="10" t="s">
        <v>141</v>
      </c>
      <c r="Q47" s="10" t="s">
        <v>141</v>
      </c>
      <c r="R47" s="10" t="s">
        <v>2131</v>
      </c>
      <c r="S47" s="10" t="s">
        <v>2131</v>
      </c>
      <c r="T47" s="10" t="s">
        <v>141</v>
      </c>
      <c r="U47" s="10" t="s">
        <v>141</v>
      </c>
      <c r="V47" s="10" t="s">
        <v>141</v>
      </c>
      <c r="W47" s="10" t="s">
        <v>2131</v>
      </c>
      <c r="X47" s="10" t="s">
        <v>141</v>
      </c>
      <c r="Y47" s="10" t="s">
        <v>141</v>
      </c>
      <c r="Z47" s="10" t="s">
        <v>141</v>
      </c>
      <c r="AA47" s="10" t="s">
        <v>140</v>
      </c>
      <c r="AB47" s="10" t="s">
        <v>141</v>
      </c>
      <c r="AC47" s="10" t="s">
        <v>2131</v>
      </c>
      <c r="AD47" s="10" t="s">
        <v>141</v>
      </c>
      <c r="AE47" s="10" t="s">
        <v>2131</v>
      </c>
      <c r="AF47" s="10" t="s">
        <v>141</v>
      </c>
      <c r="AG47" s="10" t="s">
        <v>141</v>
      </c>
      <c r="AH47" s="10" t="s">
        <v>141</v>
      </c>
      <c r="AI47" s="10" t="s">
        <v>141</v>
      </c>
      <c r="AJ47" s="10" t="s">
        <v>2131</v>
      </c>
      <c r="AK47" s="10" t="s">
        <v>140</v>
      </c>
      <c r="AL47" s="10" t="s">
        <v>2131</v>
      </c>
      <c r="AM47" s="10" t="s">
        <v>141</v>
      </c>
      <c r="AN47" s="10" t="s">
        <v>141</v>
      </c>
      <c r="AO47" s="10" t="s">
        <v>141</v>
      </c>
      <c r="AP47" s="10" t="s">
        <v>141</v>
      </c>
      <c r="AQ47" s="10" t="s">
        <v>141</v>
      </c>
      <c r="AR47" s="10" t="s">
        <v>2131</v>
      </c>
      <c r="AS47" s="10" t="s">
        <v>2131</v>
      </c>
      <c r="AT47" s="10" t="s">
        <v>141</v>
      </c>
      <c r="AU47" s="10" t="s">
        <v>140</v>
      </c>
      <c r="AV47" s="10"/>
      <c r="AW47" s="10"/>
      <c r="AX47" s="10"/>
      <c r="AY47" s="77">
        <f t="shared" si="7"/>
        <v>25</v>
      </c>
      <c r="AZ47" s="77">
        <f t="shared" si="8"/>
        <v>8</v>
      </c>
      <c r="BA47" t="s">
        <v>2137</v>
      </c>
    </row>
    <row r="48" spans="1:53">
      <c r="A48" s="10">
        <v>34</v>
      </c>
      <c r="B48">
        <v>2091</v>
      </c>
      <c r="C48" s="38">
        <v>45901.293807870374</v>
      </c>
      <c r="D48" s="7">
        <v>45901</v>
      </c>
      <c r="E48" s="99">
        <v>45901</v>
      </c>
      <c r="F48" s="100">
        <f t="shared" si="10"/>
        <v>9</v>
      </c>
      <c r="G48" s="100">
        <v>48</v>
      </c>
      <c r="H48" s="7" t="s">
        <v>2129</v>
      </c>
      <c r="I48" t="s">
        <v>2130</v>
      </c>
      <c r="J48" s="10" t="s">
        <v>141</v>
      </c>
      <c r="K48" s="10" t="s">
        <v>2131</v>
      </c>
      <c r="L48" s="10" t="s">
        <v>2131</v>
      </c>
      <c r="M48" s="10" t="s">
        <v>141</v>
      </c>
      <c r="N48" s="10" t="s">
        <v>140</v>
      </c>
      <c r="O48" s="10" t="s">
        <v>141</v>
      </c>
      <c r="P48" s="10" t="s">
        <v>141</v>
      </c>
      <c r="Q48" s="10" t="s">
        <v>141</v>
      </c>
      <c r="R48" s="10" t="s">
        <v>141</v>
      </c>
      <c r="S48" s="10" t="s">
        <v>2131</v>
      </c>
      <c r="T48" s="10" t="s">
        <v>141</v>
      </c>
      <c r="U48" s="10" t="s">
        <v>141</v>
      </c>
      <c r="V48" s="10" t="s">
        <v>141</v>
      </c>
      <c r="W48" s="10" t="s">
        <v>2131</v>
      </c>
      <c r="X48" s="10" t="s">
        <v>2131</v>
      </c>
      <c r="Y48" s="10" t="s">
        <v>141</v>
      </c>
      <c r="Z48" s="10" t="s">
        <v>2131</v>
      </c>
      <c r="AA48" s="10" t="s">
        <v>141</v>
      </c>
      <c r="AB48" s="10" t="s">
        <v>2131</v>
      </c>
      <c r="AC48" s="10" t="s">
        <v>2131</v>
      </c>
      <c r="AD48" s="10" t="s">
        <v>141</v>
      </c>
      <c r="AE48" s="10" t="s">
        <v>2131</v>
      </c>
      <c r="AF48" s="10" t="s">
        <v>141</v>
      </c>
      <c r="AG48" s="10" t="s">
        <v>2131</v>
      </c>
      <c r="AH48" s="10" t="s">
        <v>141</v>
      </c>
      <c r="AI48" s="10" t="s">
        <v>141</v>
      </c>
      <c r="AJ48" s="10" t="s">
        <v>141</v>
      </c>
      <c r="AK48" s="10" t="s">
        <v>2131</v>
      </c>
      <c r="AL48" s="10" t="s">
        <v>141</v>
      </c>
      <c r="AM48" s="10" t="s">
        <v>141</v>
      </c>
      <c r="AN48" s="10" t="s">
        <v>2131</v>
      </c>
      <c r="AO48" s="10" t="s">
        <v>2131</v>
      </c>
      <c r="AP48" s="10" t="s">
        <v>141</v>
      </c>
      <c r="AQ48" s="10" t="s">
        <v>141</v>
      </c>
      <c r="AR48" s="10" t="s">
        <v>2131</v>
      </c>
      <c r="AS48" s="10" t="s">
        <v>2131</v>
      </c>
      <c r="AT48" s="10" t="s">
        <v>141</v>
      </c>
      <c r="AU48" s="10" t="s">
        <v>140</v>
      </c>
      <c r="AV48" s="10"/>
      <c r="AW48" s="10"/>
      <c r="AX48" s="10"/>
      <c r="AY48" s="77">
        <f t="shared" si="7"/>
        <v>21</v>
      </c>
      <c r="AZ48" s="77">
        <f t="shared" si="8"/>
        <v>14</v>
      </c>
      <c r="BA48" t="s">
        <v>273</v>
      </c>
    </row>
    <row r="49" spans="1:53">
      <c r="A49" s="10">
        <v>35</v>
      </c>
      <c r="B49">
        <v>2092</v>
      </c>
      <c r="C49" s="38">
        <v>45908.293032407404</v>
      </c>
      <c r="D49" s="7">
        <v>45908</v>
      </c>
      <c r="E49" s="99">
        <v>45908</v>
      </c>
      <c r="F49" s="100">
        <f t="shared" si="10"/>
        <v>9</v>
      </c>
      <c r="G49" s="100">
        <v>49</v>
      </c>
      <c r="H49" s="7" t="s">
        <v>2129</v>
      </c>
      <c r="I49" t="s">
        <v>2130</v>
      </c>
      <c r="J49" s="10" t="s">
        <v>141</v>
      </c>
      <c r="K49" s="10" t="s">
        <v>2131</v>
      </c>
      <c r="L49" s="10" t="s">
        <v>141</v>
      </c>
      <c r="M49" s="10" t="s">
        <v>2131</v>
      </c>
      <c r="N49" s="10" t="s">
        <v>141</v>
      </c>
      <c r="O49" s="10" t="s">
        <v>141</v>
      </c>
      <c r="P49" s="10" t="s">
        <v>141</v>
      </c>
      <c r="Q49" s="10" t="s">
        <v>141</v>
      </c>
      <c r="R49" s="10" t="s">
        <v>141</v>
      </c>
      <c r="S49" s="10" t="s">
        <v>2131</v>
      </c>
      <c r="T49" s="10" t="s">
        <v>141</v>
      </c>
      <c r="U49" s="10" t="s">
        <v>141</v>
      </c>
      <c r="V49" s="10" t="s">
        <v>141</v>
      </c>
      <c r="W49" s="10" t="s">
        <v>2131</v>
      </c>
      <c r="X49" s="10" t="s">
        <v>2131</v>
      </c>
      <c r="Y49" s="10" t="s">
        <v>141</v>
      </c>
      <c r="Z49" s="10" t="s">
        <v>141</v>
      </c>
      <c r="AA49" s="10" t="s">
        <v>2131</v>
      </c>
      <c r="AB49" s="10" t="s">
        <v>141</v>
      </c>
      <c r="AC49" s="10" t="s">
        <v>2131</v>
      </c>
      <c r="AD49" s="10" t="s">
        <v>2131</v>
      </c>
      <c r="AE49" s="10" t="s">
        <v>2131</v>
      </c>
      <c r="AF49" s="10" t="s">
        <v>141</v>
      </c>
      <c r="AG49" s="10" t="s">
        <v>140</v>
      </c>
      <c r="AH49" s="10" t="s">
        <v>141</v>
      </c>
      <c r="AI49" s="10" t="s">
        <v>141</v>
      </c>
      <c r="AJ49" s="10" t="s">
        <v>141</v>
      </c>
      <c r="AK49" s="10" t="s">
        <v>141</v>
      </c>
      <c r="AL49" s="10" t="s">
        <v>141</v>
      </c>
      <c r="AM49" s="10" t="s">
        <v>141</v>
      </c>
      <c r="AN49" s="10" t="s">
        <v>141</v>
      </c>
      <c r="AO49" s="10" t="s">
        <v>141</v>
      </c>
      <c r="AP49" s="10" t="s">
        <v>2131</v>
      </c>
      <c r="AQ49" s="10" t="s">
        <v>141</v>
      </c>
      <c r="AR49" s="10" t="s">
        <v>141</v>
      </c>
      <c r="AS49" s="10" t="s">
        <v>2131</v>
      </c>
      <c r="AT49" s="10" t="s">
        <v>141</v>
      </c>
      <c r="AU49" s="10"/>
      <c r="AV49" s="10"/>
      <c r="AW49" s="10"/>
      <c r="AX49" s="10"/>
      <c r="AY49" s="77">
        <f t="shared" si="7"/>
        <v>25</v>
      </c>
      <c r="AZ49" s="77">
        <f t="shared" si="8"/>
        <v>10</v>
      </c>
      <c r="BA49" t="s">
        <v>273</v>
      </c>
    </row>
    <row r="50" spans="1:53">
      <c r="A50" s="10">
        <v>36</v>
      </c>
      <c r="B50">
        <v>2093</v>
      </c>
      <c r="C50" s="38">
        <v>45915.296620370369</v>
      </c>
      <c r="D50" s="7">
        <v>45915</v>
      </c>
      <c r="E50" s="99">
        <v>45915</v>
      </c>
      <c r="F50" s="100">
        <f t="shared" si="10"/>
        <v>9</v>
      </c>
      <c r="G50" s="100">
        <v>50</v>
      </c>
      <c r="H50" s="7" t="s">
        <v>2129</v>
      </c>
      <c r="I50" t="s">
        <v>2130</v>
      </c>
      <c r="J50" s="10" t="s">
        <v>141</v>
      </c>
      <c r="K50" s="10" t="s">
        <v>2131</v>
      </c>
      <c r="L50" s="10" t="s">
        <v>141</v>
      </c>
      <c r="M50" s="10" t="s">
        <v>141</v>
      </c>
      <c r="N50" s="10" t="s">
        <v>2131</v>
      </c>
      <c r="O50" s="10" t="s">
        <v>141</v>
      </c>
      <c r="P50" s="10" t="s">
        <v>141</v>
      </c>
      <c r="Q50" s="10" t="s">
        <v>141</v>
      </c>
      <c r="R50" s="10" t="s">
        <v>2131</v>
      </c>
      <c r="S50" s="10" t="s">
        <v>2131</v>
      </c>
      <c r="T50" s="10" t="s">
        <v>141</v>
      </c>
      <c r="U50" s="10" t="s">
        <v>141</v>
      </c>
      <c r="V50" s="10" t="s">
        <v>141</v>
      </c>
      <c r="W50" s="10" t="s">
        <v>2131</v>
      </c>
      <c r="X50" s="10" t="s">
        <v>141</v>
      </c>
      <c r="Y50" s="10" t="s">
        <v>2131</v>
      </c>
      <c r="Z50" s="10" t="s">
        <v>141</v>
      </c>
      <c r="AA50" s="10" t="s">
        <v>2131</v>
      </c>
      <c r="AB50" s="10" t="s">
        <v>141</v>
      </c>
      <c r="AC50" s="10" t="s">
        <v>2131</v>
      </c>
      <c r="AD50" s="10" t="s">
        <v>2131</v>
      </c>
      <c r="AE50" s="10" t="s">
        <v>2131</v>
      </c>
      <c r="AF50" s="10" t="s">
        <v>2131</v>
      </c>
      <c r="AG50" s="10" t="s">
        <v>2131</v>
      </c>
      <c r="AH50" s="10" t="s">
        <v>141</v>
      </c>
      <c r="AI50" s="10" t="s">
        <v>141</v>
      </c>
      <c r="AJ50" s="10" t="s">
        <v>141</v>
      </c>
      <c r="AK50" s="10" t="s">
        <v>141</v>
      </c>
      <c r="AL50" s="10" t="s">
        <v>141</v>
      </c>
      <c r="AM50" s="10" t="s">
        <v>141</v>
      </c>
      <c r="AN50" s="10" t="s">
        <v>141</v>
      </c>
      <c r="AO50" s="10" t="s">
        <v>141</v>
      </c>
      <c r="AP50" s="10" t="s">
        <v>141</v>
      </c>
      <c r="AQ50" s="10" t="s">
        <v>141</v>
      </c>
      <c r="AR50" s="10" t="s">
        <v>141</v>
      </c>
      <c r="AS50" s="10" t="s">
        <v>2131</v>
      </c>
      <c r="AT50" s="10" t="s">
        <v>141</v>
      </c>
      <c r="AU50" s="10" t="s">
        <v>141</v>
      </c>
      <c r="AV50" s="10" t="s">
        <v>141</v>
      </c>
      <c r="AW50" s="10"/>
      <c r="AX50" s="10"/>
      <c r="AY50" s="77">
        <f t="shared" si="7"/>
        <v>26</v>
      </c>
      <c r="AZ50" s="77">
        <f t="shared" si="8"/>
        <v>12</v>
      </c>
      <c r="BA50" t="s">
        <v>273</v>
      </c>
    </row>
    <row r="51" spans="1:53">
      <c r="A51" s="10">
        <v>37</v>
      </c>
      <c r="B51">
        <v>2094</v>
      </c>
      <c r="C51" s="38">
        <v>45922.294629629629</v>
      </c>
      <c r="D51" s="7">
        <v>45922</v>
      </c>
      <c r="E51" s="99">
        <v>45922</v>
      </c>
      <c r="F51" s="100">
        <f t="shared" ref="F51:F56" si="11">MONTH($E51)</f>
        <v>9</v>
      </c>
      <c r="G51" s="100">
        <v>51</v>
      </c>
      <c r="H51" s="7" t="s">
        <v>2129</v>
      </c>
      <c r="I51" t="s">
        <v>2130</v>
      </c>
      <c r="J51" s="10" t="s">
        <v>141</v>
      </c>
      <c r="K51" s="10" t="s">
        <v>2131</v>
      </c>
      <c r="L51" s="10" t="s">
        <v>2131</v>
      </c>
      <c r="M51" s="10" t="s">
        <v>141</v>
      </c>
      <c r="N51" s="10" t="s">
        <v>2131</v>
      </c>
      <c r="O51" s="10" t="s">
        <v>2131</v>
      </c>
      <c r="P51" s="10" t="s">
        <v>141</v>
      </c>
      <c r="Q51" s="10" t="s">
        <v>141</v>
      </c>
      <c r="R51" s="10" t="s">
        <v>141</v>
      </c>
      <c r="S51" s="10" t="s">
        <v>2131</v>
      </c>
      <c r="T51" s="10" t="s">
        <v>141</v>
      </c>
      <c r="U51" s="10" t="s">
        <v>141</v>
      </c>
      <c r="V51" s="10" t="s">
        <v>141</v>
      </c>
      <c r="W51" s="10" t="s">
        <v>141</v>
      </c>
      <c r="X51" s="10" t="s">
        <v>141</v>
      </c>
      <c r="Y51" s="10" t="s">
        <v>141</v>
      </c>
      <c r="Z51" s="10" t="s">
        <v>141</v>
      </c>
      <c r="AA51" s="10" t="s">
        <v>2131</v>
      </c>
      <c r="AB51" s="10" t="s">
        <v>2131</v>
      </c>
      <c r="AC51" s="10" t="s">
        <v>2131</v>
      </c>
      <c r="AD51" s="10" t="s">
        <v>141</v>
      </c>
      <c r="AE51" s="10" t="s">
        <v>141</v>
      </c>
      <c r="AF51" s="10" t="s">
        <v>2131</v>
      </c>
      <c r="AG51" s="10" t="s">
        <v>141</v>
      </c>
      <c r="AH51" s="10" t="s">
        <v>141</v>
      </c>
      <c r="AI51" s="10" t="s">
        <v>141</v>
      </c>
      <c r="AJ51" s="10" t="s">
        <v>2131</v>
      </c>
      <c r="AK51" s="10" t="s">
        <v>141</v>
      </c>
      <c r="AL51" s="10" t="s">
        <v>2131</v>
      </c>
      <c r="AM51" s="10" t="s">
        <v>141</v>
      </c>
      <c r="AN51" s="10" t="s">
        <v>2131</v>
      </c>
      <c r="AO51" s="10" t="s">
        <v>141</v>
      </c>
      <c r="AP51" s="10" t="s">
        <v>141</v>
      </c>
      <c r="AQ51" s="10" t="s">
        <v>141</v>
      </c>
      <c r="AR51" s="10" t="s">
        <v>141</v>
      </c>
      <c r="AS51" s="10" t="s">
        <v>2131</v>
      </c>
      <c r="AT51" s="10" t="s">
        <v>141</v>
      </c>
      <c r="AU51" s="10" t="s">
        <v>141</v>
      </c>
      <c r="AV51" s="10" t="s">
        <v>141</v>
      </c>
      <c r="AW51" s="10"/>
      <c r="AX51" s="10"/>
      <c r="AY51" s="77">
        <f t="shared" si="7"/>
        <v>26</v>
      </c>
      <c r="AZ51" s="77">
        <f t="shared" si="8"/>
        <v>12</v>
      </c>
      <c r="BA51" t="s">
        <v>152</v>
      </c>
    </row>
    <row r="52" spans="1:53">
      <c r="A52" s="10">
        <v>38</v>
      </c>
      <c r="B52">
        <v>2095</v>
      </c>
      <c r="C52" s="38">
        <v>45929.255277777775</v>
      </c>
      <c r="D52" s="7">
        <v>45929</v>
      </c>
      <c r="E52" s="99">
        <v>45929</v>
      </c>
      <c r="F52" s="100">
        <f t="shared" si="11"/>
        <v>9</v>
      </c>
      <c r="G52" s="100">
        <v>52</v>
      </c>
      <c r="H52" s="7" t="s">
        <v>2129</v>
      </c>
      <c r="I52" t="s">
        <v>2130</v>
      </c>
      <c r="J52" s="10" t="s">
        <v>141</v>
      </c>
      <c r="K52" s="10" t="s">
        <v>2131</v>
      </c>
      <c r="L52" s="10" t="s">
        <v>141</v>
      </c>
      <c r="M52" s="10" t="s">
        <v>141</v>
      </c>
      <c r="N52" s="10" t="s">
        <v>141</v>
      </c>
      <c r="O52" s="10" t="s">
        <v>141</v>
      </c>
      <c r="P52" s="10" t="s">
        <v>2131</v>
      </c>
      <c r="Q52" s="10" t="s">
        <v>2131</v>
      </c>
      <c r="R52" s="10" t="s">
        <v>2131</v>
      </c>
      <c r="S52" s="10" t="s">
        <v>140</v>
      </c>
      <c r="T52" s="10" t="s">
        <v>141</v>
      </c>
      <c r="U52" s="10" t="s">
        <v>141</v>
      </c>
      <c r="V52" s="10" t="s">
        <v>141</v>
      </c>
      <c r="W52" s="10" t="s">
        <v>141</v>
      </c>
      <c r="X52" s="10" t="s">
        <v>141</v>
      </c>
      <c r="Y52" s="10" t="s">
        <v>2131</v>
      </c>
      <c r="Z52" s="10" t="s">
        <v>141</v>
      </c>
      <c r="AA52" s="10" t="s">
        <v>141</v>
      </c>
      <c r="AB52" s="10" t="s">
        <v>2131</v>
      </c>
      <c r="AC52" s="10" t="s">
        <v>2131</v>
      </c>
      <c r="AD52" s="10" t="s">
        <v>2131</v>
      </c>
      <c r="AE52" s="10" t="s">
        <v>2131</v>
      </c>
      <c r="AF52" s="10" t="s">
        <v>141</v>
      </c>
      <c r="AG52" s="10" t="s">
        <v>141</v>
      </c>
      <c r="AH52" s="10" t="s">
        <v>141</v>
      </c>
      <c r="AI52" s="10" t="s">
        <v>141</v>
      </c>
      <c r="AJ52" s="10" t="s">
        <v>141</v>
      </c>
      <c r="AK52" s="10" t="s">
        <v>141</v>
      </c>
      <c r="AL52" s="10" t="s">
        <v>141</v>
      </c>
      <c r="AM52" s="10" t="s">
        <v>141</v>
      </c>
      <c r="AN52" s="10" t="s">
        <v>141</v>
      </c>
      <c r="AO52" s="10" t="s">
        <v>141</v>
      </c>
      <c r="AP52" s="10" t="s">
        <v>2131</v>
      </c>
      <c r="AQ52" s="10" t="s">
        <v>141</v>
      </c>
      <c r="AR52" s="10" t="s">
        <v>2131</v>
      </c>
      <c r="AS52" s="10" t="s">
        <v>2131</v>
      </c>
      <c r="AT52" s="10" t="s">
        <v>141</v>
      </c>
      <c r="AU52" s="10" t="s">
        <v>141</v>
      </c>
      <c r="AV52" s="10" t="s">
        <v>141</v>
      </c>
      <c r="AW52" s="10"/>
      <c r="AX52" s="10"/>
      <c r="AY52" s="77">
        <f t="shared" si="7"/>
        <v>26</v>
      </c>
      <c r="AZ52" s="77">
        <f t="shared" si="8"/>
        <v>11</v>
      </c>
      <c r="BA52" t="s">
        <v>1248</v>
      </c>
    </row>
    <row r="53" spans="1:53">
      <c r="A53" s="10">
        <v>39</v>
      </c>
      <c r="B53">
        <v>2096</v>
      </c>
      <c r="C53" s="38">
        <v>45936.268888888888</v>
      </c>
      <c r="D53" s="7">
        <v>45936</v>
      </c>
      <c r="E53" s="99">
        <v>45936</v>
      </c>
      <c r="F53" s="100">
        <f t="shared" si="11"/>
        <v>10</v>
      </c>
      <c r="G53" s="100">
        <v>53</v>
      </c>
      <c r="H53" s="7" t="s">
        <v>2134</v>
      </c>
      <c r="I53" t="s">
        <v>2130</v>
      </c>
      <c r="J53" s="10" t="s">
        <v>141</v>
      </c>
      <c r="K53" s="10" t="s">
        <v>141</v>
      </c>
      <c r="L53" s="10" t="s">
        <v>141</v>
      </c>
      <c r="M53" s="10" t="s">
        <v>141</v>
      </c>
      <c r="N53" s="10" t="s">
        <v>2131</v>
      </c>
      <c r="O53" s="10" t="s">
        <v>141</v>
      </c>
      <c r="P53" s="10" t="s">
        <v>141</v>
      </c>
      <c r="Q53" s="10" t="s">
        <v>141</v>
      </c>
      <c r="R53" s="10" t="s">
        <v>141</v>
      </c>
      <c r="S53" s="10" t="s">
        <v>141</v>
      </c>
      <c r="T53" s="10" t="s">
        <v>141</v>
      </c>
      <c r="U53" s="10" t="s">
        <v>141</v>
      </c>
      <c r="V53" s="10" t="s">
        <v>141</v>
      </c>
      <c r="W53" s="10" t="s">
        <v>141</v>
      </c>
      <c r="X53" s="10" t="s">
        <v>141</v>
      </c>
      <c r="Y53" s="10" t="s">
        <v>141</v>
      </c>
      <c r="Z53" s="10" t="s">
        <v>141</v>
      </c>
      <c r="AA53" s="10" t="s">
        <v>141</v>
      </c>
      <c r="AB53" s="10" t="s">
        <v>141</v>
      </c>
      <c r="AC53" s="10" t="s">
        <v>2131</v>
      </c>
      <c r="AD53" s="10" t="s">
        <v>141</v>
      </c>
      <c r="AE53" s="10" t="s">
        <v>2131</v>
      </c>
      <c r="AF53" s="10" t="s">
        <v>141</v>
      </c>
      <c r="AG53" s="10" t="s">
        <v>140</v>
      </c>
      <c r="AH53" s="10" t="s">
        <v>141</v>
      </c>
      <c r="AI53" s="10" t="s">
        <v>141</v>
      </c>
      <c r="AJ53" s="10" t="s">
        <v>2131</v>
      </c>
      <c r="AK53" s="10" t="s">
        <v>141</v>
      </c>
      <c r="AL53" s="10" t="s">
        <v>140</v>
      </c>
      <c r="AM53" s="10" t="s">
        <v>141</v>
      </c>
      <c r="AN53" s="10" t="s">
        <v>141</v>
      </c>
      <c r="AO53" s="10" t="s">
        <v>2131</v>
      </c>
      <c r="AP53" s="10" t="s">
        <v>141</v>
      </c>
      <c r="AQ53" s="10" t="s">
        <v>141</v>
      </c>
      <c r="AR53" s="10" t="s">
        <v>141</v>
      </c>
      <c r="AS53" s="10" t="s">
        <v>2131</v>
      </c>
      <c r="AT53" s="10" t="s">
        <v>141</v>
      </c>
      <c r="AU53" s="10" t="s">
        <v>141</v>
      </c>
      <c r="AV53" s="10" t="s">
        <v>141</v>
      </c>
      <c r="AW53" s="10"/>
      <c r="AX53" s="10"/>
      <c r="AY53" s="77">
        <f t="shared" si="7"/>
        <v>31</v>
      </c>
      <c r="AZ53" s="77">
        <f t="shared" ref="AZ53:AZ58" si="12">COUNTIF($J53:$AR53,"L")</f>
        <v>5</v>
      </c>
      <c r="BA53" t="s">
        <v>273</v>
      </c>
    </row>
    <row r="54" spans="1:53">
      <c r="A54" s="10">
        <v>40</v>
      </c>
      <c r="B54">
        <v>2097</v>
      </c>
      <c r="C54" s="38">
        <v>45943.251134259262</v>
      </c>
      <c r="D54" s="7">
        <v>45943</v>
      </c>
      <c r="E54" s="99">
        <v>45943</v>
      </c>
      <c r="F54" s="100">
        <f t="shared" si="11"/>
        <v>10</v>
      </c>
      <c r="G54" s="100">
        <v>54</v>
      </c>
      <c r="H54" s="7" t="s">
        <v>2129</v>
      </c>
      <c r="I54" t="s">
        <v>2130</v>
      </c>
      <c r="J54" s="10" t="s">
        <v>141</v>
      </c>
      <c r="K54" s="10" t="s">
        <v>2131</v>
      </c>
      <c r="L54" s="10" t="s">
        <v>141</v>
      </c>
      <c r="M54" s="10" t="s">
        <v>141</v>
      </c>
      <c r="N54" s="10" t="s">
        <v>2131</v>
      </c>
      <c r="O54" s="10" t="s">
        <v>141</v>
      </c>
      <c r="P54" s="10" t="s">
        <v>141</v>
      </c>
      <c r="Q54" s="10" t="s">
        <v>141</v>
      </c>
      <c r="R54" s="10" t="s">
        <v>141</v>
      </c>
      <c r="S54" s="10" t="s">
        <v>141</v>
      </c>
      <c r="T54" s="10" t="s">
        <v>141</v>
      </c>
      <c r="U54" s="10" t="s">
        <v>141</v>
      </c>
      <c r="V54" s="10" t="s">
        <v>141</v>
      </c>
      <c r="W54" s="10" t="s">
        <v>141</v>
      </c>
      <c r="X54" s="10" t="s">
        <v>141</v>
      </c>
      <c r="Y54" s="10" t="s">
        <v>141</v>
      </c>
      <c r="Z54" s="10" t="s">
        <v>140</v>
      </c>
      <c r="AA54" s="10" t="s">
        <v>141</v>
      </c>
      <c r="AB54" s="10" t="s">
        <v>141</v>
      </c>
      <c r="AC54" s="10" t="s">
        <v>2131</v>
      </c>
      <c r="AD54" s="10" t="s">
        <v>140</v>
      </c>
      <c r="AE54" s="10" t="s">
        <v>2131</v>
      </c>
      <c r="AF54" s="10" t="s">
        <v>2131</v>
      </c>
      <c r="AG54" s="10" t="s">
        <v>2131</v>
      </c>
      <c r="AH54" s="10" t="s">
        <v>141</v>
      </c>
      <c r="AI54" s="10" t="s">
        <v>141</v>
      </c>
      <c r="AJ54" s="10" t="s">
        <v>2131</v>
      </c>
      <c r="AK54" s="10" t="s">
        <v>141</v>
      </c>
      <c r="AL54" s="10" t="s">
        <v>141</v>
      </c>
      <c r="AM54" s="10" t="s">
        <v>141</v>
      </c>
      <c r="AN54" s="10" t="s">
        <v>141</v>
      </c>
      <c r="AO54" s="10" t="s">
        <v>141</v>
      </c>
      <c r="AP54" s="10" t="s">
        <v>2131</v>
      </c>
      <c r="AQ54" s="10" t="s">
        <v>141</v>
      </c>
      <c r="AR54" s="10" t="s">
        <v>2131</v>
      </c>
      <c r="AS54" s="10" t="s">
        <v>2131</v>
      </c>
      <c r="AT54" s="10" t="s">
        <v>141</v>
      </c>
      <c r="AU54" s="10" t="s">
        <v>141</v>
      </c>
      <c r="AV54" s="10" t="s">
        <v>2131</v>
      </c>
      <c r="AW54" s="10"/>
      <c r="AX54" s="10"/>
      <c r="AY54" s="77">
        <f t="shared" si="7"/>
        <v>26</v>
      </c>
      <c r="AZ54" s="77">
        <f t="shared" si="12"/>
        <v>9</v>
      </c>
      <c r="BA54" t="s">
        <v>273</v>
      </c>
    </row>
    <row r="55" spans="1:53">
      <c r="A55" s="10">
        <v>41</v>
      </c>
      <c r="B55">
        <v>2098</v>
      </c>
      <c r="C55" s="38">
        <v>45950.251168981478</v>
      </c>
      <c r="D55" s="7">
        <v>45950</v>
      </c>
      <c r="E55" s="99">
        <v>45950</v>
      </c>
      <c r="F55" s="100">
        <f t="shared" si="11"/>
        <v>10</v>
      </c>
      <c r="G55" s="100">
        <v>55</v>
      </c>
      <c r="H55" s="7" t="s">
        <v>2129</v>
      </c>
      <c r="I55" t="s">
        <v>2130</v>
      </c>
      <c r="J55" s="10" t="s">
        <v>2131</v>
      </c>
      <c r="K55" s="10" t="s">
        <v>141</v>
      </c>
      <c r="L55" s="10" t="s">
        <v>2131</v>
      </c>
      <c r="M55" s="10" t="s">
        <v>141</v>
      </c>
      <c r="N55" s="10" t="s">
        <v>141</v>
      </c>
      <c r="O55" s="10" t="s">
        <v>141</v>
      </c>
      <c r="P55" s="10" t="s">
        <v>141</v>
      </c>
      <c r="Q55" s="10" t="s">
        <v>141</v>
      </c>
      <c r="R55" s="10" t="s">
        <v>2131</v>
      </c>
      <c r="S55" s="10" t="s">
        <v>141</v>
      </c>
      <c r="T55" s="10" t="s">
        <v>141</v>
      </c>
      <c r="U55" s="10" t="s">
        <v>141</v>
      </c>
      <c r="V55" s="10" t="s">
        <v>141</v>
      </c>
      <c r="W55" s="10" t="s">
        <v>2131</v>
      </c>
      <c r="X55" s="10" t="s">
        <v>141</v>
      </c>
      <c r="Y55" s="10" t="s">
        <v>141</v>
      </c>
      <c r="Z55" s="10" t="s">
        <v>2131</v>
      </c>
      <c r="AA55" s="10" t="s">
        <v>141</v>
      </c>
      <c r="AB55" s="10" t="s">
        <v>141</v>
      </c>
      <c r="AC55" s="10" t="s">
        <v>2131</v>
      </c>
      <c r="AD55" s="10" t="s">
        <v>141</v>
      </c>
      <c r="AE55" s="10" t="s">
        <v>141</v>
      </c>
      <c r="AF55" s="10" t="s">
        <v>141</v>
      </c>
      <c r="AG55" s="10" t="s">
        <v>141</v>
      </c>
      <c r="AH55" s="10" t="s">
        <v>141</v>
      </c>
      <c r="AI55" s="10" t="s">
        <v>141</v>
      </c>
      <c r="AJ55" s="10" t="s">
        <v>2131</v>
      </c>
      <c r="AK55" s="10" t="s">
        <v>141</v>
      </c>
      <c r="AL55" s="10" t="s">
        <v>2131</v>
      </c>
      <c r="AM55" s="10" t="s">
        <v>141</v>
      </c>
      <c r="AN55" s="10" t="s">
        <v>141</v>
      </c>
      <c r="AO55" s="10" t="s">
        <v>141</v>
      </c>
      <c r="AP55" s="10" t="s">
        <v>141</v>
      </c>
      <c r="AQ55" s="10" t="s">
        <v>141</v>
      </c>
      <c r="AR55" s="10" t="s">
        <v>141</v>
      </c>
      <c r="AS55" s="10" t="s">
        <v>2131</v>
      </c>
      <c r="AT55" s="10" t="s">
        <v>141</v>
      </c>
      <c r="AU55" s="10" t="s">
        <v>141</v>
      </c>
      <c r="AV55" s="10" t="s">
        <v>141</v>
      </c>
      <c r="AW55" s="10"/>
      <c r="AX55" s="10"/>
      <c r="AY55" s="77">
        <f t="shared" si="7"/>
        <v>30</v>
      </c>
      <c r="AZ55" s="77">
        <f t="shared" si="12"/>
        <v>8</v>
      </c>
      <c r="BA55" t="s">
        <v>152</v>
      </c>
    </row>
    <row r="56" spans="1:53">
      <c r="A56" s="10">
        <v>42</v>
      </c>
      <c r="B56">
        <v>2099</v>
      </c>
      <c r="C56" s="38">
        <v>45958.252025462964</v>
      </c>
      <c r="D56" s="7">
        <v>45958</v>
      </c>
      <c r="E56" s="99">
        <v>45958</v>
      </c>
      <c r="F56" s="100">
        <f t="shared" si="11"/>
        <v>10</v>
      </c>
      <c r="G56" s="100">
        <v>56</v>
      </c>
      <c r="H56" s="7" t="s">
        <v>2129</v>
      </c>
      <c r="I56" t="s">
        <v>2130</v>
      </c>
      <c r="J56" s="10" t="s">
        <v>141</v>
      </c>
      <c r="K56" s="10" t="s">
        <v>141</v>
      </c>
      <c r="L56" s="10" t="s">
        <v>141</v>
      </c>
      <c r="M56" s="10" t="s">
        <v>141</v>
      </c>
      <c r="N56" s="10" t="s">
        <v>141</v>
      </c>
      <c r="O56" s="10" t="s">
        <v>2131</v>
      </c>
      <c r="P56" s="10" t="s">
        <v>141</v>
      </c>
      <c r="Q56" s="10" t="s">
        <v>141</v>
      </c>
      <c r="R56" s="10" t="s">
        <v>2131</v>
      </c>
      <c r="S56" s="10" t="s">
        <v>141</v>
      </c>
      <c r="T56" s="10" t="s">
        <v>141</v>
      </c>
      <c r="U56" s="10" t="s">
        <v>141</v>
      </c>
      <c r="V56" s="10" t="s">
        <v>141</v>
      </c>
      <c r="W56" s="10" t="s">
        <v>2131</v>
      </c>
      <c r="X56" s="10" t="s">
        <v>141</v>
      </c>
      <c r="Y56" s="10" t="s">
        <v>141</v>
      </c>
      <c r="Z56" s="10" t="s">
        <v>2131</v>
      </c>
      <c r="AA56" s="10" t="s">
        <v>141</v>
      </c>
      <c r="AB56" s="10" t="s">
        <v>141</v>
      </c>
      <c r="AC56" s="10" t="s">
        <v>2131</v>
      </c>
      <c r="AD56" s="10" t="s">
        <v>2131</v>
      </c>
      <c r="AE56" s="10" t="s">
        <v>141</v>
      </c>
      <c r="AF56" s="10" t="s">
        <v>141</v>
      </c>
      <c r="AG56" s="10" t="s">
        <v>141</v>
      </c>
      <c r="AH56" s="10" t="s">
        <v>141</v>
      </c>
      <c r="AI56" s="10" t="s">
        <v>141</v>
      </c>
      <c r="AJ56" s="10" t="s">
        <v>2131</v>
      </c>
      <c r="AK56" s="10" t="s">
        <v>2131</v>
      </c>
      <c r="AL56" s="10" t="s">
        <v>141</v>
      </c>
      <c r="AM56" s="10" t="s">
        <v>141</v>
      </c>
      <c r="AN56" s="10" t="s">
        <v>2131</v>
      </c>
      <c r="AO56" s="10" t="s">
        <v>2131</v>
      </c>
      <c r="AP56" s="10" t="s">
        <v>141</v>
      </c>
      <c r="AQ56" s="10" t="s">
        <v>141</v>
      </c>
      <c r="AR56" s="10" t="s">
        <v>141</v>
      </c>
      <c r="AS56" s="10" t="s">
        <v>2131</v>
      </c>
      <c r="AT56" s="10" t="s">
        <v>141</v>
      </c>
      <c r="AU56" s="10" t="s">
        <v>141</v>
      </c>
      <c r="AV56" s="10" t="s">
        <v>2131</v>
      </c>
      <c r="AW56" s="10"/>
      <c r="AX56" s="10"/>
      <c r="AY56" s="77">
        <f t="shared" si="7"/>
        <v>27</v>
      </c>
      <c r="AZ56" s="77">
        <f t="shared" si="12"/>
        <v>10</v>
      </c>
      <c r="BA56" t="s">
        <v>152</v>
      </c>
    </row>
    <row r="57" spans="1:53">
      <c r="A57" s="10">
        <v>43</v>
      </c>
      <c r="B57">
        <v>2100</v>
      </c>
      <c r="C57" s="38">
        <v>45964.251956018517</v>
      </c>
      <c r="D57" s="7">
        <v>45964</v>
      </c>
      <c r="E57" s="99">
        <v>45964</v>
      </c>
      <c r="F57" s="100">
        <f t="shared" ref="F57:F62" si="13">MONTH($E57)</f>
        <v>11</v>
      </c>
      <c r="G57" s="100">
        <v>57</v>
      </c>
      <c r="H57" s="7" t="s">
        <v>2129</v>
      </c>
      <c r="I57" t="s">
        <v>2130</v>
      </c>
      <c r="J57" s="10" t="s">
        <v>141</v>
      </c>
      <c r="K57" s="10" t="s">
        <v>141</v>
      </c>
      <c r="L57" s="10" t="s">
        <v>141</v>
      </c>
      <c r="M57" s="10" t="s">
        <v>141</v>
      </c>
      <c r="N57" s="10" t="s">
        <v>141</v>
      </c>
      <c r="O57" s="10" t="s">
        <v>141</v>
      </c>
      <c r="P57" s="10" t="s">
        <v>2131</v>
      </c>
      <c r="Q57" s="10" t="s">
        <v>141</v>
      </c>
      <c r="R57" s="10" t="s">
        <v>2131</v>
      </c>
      <c r="S57" s="10" t="s">
        <v>141</v>
      </c>
      <c r="T57" s="10" t="s">
        <v>141</v>
      </c>
      <c r="U57" s="10" t="s">
        <v>141</v>
      </c>
      <c r="V57" s="10" t="s">
        <v>141</v>
      </c>
      <c r="W57" s="10" t="s">
        <v>141</v>
      </c>
      <c r="X57" s="10" t="s">
        <v>141</v>
      </c>
      <c r="Y57" s="10" t="s">
        <v>2131</v>
      </c>
      <c r="Z57" s="10" t="s">
        <v>141</v>
      </c>
      <c r="AA57" s="10" t="s">
        <v>2131</v>
      </c>
      <c r="AB57" s="10" t="s">
        <v>141</v>
      </c>
      <c r="AC57" s="10" t="s">
        <v>2131</v>
      </c>
      <c r="AD57" s="10" t="s">
        <v>2131</v>
      </c>
      <c r="AE57" s="10" t="s">
        <v>141</v>
      </c>
      <c r="AF57" s="10" t="s">
        <v>2131</v>
      </c>
      <c r="AG57" s="10" t="s">
        <v>2131</v>
      </c>
      <c r="AH57" s="10" t="s">
        <v>2131</v>
      </c>
      <c r="AI57" s="10" t="s">
        <v>2131</v>
      </c>
      <c r="AJ57" s="10" t="s">
        <v>2131</v>
      </c>
      <c r="AK57" s="10" t="s">
        <v>141</v>
      </c>
      <c r="AL57" s="10" t="s">
        <v>141</v>
      </c>
      <c r="AM57" s="10" t="s">
        <v>141</v>
      </c>
      <c r="AN57" s="10" t="s">
        <v>141</v>
      </c>
      <c r="AO57" s="10" t="s">
        <v>141</v>
      </c>
      <c r="AP57" s="10" t="s">
        <v>2131</v>
      </c>
      <c r="AQ57" s="10" t="s">
        <v>2131</v>
      </c>
      <c r="AR57" s="10" t="s">
        <v>2131</v>
      </c>
      <c r="AS57" s="10" t="s">
        <v>2131</v>
      </c>
      <c r="AT57" s="10" t="s">
        <v>141</v>
      </c>
      <c r="AU57" s="10" t="s">
        <v>141</v>
      </c>
      <c r="AV57" s="10" t="s">
        <v>141</v>
      </c>
      <c r="AW57" s="10"/>
      <c r="AX57" s="10"/>
      <c r="AY57" s="77">
        <f t="shared" si="7"/>
        <v>24</v>
      </c>
      <c r="AZ57" s="77">
        <f t="shared" si="12"/>
        <v>14</v>
      </c>
      <c r="BA57" t="s">
        <v>152</v>
      </c>
    </row>
    <row r="58" spans="1:53">
      <c r="A58" s="10">
        <v>44</v>
      </c>
      <c r="B58">
        <v>2101</v>
      </c>
      <c r="C58" s="38">
        <v>45971.256249999999</v>
      </c>
      <c r="D58" s="7">
        <v>45971</v>
      </c>
      <c r="E58" s="99">
        <v>45971</v>
      </c>
      <c r="F58" s="100">
        <f t="shared" si="13"/>
        <v>11</v>
      </c>
      <c r="G58" s="100">
        <v>58</v>
      </c>
      <c r="H58" s="7" t="s">
        <v>2129</v>
      </c>
      <c r="I58" t="s">
        <v>2130</v>
      </c>
      <c r="J58" s="10" t="s">
        <v>141</v>
      </c>
      <c r="K58" s="10" t="s">
        <v>141</v>
      </c>
      <c r="L58" s="10" t="s">
        <v>141</v>
      </c>
      <c r="M58" s="10" t="s">
        <v>141</v>
      </c>
      <c r="N58" s="10" t="s">
        <v>2131</v>
      </c>
      <c r="O58" s="10" t="s">
        <v>141</v>
      </c>
      <c r="P58" s="10" t="s">
        <v>141</v>
      </c>
      <c r="Q58" s="10" t="s">
        <v>141</v>
      </c>
      <c r="R58" s="10" t="s">
        <v>141</v>
      </c>
      <c r="S58" s="10" t="s">
        <v>141</v>
      </c>
      <c r="T58" s="10" t="s">
        <v>141</v>
      </c>
      <c r="U58" s="10" t="s">
        <v>2131</v>
      </c>
      <c r="V58" s="10" t="s">
        <v>141</v>
      </c>
      <c r="W58" s="10" t="s">
        <v>2131</v>
      </c>
      <c r="X58" s="10" t="s">
        <v>141</v>
      </c>
      <c r="Y58" s="10" t="s">
        <v>141</v>
      </c>
      <c r="Z58" s="10" t="s">
        <v>141</v>
      </c>
      <c r="AA58" s="10" t="s">
        <v>2131</v>
      </c>
      <c r="AB58" s="10" t="s">
        <v>141</v>
      </c>
      <c r="AC58" s="10" t="s">
        <v>2131</v>
      </c>
      <c r="AD58" s="10" t="s">
        <v>141</v>
      </c>
      <c r="AE58" s="10" t="s">
        <v>141</v>
      </c>
      <c r="AF58" s="10" t="s">
        <v>2131</v>
      </c>
      <c r="AG58" s="10" t="s">
        <v>141</v>
      </c>
      <c r="AH58" s="10" t="s">
        <v>141</v>
      </c>
      <c r="AI58" s="10" t="s">
        <v>141</v>
      </c>
      <c r="AJ58" s="10" t="s">
        <v>141</v>
      </c>
      <c r="AK58" s="10" t="s">
        <v>141</v>
      </c>
      <c r="AL58" s="10" t="s">
        <v>141</v>
      </c>
      <c r="AM58" s="10" t="s">
        <v>141</v>
      </c>
      <c r="AN58" s="10" t="s">
        <v>2131</v>
      </c>
      <c r="AO58" s="10" t="s">
        <v>141</v>
      </c>
      <c r="AP58" s="10" t="s">
        <v>141</v>
      </c>
      <c r="AQ58" s="10" t="s">
        <v>141</v>
      </c>
      <c r="AR58" s="10" t="s">
        <v>141</v>
      </c>
      <c r="AS58" s="10" t="s">
        <v>2131</v>
      </c>
      <c r="AT58" s="10" t="s">
        <v>141</v>
      </c>
      <c r="AU58" s="10" t="s">
        <v>140</v>
      </c>
      <c r="AV58" s="10" t="s">
        <v>141</v>
      </c>
      <c r="AW58" s="10"/>
      <c r="AX58" s="10"/>
      <c r="AY58" s="77">
        <f t="shared" si="7"/>
        <v>30</v>
      </c>
      <c r="AZ58" s="77">
        <f t="shared" si="12"/>
        <v>7</v>
      </c>
      <c r="BA58" t="s">
        <v>152</v>
      </c>
    </row>
    <row r="59" spans="1:53">
      <c r="A59" s="10">
        <v>45</v>
      </c>
      <c r="B59">
        <v>2102</v>
      </c>
      <c r="C59" s="38">
        <v>45978.25445601852</v>
      </c>
      <c r="D59" s="7">
        <v>45978</v>
      </c>
      <c r="E59" s="99">
        <v>45978</v>
      </c>
      <c r="F59" s="100">
        <f t="shared" si="13"/>
        <v>11</v>
      </c>
      <c r="G59" s="100">
        <v>59</v>
      </c>
      <c r="H59" s="7" t="s">
        <v>2129</v>
      </c>
      <c r="I59" t="s">
        <v>2130</v>
      </c>
      <c r="J59" s="10" t="s">
        <v>141</v>
      </c>
      <c r="K59" s="10" t="s">
        <v>141</v>
      </c>
      <c r="L59" s="10" t="s">
        <v>141</v>
      </c>
      <c r="M59" s="10" t="s">
        <v>141</v>
      </c>
      <c r="N59" s="10" t="s">
        <v>141</v>
      </c>
      <c r="O59" s="10" t="s">
        <v>141</v>
      </c>
      <c r="P59" s="10" t="s">
        <v>2131</v>
      </c>
      <c r="Q59" s="10" t="s">
        <v>141</v>
      </c>
      <c r="R59" s="10" t="s">
        <v>141</v>
      </c>
      <c r="S59" s="10" t="s">
        <v>141</v>
      </c>
      <c r="T59" s="10" t="s">
        <v>141</v>
      </c>
      <c r="U59" s="10" t="s">
        <v>2131</v>
      </c>
      <c r="V59" s="10" t="s">
        <v>141</v>
      </c>
      <c r="W59" s="10" t="s">
        <v>141</v>
      </c>
      <c r="X59" s="10" t="s">
        <v>2131</v>
      </c>
      <c r="Y59" s="10" t="s">
        <v>2131</v>
      </c>
      <c r="Z59" s="10" t="s">
        <v>141</v>
      </c>
      <c r="AA59" s="10" t="s">
        <v>141</v>
      </c>
      <c r="AB59" s="10" t="s">
        <v>141</v>
      </c>
      <c r="AC59" s="10" t="s">
        <v>2131</v>
      </c>
      <c r="AD59" s="10" t="s">
        <v>141</v>
      </c>
      <c r="AE59" s="10" t="s">
        <v>141</v>
      </c>
      <c r="AF59" s="10" t="s">
        <v>2131</v>
      </c>
      <c r="AG59" s="10" t="s">
        <v>2131</v>
      </c>
      <c r="AH59" s="10" t="s">
        <v>141</v>
      </c>
      <c r="AI59" s="10" t="s">
        <v>2131</v>
      </c>
      <c r="AJ59" s="10" t="s">
        <v>141</v>
      </c>
      <c r="AK59" s="10" t="s">
        <v>2131</v>
      </c>
      <c r="AL59" s="10" t="s">
        <v>141</v>
      </c>
      <c r="AM59" s="10" t="s">
        <v>2131</v>
      </c>
      <c r="AN59" s="10" t="s">
        <v>141</v>
      </c>
      <c r="AO59" s="10" t="s">
        <v>2131</v>
      </c>
      <c r="AP59" s="10" t="s">
        <v>141</v>
      </c>
      <c r="AQ59" s="10" t="s">
        <v>141</v>
      </c>
      <c r="AR59" s="10" t="s">
        <v>141</v>
      </c>
      <c r="AS59" s="10" t="s">
        <v>2131</v>
      </c>
      <c r="AT59" s="10" t="s">
        <v>141</v>
      </c>
      <c r="AU59" s="10" t="s">
        <v>141</v>
      </c>
      <c r="AV59" s="10" t="s">
        <v>141</v>
      </c>
      <c r="AW59" s="10" t="s">
        <v>141</v>
      </c>
      <c r="AX59" s="10" t="s">
        <v>140</v>
      </c>
      <c r="AY59" s="77">
        <f>COUNTIF($J59:$AV59,"I")</f>
        <v>27</v>
      </c>
      <c r="AZ59" s="77">
        <f>COUNTIF($J59:$AR59,"L")</f>
        <v>11</v>
      </c>
      <c r="BA59" t="s">
        <v>152</v>
      </c>
    </row>
    <row r="60" spans="1:53">
      <c r="A60" s="10">
        <v>46</v>
      </c>
      <c r="B60">
        <v>2103</v>
      </c>
      <c r="C60" s="38">
        <v>45985.249594907407</v>
      </c>
      <c r="D60" s="7">
        <v>45985</v>
      </c>
      <c r="E60" s="99">
        <v>45985</v>
      </c>
      <c r="F60" s="100">
        <f t="shared" si="13"/>
        <v>11</v>
      </c>
      <c r="G60" s="100">
        <v>60</v>
      </c>
      <c r="H60" s="7" t="s">
        <v>2129</v>
      </c>
      <c r="I60" t="s">
        <v>2130</v>
      </c>
      <c r="J60" s="10" t="s">
        <v>2131</v>
      </c>
      <c r="K60" s="10" t="s">
        <v>141</v>
      </c>
      <c r="L60" s="10" t="s">
        <v>141</v>
      </c>
      <c r="M60" s="10" t="s">
        <v>141</v>
      </c>
      <c r="N60" s="10" t="s">
        <v>2131</v>
      </c>
      <c r="O60" s="10" t="s">
        <v>141</v>
      </c>
      <c r="P60" s="10" t="s">
        <v>141</v>
      </c>
      <c r="Q60" s="10" t="s">
        <v>141</v>
      </c>
      <c r="R60" s="10" t="s">
        <v>2131</v>
      </c>
      <c r="S60" s="10" t="s">
        <v>2131</v>
      </c>
      <c r="T60" s="10" t="s">
        <v>141</v>
      </c>
      <c r="U60" s="10" t="s">
        <v>141</v>
      </c>
      <c r="V60" s="10" t="s">
        <v>141</v>
      </c>
      <c r="W60" s="10" t="s">
        <v>2131</v>
      </c>
      <c r="X60" s="10" t="s">
        <v>141</v>
      </c>
      <c r="Y60" s="10" t="s">
        <v>2131</v>
      </c>
      <c r="Z60" s="10" t="s">
        <v>141</v>
      </c>
      <c r="AA60" s="10" t="s">
        <v>141</v>
      </c>
      <c r="AB60" s="10" t="s">
        <v>141</v>
      </c>
      <c r="AC60" s="10" t="s">
        <v>2131</v>
      </c>
      <c r="AD60" s="10" t="s">
        <v>2131</v>
      </c>
      <c r="AE60" s="10" t="s">
        <v>141</v>
      </c>
      <c r="AF60" s="10" t="s">
        <v>141</v>
      </c>
      <c r="AG60" s="10" t="s">
        <v>141</v>
      </c>
      <c r="AH60" s="10" t="s">
        <v>141</v>
      </c>
      <c r="AI60" s="10" t="s">
        <v>141</v>
      </c>
      <c r="AJ60" s="10" t="s">
        <v>2131</v>
      </c>
      <c r="AK60" s="10" t="s">
        <v>2131</v>
      </c>
      <c r="AL60" s="10" t="s">
        <v>141</v>
      </c>
      <c r="AM60" s="10" t="s">
        <v>141</v>
      </c>
      <c r="AN60" s="10" t="s">
        <v>140</v>
      </c>
      <c r="AO60" s="10" t="s">
        <v>141</v>
      </c>
      <c r="AP60" s="10" t="s">
        <v>141</v>
      </c>
      <c r="AQ60" s="10" t="s">
        <v>2131</v>
      </c>
      <c r="AR60" s="10" t="s">
        <v>141</v>
      </c>
      <c r="AS60" s="10" t="s">
        <v>2131</v>
      </c>
      <c r="AT60" s="10" t="s">
        <v>141</v>
      </c>
      <c r="AU60" s="10" t="s">
        <v>2131</v>
      </c>
      <c r="AV60" s="10" t="s">
        <v>141</v>
      </c>
      <c r="AW60" s="10" t="s">
        <v>141</v>
      </c>
      <c r="AX60" s="10" t="s">
        <v>140</v>
      </c>
      <c r="AY60" s="77">
        <f>COUNTIF($J60:$AV60,"I")</f>
        <v>25</v>
      </c>
      <c r="AZ60" s="77">
        <f>COUNTIF($J60:$AR60,"L")</f>
        <v>11</v>
      </c>
      <c r="BA60" t="s">
        <v>152</v>
      </c>
    </row>
    <row r="61" spans="1:53">
      <c r="A61" s="10">
        <v>47</v>
      </c>
      <c r="B61">
        <v>2104</v>
      </c>
      <c r="C61" s="38">
        <v>45992.250821759262</v>
      </c>
      <c r="D61" s="7">
        <v>45992</v>
      </c>
      <c r="E61" s="99">
        <v>45992</v>
      </c>
      <c r="F61" s="100">
        <f t="shared" si="13"/>
        <v>12</v>
      </c>
      <c r="G61" s="100">
        <v>61</v>
      </c>
      <c r="H61" s="7" t="s">
        <v>2129</v>
      </c>
      <c r="I61" t="s">
        <v>2130</v>
      </c>
      <c r="J61" s="10" t="s">
        <v>141</v>
      </c>
      <c r="K61" s="10" t="s">
        <v>141</v>
      </c>
      <c r="L61" s="10" t="s">
        <v>141</v>
      </c>
      <c r="M61" s="10" t="s">
        <v>141</v>
      </c>
      <c r="N61" s="10" t="s">
        <v>141</v>
      </c>
      <c r="O61" s="10" t="s">
        <v>141</v>
      </c>
      <c r="P61" s="10" t="s">
        <v>141</v>
      </c>
      <c r="Q61" s="10" t="s">
        <v>2131</v>
      </c>
      <c r="R61" s="10" t="s">
        <v>141</v>
      </c>
      <c r="S61" s="10" t="s">
        <v>141</v>
      </c>
      <c r="T61" s="10" t="s">
        <v>141</v>
      </c>
      <c r="U61" s="10" t="s">
        <v>141</v>
      </c>
      <c r="V61" s="10" t="s">
        <v>141</v>
      </c>
      <c r="W61" s="10" t="s">
        <v>141</v>
      </c>
      <c r="X61" s="10" t="s">
        <v>141</v>
      </c>
      <c r="Y61" s="10" t="s">
        <v>141</v>
      </c>
      <c r="Z61" s="10" t="s">
        <v>2131</v>
      </c>
      <c r="AA61" s="10" t="s">
        <v>141</v>
      </c>
      <c r="AB61" s="10" t="s">
        <v>141</v>
      </c>
      <c r="AC61" s="10" t="s">
        <v>2131</v>
      </c>
      <c r="AD61" s="10" t="s">
        <v>140</v>
      </c>
      <c r="AE61" s="10" t="s">
        <v>2131</v>
      </c>
      <c r="AF61" s="10" t="s">
        <v>141</v>
      </c>
      <c r="AG61" s="10" t="s">
        <v>141</v>
      </c>
      <c r="AH61" s="10" t="s">
        <v>141</v>
      </c>
      <c r="AI61" s="10" t="s">
        <v>141</v>
      </c>
      <c r="AJ61" s="10" t="s">
        <v>141</v>
      </c>
      <c r="AK61" s="10" t="s">
        <v>141</v>
      </c>
      <c r="AL61" s="10" t="s">
        <v>141</v>
      </c>
      <c r="AM61" s="10" t="s">
        <v>141</v>
      </c>
      <c r="AN61" s="10" t="s">
        <v>141</v>
      </c>
      <c r="AO61" s="10" t="s">
        <v>141</v>
      </c>
      <c r="AP61" s="10" t="s">
        <v>141</v>
      </c>
      <c r="AQ61" s="10" t="s">
        <v>2131</v>
      </c>
      <c r="AR61" s="10" t="s">
        <v>141</v>
      </c>
      <c r="AS61" s="10" t="s">
        <v>2131</v>
      </c>
      <c r="AT61" s="10" t="s">
        <v>141</v>
      </c>
      <c r="AU61" s="10" t="s">
        <v>141</v>
      </c>
      <c r="AV61" s="10" t="s">
        <v>141</v>
      </c>
      <c r="AW61" s="10" t="s">
        <v>141</v>
      </c>
      <c r="AX61" s="10" t="s">
        <v>140</v>
      </c>
      <c r="AY61" s="77">
        <f>COUNTIF($J61:$AV61,"I")</f>
        <v>32</v>
      </c>
      <c r="AZ61" s="77">
        <f>COUNTIF($J61:$AR61,"L")</f>
        <v>5</v>
      </c>
      <c r="BA61" t="s">
        <v>1248</v>
      </c>
    </row>
    <row r="62" spans="1:53">
      <c r="A62" s="10">
        <v>48</v>
      </c>
      <c r="B62">
        <v>2105</v>
      </c>
      <c r="C62" s="38">
        <v>45999.251400462963</v>
      </c>
      <c r="D62" s="7">
        <v>45999</v>
      </c>
      <c r="E62" s="99">
        <v>45999</v>
      </c>
      <c r="F62" s="100">
        <f t="shared" si="13"/>
        <v>12</v>
      </c>
      <c r="G62" s="100">
        <v>62</v>
      </c>
      <c r="H62" s="7" t="s">
        <v>2129</v>
      </c>
      <c r="I62" t="s">
        <v>2130</v>
      </c>
      <c r="J62" s="10" t="s">
        <v>141</v>
      </c>
      <c r="K62" s="10" t="s">
        <v>141</v>
      </c>
      <c r="L62" s="10" t="s">
        <v>141</v>
      </c>
      <c r="M62" s="10" t="s">
        <v>141</v>
      </c>
      <c r="N62" s="10" t="s">
        <v>2131</v>
      </c>
      <c r="O62" s="10" t="s">
        <v>141</v>
      </c>
      <c r="P62" s="10" t="s">
        <v>2131</v>
      </c>
      <c r="Q62" s="10" t="s">
        <v>2131</v>
      </c>
      <c r="R62" s="10" t="s">
        <v>141</v>
      </c>
      <c r="S62" s="10" t="s">
        <v>141</v>
      </c>
      <c r="T62" s="10" t="s">
        <v>141</v>
      </c>
      <c r="U62" s="10" t="s">
        <v>141</v>
      </c>
      <c r="V62" s="10" t="s">
        <v>141</v>
      </c>
      <c r="W62" s="10" t="s">
        <v>141</v>
      </c>
      <c r="X62" s="10" t="s">
        <v>141</v>
      </c>
      <c r="Y62" s="10" t="s">
        <v>141</v>
      </c>
      <c r="Z62" s="10" t="s">
        <v>2131</v>
      </c>
      <c r="AA62" s="10" t="s">
        <v>141</v>
      </c>
      <c r="AB62" s="10" t="s">
        <v>141</v>
      </c>
      <c r="AC62" s="10" t="s">
        <v>2131</v>
      </c>
      <c r="AD62" s="10" t="s">
        <v>2131</v>
      </c>
      <c r="AE62" s="10" t="s">
        <v>141</v>
      </c>
      <c r="AF62" s="10" t="s">
        <v>141</v>
      </c>
      <c r="AG62" s="10" t="s">
        <v>141</v>
      </c>
      <c r="AH62" s="10" t="s">
        <v>141</v>
      </c>
      <c r="AI62" s="10" t="s">
        <v>141</v>
      </c>
      <c r="AJ62" s="10" t="s">
        <v>140</v>
      </c>
      <c r="AK62" s="10" t="s">
        <v>141</v>
      </c>
      <c r="AL62" s="10" t="s">
        <v>141</v>
      </c>
      <c r="AM62" s="10" t="s">
        <v>141</v>
      </c>
      <c r="AN62" s="10" t="s">
        <v>141</v>
      </c>
      <c r="AO62" s="10" t="s">
        <v>2131</v>
      </c>
      <c r="AP62" s="10" t="s">
        <v>141</v>
      </c>
      <c r="AQ62" s="10" t="s">
        <v>141</v>
      </c>
      <c r="AR62" s="10" t="s">
        <v>141</v>
      </c>
      <c r="AS62" s="10" t="s">
        <v>2131</v>
      </c>
      <c r="AT62" s="10" t="s">
        <v>141</v>
      </c>
      <c r="AU62" s="10" t="s">
        <v>141</v>
      </c>
      <c r="AV62" s="10" t="s">
        <v>141</v>
      </c>
      <c r="AW62" s="10" t="s">
        <v>141</v>
      </c>
      <c r="AX62" s="10" t="s">
        <v>140</v>
      </c>
      <c r="AY62" s="77">
        <f>COUNTIF($J62:$AV62,"I")</f>
        <v>30</v>
      </c>
      <c r="AZ62" s="77">
        <f>COUNTIF($J62:$AR62,"L")</f>
        <v>7</v>
      </c>
      <c r="BA62" t="s">
        <v>152</v>
      </c>
    </row>
    <row r="63" spans="1:53">
      <c r="A63" s="10">
        <v>49</v>
      </c>
      <c r="B63">
        <v>2106</v>
      </c>
      <c r="C63" s="38">
        <v>46006.248506944445</v>
      </c>
      <c r="D63" s="7">
        <v>46006</v>
      </c>
      <c r="E63" s="99">
        <v>46006</v>
      </c>
      <c r="F63" s="100">
        <f>MONTH($E63)</f>
        <v>12</v>
      </c>
      <c r="G63" s="100">
        <v>63</v>
      </c>
      <c r="H63" s="7" t="s">
        <v>2129</v>
      </c>
      <c r="I63" t="s">
        <v>2130</v>
      </c>
      <c r="J63" s="10" t="s">
        <v>141</v>
      </c>
      <c r="K63" s="10" t="s">
        <v>141</v>
      </c>
      <c r="L63" s="10" t="s">
        <v>141</v>
      </c>
      <c r="M63" s="10" t="s">
        <v>141</v>
      </c>
      <c r="N63" s="10" t="s">
        <v>141</v>
      </c>
      <c r="O63" s="10" t="s">
        <v>141</v>
      </c>
      <c r="P63" s="10" t="s">
        <v>141</v>
      </c>
      <c r="Q63" s="10" t="s">
        <v>2131</v>
      </c>
      <c r="R63" s="10" t="s">
        <v>141</v>
      </c>
      <c r="S63" s="10" t="s">
        <v>141</v>
      </c>
      <c r="T63" s="10" t="s">
        <v>141</v>
      </c>
      <c r="U63" s="10" t="s">
        <v>2131</v>
      </c>
      <c r="V63" s="10" t="s">
        <v>141</v>
      </c>
      <c r="W63" s="10" t="s">
        <v>2131</v>
      </c>
      <c r="X63" s="10" t="s">
        <v>141</v>
      </c>
      <c r="Y63" s="10" t="s">
        <v>141</v>
      </c>
      <c r="Z63" s="10" t="s">
        <v>141</v>
      </c>
      <c r="AA63" s="10" t="s">
        <v>141</v>
      </c>
      <c r="AB63" s="10" t="s">
        <v>141</v>
      </c>
      <c r="AC63" s="10" t="s">
        <v>2131</v>
      </c>
      <c r="AD63" s="10" t="s">
        <v>141</v>
      </c>
      <c r="AE63" s="10" t="s">
        <v>141</v>
      </c>
      <c r="AF63" s="10" t="s">
        <v>141</v>
      </c>
      <c r="AG63" s="10" t="s">
        <v>141</v>
      </c>
      <c r="AH63" s="10" t="s">
        <v>141</v>
      </c>
      <c r="AI63" s="10" t="s">
        <v>141</v>
      </c>
      <c r="AJ63" s="10" t="s">
        <v>141</v>
      </c>
      <c r="AK63" s="10" t="s">
        <v>141</v>
      </c>
      <c r="AL63" s="10" t="s">
        <v>141</v>
      </c>
      <c r="AM63" s="10" t="s">
        <v>141</v>
      </c>
      <c r="AN63" s="10" t="s">
        <v>2131</v>
      </c>
      <c r="AO63" s="10" t="s">
        <v>141</v>
      </c>
      <c r="AP63" s="10" t="s">
        <v>141</v>
      </c>
      <c r="AQ63" s="10" t="s">
        <v>2131</v>
      </c>
      <c r="AR63" s="10" t="s">
        <v>141</v>
      </c>
      <c r="AS63" s="10" t="s">
        <v>2131</v>
      </c>
      <c r="AT63" s="10" t="s">
        <v>141</v>
      </c>
      <c r="AU63" s="10" t="s">
        <v>141</v>
      </c>
      <c r="AV63" s="10" t="s">
        <v>141</v>
      </c>
      <c r="AW63" s="10" t="s">
        <v>141</v>
      </c>
      <c r="AX63" s="10" t="s">
        <v>140</v>
      </c>
      <c r="AY63" s="77">
        <f>COUNTIF($J63:$AV63,"I")</f>
        <v>32</v>
      </c>
      <c r="AZ63" s="77">
        <f>COUNTIF($J63:$AR63,"L")</f>
        <v>6</v>
      </c>
      <c r="BA63" t="s">
        <v>152</v>
      </c>
    </row>
  </sheetData>
  <conditionalFormatting sqref="J15:AX63">
    <cfRule type="containsText" dxfId="839" priority="1" operator="containsText" text="L">
      <formula>NOT(ISERROR(SEARCH("L",J15)))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8790-DB40-4391-AE4C-314C7DED030D}">
  <dimension ref="A1:AX1576"/>
  <sheetViews>
    <sheetView zoomScale="110" zoomScaleNormal="110" workbookViewId="0">
      <pane ySplit="2" topLeftCell="A3" activePane="bottomLeft" state="frozen"/>
      <selection pane="bottomLeft" activeCell="L16" sqref="L16"/>
      <selection activeCell="E1" sqref="E1"/>
    </sheetView>
  </sheetViews>
  <sheetFormatPr defaultRowHeight="15"/>
  <cols>
    <col min="1" max="1" width="3.7109375" customWidth="1"/>
    <col min="2" max="3" width="4.28515625" customWidth="1"/>
    <col min="4" max="4" width="11.28515625" bestFit="1" customWidth="1"/>
    <col min="5" max="5" width="35.7109375" customWidth="1"/>
    <col min="6" max="6" width="14.42578125" customWidth="1"/>
    <col min="7" max="7" width="4.140625" style="1" customWidth="1"/>
    <col min="8" max="30" width="3.7109375" style="1" customWidth="1"/>
    <col min="31" max="32" width="4.140625" style="1" customWidth="1"/>
    <col min="33" max="40" width="3.7109375" style="1" customWidth="1"/>
    <col min="41" max="47" width="3.7109375" style="116" customWidth="1"/>
    <col min="48" max="48" width="4.28515625" style="119" customWidth="1"/>
    <col min="49" max="49" width="0" style="3" hidden="1" customWidth="1"/>
    <col min="50" max="50" width="3.5703125" style="119" customWidth="1"/>
  </cols>
  <sheetData>
    <row r="1" spans="1:50" ht="159.75" customHeight="1">
      <c r="A1" s="1" t="s">
        <v>72</v>
      </c>
      <c r="B1" s="1" t="s">
        <v>2138</v>
      </c>
      <c r="C1" s="1" t="s">
        <v>2139</v>
      </c>
      <c r="D1" s="68" t="s">
        <v>76</v>
      </c>
      <c r="E1" s="68" t="s">
        <v>2140</v>
      </c>
      <c r="F1" s="68" t="s">
        <v>80</v>
      </c>
      <c r="G1" s="120" t="s">
        <v>21</v>
      </c>
      <c r="H1" s="120" t="s">
        <v>23</v>
      </c>
      <c r="I1" s="120" t="s">
        <v>24</v>
      </c>
      <c r="J1" s="120" t="s">
        <v>25</v>
      </c>
      <c r="K1" s="120" t="s">
        <v>27</v>
      </c>
      <c r="L1" s="120" t="s">
        <v>26</v>
      </c>
      <c r="M1" s="120" t="s">
        <v>28</v>
      </c>
      <c r="N1" s="120" t="s">
        <v>29</v>
      </c>
      <c r="O1" s="120" t="s">
        <v>37</v>
      </c>
      <c r="P1" s="120" t="s">
        <v>36</v>
      </c>
      <c r="Q1" s="120" t="s">
        <v>35</v>
      </c>
      <c r="R1" s="120" t="s">
        <v>32</v>
      </c>
      <c r="S1" s="120" t="s">
        <v>30</v>
      </c>
      <c r="T1" s="120" t="s">
        <v>34</v>
      </c>
      <c r="U1" s="120" t="s">
        <v>44</v>
      </c>
      <c r="V1" s="120" t="s">
        <v>43</v>
      </c>
      <c r="W1" s="120" t="s">
        <v>39</v>
      </c>
      <c r="X1" s="120" t="s">
        <v>42</v>
      </c>
      <c r="Y1" s="120" t="s">
        <v>49</v>
      </c>
      <c r="Z1" s="120" t="s">
        <v>48</v>
      </c>
      <c r="AA1" s="120" t="s">
        <v>46</v>
      </c>
      <c r="AB1" s="120" t="s">
        <v>38</v>
      </c>
      <c r="AC1" s="120" t="s">
        <v>50</v>
      </c>
      <c r="AD1" s="120" t="s">
        <v>45</v>
      </c>
      <c r="AE1" s="120" t="s">
        <v>41</v>
      </c>
      <c r="AF1" s="120" t="s">
        <v>47</v>
      </c>
      <c r="AG1" s="120" t="s">
        <v>40</v>
      </c>
      <c r="AH1" s="120" t="s">
        <v>52</v>
      </c>
      <c r="AI1" s="120" t="s">
        <v>59</v>
      </c>
      <c r="AJ1" s="120" t="s">
        <v>53</v>
      </c>
      <c r="AK1" s="120" t="s">
        <v>51</v>
      </c>
      <c r="AL1" s="120" t="s">
        <v>56</v>
      </c>
      <c r="AM1" s="120" t="s">
        <v>60</v>
      </c>
      <c r="AN1" s="120" t="s">
        <v>58</v>
      </c>
      <c r="AO1" s="121" t="s">
        <v>55</v>
      </c>
      <c r="AP1" s="121" t="s">
        <v>63</v>
      </c>
      <c r="AQ1" s="121" t="s">
        <v>64</v>
      </c>
      <c r="AR1" s="121" t="s">
        <v>61</v>
      </c>
      <c r="AS1" s="121" t="s">
        <v>62</v>
      </c>
      <c r="AT1" s="121" t="s">
        <v>65</v>
      </c>
      <c r="AU1" s="121" t="s">
        <v>66</v>
      </c>
      <c r="AV1" s="121" t="s">
        <v>94</v>
      </c>
      <c r="AW1" s="3" t="s">
        <v>99</v>
      </c>
      <c r="AX1" s="132" t="s">
        <v>2141</v>
      </c>
    </row>
    <row r="2" spans="1:50">
      <c r="B2" s="68">
        <f>MAX(A3:A100664)</f>
        <v>650</v>
      </c>
      <c r="C2" s="68">
        <v>2</v>
      </c>
      <c r="D2" s="76"/>
      <c r="E2" s="76" t="s">
        <v>100</v>
      </c>
      <c r="F2" s="77">
        <f>(B2+1)</f>
        <v>651</v>
      </c>
      <c r="G2" s="36">
        <f>MAX($C$3:$C$1660)+1</f>
        <v>701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117"/>
      <c r="AB2" s="36"/>
      <c r="AC2" s="117"/>
      <c r="AD2" s="36"/>
      <c r="AE2" s="36"/>
      <c r="AF2" s="117"/>
      <c r="AG2" s="36"/>
      <c r="AH2" s="36"/>
      <c r="AI2" s="117"/>
      <c r="AJ2" s="36"/>
      <c r="AK2" s="36"/>
      <c r="AL2" s="36"/>
      <c r="AM2" s="117"/>
      <c r="AN2" s="117"/>
      <c r="AO2" s="117"/>
      <c r="AP2" s="117"/>
      <c r="AQ2" s="117"/>
      <c r="AR2" s="117"/>
      <c r="AS2" s="117"/>
      <c r="AT2" s="117"/>
      <c r="AU2" s="117"/>
      <c r="AV2" s="119">
        <f t="shared" ref="AV2:AV65" si="0">COUNTIF($F2:$AS2, "I")</f>
        <v>0</v>
      </c>
      <c r="AW2" s="119"/>
    </row>
    <row r="3" spans="1:50">
      <c r="A3">
        <v>1</v>
      </c>
      <c r="C3">
        <v>3</v>
      </c>
      <c r="D3" s="7">
        <v>45658</v>
      </c>
      <c r="E3" t="s">
        <v>136</v>
      </c>
      <c r="F3" s="10" t="s">
        <v>132</v>
      </c>
      <c r="G3" s="36" t="s">
        <v>140</v>
      </c>
      <c r="H3" s="36" t="s">
        <v>140</v>
      </c>
      <c r="I3" s="36" t="s">
        <v>140</v>
      </c>
      <c r="J3" s="36" t="s">
        <v>141</v>
      </c>
      <c r="K3" s="36" t="s">
        <v>141</v>
      </c>
      <c r="L3" s="36" t="s">
        <v>140</v>
      </c>
      <c r="M3" s="36" t="s">
        <v>140</v>
      </c>
      <c r="N3" s="36" t="s">
        <v>140</v>
      </c>
      <c r="O3" s="119" t="s">
        <v>140</v>
      </c>
      <c r="P3" s="36" t="s">
        <v>140</v>
      </c>
      <c r="Q3" s="36" t="s">
        <v>140</v>
      </c>
      <c r="R3" s="36" t="s">
        <v>141</v>
      </c>
      <c r="S3" s="36" t="s">
        <v>140</v>
      </c>
      <c r="T3" s="36" t="s">
        <v>141</v>
      </c>
      <c r="U3" s="36" t="s">
        <v>140</v>
      </c>
      <c r="V3" s="36" t="s">
        <v>140</v>
      </c>
      <c r="W3" s="36" t="s">
        <v>140</v>
      </c>
      <c r="X3" s="36" t="s">
        <v>141</v>
      </c>
      <c r="Y3" s="36" t="s">
        <v>140</v>
      </c>
      <c r="Z3" s="36" t="s">
        <v>140</v>
      </c>
      <c r="AA3" s="117" t="s">
        <v>140</v>
      </c>
      <c r="AB3" s="36" t="s">
        <v>141</v>
      </c>
      <c r="AC3" s="117" t="s">
        <v>140</v>
      </c>
      <c r="AD3" s="36" t="s">
        <v>140</v>
      </c>
      <c r="AE3" s="36" t="s">
        <v>140</v>
      </c>
      <c r="AF3" s="117" t="s">
        <v>141</v>
      </c>
      <c r="AG3" s="36" t="s">
        <v>140</v>
      </c>
      <c r="AH3" s="36" t="s">
        <v>140</v>
      </c>
      <c r="AI3" s="117" t="s">
        <v>140</v>
      </c>
      <c r="AJ3" s="36" t="s">
        <v>140</v>
      </c>
      <c r="AK3" s="36" t="s">
        <v>140</v>
      </c>
      <c r="AL3" s="36" t="s">
        <v>140</v>
      </c>
      <c r="AM3" s="117" t="s">
        <v>140</v>
      </c>
      <c r="AN3" s="117" t="s">
        <v>140</v>
      </c>
      <c r="AO3" s="117" t="s">
        <v>140</v>
      </c>
      <c r="AP3" s="117"/>
      <c r="AQ3" s="117"/>
      <c r="AR3" s="117" t="s">
        <v>141</v>
      </c>
      <c r="AS3" s="117"/>
      <c r="AT3" s="117"/>
      <c r="AU3" s="117"/>
      <c r="AV3" s="119">
        <f t="shared" si="0"/>
        <v>8</v>
      </c>
      <c r="AW3" s="119"/>
      <c r="AX3" s="119" t="s">
        <v>2142</v>
      </c>
    </row>
    <row r="4" spans="1:50">
      <c r="A4">
        <v>2</v>
      </c>
      <c r="C4">
        <v>4</v>
      </c>
      <c r="D4" s="7">
        <v>45659</v>
      </c>
      <c r="E4" t="s">
        <v>149</v>
      </c>
      <c r="F4" s="10" t="s">
        <v>144</v>
      </c>
      <c r="G4" s="36" t="s">
        <v>140</v>
      </c>
      <c r="H4" s="36" t="s">
        <v>140</v>
      </c>
      <c r="I4" s="36" t="s">
        <v>140</v>
      </c>
      <c r="J4" s="36" t="s">
        <v>140</v>
      </c>
      <c r="K4" s="36" t="s">
        <v>141</v>
      </c>
      <c r="L4" s="36" t="s">
        <v>140</v>
      </c>
      <c r="M4" s="36" t="s">
        <v>140</v>
      </c>
      <c r="N4" s="36" t="s">
        <v>140</v>
      </c>
      <c r="O4" s="119" t="s">
        <v>140</v>
      </c>
      <c r="P4" s="36" t="s">
        <v>140</v>
      </c>
      <c r="Q4" s="36" t="s">
        <v>141</v>
      </c>
      <c r="R4" s="36" t="s">
        <v>140</v>
      </c>
      <c r="S4" s="36" t="s">
        <v>140</v>
      </c>
      <c r="T4" s="36" t="s">
        <v>141</v>
      </c>
      <c r="U4" s="36" t="s">
        <v>140</v>
      </c>
      <c r="V4" s="36" t="s">
        <v>140</v>
      </c>
      <c r="W4" s="36" t="s">
        <v>140</v>
      </c>
      <c r="X4" s="36" t="s">
        <v>141</v>
      </c>
      <c r="Y4" s="36" t="s">
        <v>140</v>
      </c>
      <c r="Z4" s="36" t="s">
        <v>141</v>
      </c>
      <c r="AA4" s="117" t="s">
        <v>140</v>
      </c>
      <c r="AB4" s="36" t="s">
        <v>141</v>
      </c>
      <c r="AC4" s="117" t="s">
        <v>140</v>
      </c>
      <c r="AD4" s="36" t="s">
        <v>141</v>
      </c>
      <c r="AE4" s="36" t="s">
        <v>140</v>
      </c>
      <c r="AF4" s="117" t="s">
        <v>141</v>
      </c>
      <c r="AG4" s="36" t="s">
        <v>140</v>
      </c>
      <c r="AH4" s="36" t="s">
        <v>140</v>
      </c>
      <c r="AI4" s="117" t="s">
        <v>140</v>
      </c>
      <c r="AJ4" s="36" t="s">
        <v>140</v>
      </c>
      <c r="AK4" s="36" t="s">
        <v>140</v>
      </c>
      <c r="AL4" s="36" t="s">
        <v>140</v>
      </c>
      <c r="AM4" s="117" t="s">
        <v>141</v>
      </c>
      <c r="AN4" s="117" t="s">
        <v>141</v>
      </c>
      <c r="AO4" s="117" t="s">
        <v>140</v>
      </c>
      <c r="AP4" s="117"/>
      <c r="AQ4" s="117"/>
      <c r="AR4" s="117" t="s">
        <v>140</v>
      </c>
      <c r="AS4" s="117"/>
      <c r="AT4" s="117"/>
      <c r="AU4" s="117"/>
      <c r="AV4" s="119">
        <f t="shared" si="0"/>
        <v>10</v>
      </c>
      <c r="AW4" s="119"/>
      <c r="AX4" s="119" t="s">
        <v>2142</v>
      </c>
    </row>
    <row r="5" spans="1:50">
      <c r="A5">
        <v>3</v>
      </c>
      <c r="C5">
        <v>5</v>
      </c>
      <c r="D5" s="7">
        <v>45660</v>
      </c>
      <c r="E5" t="s">
        <v>160</v>
      </c>
      <c r="F5" s="10" t="s">
        <v>154</v>
      </c>
      <c r="G5" s="36" t="s">
        <v>140</v>
      </c>
      <c r="H5" s="36" t="s">
        <v>140</v>
      </c>
      <c r="I5" s="36" t="s">
        <v>140</v>
      </c>
      <c r="J5" s="36" t="s">
        <v>140</v>
      </c>
      <c r="K5" s="36" t="s">
        <v>140</v>
      </c>
      <c r="L5" s="36" t="s">
        <v>140</v>
      </c>
      <c r="M5" s="36" t="s">
        <v>140</v>
      </c>
      <c r="N5" s="36" t="s">
        <v>140</v>
      </c>
      <c r="O5" s="119" t="s">
        <v>140</v>
      </c>
      <c r="P5" s="36" t="s">
        <v>140</v>
      </c>
      <c r="Q5" s="36" t="s">
        <v>141</v>
      </c>
      <c r="R5" s="36" t="s">
        <v>141</v>
      </c>
      <c r="S5" s="36" t="s">
        <v>140</v>
      </c>
      <c r="T5" s="36" t="s">
        <v>141</v>
      </c>
      <c r="U5" s="36" t="s">
        <v>141</v>
      </c>
      <c r="V5" s="36" t="s">
        <v>140</v>
      </c>
      <c r="W5" s="36" t="s">
        <v>140</v>
      </c>
      <c r="X5" s="36" t="s">
        <v>140</v>
      </c>
      <c r="Y5" s="36" t="s">
        <v>140</v>
      </c>
      <c r="Z5" s="36" t="s">
        <v>141</v>
      </c>
      <c r="AA5" s="117" t="s">
        <v>140</v>
      </c>
      <c r="AB5" s="36" t="s">
        <v>141</v>
      </c>
      <c r="AC5" s="117" t="s">
        <v>140</v>
      </c>
      <c r="AD5" s="36" t="s">
        <v>140</v>
      </c>
      <c r="AE5" s="36" t="s">
        <v>141</v>
      </c>
      <c r="AF5" s="117" t="s">
        <v>140</v>
      </c>
      <c r="AG5" s="36" t="s">
        <v>140</v>
      </c>
      <c r="AH5" s="36" t="s">
        <v>140</v>
      </c>
      <c r="AI5" s="117" t="s">
        <v>140</v>
      </c>
      <c r="AJ5" s="36" t="s">
        <v>140</v>
      </c>
      <c r="AK5" s="36" t="s">
        <v>140</v>
      </c>
      <c r="AL5" s="36" t="s">
        <v>140</v>
      </c>
      <c r="AM5" s="117" t="s">
        <v>141</v>
      </c>
      <c r="AN5" s="117" t="s">
        <v>141</v>
      </c>
      <c r="AO5" s="117" t="s">
        <v>140</v>
      </c>
      <c r="AP5" s="117"/>
      <c r="AQ5" s="117"/>
      <c r="AR5" s="117" t="s">
        <v>140</v>
      </c>
      <c r="AS5" s="117"/>
      <c r="AT5" s="117"/>
      <c r="AU5" s="117"/>
      <c r="AV5" s="119">
        <f t="shared" si="0"/>
        <v>9</v>
      </c>
      <c r="AW5" s="119"/>
      <c r="AX5" s="119" t="s">
        <v>2142</v>
      </c>
    </row>
    <row r="6" spans="1:50">
      <c r="A6">
        <v>4</v>
      </c>
      <c r="C6">
        <v>6</v>
      </c>
      <c r="D6" s="7">
        <v>45661</v>
      </c>
      <c r="E6" t="s">
        <v>168</v>
      </c>
      <c r="F6" s="10" t="s">
        <v>164</v>
      </c>
      <c r="G6" s="36" t="s">
        <v>141</v>
      </c>
      <c r="H6" s="36" t="s">
        <v>140</v>
      </c>
      <c r="I6" s="36" t="s">
        <v>140</v>
      </c>
      <c r="J6" s="36" t="s">
        <v>141</v>
      </c>
      <c r="K6" s="36" t="s">
        <v>140</v>
      </c>
      <c r="L6" s="36" t="s">
        <v>140</v>
      </c>
      <c r="M6" s="36" t="s">
        <v>140</v>
      </c>
      <c r="N6" s="36" t="s">
        <v>141</v>
      </c>
      <c r="O6" s="119" t="s">
        <v>140</v>
      </c>
      <c r="P6" s="36" t="s">
        <v>140</v>
      </c>
      <c r="Q6" s="36" t="s">
        <v>141</v>
      </c>
      <c r="R6" s="36" t="s">
        <v>141</v>
      </c>
      <c r="S6" s="36" t="s">
        <v>140</v>
      </c>
      <c r="T6" s="36" t="s">
        <v>141</v>
      </c>
      <c r="U6" s="36" t="s">
        <v>141</v>
      </c>
      <c r="V6" s="36" t="s">
        <v>140</v>
      </c>
      <c r="W6" s="36" t="s">
        <v>140</v>
      </c>
      <c r="X6" s="36" t="s">
        <v>140</v>
      </c>
      <c r="Y6" s="36" t="s">
        <v>140</v>
      </c>
      <c r="Z6" s="36" t="s">
        <v>140</v>
      </c>
      <c r="AA6" s="117" t="s">
        <v>140</v>
      </c>
      <c r="AB6" s="36" t="s">
        <v>141</v>
      </c>
      <c r="AC6" s="117" t="s">
        <v>140</v>
      </c>
      <c r="AD6" s="36" t="s">
        <v>140</v>
      </c>
      <c r="AE6" s="36" t="s">
        <v>141</v>
      </c>
      <c r="AF6" s="117" t="s">
        <v>140</v>
      </c>
      <c r="AG6" s="36" t="s">
        <v>140</v>
      </c>
      <c r="AH6" s="36" t="s">
        <v>140</v>
      </c>
      <c r="AI6" s="117" t="s">
        <v>141</v>
      </c>
      <c r="AJ6" s="36" t="s">
        <v>140</v>
      </c>
      <c r="AK6" s="36" t="s">
        <v>140</v>
      </c>
      <c r="AL6" s="36" t="s">
        <v>140</v>
      </c>
      <c r="AM6" s="117" t="s">
        <v>140</v>
      </c>
      <c r="AN6" s="117" t="s">
        <v>140</v>
      </c>
      <c r="AO6" s="117" t="s">
        <v>140</v>
      </c>
      <c r="AP6" s="117"/>
      <c r="AQ6" s="117"/>
      <c r="AR6" s="117" t="s">
        <v>140</v>
      </c>
      <c r="AS6" s="117"/>
      <c r="AT6" s="117"/>
      <c r="AU6" s="117"/>
      <c r="AV6" s="119">
        <f t="shared" si="0"/>
        <v>10</v>
      </c>
      <c r="AW6" s="119"/>
      <c r="AX6" s="119" t="s">
        <v>2142</v>
      </c>
    </row>
    <row r="7" spans="1:50">
      <c r="A7">
        <v>5</v>
      </c>
      <c r="C7">
        <v>7</v>
      </c>
      <c r="D7" s="7">
        <v>45661</v>
      </c>
      <c r="E7" t="s">
        <v>176</v>
      </c>
      <c r="F7" s="10" t="s">
        <v>173</v>
      </c>
      <c r="G7" s="36" t="s">
        <v>141</v>
      </c>
      <c r="H7" s="36" t="s">
        <v>140</v>
      </c>
      <c r="I7" s="36" t="s">
        <v>140</v>
      </c>
      <c r="J7" s="36" t="s">
        <v>141</v>
      </c>
      <c r="K7" s="36" t="s">
        <v>140</v>
      </c>
      <c r="L7" s="36" t="s">
        <v>140</v>
      </c>
      <c r="M7" s="36" t="s">
        <v>140</v>
      </c>
      <c r="N7" s="36" t="s">
        <v>141</v>
      </c>
      <c r="O7" s="119" t="s">
        <v>140</v>
      </c>
      <c r="P7" s="36" t="s">
        <v>140</v>
      </c>
      <c r="Q7" s="36" t="s">
        <v>140</v>
      </c>
      <c r="R7" s="36" t="s">
        <v>141</v>
      </c>
      <c r="S7" s="36" t="s">
        <v>140</v>
      </c>
      <c r="T7" s="36" t="s">
        <v>141</v>
      </c>
      <c r="U7" s="36" t="s">
        <v>140</v>
      </c>
      <c r="V7" s="36" t="s">
        <v>140</v>
      </c>
      <c r="W7" s="36" t="s">
        <v>140</v>
      </c>
      <c r="X7" s="36" t="s">
        <v>140</v>
      </c>
      <c r="Y7" s="36" t="s">
        <v>140</v>
      </c>
      <c r="Z7" s="36" t="s">
        <v>140</v>
      </c>
      <c r="AA7" s="117" t="s">
        <v>140</v>
      </c>
      <c r="AB7" s="36" t="s">
        <v>141</v>
      </c>
      <c r="AC7" s="117" t="s">
        <v>141</v>
      </c>
      <c r="AD7" s="36" t="s">
        <v>140</v>
      </c>
      <c r="AE7" s="36" t="s">
        <v>141</v>
      </c>
      <c r="AF7" s="117" t="s">
        <v>141</v>
      </c>
      <c r="AG7" s="36" t="s">
        <v>140</v>
      </c>
      <c r="AH7" s="36" t="s">
        <v>140</v>
      </c>
      <c r="AI7" s="117" t="s">
        <v>140</v>
      </c>
      <c r="AJ7" s="36" t="s">
        <v>140</v>
      </c>
      <c r="AK7" s="36" t="s">
        <v>140</v>
      </c>
      <c r="AL7" s="36" t="s">
        <v>140</v>
      </c>
      <c r="AM7" s="117" t="s">
        <v>141</v>
      </c>
      <c r="AN7" s="117" t="s">
        <v>141</v>
      </c>
      <c r="AO7" s="117" t="s">
        <v>141</v>
      </c>
      <c r="AP7" s="117"/>
      <c r="AQ7" s="117"/>
      <c r="AR7" s="117" t="s">
        <v>141</v>
      </c>
      <c r="AS7" s="117"/>
      <c r="AT7" s="117"/>
      <c r="AU7" s="117"/>
      <c r="AV7" s="119">
        <f t="shared" si="0"/>
        <v>13</v>
      </c>
      <c r="AW7" s="119"/>
      <c r="AX7" s="119" t="s">
        <v>2142</v>
      </c>
    </row>
    <row r="8" spans="1:50">
      <c r="A8">
        <v>6</v>
      </c>
      <c r="C8">
        <v>8</v>
      </c>
      <c r="D8" s="7">
        <v>45661</v>
      </c>
      <c r="E8" t="s">
        <v>186</v>
      </c>
      <c r="F8" s="10" t="s">
        <v>180</v>
      </c>
      <c r="G8" s="36" t="s">
        <v>141</v>
      </c>
      <c r="H8" s="36" t="s">
        <v>140</v>
      </c>
      <c r="I8" s="36" t="s">
        <v>140</v>
      </c>
      <c r="J8" s="36" t="s">
        <v>140</v>
      </c>
      <c r="K8" s="36" t="s">
        <v>140</v>
      </c>
      <c r="L8" s="36" t="s">
        <v>140</v>
      </c>
      <c r="M8" s="36" t="s">
        <v>140</v>
      </c>
      <c r="N8" s="36" t="s">
        <v>141</v>
      </c>
      <c r="O8" s="119" t="s">
        <v>140</v>
      </c>
      <c r="P8" s="36" t="s">
        <v>140</v>
      </c>
      <c r="Q8" s="36" t="s">
        <v>140</v>
      </c>
      <c r="R8" s="36" t="s">
        <v>141</v>
      </c>
      <c r="S8" s="36" t="s">
        <v>140</v>
      </c>
      <c r="T8" s="36" t="s">
        <v>140</v>
      </c>
      <c r="U8" s="36" t="s">
        <v>141</v>
      </c>
      <c r="V8" s="36" t="s">
        <v>140</v>
      </c>
      <c r="W8" s="36" t="s">
        <v>140</v>
      </c>
      <c r="X8" s="36" t="s">
        <v>140</v>
      </c>
      <c r="Y8" s="36" t="s">
        <v>140</v>
      </c>
      <c r="Z8" s="36" t="s">
        <v>141</v>
      </c>
      <c r="AA8" s="117" t="s">
        <v>141</v>
      </c>
      <c r="AB8" s="36" t="s">
        <v>140</v>
      </c>
      <c r="AC8" s="117" t="s">
        <v>141</v>
      </c>
      <c r="AD8" s="36" t="s">
        <v>141</v>
      </c>
      <c r="AE8" s="36" t="s">
        <v>141</v>
      </c>
      <c r="AF8" s="117" t="s">
        <v>140</v>
      </c>
      <c r="AG8" s="36" t="s">
        <v>140</v>
      </c>
      <c r="AH8" s="36" t="s">
        <v>140</v>
      </c>
      <c r="AI8" s="117" t="s">
        <v>141</v>
      </c>
      <c r="AJ8" s="36" t="s">
        <v>140</v>
      </c>
      <c r="AK8" s="36" t="s">
        <v>140</v>
      </c>
      <c r="AL8" s="36" t="s">
        <v>140</v>
      </c>
      <c r="AM8" s="117" t="s">
        <v>140</v>
      </c>
      <c r="AN8" s="117" t="s">
        <v>140</v>
      </c>
      <c r="AO8" s="117" t="s">
        <v>140</v>
      </c>
      <c r="AP8" s="117"/>
      <c r="AQ8" s="117"/>
      <c r="AR8" s="117" t="s">
        <v>141</v>
      </c>
      <c r="AS8" s="117"/>
      <c r="AT8" s="117"/>
      <c r="AU8" s="117"/>
      <c r="AV8" s="119">
        <f t="shared" si="0"/>
        <v>11</v>
      </c>
      <c r="AW8" s="119"/>
      <c r="AX8" s="119" t="s">
        <v>2142</v>
      </c>
    </row>
    <row r="9" spans="1:50">
      <c r="A9">
        <v>7</v>
      </c>
      <c r="C9">
        <v>9</v>
      </c>
      <c r="D9" s="7">
        <v>45662</v>
      </c>
      <c r="E9" t="s">
        <v>192</v>
      </c>
      <c r="F9" s="10" t="s">
        <v>190</v>
      </c>
      <c r="G9" s="36" t="s">
        <v>141</v>
      </c>
      <c r="H9" s="36" t="s">
        <v>140</v>
      </c>
      <c r="I9" s="36" t="s">
        <v>140</v>
      </c>
      <c r="J9" s="36" t="s">
        <v>140</v>
      </c>
      <c r="K9" s="36" t="s">
        <v>140</v>
      </c>
      <c r="L9" s="36" t="s">
        <v>140</v>
      </c>
      <c r="M9" s="36" t="s">
        <v>140</v>
      </c>
      <c r="N9" s="36" t="s">
        <v>141</v>
      </c>
      <c r="O9" s="119" t="s">
        <v>140</v>
      </c>
      <c r="P9" s="36" t="s">
        <v>140</v>
      </c>
      <c r="Q9" s="36" t="s">
        <v>141</v>
      </c>
      <c r="R9" s="36" t="s">
        <v>140</v>
      </c>
      <c r="S9" s="36" t="s">
        <v>140</v>
      </c>
      <c r="T9" s="36" t="s">
        <v>141</v>
      </c>
      <c r="U9" s="36" t="s">
        <v>140</v>
      </c>
      <c r="V9" s="36" t="s">
        <v>140</v>
      </c>
      <c r="W9" s="36" t="s">
        <v>140</v>
      </c>
      <c r="X9" s="36" t="s">
        <v>140</v>
      </c>
      <c r="Y9" s="36" t="s">
        <v>140</v>
      </c>
      <c r="Z9" s="36" t="s">
        <v>141</v>
      </c>
      <c r="AA9" s="117" t="s">
        <v>140</v>
      </c>
      <c r="AB9" s="36" t="s">
        <v>141</v>
      </c>
      <c r="AC9" s="117" t="s">
        <v>140</v>
      </c>
      <c r="AD9" s="36" t="s">
        <v>140</v>
      </c>
      <c r="AE9" s="36" t="s">
        <v>140</v>
      </c>
      <c r="AF9" s="117" t="s">
        <v>141</v>
      </c>
      <c r="AG9" s="36" t="s">
        <v>140</v>
      </c>
      <c r="AH9" s="36" t="s">
        <v>140</v>
      </c>
      <c r="AI9" s="117" t="s">
        <v>140</v>
      </c>
      <c r="AJ9" s="36" t="s">
        <v>140</v>
      </c>
      <c r="AK9" s="36" t="s">
        <v>140</v>
      </c>
      <c r="AL9" s="36" t="s">
        <v>140</v>
      </c>
      <c r="AM9" s="117" t="s">
        <v>141</v>
      </c>
      <c r="AN9" s="117" t="s">
        <v>141</v>
      </c>
      <c r="AO9" s="117" t="s">
        <v>140</v>
      </c>
      <c r="AP9" s="117"/>
      <c r="AQ9" s="117"/>
      <c r="AR9" s="117" t="s">
        <v>140</v>
      </c>
      <c r="AS9" s="117"/>
      <c r="AT9" s="117"/>
      <c r="AU9" s="117"/>
      <c r="AV9" s="119">
        <f t="shared" si="0"/>
        <v>9</v>
      </c>
      <c r="AW9" s="119"/>
      <c r="AX9" s="119" t="s">
        <v>2142</v>
      </c>
    </row>
    <row r="10" spans="1:50">
      <c r="A10">
        <v>8</v>
      </c>
      <c r="B10">
        <v>562</v>
      </c>
      <c r="C10">
        <v>10</v>
      </c>
      <c r="D10" s="7">
        <v>45661</v>
      </c>
      <c r="E10" t="s">
        <v>198</v>
      </c>
      <c r="F10" s="10" t="s">
        <v>195</v>
      </c>
      <c r="G10" s="36" t="s">
        <v>141</v>
      </c>
      <c r="H10" s="36" t="s">
        <v>141</v>
      </c>
      <c r="I10" s="36" t="s">
        <v>140</v>
      </c>
      <c r="J10" s="36" t="s">
        <v>140</v>
      </c>
      <c r="K10" s="36" t="s">
        <v>140</v>
      </c>
      <c r="L10" s="36" t="s">
        <v>140</v>
      </c>
      <c r="M10" s="36" t="s">
        <v>141</v>
      </c>
      <c r="N10" s="36" t="s">
        <v>141</v>
      </c>
      <c r="O10" s="119" t="s">
        <v>140</v>
      </c>
      <c r="P10" s="36" t="s">
        <v>141</v>
      </c>
      <c r="Q10" s="36" t="s">
        <v>141</v>
      </c>
      <c r="R10" s="36" t="s">
        <v>141</v>
      </c>
      <c r="S10" s="36" t="s">
        <v>140</v>
      </c>
      <c r="T10" s="36" t="s">
        <v>141</v>
      </c>
      <c r="U10" s="36" t="s">
        <v>140</v>
      </c>
      <c r="V10" s="36" t="s">
        <v>140</v>
      </c>
      <c r="W10" s="36" t="s">
        <v>140</v>
      </c>
      <c r="X10" s="36" t="s">
        <v>141</v>
      </c>
      <c r="Y10" s="36" t="s">
        <v>140</v>
      </c>
      <c r="Z10" s="36" t="s">
        <v>140</v>
      </c>
      <c r="AA10" s="117" t="s">
        <v>140</v>
      </c>
      <c r="AB10" s="36" t="s">
        <v>141</v>
      </c>
      <c r="AC10" s="117" t="s">
        <v>141</v>
      </c>
      <c r="AD10" s="36" t="s">
        <v>140</v>
      </c>
      <c r="AE10" s="36" t="s">
        <v>140</v>
      </c>
      <c r="AF10" s="117" t="s">
        <v>140</v>
      </c>
      <c r="AG10" s="36" t="s">
        <v>141</v>
      </c>
      <c r="AH10" s="36" t="s">
        <v>140</v>
      </c>
      <c r="AI10" s="117" t="s">
        <v>140</v>
      </c>
      <c r="AJ10" s="36" t="s">
        <v>140</v>
      </c>
      <c r="AK10" s="36" t="s">
        <v>140</v>
      </c>
      <c r="AL10" s="36" t="s">
        <v>140</v>
      </c>
      <c r="AM10" s="117" t="s">
        <v>141</v>
      </c>
      <c r="AN10" s="117" t="s">
        <v>141</v>
      </c>
      <c r="AO10" s="117" t="s">
        <v>141</v>
      </c>
      <c r="AP10" s="117"/>
      <c r="AQ10" s="117"/>
      <c r="AR10" s="117" t="s">
        <v>141</v>
      </c>
      <c r="AS10" s="117"/>
      <c r="AT10" s="117"/>
      <c r="AU10" s="117"/>
      <c r="AV10" s="119">
        <f t="shared" si="0"/>
        <v>16</v>
      </c>
      <c r="AW10" s="119"/>
      <c r="AX10" s="119" t="s">
        <v>2142</v>
      </c>
    </row>
    <row r="11" spans="1:50">
      <c r="A11">
        <v>9</v>
      </c>
      <c r="B11">
        <v>563</v>
      </c>
      <c r="C11">
        <v>11</v>
      </c>
      <c r="D11" s="7">
        <v>45663</v>
      </c>
      <c r="E11" t="s">
        <v>205</v>
      </c>
      <c r="F11" s="10" t="s">
        <v>203</v>
      </c>
      <c r="G11" s="36" t="s">
        <v>140</v>
      </c>
      <c r="H11" s="36" t="s">
        <v>140</v>
      </c>
      <c r="I11" s="36" t="s">
        <v>140</v>
      </c>
      <c r="J11" s="36" t="s">
        <v>140</v>
      </c>
      <c r="K11" s="36" t="s">
        <v>140</v>
      </c>
      <c r="L11" s="36" t="s">
        <v>141</v>
      </c>
      <c r="M11" s="36" t="s">
        <v>141</v>
      </c>
      <c r="N11" s="36" t="s">
        <v>140</v>
      </c>
      <c r="O11" s="119" t="s">
        <v>140</v>
      </c>
      <c r="P11" s="36" t="s">
        <v>141</v>
      </c>
      <c r="Q11" s="36" t="s">
        <v>141</v>
      </c>
      <c r="R11" s="36" t="s">
        <v>140</v>
      </c>
      <c r="S11" s="36" t="s">
        <v>140</v>
      </c>
      <c r="T11" s="36" t="s">
        <v>141</v>
      </c>
      <c r="U11" s="36" t="s">
        <v>140</v>
      </c>
      <c r="V11" s="36" t="s">
        <v>141</v>
      </c>
      <c r="W11" s="36" t="s">
        <v>140</v>
      </c>
      <c r="X11" s="36" t="s">
        <v>141</v>
      </c>
      <c r="Y11" s="36" t="s">
        <v>140</v>
      </c>
      <c r="Z11" s="36" t="s">
        <v>140</v>
      </c>
      <c r="AA11" s="117" t="s">
        <v>140</v>
      </c>
      <c r="AB11" s="36" t="s">
        <v>140</v>
      </c>
      <c r="AC11" s="117" t="s">
        <v>141</v>
      </c>
      <c r="AD11" s="36" t="s">
        <v>140</v>
      </c>
      <c r="AE11" s="36" t="s">
        <v>141</v>
      </c>
      <c r="AF11" s="117" t="s">
        <v>141</v>
      </c>
      <c r="AG11" s="36" t="s">
        <v>140</v>
      </c>
      <c r="AH11" s="36" t="s">
        <v>140</v>
      </c>
      <c r="AI11" s="117" t="s">
        <v>140</v>
      </c>
      <c r="AJ11" s="36" t="s">
        <v>140</v>
      </c>
      <c r="AK11" s="36" t="s">
        <v>140</v>
      </c>
      <c r="AL11" s="36" t="s">
        <v>140</v>
      </c>
      <c r="AM11" s="117" t="s">
        <v>140</v>
      </c>
      <c r="AN11" s="117" t="s">
        <v>140</v>
      </c>
      <c r="AO11" s="117" t="s">
        <v>140</v>
      </c>
      <c r="AP11" s="117"/>
      <c r="AQ11" s="117"/>
      <c r="AR11" s="117" t="s">
        <v>140</v>
      </c>
      <c r="AS11" s="117"/>
      <c r="AT11" s="117"/>
      <c r="AU11" s="117"/>
      <c r="AV11" s="119">
        <f t="shared" si="0"/>
        <v>10</v>
      </c>
      <c r="AW11" s="119"/>
      <c r="AX11" s="119" t="s">
        <v>2142</v>
      </c>
    </row>
    <row r="12" spans="1:50">
      <c r="A12">
        <v>10</v>
      </c>
      <c r="B12">
        <v>564</v>
      </c>
      <c r="C12">
        <v>12</v>
      </c>
      <c r="D12" s="7">
        <v>45663</v>
      </c>
      <c r="E12" t="s">
        <v>213</v>
      </c>
      <c r="F12" s="10" t="s">
        <v>210</v>
      </c>
      <c r="G12" s="36" t="s">
        <v>141</v>
      </c>
      <c r="H12" s="36" t="s">
        <v>140</v>
      </c>
      <c r="I12" s="36" t="s">
        <v>140</v>
      </c>
      <c r="J12" s="36" t="s">
        <v>140</v>
      </c>
      <c r="K12" s="36" t="s">
        <v>140</v>
      </c>
      <c r="L12" s="36" t="s">
        <v>141</v>
      </c>
      <c r="M12" s="36" t="s">
        <v>140</v>
      </c>
      <c r="N12" s="36" t="s">
        <v>141</v>
      </c>
      <c r="O12" s="119" t="s">
        <v>140</v>
      </c>
      <c r="P12" s="36" t="s">
        <v>141</v>
      </c>
      <c r="Q12" s="36" t="s">
        <v>141</v>
      </c>
      <c r="R12" s="36" t="s">
        <v>140</v>
      </c>
      <c r="S12" s="36" t="s">
        <v>140</v>
      </c>
      <c r="T12" s="36" t="s">
        <v>140</v>
      </c>
      <c r="U12" s="36" t="s">
        <v>140</v>
      </c>
      <c r="V12" s="36" t="s">
        <v>141</v>
      </c>
      <c r="W12" s="36" t="s">
        <v>140</v>
      </c>
      <c r="X12" s="36" t="s">
        <v>141</v>
      </c>
      <c r="Y12" s="36" t="s">
        <v>140</v>
      </c>
      <c r="Z12" s="36" t="s">
        <v>140</v>
      </c>
      <c r="AA12" s="117" t="s">
        <v>140</v>
      </c>
      <c r="AB12" s="36" t="s">
        <v>141</v>
      </c>
      <c r="AC12" s="117" t="s">
        <v>140</v>
      </c>
      <c r="AD12" s="36" t="s">
        <v>140</v>
      </c>
      <c r="AE12" s="36" t="s">
        <v>141</v>
      </c>
      <c r="AF12" s="117" t="s">
        <v>140</v>
      </c>
      <c r="AG12" s="36" t="s">
        <v>140</v>
      </c>
      <c r="AH12" s="36" t="s">
        <v>140</v>
      </c>
      <c r="AI12" s="117" t="s">
        <v>140</v>
      </c>
      <c r="AJ12" s="36" t="s">
        <v>140</v>
      </c>
      <c r="AK12" s="36" t="s">
        <v>140</v>
      </c>
      <c r="AL12" s="36" t="s">
        <v>140</v>
      </c>
      <c r="AM12" s="117" t="s">
        <v>140</v>
      </c>
      <c r="AN12" s="117" t="s">
        <v>140</v>
      </c>
      <c r="AO12" s="117" t="s">
        <v>140</v>
      </c>
      <c r="AP12" s="117"/>
      <c r="AQ12" s="117"/>
      <c r="AR12" s="117" t="s">
        <v>140</v>
      </c>
      <c r="AS12" s="117"/>
      <c r="AT12" s="117"/>
      <c r="AU12" s="117"/>
      <c r="AV12" s="119">
        <f t="shared" si="0"/>
        <v>9</v>
      </c>
      <c r="AW12" s="119"/>
      <c r="AX12" s="119" t="s">
        <v>2142</v>
      </c>
    </row>
    <row r="13" spans="1:50">
      <c r="A13">
        <v>11</v>
      </c>
      <c r="B13">
        <v>565</v>
      </c>
      <c r="C13">
        <v>13</v>
      </c>
      <c r="D13" s="7">
        <v>45664</v>
      </c>
      <c r="E13" t="s">
        <v>222</v>
      </c>
      <c r="F13" s="10" t="s">
        <v>217</v>
      </c>
      <c r="G13" s="36" t="s">
        <v>141</v>
      </c>
      <c r="H13" s="36" t="s">
        <v>140</v>
      </c>
      <c r="I13" s="36" t="s">
        <v>141</v>
      </c>
      <c r="J13" s="36" t="s">
        <v>140</v>
      </c>
      <c r="K13" s="36" t="s">
        <v>140</v>
      </c>
      <c r="L13" s="36" t="s">
        <v>140</v>
      </c>
      <c r="M13" s="36" t="s">
        <v>140</v>
      </c>
      <c r="N13" s="36" t="s">
        <v>141</v>
      </c>
      <c r="O13" s="119" t="s">
        <v>140</v>
      </c>
      <c r="P13" s="36" t="s">
        <v>141</v>
      </c>
      <c r="Q13" s="36" t="s">
        <v>140</v>
      </c>
      <c r="R13" s="36" t="s">
        <v>140</v>
      </c>
      <c r="S13" s="36" t="s">
        <v>140</v>
      </c>
      <c r="T13" s="36" t="s">
        <v>141</v>
      </c>
      <c r="U13" s="36" t="s">
        <v>141</v>
      </c>
      <c r="V13" s="36" t="s">
        <v>141</v>
      </c>
      <c r="W13" s="36" t="s">
        <v>140</v>
      </c>
      <c r="X13" s="36" t="s">
        <v>141</v>
      </c>
      <c r="Y13" s="36" t="s">
        <v>140</v>
      </c>
      <c r="Z13" s="36" t="s">
        <v>140</v>
      </c>
      <c r="AA13" s="117" t="s">
        <v>140</v>
      </c>
      <c r="AB13" s="36" t="s">
        <v>141</v>
      </c>
      <c r="AC13" s="117" t="s">
        <v>141</v>
      </c>
      <c r="AD13" s="36" t="s">
        <v>141</v>
      </c>
      <c r="AE13" s="36" t="s">
        <v>140</v>
      </c>
      <c r="AF13" s="117" t="s">
        <v>140</v>
      </c>
      <c r="AG13" s="36" t="s">
        <v>140</v>
      </c>
      <c r="AH13" s="36" t="s">
        <v>140</v>
      </c>
      <c r="AI13" s="117" t="s">
        <v>140</v>
      </c>
      <c r="AJ13" s="36" t="s">
        <v>140</v>
      </c>
      <c r="AK13" s="36" t="s">
        <v>140</v>
      </c>
      <c r="AL13" s="36" t="s">
        <v>140</v>
      </c>
      <c r="AM13" s="117" t="s">
        <v>140</v>
      </c>
      <c r="AN13" s="117" t="s">
        <v>140</v>
      </c>
      <c r="AO13" s="117" t="s">
        <v>140</v>
      </c>
      <c r="AP13" s="117"/>
      <c r="AQ13" s="117"/>
      <c r="AR13" s="117" t="s">
        <v>140</v>
      </c>
      <c r="AS13" s="117"/>
      <c r="AT13" s="117"/>
      <c r="AU13" s="117"/>
      <c r="AV13" s="119">
        <f t="shared" si="0"/>
        <v>11</v>
      </c>
      <c r="AW13" s="119"/>
      <c r="AX13" s="119" t="s">
        <v>2142</v>
      </c>
    </row>
    <row r="14" spans="1:50">
      <c r="A14">
        <v>12</v>
      </c>
      <c r="B14">
        <v>566</v>
      </c>
      <c r="C14">
        <v>14</v>
      </c>
      <c r="D14" s="7">
        <v>45664</v>
      </c>
      <c r="E14" t="s">
        <v>230</v>
      </c>
      <c r="F14" s="10" t="s">
        <v>227</v>
      </c>
      <c r="G14" s="36" t="s">
        <v>140</v>
      </c>
      <c r="H14" s="36" t="s">
        <v>140</v>
      </c>
      <c r="I14" s="36" t="s">
        <v>140</v>
      </c>
      <c r="J14" s="36" t="s">
        <v>140</v>
      </c>
      <c r="K14" s="36" t="s">
        <v>141</v>
      </c>
      <c r="L14" s="36" t="s">
        <v>141</v>
      </c>
      <c r="M14" s="36" t="s">
        <v>140</v>
      </c>
      <c r="N14" s="36" t="s">
        <v>141</v>
      </c>
      <c r="O14" s="119" t="s">
        <v>140</v>
      </c>
      <c r="P14" s="36" t="s">
        <v>141</v>
      </c>
      <c r="Q14" s="36" t="s">
        <v>141</v>
      </c>
      <c r="R14" s="36" t="s">
        <v>141</v>
      </c>
      <c r="S14" s="36" t="s">
        <v>140</v>
      </c>
      <c r="T14" s="36" t="s">
        <v>141</v>
      </c>
      <c r="U14" s="36" t="s">
        <v>140</v>
      </c>
      <c r="V14" s="36" t="s">
        <v>140</v>
      </c>
      <c r="W14" s="36" t="s">
        <v>141</v>
      </c>
      <c r="X14" s="36" t="s">
        <v>141</v>
      </c>
      <c r="Y14" s="36" t="s">
        <v>140</v>
      </c>
      <c r="Z14" s="36" t="s">
        <v>140</v>
      </c>
      <c r="AA14" s="117" t="s">
        <v>140</v>
      </c>
      <c r="AB14" s="36" t="s">
        <v>141</v>
      </c>
      <c r="AC14" s="117" t="s">
        <v>140</v>
      </c>
      <c r="AD14" s="36" t="s">
        <v>141</v>
      </c>
      <c r="AE14" s="36" t="s">
        <v>141</v>
      </c>
      <c r="AF14" s="117" t="s">
        <v>140</v>
      </c>
      <c r="AG14" s="36" t="s">
        <v>140</v>
      </c>
      <c r="AH14" s="36" t="s">
        <v>140</v>
      </c>
      <c r="AI14" s="117" t="s">
        <v>140</v>
      </c>
      <c r="AJ14" s="36" t="s">
        <v>140</v>
      </c>
      <c r="AK14" s="36" t="s">
        <v>140</v>
      </c>
      <c r="AL14" s="36" t="s">
        <v>140</v>
      </c>
      <c r="AM14" s="117" t="s">
        <v>140</v>
      </c>
      <c r="AN14" s="117" t="s">
        <v>140</v>
      </c>
      <c r="AO14" s="117" t="s">
        <v>141</v>
      </c>
      <c r="AP14" s="117"/>
      <c r="AQ14" s="117"/>
      <c r="AR14" s="117" t="s">
        <v>140</v>
      </c>
      <c r="AS14" s="117"/>
      <c r="AT14" s="117"/>
      <c r="AU14" s="117"/>
      <c r="AV14" s="119">
        <f t="shared" si="0"/>
        <v>13</v>
      </c>
      <c r="AW14" s="119"/>
      <c r="AX14" s="119" t="s">
        <v>2142</v>
      </c>
    </row>
    <row r="15" spans="1:50">
      <c r="A15">
        <v>13</v>
      </c>
      <c r="B15">
        <v>567</v>
      </c>
      <c r="C15">
        <v>15</v>
      </c>
      <c r="D15" s="7">
        <v>45665</v>
      </c>
      <c r="E15" s="7" t="s">
        <v>237</v>
      </c>
      <c r="F15" s="10" t="s">
        <v>233</v>
      </c>
      <c r="G15" s="36" t="s">
        <v>140</v>
      </c>
      <c r="H15" s="36" t="s">
        <v>140</v>
      </c>
      <c r="I15" s="36" t="s">
        <v>140</v>
      </c>
      <c r="J15" s="36" t="s">
        <v>141</v>
      </c>
      <c r="K15" s="36" t="s">
        <v>140</v>
      </c>
      <c r="L15" s="36" t="s">
        <v>140</v>
      </c>
      <c r="M15" s="36" t="s">
        <v>140</v>
      </c>
      <c r="N15" s="36" t="s">
        <v>141</v>
      </c>
      <c r="O15" s="119" t="s">
        <v>140</v>
      </c>
      <c r="P15" s="36" t="s">
        <v>141</v>
      </c>
      <c r="Q15" s="36" t="s">
        <v>140</v>
      </c>
      <c r="R15" s="36" t="s">
        <v>141</v>
      </c>
      <c r="S15" s="36" t="s">
        <v>141</v>
      </c>
      <c r="T15" s="36" t="s">
        <v>141</v>
      </c>
      <c r="U15" s="36" t="s">
        <v>141</v>
      </c>
      <c r="V15" s="36" t="s">
        <v>141</v>
      </c>
      <c r="W15" s="36" t="s">
        <v>141</v>
      </c>
      <c r="X15" s="36" t="s">
        <v>140</v>
      </c>
      <c r="Y15" s="36" t="s">
        <v>140</v>
      </c>
      <c r="Z15" s="36" t="s">
        <v>140</v>
      </c>
      <c r="AA15" s="117" t="s">
        <v>140</v>
      </c>
      <c r="AB15" s="36" t="s">
        <v>141</v>
      </c>
      <c r="AC15" s="117" t="s">
        <v>140</v>
      </c>
      <c r="AD15" s="36" t="s">
        <v>141</v>
      </c>
      <c r="AE15" s="36" t="s">
        <v>141</v>
      </c>
      <c r="AF15" s="117" t="s">
        <v>140</v>
      </c>
      <c r="AG15" s="36" t="s">
        <v>140</v>
      </c>
      <c r="AH15" s="36" t="s">
        <v>140</v>
      </c>
      <c r="AI15" s="117" t="s">
        <v>140</v>
      </c>
      <c r="AJ15" s="36" t="s">
        <v>140</v>
      </c>
      <c r="AK15" s="36" t="s">
        <v>140</v>
      </c>
      <c r="AL15" s="36" t="s">
        <v>140</v>
      </c>
      <c r="AM15" s="117" t="s">
        <v>140</v>
      </c>
      <c r="AN15" s="117" t="s">
        <v>140</v>
      </c>
      <c r="AO15" s="117" t="s">
        <v>140</v>
      </c>
      <c r="AP15" s="117"/>
      <c r="AQ15" s="117"/>
      <c r="AR15" s="117" t="s">
        <v>140</v>
      </c>
      <c r="AS15" s="117"/>
      <c r="AT15" s="117"/>
      <c r="AU15" s="117"/>
      <c r="AV15" s="119">
        <f t="shared" si="0"/>
        <v>12</v>
      </c>
      <c r="AW15" s="119"/>
      <c r="AX15" s="119" t="s">
        <v>2142</v>
      </c>
    </row>
    <row r="16" spans="1:50">
      <c r="A16">
        <v>14</v>
      </c>
      <c r="B16">
        <v>568</v>
      </c>
      <c r="C16">
        <v>16</v>
      </c>
      <c r="D16" s="7">
        <v>45665</v>
      </c>
      <c r="E16" s="7" t="s">
        <v>245</v>
      </c>
      <c r="F16" s="10" t="s">
        <v>242</v>
      </c>
      <c r="G16" s="36" t="s">
        <v>140</v>
      </c>
      <c r="H16" s="36" t="s">
        <v>140</v>
      </c>
      <c r="I16" s="36" t="s">
        <v>140</v>
      </c>
      <c r="J16" s="36" t="s">
        <v>141</v>
      </c>
      <c r="K16" s="36" t="s">
        <v>140</v>
      </c>
      <c r="L16" s="36" t="s">
        <v>140</v>
      </c>
      <c r="M16" s="36" t="s">
        <v>140</v>
      </c>
      <c r="N16" s="36" t="s">
        <v>141</v>
      </c>
      <c r="O16" s="119" t="s">
        <v>140</v>
      </c>
      <c r="P16" s="36" t="s">
        <v>141</v>
      </c>
      <c r="Q16" s="36" t="s">
        <v>140</v>
      </c>
      <c r="R16" s="36" t="s">
        <v>141</v>
      </c>
      <c r="S16" s="36" t="s">
        <v>141</v>
      </c>
      <c r="T16" s="36" t="s">
        <v>141</v>
      </c>
      <c r="U16" s="36" t="s">
        <v>140</v>
      </c>
      <c r="V16" s="36" t="s">
        <v>141</v>
      </c>
      <c r="W16" s="36" t="s">
        <v>141</v>
      </c>
      <c r="X16" s="36" t="s">
        <v>140</v>
      </c>
      <c r="Y16" s="36" t="s">
        <v>140</v>
      </c>
      <c r="Z16" s="36" t="s">
        <v>140</v>
      </c>
      <c r="AA16" s="117" t="s">
        <v>140</v>
      </c>
      <c r="AB16" s="36" t="s">
        <v>140</v>
      </c>
      <c r="AC16" s="117" t="s">
        <v>140</v>
      </c>
      <c r="AD16" s="36" t="s">
        <v>141</v>
      </c>
      <c r="AE16" s="36" t="s">
        <v>141</v>
      </c>
      <c r="AF16" s="117" t="s">
        <v>140</v>
      </c>
      <c r="AG16" s="36" t="s">
        <v>141</v>
      </c>
      <c r="AH16" s="36" t="s">
        <v>140</v>
      </c>
      <c r="AI16" s="117" t="s">
        <v>140</v>
      </c>
      <c r="AJ16" s="36" t="s">
        <v>140</v>
      </c>
      <c r="AK16" s="36" t="s">
        <v>140</v>
      </c>
      <c r="AL16" s="36" t="s">
        <v>140</v>
      </c>
      <c r="AM16" s="117" t="s">
        <v>140</v>
      </c>
      <c r="AN16" s="117" t="s">
        <v>140</v>
      </c>
      <c r="AO16" s="117" t="s">
        <v>141</v>
      </c>
      <c r="AP16" s="117"/>
      <c r="AQ16" s="117"/>
      <c r="AR16" s="117" t="s">
        <v>140</v>
      </c>
      <c r="AS16" s="117"/>
      <c r="AT16" s="117"/>
      <c r="AU16" s="117"/>
      <c r="AV16" s="119">
        <f t="shared" si="0"/>
        <v>12</v>
      </c>
      <c r="AW16" s="119"/>
      <c r="AX16" s="119" t="s">
        <v>2142</v>
      </c>
    </row>
    <row r="17" spans="1:50">
      <c r="A17">
        <v>15</v>
      </c>
      <c r="B17">
        <v>569</v>
      </c>
      <c r="C17">
        <v>17</v>
      </c>
      <c r="D17" s="7">
        <v>45665</v>
      </c>
      <c r="E17" s="7" t="s">
        <v>251</v>
      </c>
      <c r="F17" s="10" t="s">
        <v>248</v>
      </c>
      <c r="G17" s="36" t="s">
        <v>140</v>
      </c>
      <c r="H17" s="36" t="s">
        <v>140</v>
      </c>
      <c r="I17" s="36" t="s">
        <v>140</v>
      </c>
      <c r="J17" s="36" t="s">
        <v>141</v>
      </c>
      <c r="K17" s="36" t="s">
        <v>140</v>
      </c>
      <c r="L17" s="36" t="s">
        <v>140</v>
      </c>
      <c r="M17" s="36" t="s">
        <v>140</v>
      </c>
      <c r="N17" s="36" t="s">
        <v>141</v>
      </c>
      <c r="O17" s="119" t="s">
        <v>140</v>
      </c>
      <c r="P17" s="36" t="s">
        <v>141</v>
      </c>
      <c r="Q17" s="36" t="s">
        <v>141</v>
      </c>
      <c r="R17" s="36" t="s">
        <v>141</v>
      </c>
      <c r="S17" s="36" t="s">
        <v>141</v>
      </c>
      <c r="T17" s="36" t="s">
        <v>141</v>
      </c>
      <c r="U17" s="36" t="s">
        <v>140</v>
      </c>
      <c r="V17" s="36" t="s">
        <v>140</v>
      </c>
      <c r="W17" s="36" t="s">
        <v>141</v>
      </c>
      <c r="X17" s="36" t="s">
        <v>140</v>
      </c>
      <c r="Y17" s="36" t="s">
        <v>140</v>
      </c>
      <c r="Z17" s="36" t="s">
        <v>140</v>
      </c>
      <c r="AA17" s="117" t="s">
        <v>141</v>
      </c>
      <c r="AB17" s="36" t="s">
        <v>141</v>
      </c>
      <c r="AC17" s="117" t="s">
        <v>140</v>
      </c>
      <c r="AD17" s="36" t="s">
        <v>140</v>
      </c>
      <c r="AE17" s="36" t="s">
        <v>140</v>
      </c>
      <c r="AF17" s="117" t="s">
        <v>140</v>
      </c>
      <c r="AG17" s="36" t="s">
        <v>140</v>
      </c>
      <c r="AH17" s="36" t="s">
        <v>140</v>
      </c>
      <c r="AI17" s="117" t="s">
        <v>141</v>
      </c>
      <c r="AJ17" s="36" t="s">
        <v>140</v>
      </c>
      <c r="AK17" s="36" t="s">
        <v>140</v>
      </c>
      <c r="AL17" s="36" t="s">
        <v>140</v>
      </c>
      <c r="AM17" s="117" t="s">
        <v>140</v>
      </c>
      <c r="AN17" s="117" t="s">
        <v>140</v>
      </c>
      <c r="AO17" s="117" t="s">
        <v>140</v>
      </c>
      <c r="AP17" s="117"/>
      <c r="AQ17" s="117"/>
      <c r="AR17" s="117" t="s">
        <v>140</v>
      </c>
      <c r="AS17" s="117"/>
      <c r="AT17" s="117"/>
      <c r="AU17" s="117"/>
      <c r="AV17" s="119">
        <f t="shared" si="0"/>
        <v>11</v>
      </c>
      <c r="AW17" s="119"/>
      <c r="AX17" s="119" t="s">
        <v>2142</v>
      </c>
    </row>
    <row r="18" spans="1:50">
      <c r="A18">
        <v>16</v>
      </c>
      <c r="B18">
        <v>570</v>
      </c>
      <c r="C18">
        <v>18</v>
      </c>
      <c r="D18" s="7">
        <v>45667</v>
      </c>
      <c r="E18" s="7" t="s">
        <v>256</v>
      </c>
      <c r="F18" s="10" t="s">
        <v>253</v>
      </c>
      <c r="G18" s="36" t="s">
        <v>141</v>
      </c>
      <c r="H18" s="36" t="s">
        <v>140</v>
      </c>
      <c r="I18" s="36" t="s">
        <v>140</v>
      </c>
      <c r="J18" s="36" t="s">
        <v>140</v>
      </c>
      <c r="K18" s="36" t="s">
        <v>141</v>
      </c>
      <c r="L18" s="36" t="s">
        <v>141</v>
      </c>
      <c r="M18" s="36" t="s">
        <v>140</v>
      </c>
      <c r="N18" s="36" t="s">
        <v>141</v>
      </c>
      <c r="O18" s="119" t="s">
        <v>140</v>
      </c>
      <c r="P18" s="36" t="s">
        <v>140</v>
      </c>
      <c r="Q18" s="36" t="s">
        <v>140</v>
      </c>
      <c r="R18" s="36" t="s">
        <v>141</v>
      </c>
      <c r="S18" s="36" t="s">
        <v>140</v>
      </c>
      <c r="T18" s="36" t="s">
        <v>140</v>
      </c>
      <c r="U18" s="36" t="s">
        <v>140</v>
      </c>
      <c r="V18" s="36" t="s">
        <v>140</v>
      </c>
      <c r="W18" s="36" t="s">
        <v>140</v>
      </c>
      <c r="X18" s="36" t="s">
        <v>140</v>
      </c>
      <c r="Y18" s="36" t="s">
        <v>140</v>
      </c>
      <c r="Z18" s="36" t="s">
        <v>140</v>
      </c>
      <c r="AA18" s="117" t="s">
        <v>140</v>
      </c>
      <c r="AB18" s="36" t="s">
        <v>141</v>
      </c>
      <c r="AC18" s="117" t="s">
        <v>140</v>
      </c>
      <c r="AD18" s="36" t="s">
        <v>141</v>
      </c>
      <c r="AE18" s="36" t="s">
        <v>140</v>
      </c>
      <c r="AF18" s="117" t="s">
        <v>140</v>
      </c>
      <c r="AG18" s="36" t="s">
        <v>140</v>
      </c>
      <c r="AH18" s="36" t="s">
        <v>140</v>
      </c>
      <c r="AI18" s="117" t="s">
        <v>140</v>
      </c>
      <c r="AJ18" s="36" t="s">
        <v>140</v>
      </c>
      <c r="AK18" s="36" t="s">
        <v>140</v>
      </c>
      <c r="AL18" s="36" t="s">
        <v>140</v>
      </c>
      <c r="AM18" s="117" t="s">
        <v>141</v>
      </c>
      <c r="AN18" s="117" t="s">
        <v>141</v>
      </c>
      <c r="AO18" s="117" t="s">
        <v>140</v>
      </c>
      <c r="AP18" s="117"/>
      <c r="AQ18" s="117"/>
      <c r="AR18" s="117" t="s">
        <v>140</v>
      </c>
      <c r="AS18" s="117"/>
      <c r="AT18" s="117"/>
      <c r="AU18" s="117"/>
      <c r="AV18" s="119">
        <f t="shared" si="0"/>
        <v>9</v>
      </c>
      <c r="AW18" s="119"/>
      <c r="AX18" s="119" t="s">
        <v>2142</v>
      </c>
    </row>
    <row r="19" spans="1:50">
      <c r="A19">
        <v>17</v>
      </c>
      <c r="B19">
        <v>571</v>
      </c>
      <c r="C19">
        <v>19</v>
      </c>
      <c r="D19" s="7">
        <v>45668</v>
      </c>
      <c r="E19" s="7" t="s">
        <v>263</v>
      </c>
      <c r="F19" s="10" t="s">
        <v>260</v>
      </c>
      <c r="G19" s="36" t="s">
        <v>140</v>
      </c>
      <c r="H19" s="36" t="s">
        <v>140</v>
      </c>
      <c r="I19" s="36" t="s">
        <v>141</v>
      </c>
      <c r="J19" s="36" t="s">
        <v>140</v>
      </c>
      <c r="K19" s="36" t="s">
        <v>141</v>
      </c>
      <c r="L19" s="36" t="s">
        <v>140</v>
      </c>
      <c r="M19" s="36" t="s">
        <v>140</v>
      </c>
      <c r="N19" s="36" t="s">
        <v>140</v>
      </c>
      <c r="O19" s="119" t="s">
        <v>140</v>
      </c>
      <c r="P19" s="36" t="s">
        <v>141</v>
      </c>
      <c r="Q19" s="36" t="s">
        <v>141</v>
      </c>
      <c r="R19" s="36" t="s">
        <v>140</v>
      </c>
      <c r="S19" s="36" t="s">
        <v>140</v>
      </c>
      <c r="T19" s="36" t="s">
        <v>140</v>
      </c>
      <c r="U19" s="36" t="s">
        <v>140</v>
      </c>
      <c r="V19" s="36" t="s">
        <v>140</v>
      </c>
      <c r="W19" s="36" t="s">
        <v>140</v>
      </c>
      <c r="X19" s="36" t="s">
        <v>140</v>
      </c>
      <c r="Y19" s="36" t="s">
        <v>140</v>
      </c>
      <c r="Z19" s="36" t="s">
        <v>140</v>
      </c>
      <c r="AA19" s="117" t="s">
        <v>140</v>
      </c>
      <c r="AB19" s="36" t="s">
        <v>141</v>
      </c>
      <c r="AC19" s="117" t="s">
        <v>140</v>
      </c>
      <c r="AD19" s="36" t="s">
        <v>141</v>
      </c>
      <c r="AE19" s="36" t="s">
        <v>140</v>
      </c>
      <c r="AF19" s="117" t="s">
        <v>141</v>
      </c>
      <c r="AG19" s="36" t="s">
        <v>140</v>
      </c>
      <c r="AH19" s="36" t="s">
        <v>140</v>
      </c>
      <c r="AI19" s="117" t="s">
        <v>140</v>
      </c>
      <c r="AJ19" s="36" t="s">
        <v>140</v>
      </c>
      <c r="AK19" s="36" t="s">
        <v>140</v>
      </c>
      <c r="AL19" s="36" t="s">
        <v>140</v>
      </c>
      <c r="AM19" s="117" t="s">
        <v>140</v>
      </c>
      <c r="AN19" s="117" t="s">
        <v>140</v>
      </c>
      <c r="AO19" s="117" t="s">
        <v>140</v>
      </c>
      <c r="AP19" s="117"/>
      <c r="AQ19" s="117"/>
      <c r="AR19" s="117" t="s">
        <v>140</v>
      </c>
      <c r="AS19" s="117"/>
      <c r="AT19" s="117"/>
      <c r="AU19" s="117"/>
      <c r="AV19" s="119">
        <f t="shared" si="0"/>
        <v>7</v>
      </c>
      <c r="AW19" s="119"/>
      <c r="AX19" s="119" t="s">
        <v>2142</v>
      </c>
    </row>
    <row r="20" spans="1:50">
      <c r="A20">
        <v>18</v>
      </c>
      <c r="B20">
        <v>573</v>
      </c>
      <c r="C20">
        <v>20</v>
      </c>
      <c r="D20" s="7">
        <v>45668</v>
      </c>
      <c r="E20" s="7" t="s">
        <v>271</v>
      </c>
      <c r="F20" s="10" t="s">
        <v>267</v>
      </c>
      <c r="G20" s="36" t="s">
        <v>141</v>
      </c>
      <c r="H20" s="36" t="s">
        <v>140</v>
      </c>
      <c r="I20" s="36" t="s">
        <v>141</v>
      </c>
      <c r="J20" s="36" t="s">
        <v>140</v>
      </c>
      <c r="K20" s="36" t="s">
        <v>140</v>
      </c>
      <c r="L20" s="36" t="s">
        <v>140</v>
      </c>
      <c r="M20" s="36" t="s">
        <v>140</v>
      </c>
      <c r="N20" s="36" t="s">
        <v>140</v>
      </c>
      <c r="O20" s="119" t="s">
        <v>140</v>
      </c>
      <c r="P20" s="36" t="s">
        <v>141</v>
      </c>
      <c r="Q20" s="36" t="s">
        <v>140</v>
      </c>
      <c r="R20" s="36" t="s">
        <v>140</v>
      </c>
      <c r="S20" s="36" t="s">
        <v>140</v>
      </c>
      <c r="T20" s="36" t="s">
        <v>141</v>
      </c>
      <c r="U20" s="36" t="s">
        <v>141</v>
      </c>
      <c r="V20" s="36" t="s">
        <v>140</v>
      </c>
      <c r="W20" s="36" t="s">
        <v>140</v>
      </c>
      <c r="X20" s="36" t="s">
        <v>140</v>
      </c>
      <c r="Y20" s="36" t="s">
        <v>140</v>
      </c>
      <c r="Z20" s="36" t="s">
        <v>140</v>
      </c>
      <c r="AA20" s="117" t="s">
        <v>141</v>
      </c>
      <c r="AB20" s="36" t="s">
        <v>141</v>
      </c>
      <c r="AC20" s="117" t="s">
        <v>140</v>
      </c>
      <c r="AD20" s="36" t="s">
        <v>141</v>
      </c>
      <c r="AE20" s="36" t="s">
        <v>140</v>
      </c>
      <c r="AF20" s="117" t="s">
        <v>140</v>
      </c>
      <c r="AG20" s="36" t="s">
        <v>140</v>
      </c>
      <c r="AH20" s="36" t="s">
        <v>140</v>
      </c>
      <c r="AI20" s="117" t="s">
        <v>140</v>
      </c>
      <c r="AJ20" s="36" t="s">
        <v>140</v>
      </c>
      <c r="AK20" s="36" t="s">
        <v>140</v>
      </c>
      <c r="AL20" s="36" t="s">
        <v>140</v>
      </c>
      <c r="AM20" s="117" t="s">
        <v>140</v>
      </c>
      <c r="AN20" s="117" t="s">
        <v>140</v>
      </c>
      <c r="AO20" s="117" t="s">
        <v>140</v>
      </c>
      <c r="AP20" s="117"/>
      <c r="AQ20" s="117"/>
      <c r="AR20" s="117" t="s">
        <v>140</v>
      </c>
      <c r="AS20" s="117"/>
      <c r="AT20" s="117"/>
      <c r="AU20" s="117"/>
      <c r="AV20" s="119">
        <f t="shared" si="0"/>
        <v>8</v>
      </c>
      <c r="AW20" s="119"/>
      <c r="AX20" s="119" t="s">
        <v>2142</v>
      </c>
    </row>
    <row r="21" spans="1:50">
      <c r="A21">
        <v>19</v>
      </c>
      <c r="B21">
        <v>574</v>
      </c>
      <c r="C21">
        <v>21</v>
      </c>
      <c r="D21" s="7">
        <v>45668</v>
      </c>
      <c r="E21" s="7" t="s">
        <v>277</v>
      </c>
      <c r="F21" s="10" t="s">
        <v>275</v>
      </c>
      <c r="G21" s="36" t="s">
        <v>140</v>
      </c>
      <c r="H21" s="36" t="s">
        <v>140</v>
      </c>
      <c r="I21" s="36" t="s">
        <v>140</v>
      </c>
      <c r="J21" s="36" t="s">
        <v>140</v>
      </c>
      <c r="K21" s="36" t="s">
        <v>141</v>
      </c>
      <c r="L21" s="36" t="s">
        <v>140</v>
      </c>
      <c r="M21" s="36" t="s">
        <v>140</v>
      </c>
      <c r="N21" s="36" t="s">
        <v>140</v>
      </c>
      <c r="O21" s="119" t="s">
        <v>140</v>
      </c>
      <c r="P21" s="36" t="s">
        <v>140</v>
      </c>
      <c r="Q21" s="36" t="s">
        <v>140</v>
      </c>
      <c r="R21" s="36" t="s">
        <v>140</v>
      </c>
      <c r="S21" s="36" t="s">
        <v>140</v>
      </c>
      <c r="T21" s="36" t="s">
        <v>141</v>
      </c>
      <c r="U21" s="36" t="s">
        <v>140</v>
      </c>
      <c r="V21" s="36" t="s">
        <v>141</v>
      </c>
      <c r="W21" s="36" t="s">
        <v>140</v>
      </c>
      <c r="X21" s="36" t="s">
        <v>140</v>
      </c>
      <c r="Y21" s="36" t="s">
        <v>140</v>
      </c>
      <c r="Z21" s="36" t="s">
        <v>140</v>
      </c>
      <c r="AA21" s="117" t="s">
        <v>141</v>
      </c>
      <c r="AB21" s="36" t="s">
        <v>141</v>
      </c>
      <c r="AC21" s="117" t="s">
        <v>140</v>
      </c>
      <c r="AD21" s="36" t="s">
        <v>141</v>
      </c>
      <c r="AE21" s="36" t="s">
        <v>140</v>
      </c>
      <c r="AF21" s="117" t="s">
        <v>140</v>
      </c>
      <c r="AG21" s="36" t="s">
        <v>140</v>
      </c>
      <c r="AH21" s="36" t="s">
        <v>140</v>
      </c>
      <c r="AI21" s="117" t="s">
        <v>140</v>
      </c>
      <c r="AJ21" s="36" t="s">
        <v>140</v>
      </c>
      <c r="AK21" s="36" t="s">
        <v>140</v>
      </c>
      <c r="AL21" s="36" t="s">
        <v>140</v>
      </c>
      <c r="AM21" s="117" t="s">
        <v>140</v>
      </c>
      <c r="AN21" s="117" t="s">
        <v>140</v>
      </c>
      <c r="AO21" s="117" t="s">
        <v>140</v>
      </c>
      <c r="AP21" s="117"/>
      <c r="AQ21" s="117"/>
      <c r="AR21" s="117" t="s">
        <v>140</v>
      </c>
      <c r="AS21" s="117"/>
      <c r="AT21" s="117"/>
      <c r="AU21" s="117"/>
      <c r="AV21" s="119">
        <f t="shared" si="0"/>
        <v>6</v>
      </c>
      <c r="AW21" s="119"/>
      <c r="AX21" s="119" t="s">
        <v>2142</v>
      </c>
    </row>
    <row r="22" spans="1:50">
      <c r="A22">
        <v>20</v>
      </c>
      <c r="B22">
        <v>575</v>
      </c>
      <c r="C22">
        <v>22</v>
      </c>
      <c r="D22" s="7">
        <v>45669</v>
      </c>
      <c r="E22" s="7" t="s">
        <v>284</v>
      </c>
      <c r="F22" s="10" t="s">
        <v>281</v>
      </c>
      <c r="G22" s="36" t="s">
        <v>141</v>
      </c>
      <c r="H22" s="36" t="s">
        <v>140</v>
      </c>
      <c r="I22" s="36" t="s">
        <v>140</v>
      </c>
      <c r="J22" s="36" t="s">
        <v>141</v>
      </c>
      <c r="K22" s="36" t="s">
        <v>141</v>
      </c>
      <c r="L22" s="36" t="s">
        <v>140</v>
      </c>
      <c r="M22" s="36" t="s">
        <v>140</v>
      </c>
      <c r="N22" s="36" t="s">
        <v>140</v>
      </c>
      <c r="O22" s="119" t="s">
        <v>140</v>
      </c>
      <c r="P22" s="36" t="s">
        <v>140</v>
      </c>
      <c r="Q22" s="36" t="s">
        <v>141</v>
      </c>
      <c r="R22" s="36" t="s">
        <v>140</v>
      </c>
      <c r="S22" s="36" t="s">
        <v>140</v>
      </c>
      <c r="T22" s="36" t="s">
        <v>141</v>
      </c>
      <c r="U22" s="36" t="s">
        <v>141</v>
      </c>
      <c r="V22" s="36" t="s">
        <v>141</v>
      </c>
      <c r="W22" s="36" t="s">
        <v>140</v>
      </c>
      <c r="X22" s="36" t="s">
        <v>140</v>
      </c>
      <c r="Y22" s="36" t="s">
        <v>140</v>
      </c>
      <c r="Z22" s="36" t="s">
        <v>140</v>
      </c>
      <c r="AA22" s="117" t="s">
        <v>140</v>
      </c>
      <c r="AB22" s="36" t="s">
        <v>141</v>
      </c>
      <c r="AC22" s="117" t="s">
        <v>140</v>
      </c>
      <c r="AD22" s="36" t="s">
        <v>141</v>
      </c>
      <c r="AE22" s="36" t="s">
        <v>140</v>
      </c>
      <c r="AF22" s="117" t="s">
        <v>140</v>
      </c>
      <c r="AG22" s="36" t="s">
        <v>140</v>
      </c>
      <c r="AH22" s="36" t="s">
        <v>140</v>
      </c>
      <c r="AI22" s="117" t="s">
        <v>140</v>
      </c>
      <c r="AJ22" s="36" t="s">
        <v>140</v>
      </c>
      <c r="AK22" s="36" t="s">
        <v>140</v>
      </c>
      <c r="AL22" s="36" t="s">
        <v>140</v>
      </c>
      <c r="AM22" s="117" t="s">
        <v>140</v>
      </c>
      <c r="AN22" s="117" t="s">
        <v>140</v>
      </c>
      <c r="AO22" s="117" t="s">
        <v>141</v>
      </c>
      <c r="AP22" s="117"/>
      <c r="AQ22" s="117"/>
      <c r="AR22" s="117" t="s">
        <v>140</v>
      </c>
      <c r="AS22" s="117"/>
      <c r="AT22" s="117"/>
      <c r="AU22" s="117"/>
      <c r="AV22" s="119">
        <f t="shared" si="0"/>
        <v>10</v>
      </c>
      <c r="AW22" s="119"/>
      <c r="AX22" s="119" t="s">
        <v>2142</v>
      </c>
    </row>
    <row r="23" spans="1:50">
      <c r="A23">
        <v>21</v>
      </c>
      <c r="B23">
        <v>576</v>
      </c>
      <c r="C23">
        <v>23</v>
      </c>
      <c r="D23" s="7">
        <v>45670</v>
      </c>
      <c r="E23" s="7" t="s">
        <v>289</v>
      </c>
      <c r="F23" s="10" t="s">
        <v>287</v>
      </c>
      <c r="G23" s="36" t="s">
        <v>141</v>
      </c>
      <c r="H23" s="36" t="s">
        <v>140</v>
      </c>
      <c r="I23" s="36" t="s">
        <v>141</v>
      </c>
      <c r="J23" s="36" t="s">
        <v>140</v>
      </c>
      <c r="K23" s="36" t="s">
        <v>141</v>
      </c>
      <c r="L23" s="36" t="s">
        <v>141</v>
      </c>
      <c r="M23" s="36" t="s">
        <v>140</v>
      </c>
      <c r="N23" s="36" t="s">
        <v>140</v>
      </c>
      <c r="O23" s="119" t="s">
        <v>140</v>
      </c>
      <c r="P23" s="36" t="s">
        <v>140</v>
      </c>
      <c r="Q23" s="36" t="s">
        <v>140</v>
      </c>
      <c r="R23" s="36" t="s">
        <v>140</v>
      </c>
      <c r="S23" s="36" t="s">
        <v>140</v>
      </c>
      <c r="T23" s="36" t="s">
        <v>140</v>
      </c>
      <c r="U23" s="36" t="s">
        <v>141</v>
      </c>
      <c r="V23" s="36" t="s">
        <v>140</v>
      </c>
      <c r="W23" s="36" t="s">
        <v>141</v>
      </c>
      <c r="X23" s="36" t="s">
        <v>141</v>
      </c>
      <c r="Y23" s="36" t="s">
        <v>140</v>
      </c>
      <c r="Z23" s="36" t="s">
        <v>141</v>
      </c>
      <c r="AA23" s="117" t="s">
        <v>141</v>
      </c>
      <c r="AB23" s="36" t="s">
        <v>140</v>
      </c>
      <c r="AC23" s="117" t="s">
        <v>140</v>
      </c>
      <c r="AD23" s="36" t="s">
        <v>141</v>
      </c>
      <c r="AE23" s="36" t="s">
        <v>140</v>
      </c>
      <c r="AF23" s="117" t="s">
        <v>140</v>
      </c>
      <c r="AG23" s="36" t="s">
        <v>140</v>
      </c>
      <c r="AH23" s="36" t="s">
        <v>140</v>
      </c>
      <c r="AI23" s="117" t="s">
        <v>140</v>
      </c>
      <c r="AJ23" s="36" t="s">
        <v>141</v>
      </c>
      <c r="AK23" s="36" t="s">
        <v>140</v>
      </c>
      <c r="AL23" s="36" t="s">
        <v>141</v>
      </c>
      <c r="AM23" s="117" t="s">
        <v>140</v>
      </c>
      <c r="AN23" s="117" t="s">
        <v>140</v>
      </c>
      <c r="AO23" s="117" t="s">
        <v>140</v>
      </c>
      <c r="AP23" s="117"/>
      <c r="AQ23" s="117"/>
      <c r="AR23" s="117" t="s">
        <v>141</v>
      </c>
      <c r="AS23" s="117"/>
      <c r="AT23" s="117"/>
      <c r="AU23" s="117"/>
      <c r="AV23" s="119">
        <f t="shared" si="0"/>
        <v>13</v>
      </c>
      <c r="AW23" s="119"/>
      <c r="AX23" s="119" t="s">
        <v>2142</v>
      </c>
    </row>
    <row r="24" spans="1:50">
      <c r="A24" t="s">
        <v>57</v>
      </c>
      <c r="B24" t="s">
        <v>57</v>
      </c>
      <c r="C24">
        <v>24</v>
      </c>
      <c r="D24" s="7">
        <v>45670</v>
      </c>
      <c r="E24" s="7" t="s">
        <v>2129</v>
      </c>
      <c r="F24" t="s">
        <v>2130</v>
      </c>
      <c r="G24" s="36" t="s">
        <v>141</v>
      </c>
      <c r="H24" s="36" t="s">
        <v>141</v>
      </c>
      <c r="I24" s="36" t="s">
        <v>141</v>
      </c>
      <c r="J24" s="36" t="s">
        <v>2131</v>
      </c>
      <c r="K24" s="36" t="s">
        <v>141</v>
      </c>
      <c r="L24" s="36" t="s">
        <v>141</v>
      </c>
      <c r="M24" s="36" t="s">
        <v>2131</v>
      </c>
      <c r="N24" s="36" t="s">
        <v>141</v>
      </c>
      <c r="O24" s="119" t="s">
        <v>141</v>
      </c>
      <c r="P24" s="36" t="s">
        <v>141</v>
      </c>
      <c r="Q24" s="36" t="s">
        <v>141</v>
      </c>
      <c r="R24" s="36" t="s">
        <v>141</v>
      </c>
      <c r="S24" s="36" t="s">
        <v>141</v>
      </c>
      <c r="T24" s="36" t="s">
        <v>141</v>
      </c>
      <c r="U24" s="36" t="s">
        <v>141</v>
      </c>
      <c r="V24" s="36" t="s">
        <v>141</v>
      </c>
      <c r="W24" s="36" t="s">
        <v>141</v>
      </c>
      <c r="X24" s="36" t="s">
        <v>141</v>
      </c>
      <c r="Y24" s="36" t="s">
        <v>2131</v>
      </c>
      <c r="Z24" s="36" t="s">
        <v>141</v>
      </c>
      <c r="AA24" s="117" t="s">
        <v>141</v>
      </c>
      <c r="AB24" s="36" t="s">
        <v>141</v>
      </c>
      <c r="AC24" s="117" t="s">
        <v>2131</v>
      </c>
      <c r="AD24" s="36" t="s">
        <v>141</v>
      </c>
      <c r="AE24" s="36" t="s">
        <v>141</v>
      </c>
      <c r="AF24" s="117" t="s">
        <v>140</v>
      </c>
      <c r="AG24" s="36" t="s">
        <v>141</v>
      </c>
      <c r="AH24" s="36" t="s">
        <v>141</v>
      </c>
      <c r="AI24" s="117" t="s">
        <v>140</v>
      </c>
      <c r="AJ24" s="36" t="s">
        <v>141</v>
      </c>
      <c r="AK24" s="36" t="s">
        <v>2131</v>
      </c>
      <c r="AL24" s="36" t="s">
        <v>141</v>
      </c>
      <c r="AM24" s="117" t="s">
        <v>141</v>
      </c>
      <c r="AN24" s="117" t="s">
        <v>141</v>
      </c>
      <c r="AO24" s="117" t="s">
        <v>141</v>
      </c>
      <c r="AP24" s="117"/>
      <c r="AQ24" s="117"/>
      <c r="AR24" s="117" t="s">
        <v>141</v>
      </c>
      <c r="AS24" s="117"/>
      <c r="AT24" s="117"/>
      <c r="AU24" s="117"/>
      <c r="AV24" s="119">
        <f t="shared" si="0"/>
        <v>29</v>
      </c>
      <c r="AW24" s="119"/>
      <c r="AX24" s="119" t="s">
        <v>2142</v>
      </c>
    </row>
    <row r="25" spans="1:50">
      <c r="A25">
        <v>22</v>
      </c>
      <c r="B25">
        <v>577</v>
      </c>
      <c r="C25">
        <v>25</v>
      </c>
      <c r="D25" s="7">
        <v>45671</v>
      </c>
      <c r="E25" s="7" t="s">
        <v>298</v>
      </c>
      <c r="F25" s="10" t="s">
        <v>293</v>
      </c>
      <c r="G25" s="36" t="s">
        <v>140</v>
      </c>
      <c r="H25" s="36" t="s">
        <v>140</v>
      </c>
      <c r="I25" s="36" t="s">
        <v>140</v>
      </c>
      <c r="J25" s="36" t="s">
        <v>141</v>
      </c>
      <c r="K25" s="36" t="s">
        <v>140</v>
      </c>
      <c r="L25" s="36" t="s">
        <v>140</v>
      </c>
      <c r="M25" s="36" t="s">
        <v>140</v>
      </c>
      <c r="N25" s="36" t="s">
        <v>140</v>
      </c>
      <c r="O25" s="119" t="s">
        <v>140</v>
      </c>
      <c r="P25" s="36" t="s">
        <v>141</v>
      </c>
      <c r="Q25" s="36" t="s">
        <v>140</v>
      </c>
      <c r="R25" s="36" t="s">
        <v>140</v>
      </c>
      <c r="S25" s="36" t="s">
        <v>140</v>
      </c>
      <c r="T25" s="36" t="s">
        <v>141</v>
      </c>
      <c r="U25" s="36" t="s">
        <v>140</v>
      </c>
      <c r="V25" s="36" t="s">
        <v>140</v>
      </c>
      <c r="W25" s="36" t="s">
        <v>140</v>
      </c>
      <c r="X25" s="36" t="s">
        <v>140</v>
      </c>
      <c r="Y25" s="36" t="s">
        <v>140</v>
      </c>
      <c r="Z25" s="36" t="s">
        <v>140</v>
      </c>
      <c r="AA25" s="117" t="s">
        <v>140</v>
      </c>
      <c r="AB25" s="36" t="s">
        <v>140</v>
      </c>
      <c r="AC25" s="117" t="s">
        <v>140</v>
      </c>
      <c r="AD25" s="36" t="s">
        <v>141</v>
      </c>
      <c r="AE25" s="36" t="s">
        <v>140</v>
      </c>
      <c r="AF25" s="117" t="s">
        <v>140</v>
      </c>
      <c r="AG25" s="36" t="s">
        <v>140</v>
      </c>
      <c r="AH25" s="36" t="s">
        <v>141</v>
      </c>
      <c r="AI25" s="117" t="s">
        <v>140</v>
      </c>
      <c r="AJ25" s="36" t="s">
        <v>140</v>
      </c>
      <c r="AK25" s="36" t="s">
        <v>140</v>
      </c>
      <c r="AL25" s="36" t="s">
        <v>140</v>
      </c>
      <c r="AM25" s="117" t="s">
        <v>140</v>
      </c>
      <c r="AN25" s="117" t="s">
        <v>140</v>
      </c>
      <c r="AO25" s="117" t="s">
        <v>140</v>
      </c>
      <c r="AP25" s="117"/>
      <c r="AQ25" s="117"/>
      <c r="AR25" s="117" t="s">
        <v>141</v>
      </c>
      <c r="AS25" s="117"/>
      <c r="AT25" s="117"/>
      <c r="AU25" s="117"/>
      <c r="AV25" s="119">
        <f t="shared" si="0"/>
        <v>6</v>
      </c>
      <c r="AW25" s="119"/>
      <c r="AX25" s="119" t="s">
        <v>2142</v>
      </c>
    </row>
    <row r="26" spans="1:50">
      <c r="A26">
        <v>23</v>
      </c>
      <c r="B26">
        <v>578</v>
      </c>
      <c r="C26">
        <v>26</v>
      </c>
      <c r="D26" s="7">
        <v>45672</v>
      </c>
      <c r="E26" s="7" t="s">
        <v>306</v>
      </c>
      <c r="F26" s="10" t="s">
        <v>303</v>
      </c>
      <c r="G26" s="36" t="s">
        <v>140</v>
      </c>
      <c r="H26" s="36" t="s">
        <v>140</v>
      </c>
      <c r="I26" s="36" t="s">
        <v>140</v>
      </c>
      <c r="J26" s="36" t="s">
        <v>141</v>
      </c>
      <c r="K26" s="36" t="s">
        <v>140</v>
      </c>
      <c r="L26" s="36" t="s">
        <v>140</v>
      </c>
      <c r="M26" s="36" t="s">
        <v>140</v>
      </c>
      <c r="N26" s="36" t="s">
        <v>140</v>
      </c>
      <c r="O26" s="119" t="s">
        <v>140</v>
      </c>
      <c r="P26" s="36" t="s">
        <v>141</v>
      </c>
      <c r="Q26" s="36" t="s">
        <v>141</v>
      </c>
      <c r="R26" s="36" t="s">
        <v>140</v>
      </c>
      <c r="S26" s="36" t="s">
        <v>140</v>
      </c>
      <c r="T26" s="36" t="s">
        <v>141</v>
      </c>
      <c r="U26" s="36" t="s">
        <v>140</v>
      </c>
      <c r="V26" s="36" t="s">
        <v>140</v>
      </c>
      <c r="W26" s="36" t="s">
        <v>140</v>
      </c>
      <c r="X26" s="36" t="s">
        <v>140</v>
      </c>
      <c r="Y26" s="36" t="s">
        <v>140</v>
      </c>
      <c r="Z26" s="36" t="s">
        <v>140</v>
      </c>
      <c r="AA26" s="117" t="s">
        <v>140</v>
      </c>
      <c r="AB26" s="36" t="s">
        <v>140</v>
      </c>
      <c r="AC26" s="117" t="s">
        <v>141</v>
      </c>
      <c r="AD26" s="36" t="s">
        <v>140</v>
      </c>
      <c r="AE26" s="36" t="s">
        <v>140</v>
      </c>
      <c r="AF26" s="117" t="s">
        <v>141</v>
      </c>
      <c r="AG26" s="36" t="s">
        <v>140</v>
      </c>
      <c r="AH26" s="36" t="s">
        <v>140</v>
      </c>
      <c r="AI26" s="117" t="s">
        <v>140</v>
      </c>
      <c r="AJ26" s="36" t="s">
        <v>140</v>
      </c>
      <c r="AK26" s="36" t="s">
        <v>140</v>
      </c>
      <c r="AL26" s="36" t="s">
        <v>140</v>
      </c>
      <c r="AM26" s="117" t="s">
        <v>140</v>
      </c>
      <c r="AN26" s="117" t="s">
        <v>140</v>
      </c>
      <c r="AO26" s="117" t="s">
        <v>141</v>
      </c>
      <c r="AP26" s="117"/>
      <c r="AQ26" s="117"/>
      <c r="AR26" s="117" t="s">
        <v>140</v>
      </c>
      <c r="AS26" s="117"/>
      <c r="AT26" s="117"/>
      <c r="AU26" s="117"/>
      <c r="AV26" s="119">
        <f t="shared" si="0"/>
        <v>7</v>
      </c>
      <c r="AW26" s="119"/>
      <c r="AX26" s="119" t="s">
        <v>2142</v>
      </c>
    </row>
    <row r="27" spans="1:50">
      <c r="A27">
        <v>24</v>
      </c>
      <c r="B27">
        <v>579</v>
      </c>
      <c r="C27">
        <v>27</v>
      </c>
      <c r="D27" s="7">
        <v>45674</v>
      </c>
      <c r="E27" s="7" t="s">
        <v>2143</v>
      </c>
      <c r="F27" s="10" t="s">
        <v>310</v>
      </c>
      <c r="G27" s="36" t="s">
        <v>141</v>
      </c>
      <c r="H27" s="36" t="s">
        <v>140</v>
      </c>
      <c r="I27" s="36" t="s">
        <v>140</v>
      </c>
      <c r="J27" s="36" t="s">
        <v>141</v>
      </c>
      <c r="K27" s="36" t="s">
        <v>140</v>
      </c>
      <c r="L27" s="36" t="s">
        <v>140</v>
      </c>
      <c r="M27" s="36" t="s">
        <v>140</v>
      </c>
      <c r="N27" s="36" t="s">
        <v>140</v>
      </c>
      <c r="O27" s="119" t="s">
        <v>140</v>
      </c>
      <c r="P27" s="36" t="s">
        <v>140</v>
      </c>
      <c r="Q27" s="36" t="s">
        <v>140</v>
      </c>
      <c r="R27" s="36" t="s">
        <v>140</v>
      </c>
      <c r="S27" s="36" t="s">
        <v>141</v>
      </c>
      <c r="T27" s="36" t="s">
        <v>141</v>
      </c>
      <c r="U27" s="36" t="s">
        <v>140</v>
      </c>
      <c r="V27" s="36" t="s">
        <v>140</v>
      </c>
      <c r="W27" s="36" t="s">
        <v>141</v>
      </c>
      <c r="X27" s="36" t="s">
        <v>140</v>
      </c>
      <c r="Y27" s="36" t="s">
        <v>140</v>
      </c>
      <c r="Z27" s="36" t="s">
        <v>141</v>
      </c>
      <c r="AA27" s="117" t="s">
        <v>141</v>
      </c>
      <c r="AB27" s="36" t="s">
        <v>140</v>
      </c>
      <c r="AC27" s="117" t="s">
        <v>140</v>
      </c>
      <c r="AD27" s="36" t="s">
        <v>140</v>
      </c>
      <c r="AE27" s="36" t="s">
        <v>140</v>
      </c>
      <c r="AF27" s="117" t="s">
        <v>140</v>
      </c>
      <c r="AG27" s="36" t="s">
        <v>140</v>
      </c>
      <c r="AH27" s="36" t="s">
        <v>140</v>
      </c>
      <c r="AI27" s="117" t="s">
        <v>140</v>
      </c>
      <c r="AJ27" s="36" t="s">
        <v>140</v>
      </c>
      <c r="AK27" s="36" t="s">
        <v>140</v>
      </c>
      <c r="AL27" s="36" t="s">
        <v>140</v>
      </c>
      <c r="AM27" s="117" t="s">
        <v>140</v>
      </c>
      <c r="AN27" s="117" t="s">
        <v>140</v>
      </c>
      <c r="AO27" s="117" t="s">
        <v>140</v>
      </c>
      <c r="AP27" s="117"/>
      <c r="AQ27" s="117"/>
      <c r="AR27" s="117" t="s">
        <v>140</v>
      </c>
      <c r="AS27" s="117"/>
      <c r="AT27" s="117"/>
      <c r="AU27" s="117"/>
      <c r="AV27" s="119">
        <f t="shared" si="0"/>
        <v>7</v>
      </c>
      <c r="AW27" s="119"/>
      <c r="AX27" s="119" t="s">
        <v>2142</v>
      </c>
    </row>
    <row r="28" spans="1:50">
      <c r="A28" s="122">
        <v>25</v>
      </c>
      <c r="B28" s="122"/>
      <c r="C28" s="122">
        <v>28</v>
      </c>
      <c r="D28" s="35">
        <v>45675</v>
      </c>
      <c r="E28" s="122" t="s">
        <v>318</v>
      </c>
      <c r="F28" s="122" t="s">
        <v>315</v>
      </c>
      <c r="G28" s="124" t="s">
        <v>141</v>
      </c>
      <c r="H28" s="124" t="s">
        <v>140</v>
      </c>
      <c r="I28" s="124" t="s">
        <v>140</v>
      </c>
      <c r="J28" s="124" t="s">
        <v>140</v>
      </c>
      <c r="K28" s="124" t="s">
        <v>140</v>
      </c>
      <c r="L28" s="124" t="s">
        <v>140</v>
      </c>
      <c r="M28" s="124" t="s">
        <v>140</v>
      </c>
      <c r="N28" s="124" t="s">
        <v>140</v>
      </c>
      <c r="O28" s="126" t="s">
        <v>140</v>
      </c>
      <c r="P28" s="124" t="s">
        <v>141</v>
      </c>
      <c r="Q28" s="124" t="s">
        <v>140</v>
      </c>
      <c r="R28" s="124" t="s">
        <v>140</v>
      </c>
      <c r="S28" s="124" t="s">
        <v>140</v>
      </c>
      <c r="T28" s="124" t="s">
        <v>141</v>
      </c>
      <c r="U28" s="124" t="s">
        <v>140</v>
      </c>
      <c r="V28" s="124" t="s">
        <v>140</v>
      </c>
      <c r="W28" s="124" t="s">
        <v>140</v>
      </c>
      <c r="X28" s="124" t="s">
        <v>140</v>
      </c>
      <c r="Y28" s="124" t="s">
        <v>140</v>
      </c>
      <c r="Z28" s="124" t="s">
        <v>140</v>
      </c>
      <c r="AA28" s="125" t="s">
        <v>141</v>
      </c>
      <c r="AB28" s="124" t="s">
        <v>141</v>
      </c>
      <c r="AC28" s="125" t="s">
        <v>140</v>
      </c>
      <c r="AD28" s="124" t="s">
        <v>140</v>
      </c>
      <c r="AE28" s="124" t="s">
        <v>141</v>
      </c>
      <c r="AF28" s="125" t="s">
        <v>140</v>
      </c>
      <c r="AG28" s="124" t="s">
        <v>140</v>
      </c>
      <c r="AH28" s="124" t="s">
        <v>140</v>
      </c>
      <c r="AI28" s="125" t="s">
        <v>140</v>
      </c>
      <c r="AJ28" s="124" t="s">
        <v>140</v>
      </c>
      <c r="AK28" s="124" t="s">
        <v>140</v>
      </c>
      <c r="AL28" s="124" t="s">
        <v>140</v>
      </c>
      <c r="AM28" s="125" t="s">
        <v>140</v>
      </c>
      <c r="AN28" s="125" t="s">
        <v>140</v>
      </c>
      <c r="AO28" s="125" t="s">
        <v>140</v>
      </c>
      <c r="AP28" s="125"/>
      <c r="AQ28" s="125"/>
      <c r="AR28" s="125" t="s">
        <v>141</v>
      </c>
      <c r="AS28" s="125"/>
      <c r="AT28" s="125"/>
      <c r="AU28" s="125"/>
      <c r="AV28" s="119">
        <f t="shared" si="0"/>
        <v>7</v>
      </c>
      <c r="AW28" s="126" t="s">
        <v>2144</v>
      </c>
      <c r="AX28" s="119" t="s">
        <v>2142</v>
      </c>
    </row>
    <row r="29" spans="1:50">
      <c r="A29" s="122">
        <v>26</v>
      </c>
      <c r="B29" s="122"/>
      <c r="C29" s="122">
        <v>29</v>
      </c>
      <c r="D29" s="35">
        <v>45675</v>
      </c>
      <c r="E29" s="35" t="s">
        <v>322</v>
      </c>
      <c r="F29" s="123" t="s">
        <v>321</v>
      </c>
      <c r="G29" s="124" t="s">
        <v>140</v>
      </c>
      <c r="H29" s="124" t="s">
        <v>140</v>
      </c>
      <c r="I29" s="124" t="s">
        <v>140</v>
      </c>
      <c r="J29" s="124" t="s">
        <v>141</v>
      </c>
      <c r="K29" s="124" t="s">
        <v>141</v>
      </c>
      <c r="L29" s="124" t="s">
        <v>140</v>
      </c>
      <c r="M29" s="124" t="s">
        <v>140</v>
      </c>
      <c r="N29" s="124" t="s">
        <v>140</v>
      </c>
      <c r="O29" s="126" t="s">
        <v>140</v>
      </c>
      <c r="P29" s="124" t="s">
        <v>141</v>
      </c>
      <c r="Q29" s="124" t="s">
        <v>140</v>
      </c>
      <c r="R29" s="124" t="s">
        <v>140</v>
      </c>
      <c r="S29" s="124" t="s">
        <v>140</v>
      </c>
      <c r="T29" s="124" t="s">
        <v>140</v>
      </c>
      <c r="U29" s="124" t="s">
        <v>140</v>
      </c>
      <c r="V29" s="124" t="s">
        <v>140</v>
      </c>
      <c r="W29" s="124" t="s">
        <v>140</v>
      </c>
      <c r="X29" s="124" t="s">
        <v>140</v>
      </c>
      <c r="Y29" s="124" t="s">
        <v>140</v>
      </c>
      <c r="Z29" s="124" t="s">
        <v>141</v>
      </c>
      <c r="AA29" s="125" t="s">
        <v>140</v>
      </c>
      <c r="AB29" s="124" t="s">
        <v>141</v>
      </c>
      <c r="AC29" s="125" t="s">
        <v>140</v>
      </c>
      <c r="AD29" s="124" t="s">
        <v>140</v>
      </c>
      <c r="AE29" s="124" t="s">
        <v>141</v>
      </c>
      <c r="AF29" s="125" t="s">
        <v>140</v>
      </c>
      <c r="AG29" s="124" t="s">
        <v>140</v>
      </c>
      <c r="AH29" s="124" t="s">
        <v>140</v>
      </c>
      <c r="AI29" s="125" t="s">
        <v>140</v>
      </c>
      <c r="AJ29" s="124" t="s">
        <v>140</v>
      </c>
      <c r="AK29" s="124" t="s">
        <v>140</v>
      </c>
      <c r="AL29" s="124" t="s">
        <v>140</v>
      </c>
      <c r="AM29" s="125" t="s">
        <v>141</v>
      </c>
      <c r="AN29" s="125" t="s">
        <v>141</v>
      </c>
      <c r="AO29" s="125" t="s">
        <v>140</v>
      </c>
      <c r="AP29" s="125"/>
      <c r="AQ29" s="125"/>
      <c r="AR29" s="125" t="s">
        <v>141</v>
      </c>
      <c r="AS29" s="125"/>
      <c r="AT29" s="125"/>
      <c r="AU29" s="125"/>
      <c r="AV29" s="119">
        <f t="shared" si="0"/>
        <v>9</v>
      </c>
      <c r="AW29" s="126" t="s">
        <v>2144</v>
      </c>
      <c r="AX29" s="119" t="s">
        <v>2142</v>
      </c>
    </row>
    <row r="30" spans="1:50">
      <c r="A30">
        <v>27</v>
      </c>
      <c r="B30">
        <v>583</v>
      </c>
      <c r="C30">
        <v>30</v>
      </c>
      <c r="D30" s="7">
        <v>45677</v>
      </c>
      <c r="E30" s="7" t="s">
        <v>328</v>
      </c>
      <c r="F30" s="10" t="s">
        <v>326</v>
      </c>
      <c r="G30" s="36" t="s">
        <v>140</v>
      </c>
      <c r="H30" s="36" t="s">
        <v>140</v>
      </c>
      <c r="I30" s="36" t="s">
        <v>141</v>
      </c>
      <c r="J30" s="36" t="s">
        <v>141</v>
      </c>
      <c r="K30" s="36" t="s">
        <v>141</v>
      </c>
      <c r="L30" s="36" t="s">
        <v>140</v>
      </c>
      <c r="M30" s="36" t="s">
        <v>140</v>
      </c>
      <c r="N30" s="36" t="s">
        <v>140</v>
      </c>
      <c r="O30" s="119" t="s">
        <v>141</v>
      </c>
      <c r="P30" s="36" t="s">
        <v>140</v>
      </c>
      <c r="Q30" s="36" t="s">
        <v>141</v>
      </c>
      <c r="R30" s="36" t="s">
        <v>140</v>
      </c>
      <c r="S30" s="36" t="s">
        <v>140</v>
      </c>
      <c r="T30" s="36" t="s">
        <v>141</v>
      </c>
      <c r="U30" s="36" t="s">
        <v>140</v>
      </c>
      <c r="V30" s="36" t="s">
        <v>140</v>
      </c>
      <c r="W30" s="36" t="s">
        <v>140</v>
      </c>
      <c r="X30" s="36" t="s">
        <v>140</v>
      </c>
      <c r="Y30" s="36" t="s">
        <v>140</v>
      </c>
      <c r="Z30" s="36" t="s">
        <v>140</v>
      </c>
      <c r="AA30" s="117" t="s">
        <v>140</v>
      </c>
      <c r="AB30" s="36" t="s">
        <v>140</v>
      </c>
      <c r="AC30" s="117" t="s">
        <v>140</v>
      </c>
      <c r="AD30" s="36" t="s">
        <v>140</v>
      </c>
      <c r="AE30" s="36" t="s">
        <v>141</v>
      </c>
      <c r="AF30" s="117" t="s">
        <v>140</v>
      </c>
      <c r="AG30" s="36" t="s">
        <v>140</v>
      </c>
      <c r="AH30" s="36" t="s">
        <v>140</v>
      </c>
      <c r="AI30" s="117" t="s">
        <v>140</v>
      </c>
      <c r="AJ30" s="36" t="s">
        <v>140</v>
      </c>
      <c r="AK30" s="36" t="s">
        <v>140</v>
      </c>
      <c r="AL30" s="36" t="s">
        <v>140</v>
      </c>
      <c r="AM30" s="117" t="s">
        <v>140</v>
      </c>
      <c r="AN30" s="117" t="s">
        <v>140</v>
      </c>
      <c r="AO30" s="117" t="s">
        <v>140</v>
      </c>
      <c r="AP30" s="117"/>
      <c r="AQ30" s="117"/>
      <c r="AR30" s="117" t="s">
        <v>140</v>
      </c>
      <c r="AS30" s="117"/>
      <c r="AT30" s="117"/>
      <c r="AU30" s="117"/>
      <c r="AV30" s="119">
        <f t="shared" si="0"/>
        <v>7</v>
      </c>
      <c r="AW30" s="119"/>
      <c r="AX30" s="119" t="s">
        <v>2142</v>
      </c>
    </row>
    <row r="31" spans="1:50">
      <c r="A31" t="s">
        <v>57</v>
      </c>
      <c r="B31" t="s">
        <v>57</v>
      </c>
      <c r="C31">
        <v>31</v>
      </c>
      <c r="D31" s="7">
        <v>45677</v>
      </c>
      <c r="E31" s="7" t="s">
        <v>2129</v>
      </c>
      <c r="F31" s="10" t="s">
        <v>2130</v>
      </c>
      <c r="G31" s="36" t="s">
        <v>141</v>
      </c>
      <c r="H31" s="36" t="s">
        <v>141</v>
      </c>
      <c r="I31" s="36" t="s">
        <v>141</v>
      </c>
      <c r="J31" s="36" t="s">
        <v>141</v>
      </c>
      <c r="K31" s="117" t="s">
        <v>2131</v>
      </c>
      <c r="L31" s="117" t="s">
        <v>2131</v>
      </c>
      <c r="M31" s="117" t="s">
        <v>2131</v>
      </c>
      <c r="N31" s="36" t="s">
        <v>2131</v>
      </c>
      <c r="O31" s="119" t="s">
        <v>141</v>
      </c>
      <c r="P31" s="36" t="s">
        <v>141</v>
      </c>
      <c r="Q31" s="36" t="s">
        <v>141</v>
      </c>
      <c r="R31" s="36" t="s">
        <v>141</v>
      </c>
      <c r="S31" s="36" t="s">
        <v>141</v>
      </c>
      <c r="T31" s="36" t="s">
        <v>141</v>
      </c>
      <c r="U31" s="36" t="s">
        <v>140</v>
      </c>
      <c r="V31" s="36" t="s">
        <v>2131</v>
      </c>
      <c r="W31" s="36" t="s">
        <v>141</v>
      </c>
      <c r="X31" s="36" t="s">
        <v>141</v>
      </c>
      <c r="Y31" s="36" t="s">
        <v>2131</v>
      </c>
      <c r="Z31" s="36" t="s">
        <v>141</v>
      </c>
      <c r="AA31" s="117" t="s">
        <v>141</v>
      </c>
      <c r="AB31" s="36" t="s">
        <v>141</v>
      </c>
      <c r="AC31" s="117" t="s">
        <v>141</v>
      </c>
      <c r="AD31" s="36" t="s">
        <v>141</v>
      </c>
      <c r="AE31" s="36" t="s">
        <v>141</v>
      </c>
      <c r="AF31" s="117" t="s">
        <v>141</v>
      </c>
      <c r="AG31" s="36" t="s">
        <v>2131</v>
      </c>
      <c r="AH31" s="36" t="s">
        <v>141</v>
      </c>
      <c r="AI31" s="117" t="s">
        <v>141</v>
      </c>
      <c r="AJ31" s="36" t="s">
        <v>2131</v>
      </c>
      <c r="AK31" s="36" t="s">
        <v>2131</v>
      </c>
      <c r="AL31" s="36" t="s">
        <v>2131</v>
      </c>
      <c r="AM31" s="117" t="s">
        <v>141</v>
      </c>
      <c r="AN31" s="117" t="s">
        <v>141</v>
      </c>
      <c r="AO31" s="117" t="s">
        <v>2131</v>
      </c>
      <c r="AP31" s="117"/>
      <c r="AQ31" s="117"/>
      <c r="AR31" s="117" t="s">
        <v>141</v>
      </c>
      <c r="AS31" s="117"/>
      <c r="AT31" s="117"/>
      <c r="AU31" s="117"/>
      <c r="AV31" s="119">
        <f t="shared" si="0"/>
        <v>24</v>
      </c>
      <c r="AW31" s="119"/>
      <c r="AX31" s="119" t="s">
        <v>2142</v>
      </c>
    </row>
    <row r="32" spans="1:50">
      <c r="A32">
        <v>28</v>
      </c>
      <c r="B32">
        <v>584</v>
      </c>
      <c r="C32">
        <v>32</v>
      </c>
      <c r="D32" s="7">
        <v>45678</v>
      </c>
      <c r="E32" s="7" t="s">
        <v>335</v>
      </c>
      <c r="F32" s="10" t="s">
        <v>332</v>
      </c>
      <c r="G32" s="36" t="s">
        <v>141</v>
      </c>
      <c r="H32" s="36" t="s">
        <v>140</v>
      </c>
      <c r="I32" s="36" t="s">
        <v>141</v>
      </c>
      <c r="J32" s="36" t="s">
        <v>141</v>
      </c>
      <c r="K32" s="36" t="s">
        <v>140</v>
      </c>
      <c r="L32" s="36" t="s">
        <v>140</v>
      </c>
      <c r="M32" s="36" t="s">
        <v>140</v>
      </c>
      <c r="N32" s="36" t="s">
        <v>140</v>
      </c>
      <c r="O32" s="119" t="s">
        <v>141</v>
      </c>
      <c r="P32" s="36" t="s">
        <v>140</v>
      </c>
      <c r="Q32" s="36" t="s">
        <v>140</v>
      </c>
      <c r="R32" s="36" t="s">
        <v>141</v>
      </c>
      <c r="S32" s="36" t="s">
        <v>140</v>
      </c>
      <c r="T32" s="36" t="s">
        <v>140</v>
      </c>
      <c r="U32" s="36" t="s">
        <v>140</v>
      </c>
      <c r="V32" s="36" t="s">
        <v>140</v>
      </c>
      <c r="W32" s="36" t="s">
        <v>141</v>
      </c>
      <c r="X32" s="36" t="s">
        <v>140</v>
      </c>
      <c r="Y32" s="36" t="s">
        <v>140</v>
      </c>
      <c r="Z32" s="36" t="s">
        <v>141</v>
      </c>
      <c r="AA32" s="117" t="s">
        <v>141</v>
      </c>
      <c r="AB32" s="36" t="s">
        <v>141</v>
      </c>
      <c r="AC32" s="117" t="s">
        <v>140</v>
      </c>
      <c r="AD32" s="36" t="s">
        <v>140</v>
      </c>
      <c r="AE32" s="36" t="s">
        <v>141</v>
      </c>
      <c r="AF32" s="117" t="s">
        <v>140</v>
      </c>
      <c r="AG32" s="36" t="s">
        <v>140</v>
      </c>
      <c r="AH32" s="36" t="s">
        <v>140</v>
      </c>
      <c r="AI32" s="117" t="s">
        <v>140</v>
      </c>
      <c r="AJ32" s="36" t="s">
        <v>140</v>
      </c>
      <c r="AK32" s="36" t="s">
        <v>140</v>
      </c>
      <c r="AL32" s="36" t="s">
        <v>140</v>
      </c>
      <c r="AM32" s="117" t="s">
        <v>141</v>
      </c>
      <c r="AN32" s="117" t="s">
        <v>141</v>
      </c>
      <c r="AO32" s="117" t="s">
        <v>140</v>
      </c>
      <c r="AP32" s="117"/>
      <c r="AQ32" s="117"/>
      <c r="AR32" s="117" t="s">
        <v>140</v>
      </c>
      <c r="AS32" s="117"/>
      <c r="AT32" s="117"/>
      <c r="AU32" s="117"/>
      <c r="AV32" s="119">
        <f t="shared" si="0"/>
        <v>12</v>
      </c>
      <c r="AW32" s="119"/>
      <c r="AX32" s="119" t="s">
        <v>2142</v>
      </c>
    </row>
    <row r="33" spans="1:50">
      <c r="A33">
        <v>29</v>
      </c>
      <c r="B33">
        <v>585</v>
      </c>
      <c r="C33">
        <v>33</v>
      </c>
      <c r="D33" s="7">
        <v>45678</v>
      </c>
      <c r="E33" s="7" t="s">
        <v>341</v>
      </c>
      <c r="F33" s="10" t="s">
        <v>338</v>
      </c>
      <c r="G33" s="36" t="s">
        <v>141</v>
      </c>
      <c r="H33" s="36" t="s">
        <v>140</v>
      </c>
      <c r="I33" s="36" t="s">
        <v>140</v>
      </c>
      <c r="J33" s="36" t="s">
        <v>141</v>
      </c>
      <c r="K33" s="36" t="s">
        <v>140</v>
      </c>
      <c r="L33" s="36" t="s">
        <v>140</v>
      </c>
      <c r="M33" s="36" t="s">
        <v>140</v>
      </c>
      <c r="N33" s="36" t="s">
        <v>140</v>
      </c>
      <c r="O33" s="119" t="s">
        <v>141</v>
      </c>
      <c r="P33" s="36" t="s">
        <v>140</v>
      </c>
      <c r="Q33" s="36" t="s">
        <v>141</v>
      </c>
      <c r="R33" s="36" t="s">
        <v>140</v>
      </c>
      <c r="S33" s="36" t="s">
        <v>140</v>
      </c>
      <c r="T33" s="36" t="s">
        <v>141</v>
      </c>
      <c r="U33" s="36" t="s">
        <v>141</v>
      </c>
      <c r="V33" s="36" t="s">
        <v>140</v>
      </c>
      <c r="W33" s="36" t="s">
        <v>141</v>
      </c>
      <c r="X33" s="36" t="s">
        <v>140</v>
      </c>
      <c r="Y33" s="36" t="s">
        <v>140</v>
      </c>
      <c r="Z33" s="36" t="s">
        <v>140</v>
      </c>
      <c r="AA33" s="117" t="s">
        <v>141</v>
      </c>
      <c r="AB33" s="36" t="s">
        <v>140</v>
      </c>
      <c r="AC33" s="117" t="s">
        <v>140</v>
      </c>
      <c r="AD33" s="36" t="s">
        <v>140</v>
      </c>
      <c r="AE33" s="36" t="s">
        <v>141</v>
      </c>
      <c r="AF33" s="117" t="s">
        <v>140</v>
      </c>
      <c r="AG33" s="36" t="s">
        <v>140</v>
      </c>
      <c r="AH33" s="36" t="s">
        <v>140</v>
      </c>
      <c r="AI33" s="117" t="s">
        <v>140</v>
      </c>
      <c r="AJ33" s="36" t="s">
        <v>140</v>
      </c>
      <c r="AK33" s="36" t="s">
        <v>140</v>
      </c>
      <c r="AL33" s="36" t="s">
        <v>140</v>
      </c>
      <c r="AM33" s="117" t="s">
        <v>141</v>
      </c>
      <c r="AN33" s="117" t="s">
        <v>141</v>
      </c>
      <c r="AO33" s="117" t="s">
        <v>140</v>
      </c>
      <c r="AP33" s="117"/>
      <c r="AQ33" s="117"/>
      <c r="AR33" s="117" t="s">
        <v>140</v>
      </c>
      <c r="AS33" s="117"/>
      <c r="AT33" s="117"/>
      <c r="AU33" s="117"/>
      <c r="AV33" s="119">
        <f t="shared" si="0"/>
        <v>11</v>
      </c>
      <c r="AW33" s="119"/>
      <c r="AX33" s="119" t="s">
        <v>2142</v>
      </c>
    </row>
    <row r="34" spans="1:50">
      <c r="A34">
        <v>30</v>
      </c>
      <c r="B34">
        <v>586</v>
      </c>
      <c r="C34">
        <v>34</v>
      </c>
      <c r="D34" s="7">
        <v>45678</v>
      </c>
      <c r="E34" s="7" t="s">
        <v>346</v>
      </c>
      <c r="F34" s="10" t="s">
        <v>343</v>
      </c>
      <c r="G34" s="36" t="s">
        <v>140</v>
      </c>
      <c r="H34" s="36" t="s">
        <v>140</v>
      </c>
      <c r="I34" s="36" t="s">
        <v>140</v>
      </c>
      <c r="J34" s="36" t="s">
        <v>141</v>
      </c>
      <c r="K34" s="36" t="s">
        <v>140</v>
      </c>
      <c r="L34" s="36" t="s">
        <v>141</v>
      </c>
      <c r="M34" s="36" t="s">
        <v>140</v>
      </c>
      <c r="N34" s="36" t="s">
        <v>140</v>
      </c>
      <c r="O34" s="119" t="s">
        <v>141</v>
      </c>
      <c r="P34" s="36" t="s">
        <v>141</v>
      </c>
      <c r="Q34" s="36" t="s">
        <v>140</v>
      </c>
      <c r="R34" s="36" t="s">
        <v>140</v>
      </c>
      <c r="S34" s="36" t="s">
        <v>140</v>
      </c>
      <c r="T34" s="36" t="s">
        <v>141</v>
      </c>
      <c r="U34" s="36" t="s">
        <v>141</v>
      </c>
      <c r="V34" s="36" t="s">
        <v>140</v>
      </c>
      <c r="W34" s="36" t="s">
        <v>141</v>
      </c>
      <c r="X34" s="36" t="s">
        <v>140</v>
      </c>
      <c r="Y34" s="36" t="s">
        <v>140</v>
      </c>
      <c r="Z34" s="36" t="s">
        <v>140</v>
      </c>
      <c r="AA34" s="117" t="s">
        <v>140</v>
      </c>
      <c r="AB34" s="36" t="s">
        <v>140</v>
      </c>
      <c r="AC34" s="117" t="s">
        <v>140</v>
      </c>
      <c r="AD34" s="36" t="s">
        <v>140</v>
      </c>
      <c r="AE34" s="36" t="s">
        <v>141</v>
      </c>
      <c r="AF34" s="117" t="s">
        <v>140</v>
      </c>
      <c r="AG34" s="36" t="s">
        <v>140</v>
      </c>
      <c r="AH34" s="36" t="s">
        <v>140</v>
      </c>
      <c r="AI34" s="117" t="s">
        <v>140</v>
      </c>
      <c r="AJ34" s="36" t="s">
        <v>140</v>
      </c>
      <c r="AK34" s="36" t="s">
        <v>140</v>
      </c>
      <c r="AL34" s="36" t="s">
        <v>140</v>
      </c>
      <c r="AM34" s="117" t="s">
        <v>141</v>
      </c>
      <c r="AN34" s="117" t="s">
        <v>141</v>
      </c>
      <c r="AO34" s="117" t="s">
        <v>140</v>
      </c>
      <c r="AP34" s="117"/>
      <c r="AQ34" s="117"/>
      <c r="AR34" s="117" t="s">
        <v>141</v>
      </c>
      <c r="AS34" s="117"/>
      <c r="AT34" s="117"/>
      <c r="AU34" s="117"/>
      <c r="AV34" s="119">
        <f t="shared" si="0"/>
        <v>11</v>
      </c>
      <c r="AW34" s="119"/>
      <c r="AX34" s="119" t="s">
        <v>2142</v>
      </c>
    </row>
    <row r="35" spans="1:50">
      <c r="A35">
        <v>31</v>
      </c>
      <c r="B35">
        <v>587</v>
      </c>
      <c r="C35">
        <v>35</v>
      </c>
      <c r="D35" s="7">
        <v>45678</v>
      </c>
      <c r="E35" s="7" t="s">
        <v>350</v>
      </c>
      <c r="F35" s="10" t="s">
        <v>348</v>
      </c>
      <c r="G35" s="36" t="s">
        <v>141</v>
      </c>
      <c r="H35" s="36" t="s">
        <v>141</v>
      </c>
      <c r="I35" s="36" t="s">
        <v>141</v>
      </c>
      <c r="J35" s="36" t="s">
        <v>141</v>
      </c>
      <c r="K35" s="36" t="s">
        <v>140</v>
      </c>
      <c r="L35" s="36" t="s">
        <v>141</v>
      </c>
      <c r="M35" s="36" t="s">
        <v>140</v>
      </c>
      <c r="N35" s="36" t="s">
        <v>140</v>
      </c>
      <c r="O35" s="119" t="s">
        <v>141</v>
      </c>
      <c r="P35" s="36" t="s">
        <v>141</v>
      </c>
      <c r="Q35" s="36" t="s">
        <v>140</v>
      </c>
      <c r="R35" s="36" t="s">
        <v>140</v>
      </c>
      <c r="S35" s="36" t="s">
        <v>140</v>
      </c>
      <c r="T35" s="36" t="s">
        <v>141</v>
      </c>
      <c r="U35" s="36" t="s">
        <v>140</v>
      </c>
      <c r="V35" s="36" t="s">
        <v>140</v>
      </c>
      <c r="W35" s="36" t="s">
        <v>141</v>
      </c>
      <c r="X35" s="36" t="s">
        <v>140</v>
      </c>
      <c r="Y35" s="36" t="s">
        <v>140</v>
      </c>
      <c r="Z35" s="36" t="s">
        <v>140</v>
      </c>
      <c r="AA35" s="117" t="s">
        <v>140</v>
      </c>
      <c r="AB35" s="36" t="s">
        <v>140</v>
      </c>
      <c r="AC35" s="117" t="s">
        <v>140</v>
      </c>
      <c r="AD35" s="36" t="s">
        <v>140</v>
      </c>
      <c r="AE35" s="36" t="s">
        <v>141</v>
      </c>
      <c r="AF35" s="117" t="s">
        <v>140</v>
      </c>
      <c r="AG35" s="36" t="s">
        <v>140</v>
      </c>
      <c r="AH35" s="36" t="s">
        <v>140</v>
      </c>
      <c r="AI35" s="117" t="s">
        <v>140</v>
      </c>
      <c r="AJ35" s="36" t="s">
        <v>140</v>
      </c>
      <c r="AK35" s="36" t="s">
        <v>140</v>
      </c>
      <c r="AL35" s="36" t="s">
        <v>140</v>
      </c>
      <c r="AM35" s="117" t="s">
        <v>140</v>
      </c>
      <c r="AN35" s="117" t="s">
        <v>140</v>
      </c>
      <c r="AO35" s="117" t="s">
        <v>140</v>
      </c>
      <c r="AP35" s="117"/>
      <c r="AQ35" s="117"/>
      <c r="AR35" s="117" t="s">
        <v>141</v>
      </c>
      <c r="AS35" s="117"/>
      <c r="AT35" s="117"/>
      <c r="AU35" s="117"/>
      <c r="AV35" s="119">
        <f t="shared" si="0"/>
        <v>11</v>
      </c>
      <c r="AW35" s="119"/>
      <c r="AX35" s="119" t="s">
        <v>2142</v>
      </c>
    </row>
    <row r="36" spans="1:50">
      <c r="A36">
        <v>32</v>
      </c>
      <c r="B36">
        <v>588</v>
      </c>
      <c r="C36">
        <v>36</v>
      </c>
      <c r="D36" s="7">
        <v>45680</v>
      </c>
      <c r="E36" s="7" t="s">
        <v>355</v>
      </c>
      <c r="F36" s="10" t="s">
        <v>353</v>
      </c>
      <c r="G36" s="36" t="s">
        <v>140</v>
      </c>
      <c r="H36" s="36" t="s">
        <v>141</v>
      </c>
      <c r="I36" s="36" t="s">
        <v>140</v>
      </c>
      <c r="J36" s="36" t="s">
        <v>140</v>
      </c>
      <c r="K36" s="36" t="s">
        <v>140</v>
      </c>
      <c r="L36" s="36" t="s">
        <v>140</v>
      </c>
      <c r="M36" s="36" t="s">
        <v>140</v>
      </c>
      <c r="N36" s="36" t="s">
        <v>140</v>
      </c>
      <c r="O36" s="119" t="s">
        <v>140</v>
      </c>
      <c r="P36" s="36" t="s">
        <v>141</v>
      </c>
      <c r="Q36" s="36" t="s">
        <v>140</v>
      </c>
      <c r="R36" s="36" t="s">
        <v>140</v>
      </c>
      <c r="S36" s="36" t="s">
        <v>141</v>
      </c>
      <c r="T36" s="36" t="s">
        <v>140</v>
      </c>
      <c r="U36" s="36" t="s">
        <v>141</v>
      </c>
      <c r="V36" s="36" t="s">
        <v>140</v>
      </c>
      <c r="W36" s="36" t="s">
        <v>140</v>
      </c>
      <c r="X36" s="36" t="s">
        <v>140</v>
      </c>
      <c r="Y36" s="36" t="s">
        <v>140</v>
      </c>
      <c r="Z36" s="36" t="s">
        <v>140</v>
      </c>
      <c r="AA36" s="117" t="s">
        <v>140</v>
      </c>
      <c r="AB36" s="36" t="s">
        <v>140</v>
      </c>
      <c r="AC36" s="117" t="s">
        <v>140</v>
      </c>
      <c r="AD36" s="36" t="s">
        <v>140</v>
      </c>
      <c r="AE36" s="36" t="s">
        <v>140</v>
      </c>
      <c r="AF36" s="117" t="s">
        <v>141</v>
      </c>
      <c r="AG36" s="36" t="s">
        <v>140</v>
      </c>
      <c r="AH36" s="36" t="s">
        <v>140</v>
      </c>
      <c r="AI36" s="117" t="s">
        <v>140</v>
      </c>
      <c r="AJ36" s="36" t="s">
        <v>140</v>
      </c>
      <c r="AK36" s="36" t="s">
        <v>140</v>
      </c>
      <c r="AL36" s="36" t="s">
        <v>140</v>
      </c>
      <c r="AM36" s="117" t="s">
        <v>140</v>
      </c>
      <c r="AN36" s="117" t="s">
        <v>140</v>
      </c>
      <c r="AO36" s="117" t="s">
        <v>140</v>
      </c>
      <c r="AP36" s="117"/>
      <c r="AQ36" s="117"/>
      <c r="AR36" s="117" t="s">
        <v>141</v>
      </c>
      <c r="AS36" s="117"/>
      <c r="AT36" s="117"/>
      <c r="AU36" s="117"/>
      <c r="AV36" s="119">
        <f t="shared" si="0"/>
        <v>6</v>
      </c>
      <c r="AW36" s="119"/>
      <c r="AX36" s="119" t="s">
        <v>2142</v>
      </c>
    </row>
    <row r="37" spans="1:50">
      <c r="A37">
        <v>33</v>
      </c>
      <c r="B37">
        <v>589</v>
      </c>
      <c r="C37">
        <v>37</v>
      </c>
      <c r="D37" s="7">
        <v>45680</v>
      </c>
      <c r="E37" s="7" t="s">
        <v>363</v>
      </c>
      <c r="F37" s="10" t="s">
        <v>353</v>
      </c>
      <c r="G37" s="36" t="s">
        <v>140</v>
      </c>
      <c r="H37" s="36" t="s">
        <v>141</v>
      </c>
      <c r="I37" s="36" t="s">
        <v>140</v>
      </c>
      <c r="J37" s="36" t="s">
        <v>141</v>
      </c>
      <c r="K37" s="36" t="s">
        <v>140</v>
      </c>
      <c r="L37" s="36" t="s">
        <v>140</v>
      </c>
      <c r="M37" s="36" t="s">
        <v>140</v>
      </c>
      <c r="N37" s="36" t="s">
        <v>140</v>
      </c>
      <c r="O37" s="119" t="s">
        <v>140</v>
      </c>
      <c r="P37" s="36" t="s">
        <v>141</v>
      </c>
      <c r="Q37" s="36" t="s">
        <v>141</v>
      </c>
      <c r="R37" s="36" t="s">
        <v>140</v>
      </c>
      <c r="S37" s="36" t="s">
        <v>141</v>
      </c>
      <c r="T37" s="36" t="s">
        <v>141</v>
      </c>
      <c r="U37" s="36" t="s">
        <v>140</v>
      </c>
      <c r="V37" s="36" t="s">
        <v>140</v>
      </c>
      <c r="W37" s="36" t="s">
        <v>140</v>
      </c>
      <c r="X37" s="36" t="s">
        <v>140</v>
      </c>
      <c r="Y37" s="36" t="s">
        <v>140</v>
      </c>
      <c r="Z37" s="36" t="s">
        <v>140</v>
      </c>
      <c r="AA37" s="117" t="s">
        <v>140</v>
      </c>
      <c r="AB37" s="36" t="s">
        <v>140</v>
      </c>
      <c r="AC37" s="117" t="s">
        <v>140</v>
      </c>
      <c r="AD37" s="36" t="s">
        <v>140</v>
      </c>
      <c r="AE37" s="36" t="s">
        <v>140</v>
      </c>
      <c r="AF37" s="117" t="s">
        <v>141</v>
      </c>
      <c r="AG37" s="36" t="s">
        <v>141</v>
      </c>
      <c r="AH37" s="36" t="s">
        <v>140</v>
      </c>
      <c r="AI37" s="117" t="s">
        <v>140</v>
      </c>
      <c r="AJ37" s="36" t="s">
        <v>140</v>
      </c>
      <c r="AK37" s="36" t="s">
        <v>140</v>
      </c>
      <c r="AL37" s="36" t="s">
        <v>140</v>
      </c>
      <c r="AM37" s="117" t="s">
        <v>141</v>
      </c>
      <c r="AN37" s="117" t="s">
        <v>141</v>
      </c>
      <c r="AO37" s="117" t="s">
        <v>140</v>
      </c>
      <c r="AP37" s="117"/>
      <c r="AQ37" s="117"/>
      <c r="AR37" s="117" t="s">
        <v>140</v>
      </c>
      <c r="AS37" s="117"/>
      <c r="AT37" s="117"/>
      <c r="AU37" s="117"/>
      <c r="AV37" s="119">
        <f t="shared" si="0"/>
        <v>10</v>
      </c>
      <c r="AW37" s="119"/>
      <c r="AX37" s="119" t="s">
        <v>2142</v>
      </c>
    </row>
    <row r="38" spans="1:50">
      <c r="A38">
        <v>34</v>
      </c>
      <c r="B38">
        <v>590</v>
      </c>
      <c r="C38">
        <v>38</v>
      </c>
      <c r="D38" s="7">
        <v>45680</v>
      </c>
      <c r="E38" s="7" t="s">
        <v>367</v>
      </c>
      <c r="F38" s="10" t="s">
        <v>365</v>
      </c>
      <c r="G38" s="36" t="s">
        <v>141</v>
      </c>
      <c r="H38" s="36" t="s">
        <v>140</v>
      </c>
      <c r="I38" s="36" t="s">
        <v>140</v>
      </c>
      <c r="J38" s="36" t="s">
        <v>140</v>
      </c>
      <c r="K38" s="36" t="s">
        <v>140</v>
      </c>
      <c r="L38" s="36" t="s">
        <v>141</v>
      </c>
      <c r="M38" s="36" t="s">
        <v>140</v>
      </c>
      <c r="N38" s="36" t="s">
        <v>140</v>
      </c>
      <c r="O38" s="119" t="s">
        <v>140</v>
      </c>
      <c r="P38" s="36" t="s">
        <v>140</v>
      </c>
      <c r="Q38" s="36" t="s">
        <v>140</v>
      </c>
      <c r="R38" s="36" t="s">
        <v>140</v>
      </c>
      <c r="S38" s="36" t="s">
        <v>140</v>
      </c>
      <c r="T38" s="36" t="s">
        <v>141</v>
      </c>
      <c r="U38" s="36" t="s">
        <v>140</v>
      </c>
      <c r="V38" s="36" t="s">
        <v>140</v>
      </c>
      <c r="W38" s="36" t="s">
        <v>140</v>
      </c>
      <c r="X38" s="36" t="s">
        <v>140</v>
      </c>
      <c r="Y38" s="36" t="s">
        <v>140</v>
      </c>
      <c r="Z38" s="36" t="s">
        <v>140</v>
      </c>
      <c r="AA38" s="117" t="s">
        <v>140</v>
      </c>
      <c r="AB38" s="36" t="s">
        <v>140</v>
      </c>
      <c r="AC38" s="117" t="s">
        <v>141</v>
      </c>
      <c r="AD38" s="36" t="s">
        <v>141</v>
      </c>
      <c r="AE38" s="36" t="s">
        <v>140</v>
      </c>
      <c r="AF38" s="117" t="s">
        <v>140</v>
      </c>
      <c r="AG38" s="36" t="s">
        <v>141</v>
      </c>
      <c r="AH38" s="36" t="s">
        <v>140</v>
      </c>
      <c r="AI38" s="117" t="s">
        <v>140</v>
      </c>
      <c r="AJ38" s="36" t="s">
        <v>140</v>
      </c>
      <c r="AK38" s="36" t="s">
        <v>141</v>
      </c>
      <c r="AL38" s="36" t="s">
        <v>140</v>
      </c>
      <c r="AM38" s="117" t="s">
        <v>141</v>
      </c>
      <c r="AN38" s="117" t="s">
        <v>141</v>
      </c>
      <c r="AO38" s="117" t="s">
        <v>140</v>
      </c>
      <c r="AP38" s="117"/>
      <c r="AQ38" s="117"/>
      <c r="AR38" s="117" t="s">
        <v>140</v>
      </c>
      <c r="AS38" s="117"/>
      <c r="AT38" s="117"/>
      <c r="AU38" s="117"/>
      <c r="AV38" s="119">
        <f t="shared" si="0"/>
        <v>9</v>
      </c>
      <c r="AW38" s="119"/>
      <c r="AX38" s="119" t="s">
        <v>2142</v>
      </c>
    </row>
    <row r="39" spans="1:50">
      <c r="A39">
        <v>35</v>
      </c>
      <c r="B39">
        <v>591</v>
      </c>
      <c r="C39">
        <v>39</v>
      </c>
      <c r="D39" s="7">
        <v>45679</v>
      </c>
      <c r="E39" s="7" t="s">
        <v>372</v>
      </c>
      <c r="F39" s="10" t="s">
        <v>369</v>
      </c>
      <c r="G39" s="36" t="s">
        <v>141</v>
      </c>
      <c r="H39" s="36" t="s">
        <v>140</v>
      </c>
      <c r="I39" s="36" t="s">
        <v>140</v>
      </c>
      <c r="J39" s="36" t="s">
        <v>141</v>
      </c>
      <c r="K39" s="36" t="s">
        <v>140</v>
      </c>
      <c r="L39" s="36" t="s">
        <v>141</v>
      </c>
      <c r="M39" s="36" t="s">
        <v>140</v>
      </c>
      <c r="N39" s="36" t="s">
        <v>140</v>
      </c>
      <c r="O39" s="119" t="s">
        <v>140</v>
      </c>
      <c r="P39" s="36" t="s">
        <v>140</v>
      </c>
      <c r="Q39" s="36" t="s">
        <v>140</v>
      </c>
      <c r="R39" s="36" t="s">
        <v>140</v>
      </c>
      <c r="S39" s="36" t="s">
        <v>140</v>
      </c>
      <c r="T39" s="36" t="s">
        <v>141</v>
      </c>
      <c r="U39" s="36" t="s">
        <v>141</v>
      </c>
      <c r="V39" s="36" t="s">
        <v>140</v>
      </c>
      <c r="W39" s="36" t="s">
        <v>140</v>
      </c>
      <c r="X39" s="36" t="s">
        <v>140</v>
      </c>
      <c r="Y39" s="36" t="s">
        <v>140</v>
      </c>
      <c r="Z39" s="36" t="s">
        <v>141</v>
      </c>
      <c r="AA39" s="117" t="s">
        <v>140</v>
      </c>
      <c r="AB39" s="36" t="s">
        <v>140</v>
      </c>
      <c r="AC39" s="117" t="s">
        <v>141</v>
      </c>
      <c r="AD39" s="36" t="s">
        <v>140</v>
      </c>
      <c r="AE39" s="36" t="s">
        <v>141</v>
      </c>
      <c r="AF39" s="117" t="s">
        <v>140</v>
      </c>
      <c r="AG39" s="36" t="s">
        <v>140</v>
      </c>
      <c r="AH39" s="36" t="s">
        <v>140</v>
      </c>
      <c r="AI39" s="117" t="s">
        <v>140</v>
      </c>
      <c r="AJ39" s="36" t="s">
        <v>140</v>
      </c>
      <c r="AK39" s="36" t="s">
        <v>140</v>
      </c>
      <c r="AL39" s="36" t="s">
        <v>140</v>
      </c>
      <c r="AM39" s="117" t="s">
        <v>141</v>
      </c>
      <c r="AN39" s="117" t="s">
        <v>141</v>
      </c>
      <c r="AO39" s="117" t="s">
        <v>140</v>
      </c>
      <c r="AP39" s="117"/>
      <c r="AQ39" s="117"/>
      <c r="AR39" s="117" t="s">
        <v>141</v>
      </c>
      <c r="AS39" s="117"/>
      <c r="AT39" s="117"/>
      <c r="AU39" s="117"/>
      <c r="AV39" s="119">
        <f t="shared" si="0"/>
        <v>11</v>
      </c>
      <c r="AW39" s="119"/>
      <c r="AX39" s="119" t="s">
        <v>2142</v>
      </c>
    </row>
    <row r="40" spans="1:50">
      <c r="A40">
        <v>36</v>
      </c>
      <c r="B40">
        <v>592</v>
      </c>
      <c r="C40">
        <v>40</v>
      </c>
      <c r="D40" s="7">
        <v>45681</v>
      </c>
      <c r="E40" s="7" t="s">
        <v>378</v>
      </c>
      <c r="F40" s="10" t="s">
        <v>375</v>
      </c>
      <c r="G40" s="36" t="s">
        <v>140</v>
      </c>
      <c r="H40" s="36" t="s">
        <v>140</v>
      </c>
      <c r="I40" s="36" t="s">
        <v>141</v>
      </c>
      <c r="J40" s="36" t="s">
        <v>141</v>
      </c>
      <c r="K40" s="36" t="s">
        <v>140</v>
      </c>
      <c r="L40" s="36" t="s">
        <v>140</v>
      </c>
      <c r="M40" s="36" t="s">
        <v>140</v>
      </c>
      <c r="N40" s="36" t="s">
        <v>140</v>
      </c>
      <c r="O40" s="119" t="s">
        <v>140</v>
      </c>
      <c r="P40" s="36" t="s">
        <v>140</v>
      </c>
      <c r="Q40" s="36" t="s">
        <v>140</v>
      </c>
      <c r="R40" s="36" t="s">
        <v>140</v>
      </c>
      <c r="S40" s="36" t="s">
        <v>140</v>
      </c>
      <c r="T40" s="36" t="s">
        <v>141</v>
      </c>
      <c r="U40" s="36" t="s">
        <v>141</v>
      </c>
      <c r="V40" s="36" t="s">
        <v>140</v>
      </c>
      <c r="W40" s="36" t="s">
        <v>141</v>
      </c>
      <c r="X40" s="36" t="s">
        <v>140</v>
      </c>
      <c r="Y40" s="36" t="s">
        <v>140</v>
      </c>
      <c r="Z40" s="36" t="s">
        <v>141</v>
      </c>
      <c r="AA40" s="117" t="s">
        <v>141</v>
      </c>
      <c r="AB40" s="36" t="s">
        <v>141</v>
      </c>
      <c r="AC40" s="117" t="s">
        <v>140</v>
      </c>
      <c r="AD40" s="36" t="s">
        <v>140</v>
      </c>
      <c r="AE40" s="36" t="s">
        <v>140</v>
      </c>
      <c r="AF40" s="117" t="s">
        <v>140</v>
      </c>
      <c r="AG40" s="36" t="s">
        <v>140</v>
      </c>
      <c r="AH40" s="36" t="s">
        <v>140</v>
      </c>
      <c r="AI40" s="117" t="s">
        <v>140</v>
      </c>
      <c r="AJ40" s="36" t="s">
        <v>140</v>
      </c>
      <c r="AK40" s="36" t="s">
        <v>140</v>
      </c>
      <c r="AL40" s="36" t="s">
        <v>140</v>
      </c>
      <c r="AM40" s="117" t="s">
        <v>140</v>
      </c>
      <c r="AN40" s="117" t="s">
        <v>140</v>
      </c>
      <c r="AO40" s="117" t="s">
        <v>140</v>
      </c>
      <c r="AP40" s="117"/>
      <c r="AQ40" s="117"/>
      <c r="AR40" s="117" t="s">
        <v>140</v>
      </c>
      <c r="AS40" s="117"/>
      <c r="AT40" s="117"/>
      <c r="AU40" s="117"/>
      <c r="AV40" s="119">
        <f t="shared" si="0"/>
        <v>8</v>
      </c>
      <c r="AW40" s="119"/>
      <c r="AX40" s="119" t="s">
        <v>2142</v>
      </c>
    </row>
    <row r="41" spans="1:50">
      <c r="A41">
        <v>37</v>
      </c>
      <c r="B41">
        <v>593</v>
      </c>
      <c r="C41">
        <v>41</v>
      </c>
      <c r="D41" s="7">
        <v>45682</v>
      </c>
      <c r="E41" s="7" t="s">
        <v>383</v>
      </c>
      <c r="F41" s="10" t="s">
        <v>380</v>
      </c>
      <c r="G41" s="36" t="s">
        <v>141</v>
      </c>
      <c r="H41" s="36" t="s">
        <v>141</v>
      </c>
      <c r="I41" s="36" t="s">
        <v>140</v>
      </c>
      <c r="J41" s="36" t="s">
        <v>140</v>
      </c>
      <c r="K41" s="36" t="s">
        <v>140</v>
      </c>
      <c r="L41" s="36" t="s">
        <v>140</v>
      </c>
      <c r="M41" s="36" t="s">
        <v>140</v>
      </c>
      <c r="N41" s="36" t="s">
        <v>140</v>
      </c>
      <c r="O41" s="119" t="s">
        <v>140</v>
      </c>
      <c r="P41" s="36" t="s">
        <v>141</v>
      </c>
      <c r="Q41" s="36" t="s">
        <v>140</v>
      </c>
      <c r="R41" s="36" t="s">
        <v>140</v>
      </c>
      <c r="S41" s="36" t="s">
        <v>140</v>
      </c>
      <c r="T41" s="36" t="s">
        <v>141</v>
      </c>
      <c r="U41" s="36" t="s">
        <v>140</v>
      </c>
      <c r="V41" s="36" t="s">
        <v>140</v>
      </c>
      <c r="W41" s="36" t="s">
        <v>140</v>
      </c>
      <c r="X41" s="36" t="s">
        <v>141</v>
      </c>
      <c r="Y41" s="36" t="s">
        <v>140</v>
      </c>
      <c r="Z41" s="36" t="s">
        <v>141</v>
      </c>
      <c r="AA41" s="117" t="s">
        <v>140</v>
      </c>
      <c r="AB41" s="36" t="s">
        <v>140</v>
      </c>
      <c r="AC41" s="117" t="s">
        <v>140</v>
      </c>
      <c r="AD41" s="36" t="s">
        <v>141</v>
      </c>
      <c r="AE41" s="36" t="s">
        <v>140</v>
      </c>
      <c r="AF41" s="117" t="s">
        <v>140</v>
      </c>
      <c r="AG41" s="36" t="s">
        <v>140</v>
      </c>
      <c r="AH41" s="36" t="s">
        <v>140</v>
      </c>
      <c r="AI41" s="117" t="s">
        <v>140</v>
      </c>
      <c r="AJ41" s="36" t="s">
        <v>140</v>
      </c>
      <c r="AK41" s="36" t="s">
        <v>140</v>
      </c>
      <c r="AL41" s="36" t="s">
        <v>140</v>
      </c>
      <c r="AM41" s="117" t="s">
        <v>140</v>
      </c>
      <c r="AN41" s="117" t="s">
        <v>140</v>
      </c>
      <c r="AO41" s="117" t="s">
        <v>140</v>
      </c>
      <c r="AP41" s="117"/>
      <c r="AQ41" s="117"/>
      <c r="AR41" s="117" t="s">
        <v>140</v>
      </c>
      <c r="AS41" s="117"/>
      <c r="AT41" s="117"/>
      <c r="AU41" s="117"/>
      <c r="AV41" s="119">
        <f t="shared" si="0"/>
        <v>7</v>
      </c>
      <c r="AW41" s="119"/>
      <c r="AX41" s="119" t="s">
        <v>2142</v>
      </c>
    </row>
    <row r="42" spans="1:50">
      <c r="A42">
        <v>38</v>
      </c>
      <c r="B42">
        <v>594</v>
      </c>
      <c r="C42">
        <v>42</v>
      </c>
      <c r="D42" s="7">
        <v>45682</v>
      </c>
      <c r="E42" s="7" t="s">
        <v>388</v>
      </c>
      <c r="F42" s="10" t="s">
        <v>385</v>
      </c>
      <c r="G42" s="36" t="s">
        <v>141</v>
      </c>
      <c r="H42" s="36" t="s">
        <v>141</v>
      </c>
      <c r="I42" s="36" t="s">
        <v>140</v>
      </c>
      <c r="J42" s="36" t="s">
        <v>140</v>
      </c>
      <c r="K42" s="36" t="s">
        <v>140</v>
      </c>
      <c r="L42" s="36" t="s">
        <v>140</v>
      </c>
      <c r="M42" s="36" t="s">
        <v>140</v>
      </c>
      <c r="N42" s="36" t="s">
        <v>140</v>
      </c>
      <c r="O42" s="119" t="s">
        <v>140</v>
      </c>
      <c r="P42" s="36" t="s">
        <v>141</v>
      </c>
      <c r="Q42" s="36" t="s">
        <v>141</v>
      </c>
      <c r="R42" s="36" t="s">
        <v>140</v>
      </c>
      <c r="S42" s="36" t="s">
        <v>140</v>
      </c>
      <c r="T42" s="36" t="s">
        <v>141</v>
      </c>
      <c r="U42" s="36" t="s">
        <v>140</v>
      </c>
      <c r="V42" s="36" t="s">
        <v>140</v>
      </c>
      <c r="W42" s="36" t="s">
        <v>140</v>
      </c>
      <c r="X42" s="36" t="s">
        <v>141</v>
      </c>
      <c r="Y42" s="36" t="s">
        <v>140</v>
      </c>
      <c r="Z42" s="36" t="s">
        <v>141</v>
      </c>
      <c r="AA42" s="117" t="s">
        <v>140</v>
      </c>
      <c r="AB42" s="36" t="s">
        <v>140</v>
      </c>
      <c r="AC42" s="117" t="s">
        <v>141</v>
      </c>
      <c r="AD42" s="36" t="s">
        <v>141</v>
      </c>
      <c r="AE42" s="36" t="s">
        <v>140</v>
      </c>
      <c r="AF42" s="117" t="s">
        <v>140</v>
      </c>
      <c r="AG42" s="36" t="s">
        <v>140</v>
      </c>
      <c r="AH42" s="36" t="s">
        <v>140</v>
      </c>
      <c r="AI42" s="117" t="s">
        <v>140</v>
      </c>
      <c r="AJ42" s="36" t="s">
        <v>140</v>
      </c>
      <c r="AK42" s="36" t="s">
        <v>140</v>
      </c>
      <c r="AL42" s="36" t="s">
        <v>140</v>
      </c>
      <c r="AM42" s="117" t="s">
        <v>141</v>
      </c>
      <c r="AN42" s="117" t="s">
        <v>141</v>
      </c>
      <c r="AO42" s="117" t="s">
        <v>140</v>
      </c>
      <c r="AP42" s="117"/>
      <c r="AQ42" s="117"/>
      <c r="AR42" s="117" t="s">
        <v>140</v>
      </c>
      <c r="AS42" s="117"/>
      <c r="AT42" s="117"/>
      <c r="AU42" s="117"/>
      <c r="AV42" s="119">
        <f t="shared" si="0"/>
        <v>11</v>
      </c>
      <c r="AW42" s="119"/>
      <c r="AX42" s="119" t="s">
        <v>2142</v>
      </c>
    </row>
    <row r="43" spans="1:50">
      <c r="A43">
        <v>39</v>
      </c>
      <c r="B43">
        <v>595</v>
      </c>
      <c r="C43">
        <v>43</v>
      </c>
      <c r="D43" s="7">
        <v>45682</v>
      </c>
      <c r="E43" s="7" t="s">
        <v>395</v>
      </c>
      <c r="F43" s="10" t="s">
        <v>392</v>
      </c>
      <c r="G43" s="36" t="s">
        <v>141</v>
      </c>
      <c r="H43" s="36" t="s">
        <v>141</v>
      </c>
      <c r="I43" s="36" t="s">
        <v>140</v>
      </c>
      <c r="J43" s="36" t="s">
        <v>140</v>
      </c>
      <c r="K43" s="36" t="s">
        <v>140</v>
      </c>
      <c r="L43" s="36" t="s">
        <v>140</v>
      </c>
      <c r="M43" s="36" t="s">
        <v>140</v>
      </c>
      <c r="N43" s="36" t="s">
        <v>140</v>
      </c>
      <c r="O43" s="119" t="s">
        <v>140</v>
      </c>
      <c r="P43" s="36" t="s">
        <v>141</v>
      </c>
      <c r="Q43" s="36" t="s">
        <v>141</v>
      </c>
      <c r="R43" s="36" t="s">
        <v>140</v>
      </c>
      <c r="S43" s="36" t="s">
        <v>140</v>
      </c>
      <c r="T43" s="36" t="s">
        <v>141</v>
      </c>
      <c r="U43" s="36" t="s">
        <v>140</v>
      </c>
      <c r="V43" s="36" t="s">
        <v>140</v>
      </c>
      <c r="W43" s="36" t="s">
        <v>140</v>
      </c>
      <c r="X43" s="36" t="s">
        <v>141</v>
      </c>
      <c r="Y43" s="36" t="s">
        <v>140</v>
      </c>
      <c r="Z43" s="36" t="s">
        <v>140</v>
      </c>
      <c r="AA43" s="117" t="s">
        <v>141</v>
      </c>
      <c r="AB43" s="36" t="s">
        <v>141</v>
      </c>
      <c r="AC43" s="117" t="s">
        <v>141</v>
      </c>
      <c r="AD43" s="36" t="s">
        <v>141</v>
      </c>
      <c r="AE43" s="36" t="s">
        <v>140</v>
      </c>
      <c r="AF43" s="117" t="s">
        <v>140</v>
      </c>
      <c r="AG43" s="36" t="s">
        <v>140</v>
      </c>
      <c r="AH43" s="36" t="s">
        <v>140</v>
      </c>
      <c r="AI43" s="117" t="s">
        <v>140</v>
      </c>
      <c r="AJ43" s="36" t="s">
        <v>140</v>
      </c>
      <c r="AK43" s="36" t="s">
        <v>140</v>
      </c>
      <c r="AL43" s="36" t="s">
        <v>140</v>
      </c>
      <c r="AM43" s="117" t="s">
        <v>141</v>
      </c>
      <c r="AN43" s="117" t="s">
        <v>141</v>
      </c>
      <c r="AO43" s="117" t="s">
        <v>140</v>
      </c>
      <c r="AP43" s="117"/>
      <c r="AQ43" s="117"/>
      <c r="AR43" s="117" t="s">
        <v>140</v>
      </c>
      <c r="AS43" s="117"/>
      <c r="AT43" s="117"/>
      <c r="AU43" s="117"/>
      <c r="AV43" s="119">
        <f t="shared" si="0"/>
        <v>12</v>
      </c>
      <c r="AW43" s="119"/>
      <c r="AX43" s="119" t="s">
        <v>2142</v>
      </c>
    </row>
    <row r="44" spans="1:50">
      <c r="A44">
        <v>40</v>
      </c>
      <c r="B44">
        <v>596</v>
      </c>
      <c r="C44">
        <v>44</v>
      </c>
      <c r="D44" s="7">
        <v>45682</v>
      </c>
      <c r="E44" s="7" t="s">
        <v>401</v>
      </c>
      <c r="F44" s="10" t="s">
        <v>398</v>
      </c>
      <c r="G44" s="36" t="s">
        <v>141</v>
      </c>
      <c r="H44" s="36" t="s">
        <v>141</v>
      </c>
      <c r="I44" s="36" t="s">
        <v>140</v>
      </c>
      <c r="J44" s="36" t="s">
        <v>140</v>
      </c>
      <c r="K44" s="36" t="s">
        <v>140</v>
      </c>
      <c r="L44" s="36" t="s">
        <v>140</v>
      </c>
      <c r="M44" s="36" t="s">
        <v>140</v>
      </c>
      <c r="N44" s="36" t="s">
        <v>140</v>
      </c>
      <c r="O44" s="119" t="s">
        <v>140</v>
      </c>
      <c r="P44" s="36" t="s">
        <v>141</v>
      </c>
      <c r="Q44" s="36" t="s">
        <v>140</v>
      </c>
      <c r="R44" s="36" t="s">
        <v>140</v>
      </c>
      <c r="S44" s="36" t="s">
        <v>141</v>
      </c>
      <c r="T44" s="36" t="s">
        <v>140</v>
      </c>
      <c r="U44" s="36" t="s">
        <v>141</v>
      </c>
      <c r="V44" s="36" t="s">
        <v>141</v>
      </c>
      <c r="W44" s="36" t="s">
        <v>140</v>
      </c>
      <c r="X44" s="36" t="s">
        <v>140</v>
      </c>
      <c r="Y44" s="36" t="s">
        <v>140</v>
      </c>
      <c r="Z44" s="36" t="s">
        <v>141</v>
      </c>
      <c r="AA44" s="117" t="s">
        <v>141</v>
      </c>
      <c r="AB44" s="36" t="s">
        <v>140</v>
      </c>
      <c r="AC44" s="117" t="s">
        <v>140</v>
      </c>
      <c r="AD44" s="36" t="s">
        <v>141</v>
      </c>
      <c r="AE44" s="36" t="s">
        <v>140</v>
      </c>
      <c r="AF44" s="117" t="s">
        <v>140</v>
      </c>
      <c r="AG44" s="36" t="s">
        <v>140</v>
      </c>
      <c r="AH44" s="36" t="s">
        <v>140</v>
      </c>
      <c r="AI44" s="117" t="s">
        <v>140</v>
      </c>
      <c r="AJ44" s="36" t="s">
        <v>141</v>
      </c>
      <c r="AK44" s="36" t="s">
        <v>140</v>
      </c>
      <c r="AL44" s="36" t="s">
        <v>140</v>
      </c>
      <c r="AM44" s="117" t="s">
        <v>141</v>
      </c>
      <c r="AN44" s="117" t="s">
        <v>141</v>
      </c>
      <c r="AO44" s="117" t="s">
        <v>140</v>
      </c>
      <c r="AP44" s="117"/>
      <c r="AQ44" s="117"/>
      <c r="AR44" s="117" t="s">
        <v>140</v>
      </c>
      <c r="AS44" s="117"/>
      <c r="AT44" s="117"/>
      <c r="AU44" s="117"/>
      <c r="AV44" s="119">
        <f t="shared" si="0"/>
        <v>12</v>
      </c>
      <c r="AW44" s="119"/>
      <c r="AX44" s="119" t="s">
        <v>2142</v>
      </c>
    </row>
    <row r="45" spans="1:50">
      <c r="A45">
        <v>41</v>
      </c>
      <c r="B45">
        <v>597</v>
      </c>
      <c r="C45">
        <v>45</v>
      </c>
      <c r="D45" s="7">
        <v>45682</v>
      </c>
      <c r="E45" s="7" t="s">
        <v>406</v>
      </c>
      <c r="F45" s="10" t="s">
        <v>404</v>
      </c>
      <c r="G45" s="36" t="s">
        <v>141</v>
      </c>
      <c r="H45" s="36" t="s">
        <v>141</v>
      </c>
      <c r="I45" s="36" t="s">
        <v>140</v>
      </c>
      <c r="J45" s="36" t="s">
        <v>140</v>
      </c>
      <c r="K45" s="36" t="s">
        <v>140</v>
      </c>
      <c r="L45" s="36" t="s">
        <v>140</v>
      </c>
      <c r="M45" s="36" t="s">
        <v>140</v>
      </c>
      <c r="N45" s="36" t="s">
        <v>140</v>
      </c>
      <c r="O45" s="119" t="s">
        <v>140</v>
      </c>
      <c r="P45" s="36" t="s">
        <v>141</v>
      </c>
      <c r="Q45" s="36" t="s">
        <v>140</v>
      </c>
      <c r="R45" s="36" t="s">
        <v>140</v>
      </c>
      <c r="S45" s="36" t="s">
        <v>141</v>
      </c>
      <c r="T45" s="36" t="s">
        <v>140</v>
      </c>
      <c r="U45" s="36" t="s">
        <v>140</v>
      </c>
      <c r="V45" s="36" t="s">
        <v>141</v>
      </c>
      <c r="W45" s="36" t="s">
        <v>140</v>
      </c>
      <c r="X45" s="36" t="s">
        <v>140</v>
      </c>
      <c r="Y45" s="36" t="s">
        <v>140</v>
      </c>
      <c r="Z45" s="36" t="s">
        <v>140</v>
      </c>
      <c r="AA45" s="117" t="s">
        <v>140</v>
      </c>
      <c r="AB45" s="36" t="s">
        <v>141</v>
      </c>
      <c r="AC45" s="117" t="s">
        <v>140</v>
      </c>
      <c r="AD45" s="36" t="s">
        <v>141</v>
      </c>
      <c r="AE45" s="36" t="s">
        <v>140</v>
      </c>
      <c r="AF45" s="117" t="s">
        <v>140</v>
      </c>
      <c r="AG45" s="36" t="s">
        <v>140</v>
      </c>
      <c r="AH45" s="36" t="s">
        <v>140</v>
      </c>
      <c r="AI45" s="117" t="s">
        <v>140</v>
      </c>
      <c r="AJ45" s="36" t="s">
        <v>141</v>
      </c>
      <c r="AK45" s="36" t="s">
        <v>140</v>
      </c>
      <c r="AL45" s="36" t="s">
        <v>140</v>
      </c>
      <c r="AM45" s="117" t="s">
        <v>140</v>
      </c>
      <c r="AN45" s="117" t="s">
        <v>140</v>
      </c>
      <c r="AO45" s="117" t="s">
        <v>140</v>
      </c>
      <c r="AP45" s="117"/>
      <c r="AQ45" s="117"/>
      <c r="AR45" s="117" t="s">
        <v>140</v>
      </c>
      <c r="AS45" s="117"/>
      <c r="AT45" s="117"/>
      <c r="AU45" s="117"/>
      <c r="AV45" s="119">
        <f t="shared" si="0"/>
        <v>8</v>
      </c>
      <c r="AW45" s="119"/>
      <c r="AX45" s="119" t="s">
        <v>2142</v>
      </c>
    </row>
    <row r="46" spans="1:50">
      <c r="A46">
        <v>42</v>
      </c>
      <c r="B46">
        <v>598</v>
      </c>
      <c r="C46">
        <v>46</v>
      </c>
      <c r="D46" s="7">
        <v>45683</v>
      </c>
      <c r="E46" s="7" t="s">
        <v>411</v>
      </c>
      <c r="F46" s="10" t="s">
        <v>409</v>
      </c>
      <c r="G46" s="36" t="s">
        <v>141</v>
      </c>
      <c r="H46" s="36" t="s">
        <v>141</v>
      </c>
      <c r="I46" s="36" t="s">
        <v>140</v>
      </c>
      <c r="J46" s="36" t="s">
        <v>140</v>
      </c>
      <c r="K46" s="36" t="s">
        <v>141</v>
      </c>
      <c r="L46" s="36" t="s">
        <v>140</v>
      </c>
      <c r="M46" s="36" t="s">
        <v>140</v>
      </c>
      <c r="N46" s="36" t="s">
        <v>140</v>
      </c>
      <c r="O46" s="119" t="s">
        <v>140</v>
      </c>
      <c r="P46" s="36" t="s">
        <v>141</v>
      </c>
      <c r="Q46" s="36" t="s">
        <v>140</v>
      </c>
      <c r="R46" s="36" t="s">
        <v>140</v>
      </c>
      <c r="S46" s="36" t="s">
        <v>140</v>
      </c>
      <c r="T46" s="36" t="s">
        <v>141</v>
      </c>
      <c r="U46" s="36" t="s">
        <v>140</v>
      </c>
      <c r="V46" s="36" t="s">
        <v>141</v>
      </c>
      <c r="W46" s="36" t="s">
        <v>140</v>
      </c>
      <c r="X46" s="36" t="s">
        <v>140</v>
      </c>
      <c r="Y46" s="36" t="s">
        <v>140</v>
      </c>
      <c r="Z46" s="36" t="s">
        <v>140</v>
      </c>
      <c r="AA46" s="117" t="s">
        <v>140</v>
      </c>
      <c r="AB46" s="36" t="s">
        <v>141</v>
      </c>
      <c r="AC46" s="117" t="s">
        <v>140</v>
      </c>
      <c r="AD46" s="36" t="s">
        <v>141</v>
      </c>
      <c r="AE46" s="36" t="s">
        <v>140</v>
      </c>
      <c r="AF46" s="117" t="s">
        <v>140</v>
      </c>
      <c r="AG46" s="36" t="s">
        <v>140</v>
      </c>
      <c r="AH46" s="36" t="s">
        <v>140</v>
      </c>
      <c r="AI46" s="117" t="s">
        <v>140</v>
      </c>
      <c r="AJ46" s="36" t="s">
        <v>140</v>
      </c>
      <c r="AK46" s="36" t="s">
        <v>140</v>
      </c>
      <c r="AL46" s="36" t="s">
        <v>140</v>
      </c>
      <c r="AM46" s="117" t="s">
        <v>140</v>
      </c>
      <c r="AN46" s="117" t="s">
        <v>140</v>
      </c>
      <c r="AO46" s="117" t="s">
        <v>140</v>
      </c>
      <c r="AP46" s="117"/>
      <c r="AQ46" s="117"/>
      <c r="AR46" s="117" t="s">
        <v>140</v>
      </c>
      <c r="AS46" s="117"/>
      <c r="AT46" s="117"/>
      <c r="AU46" s="117"/>
      <c r="AV46" s="119">
        <f t="shared" si="0"/>
        <v>8</v>
      </c>
      <c r="AW46" s="119"/>
      <c r="AX46" s="119" t="s">
        <v>2142</v>
      </c>
    </row>
    <row r="47" spans="1:50">
      <c r="A47">
        <v>43</v>
      </c>
      <c r="B47">
        <v>599</v>
      </c>
      <c r="C47">
        <v>47</v>
      </c>
      <c r="D47" s="7">
        <v>45683</v>
      </c>
      <c r="E47" s="7" t="s">
        <v>418</v>
      </c>
      <c r="F47" s="10" t="s">
        <v>414</v>
      </c>
      <c r="G47" s="36" t="s">
        <v>140</v>
      </c>
      <c r="H47" s="36" t="s">
        <v>141</v>
      </c>
      <c r="I47" s="36" t="s">
        <v>140</v>
      </c>
      <c r="J47" s="36" t="s">
        <v>140</v>
      </c>
      <c r="K47" s="36" t="s">
        <v>140</v>
      </c>
      <c r="L47" s="36" t="s">
        <v>140</v>
      </c>
      <c r="M47" s="36" t="s">
        <v>140</v>
      </c>
      <c r="N47" s="36" t="s">
        <v>140</v>
      </c>
      <c r="O47" s="119" t="s">
        <v>140</v>
      </c>
      <c r="P47" s="36" t="s">
        <v>140</v>
      </c>
      <c r="Q47" s="36" t="s">
        <v>141</v>
      </c>
      <c r="R47" s="36" t="s">
        <v>141</v>
      </c>
      <c r="S47" s="36" t="s">
        <v>141</v>
      </c>
      <c r="T47" s="36" t="s">
        <v>140</v>
      </c>
      <c r="U47" s="36" t="s">
        <v>140</v>
      </c>
      <c r="V47" s="36" t="s">
        <v>141</v>
      </c>
      <c r="W47" s="36" t="s">
        <v>140</v>
      </c>
      <c r="X47" s="36" t="s">
        <v>140</v>
      </c>
      <c r="Y47" s="36" t="s">
        <v>140</v>
      </c>
      <c r="Z47" s="36" t="s">
        <v>141</v>
      </c>
      <c r="AA47" s="117" t="s">
        <v>140</v>
      </c>
      <c r="AB47" s="36" t="s">
        <v>140</v>
      </c>
      <c r="AC47" s="117" t="s">
        <v>140</v>
      </c>
      <c r="AD47" s="36" t="s">
        <v>141</v>
      </c>
      <c r="AE47" s="36" t="s">
        <v>141</v>
      </c>
      <c r="AF47" s="117" t="s">
        <v>140</v>
      </c>
      <c r="AG47" s="36" t="s">
        <v>140</v>
      </c>
      <c r="AH47" s="36" t="s">
        <v>140</v>
      </c>
      <c r="AI47" s="117" t="s">
        <v>140</v>
      </c>
      <c r="AJ47" s="36" t="s">
        <v>140</v>
      </c>
      <c r="AK47" s="36" t="s">
        <v>140</v>
      </c>
      <c r="AL47" s="36" t="s">
        <v>140</v>
      </c>
      <c r="AM47" s="117" t="s">
        <v>140</v>
      </c>
      <c r="AN47" s="117" t="s">
        <v>140</v>
      </c>
      <c r="AO47" s="117" t="s">
        <v>140</v>
      </c>
      <c r="AP47" s="117"/>
      <c r="AQ47" s="117"/>
      <c r="AR47" s="117" t="s">
        <v>140</v>
      </c>
      <c r="AS47" s="117"/>
      <c r="AT47" s="117"/>
      <c r="AU47" s="117"/>
      <c r="AV47" s="119">
        <f t="shared" si="0"/>
        <v>8</v>
      </c>
      <c r="AW47" s="119"/>
      <c r="AX47" s="119" t="s">
        <v>2142</v>
      </c>
    </row>
    <row r="48" spans="1:50">
      <c r="A48">
        <v>44</v>
      </c>
      <c r="B48">
        <v>600</v>
      </c>
      <c r="C48">
        <v>48</v>
      </c>
      <c r="D48" s="7">
        <v>45683</v>
      </c>
      <c r="E48" s="7" t="s">
        <v>424</v>
      </c>
      <c r="F48" s="10" t="s">
        <v>421</v>
      </c>
      <c r="G48" s="36" t="s">
        <v>140</v>
      </c>
      <c r="H48" s="36" t="s">
        <v>141</v>
      </c>
      <c r="I48" s="36" t="s">
        <v>140</v>
      </c>
      <c r="J48" s="36" t="s">
        <v>140</v>
      </c>
      <c r="K48" s="36" t="s">
        <v>141</v>
      </c>
      <c r="L48" s="36" t="s">
        <v>140</v>
      </c>
      <c r="M48" s="36" t="s">
        <v>140</v>
      </c>
      <c r="N48" s="36" t="s">
        <v>140</v>
      </c>
      <c r="O48" s="119" t="s">
        <v>140</v>
      </c>
      <c r="P48" s="36" t="s">
        <v>140</v>
      </c>
      <c r="Q48" s="36" t="s">
        <v>140</v>
      </c>
      <c r="R48" s="36" t="s">
        <v>141</v>
      </c>
      <c r="S48" s="36" t="s">
        <v>141</v>
      </c>
      <c r="T48" s="36" t="s">
        <v>140</v>
      </c>
      <c r="U48" s="36" t="s">
        <v>140</v>
      </c>
      <c r="V48" s="36" t="s">
        <v>141</v>
      </c>
      <c r="W48" s="36" t="s">
        <v>140</v>
      </c>
      <c r="X48" s="36" t="s">
        <v>140</v>
      </c>
      <c r="Y48" s="36" t="s">
        <v>140</v>
      </c>
      <c r="Z48" s="36" t="s">
        <v>141</v>
      </c>
      <c r="AA48" s="117" t="s">
        <v>140</v>
      </c>
      <c r="AB48" s="36" t="s">
        <v>140</v>
      </c>
      <c r="AC48" s="117" t="s">
        <v>141</v>
      </c>
      <c r="AD48" s="36" t="s">
        <v>140</v>
      </c>
      <c r="AE48" s="36" t="s">
        <v>141</v>
      </c>
      <c r="AF48" s="117" t="s">
        <v>140</v>
      </c>
      <c r="AG48" s="36" t="s">
        <v>140</v>
      </c>
      <c r="AH48" s="36" t="s">
        <v>140</v>
      </c>
      <c r="AI48" s="117" t="s">
        <v>140</v>
      </c>
      <c r="AJ48" s="36" t="s">
        <v>140</v>
      </c>
      <c r="AK48" s="36" t="s">
        <v>140</v>
      </c>
      <c r="AL48" s="36" t="s">
        <v>141</v>
      </c>
      <c r="AM48" s="117" t="s">
        <v>140</v>
      </c>
      <c r="AN48" s="117" t="s">
        <v>140</v>
      </c>
      <c r="AO48" s="117" t="s">
        <v>140</v>
      </c>
      <c r="AP48" s="117"/>
      <c r="AQ48" s="117"/>
      <c r="AR48" s="117" t="s">
        <v>141</v>
      </c>
      <c r="AS48" s="117"/>
      <c r="AT48" s="117"/>
      <c r="AU48" s="117"/>
      <c r="AV48" s="119">
        <f t="shared" si="0"/>
        <v>10</v>
      </c>
      <c r="AW48" s="119"/>
      <c r="AX48" s="119" t="s">
        <v>2142</v>
      </c>
    </row>
    <row r="49" spans="1:50">
      <c r="A49">
        <v>45</v>
      </c>
      <c r="B49">
        <v>601</v>
      </c>
      <c r="C49">
        <v>49</v>
      </c>
      <c r="D49" s="7">
        <v>45685</v>
      </c>
      <c r="E49" s="7" t="s">
        <v>428</v>
      </c>
      <c r="F49" s="10" t="s">
        <v>427</v>
      </c>
      <c r="G49" s="36" t="s">
        <v>140</v>
      </c>
      <c r="H49" s="36" t="s">
        <v>141</v>
      </c>
      <c r="I49" s="36" t="s">
        <v>140</v>
      </c>
      <c r="J49" s="36" t="s">
        <v>141</v>
      </c>
      <c r="K49" s="36" t="s">
        <v>140</v>
      </c>
      <c r="L49" s="36" t="s">
        <v>140</v>
      </c>
      <c r="M49" s="36" t="s">
        <v>140</v>
      </c>
      <c r="N49" s="36" t="s">
        <v>140</v>
      </c>
      <c r="O49" s="119" t="s">
        <v>141</v>
      </c>
      <c r="P49" s="36" t="s">
        <v>141</v>
      </c>
      <c r="Q49" s="36" t="s">
        <v>140</v>
      </c>
      <c r="R49" s="36" t="s">
        <v>140</v>
      </c>
      <c r="S49" s="36" t="s">
        <v>140</v>
      </c>
      <c r="T49" s="36" t="s">
        <v>140</v>
      </c>
      <c r="U49" s="36" t="s">
        <v>140</v>
      </c>
      <c r="V49" s="36" t="s">
        <v>141</v>
      </c>
      <c r="W49" s="36" t="s">
        <v>140</v>
      </c>
      <c r="X49" s="36" t="s">
        <v>140</v>
      </c>
      <c r="Y49" s="36" t="s">
        <v>140</v>
      </c>
      <c r="Z49" s="36" t="s">
        <v>141</v>
      </c>
      <c r="AA49" s="117" t="s">
        <v>140</v>
      </c>
      <c r="AB49" s="36" t="s">
        <v>140</v>
      </c>
      <c r="AC49" s="117" t="s">
        <v>140</v>
      </c>
      <c r="AD49" s="36" t="s">
        <v>140</v>
      </c>
      <c r="AE49" s="36" t="s">
        <v>141</v>
      </c>
      <c r="AF49" s="117" t="s">
        <v>140</v>
      </c>
      <c r="AG49" s="36" t="s">
        <v>140</v>
      </c>
      <c r="AH49" s="36" t="s">
        <v>140</v>
      </c>
      <c r="AI49" s="117" t="s">
        <v>140</v>
      </c>
      <c r="AJ49" s="36" t="s">
        <v>140</v>
      </c>
      <c r="AK49" s="36" t="s">
        <v>140</v>
      </c>
      <c r="AL49" s="36" t="s">
        <v>140</v>
      </c>
      <c r="AM49" s="117" t="s">
        <v>141</v>
      </c>
      <c r="AN49" s="117" t="s">
        <v>141</v>
      </c>
      <c r="AO49" s="117" t="s">
        <v>141</v>
      </c>
      <c r="AP49" s="117"/>
      <c r="AQ49" s="117"/>
      <c r="AR49" s="117" t="s">
        <v>140</v>
      </c>
      <c r="AS49" s="117"/>
      <c r="AT49" s="117"/>
      <c r="AU49" s="117"/>
      <c r="AV49" s="119">
        <f t="shared" si="0"/>
        <v>10</v>
      </c>
      <c r="AW49" s="119"/>
      <c r="AX49" s="119" t="s">
        <v>2142</v>
      </c>
    </row>
    <row r="50" spans="1:50">
      <c r="A50">
        <v>46</v>
      </c>
      <c r="B50">
        <v>602</v>
      </c>
      <c r="C50">
        <v>50</v>
      </c>
      <c r="D50" s="7">
        <v>45685</v>
      </c>
      <c r="E50" s="7" t="s">
        <v>432</v>
      </c>
      <c r="F50" s="10" t="s">
        <v>430</v>
      </c>
      <c r="G50" s="36" t="s">
        <v>141</v>
      </c>
      <c r="H50" s="36" t="s">
        <v>141</v>
      </c>
      <c r="I50" s="36" t="s">
        <v>141</v>
      </c>
      <c r="J50" s="36" t="s">
        <v>141</v>
      </c>
      <c r="K50" s="36" t="s">
        <v>140</v>
      </c>
      <c r="L50" s="36" t="s">
        <v>141</v>
      </c>
      <c r="M50" s="36" t="s">
        <v>140</v>
      </c>
      <c r="N50" s="36" t="s">
        <v>140</v>
      </c>
      <c r="O50" s="119" t="s">
        <v>140</v>
      </c>
      <c r="P50" s="36" t="s">
        <v>141</v>
      </c>
      <c r="Q50" s="36" t="s">
        <v>140</v>
      </c>
      <c r="R50" s="36" t="s">
        <v>140</v>
      </c>
      <c r="S50" s="36" t="s">
        <v>141</v>
      </c>
      <c r="T50" s="36" t="s">
        <v>140</v>
      </c>
      <c r="U50" s="36" t="s">
        <v>141</v>
      </c>
      <c r="V50" s="36" t="s">
        <v>141</v>
      </c>
      <c r="W50" s="36" t="s">
        <v>141</v>
      </c>
      <c r="X50" s="36" t="s">
        <v>140</v>
      </c>
      <c r="Y50" s="36" t="s">
        <v>140</v>
      </c>
      <c r="Z50" s="36" t="s">
        <v>141</v>
      </c>
      <c r="AA50" s="117" t="s">
        <v>140</v>
      </c>
      <c r="AB50" s="36" t="s">
        <v>141</v>
      </c>
      <c r="AC50" s="117" t="s">
        <v>140</v>
      </c>
      <c r="AD50" s="36" t="s">
        <v>140</v>
      </c>
      <c r="AE50" s="36" t="s">
        <v>141</v>
      </c>
      <c r="AF50" s="117" t="s">
        <v>140</v>
      </c>
      <c r="AG50" s="36" t="s">
        <v>140</v>
      </c>
      <c r="AH50" s="36" t="s">
        <v>140</v>
      </c>
      <c r="AI50" s="117" t="s">
        <v>140</v>
      </c>
      <c r="AJ50" s="36" t="s">
        <v>140</v>
      </c>
      <c r="AK50" s="36" t="s">
        <v>140</v>
      </c>
      <c r="AL50" s="36" t="s">
        <v>140</v>
      </c>
      <c r="AM50" s="117" t="s">
        <v>141</v>
      </c>
      <c r="AN50" s="117" t="s">
        <v>141</v>
      </c>
      <c r="AO50" s="117" t="s">
        <v>140</v>
      </c>
      <c r="AP50" s="117"/>
      <c r="AQ50" s="117"/>
      <c r="AR50" s="117" t="s">
        <v>140</v>
      </c>
      <c r="AS50" s="117"/>
      <c r="AT50" s="117"/>
      <c r="AU50" s="117"/>
      <c r="AV50" s="119">
        <f t="shared" si="0"/>
        <v>15</v>
      </c>
      <c r="AW50" s="119"/>
      <c r="AX50" s="119" t="s">
        <v>2142</v>
      </c>
    </row>
    <row r="51" spans="1:50">
      <c r="A51">
        <v>47</v>
      </c>
      <c r="B51">
        <v>603</v>
      </c>
      <c r="C51">
        <v>51</v>
      </c>
      <c r="D51" s="7">
        <v>45685</v>
      </c>
      <c r="E51" s="7" t="s">
        <v>438</v>
      </c>
      <c r="F51" s="10" t="s">
        <v>435</v>
      </c>
      <c r="G51" s="36" t="s">
        <v>141</v>
      </c>
      <c r="H51" s="36" t="s">
        <v>141</v>
      </c>
      <c r="I51" s="36" t="s">
        <v>141</v>
      </c>
      <c r="J51" s="36" t="s">
        <v>141</v>
      </c>
      <c r="K51" s="36" t="s">
        <v>140</v>
      </c>
      <c r="L51" s="36" t="s">
        <v>141</v>
      </c>
      <c r="M51" s="36" t="s">
        <v>140</v>
      </c>
      <c r="N51" s="36" t="s">
        <v>141</v>
      </c>
      <c r="O51" s="119" t="s">
        <v>140</v>
      </c>
      <c r="P51" s="36" t="s">
        <v>141</v>
      </c>
      <c r="Q51" s="36" t="s">
        <v>141</v>
      </c>
      <c r="R51" s="36" t="s">
        <v>140</v>
      </c>
      <c r="S51" s="36" t="s">
        <v>141</v>
      </c>
      <c r="T51" s="36" t="s">
        <v>140</v>
      </c>
      <c r="U51" s="36" t="s">
        <v>141</v>
      </c>
      <c r="V51" s="36" t="s">
        <v>141</v>
      </c>
      <c r="W51" s="36" t="s">
        <v>141</v>
      </c>
      <c r="X51" s="36" t="s">
        <v>140</v>
      </c>
      <c r="Y51" s="36" t="s">
        <v>140</v>
      </c>
      <c r="Z51" s="36" t="s">
        <v>141</v>
      </c>
      <c r="AA51" s="117" t="s">
        <v>141</v>
      </c>
      <c r="AB51" s="36" t="s">
        <v>141</v>
      </c>
      <c r="AC51" s="117" t="s">
        <v>140</v>
      </c>
      <c r="AD51" s="36" t="s">
        <v>141</v>
      </c>
      <c r="AE51" s="36" t="s">
        <v>141</v>
      </c>
      <c r="AF51" s="117" t="s">
        <v>140</v>
      </c>
      <c r="AG51" s="36" t="s">
        <v>141</v>
      </c>
      <c r="AH51" s="36" t="s">
        <v>141</v>
      </c>
      <c r="AI51" s="117" t="s">
        <v>141</v>
      </c>
      <c r="AJ51" s="36" t="s">
        <v>141</v>
      </c>
      <c r="AK51" s="36" t="s">
        <v>140</v>
      </c>
      <c r="AL51" s="36" t="s">
        <v>141</v>
      </c>
      <c r="AM51" s="117" t="s">
        <v>141</v>
      </c>
      <c r="AN51" s="117" t="s">
        <v>141</v>
      </c>
      <c r="AO51" s="117" t="s">
        <v>141</v>
      </c>
      <c r="AP51" s="117"/>
      <c r="AQ51" s="117"/>
      <c r="AR51" s="117" t="s">
        <v>140</v>
      </c>
      <c r="AS51" s="117"/>
      <c r="AT51" s="117"/>
      <c r="AU51" s="117"/>
      <c r="AV51" s="119">
        <f t="shared" si="0"/>
        <v>25</v>
      </c>
      <c r="AW51" s="119"/>
      <c r="AX51" s="119" t="s">
        <v>2142</v>
      </c>
    </row>
    <row r="52" spans="1:50">
      <c r="A52">
        <v>48</v>
      </c>
      <c r="B52">
        <v>604</v>
      </c>
      <c r="C52">
        <v>52</v>
      </c>
      <c r="D52" s="7">
        <v>45685</v>
      </c>
      <c r="E52" s="7" t="s">
        <v>445</v>
      </c>
      <c r="F52" s="10" t="s">
        <v>442</v>
      </c>
      <c r="G52" s="36" t="s">
        <v>141</v>
      </c>
      <c r="H52" s="36" t="s">
        <v>141</v>
      </c>
      <c r="I52" s="36" t="s">
        <v>141</v>
      </c>
      <c r="J52" s="36" t="s">
        <v>141</v>
      </c>
      <c r="K52" s="36" t="s">
        <v>140</v>
      </c>
      <c r="L52" s="36" t="s">
        <v>141</v>
      </c>
      <c r="M52" s="36" t="s">
        <v>140</v>
      </c>
      <c r="N52" s="36" t="s">
        <v>140</v>
      </c>
      <c r="O52" s="119" t="s">
        <v>140</v>
      </c>
      <c r="P52" s="36" t="s">
        <v>140</v>
      </c>
      <c r="Q52" s="36" t="s">
        <v>141</v>
      </c>
      <c r="R52" s="36" t="s">
        <v>140</v>
      </c>
      <c r="S52" s="36" t="s">
        <v>140</v>
      </c>
      <c r="T52" s="36" t="s">
        <v>140</v>
      </c>
      <c r="U52" s="36" t="s">
        <v>141</v>
      </c>
      <c r="V52" s="36" t="s">
        <v>140</v>
      </c>
      <c r="W52" s="36" t="s">
        <v>140</v>
      </c>
      <c r="X52" s="36" t="s">
        <v>140</v>
      </c>
      <c r="Y52" s="36" t="s">
        <v>140</v>
      </c>
      <c r="Z52" s="36" t="s">
        <v>141</v>
      </c>
      <c r="AA52" s="117" t="s">
        <v>141</v>
      </c>
      <c r="AB52" s="36" t="s">
        <v>140</v>
      </c>
      <c r="AC52" s="117" t="s">
        <v>140</v>
      </c>
      <c r="AD52" s="36" t="s">
        <v>140</v>
      </c>
      <c r="AE52" s="36" t="s">
        <v>141</v>
      </c>
      <c r="AF52" s="117" t="s">
        <v>140</v>
      </c>
      <c r="AG52" s="36" t="s">
        <v>140</v>
      </c>
      <c r="AH52" s="36" t="s">
        <v>140</v>
      </c>
      <c r="AI52" s="117" t="s">
        <v>141</v>
      </c>
      <c r="AJ52" s="36" t="s">
        <v>141</v>
      </c>
      <c r="AK52" s="36" t="s">
        <v>140</v>
      </c>
      <c r="AL52" s="36" t="s">
        <v>141</v>
      </c>
      <c r="AM52" s="117" t="s">
        <v>140</v>
      </c>
      <c r="AN52" s="117" t="s">
        <v>140</v>
      </c>
      <c r="AO52" s="117" t="s">
        <v>141</v>
      </c>
      <c r="AP52" s="117"/>
      <c r="AQ52" s="117"/>
      <c r="AR52" s="117" t="s">
        <v>140</v>
      </c>
      <c r="AS52" s="117"/>
      <c r="AT52" s="117"/>
      <c r="AU52" s="117"/>
      <c r="AV52" s="119">
        <f t="shared" si="0"/>
        <v>14</v>
      </c>
      <c r="AW52" s="119"/>
      <c r="AX52" s="119" t="s">
        <v>2142</v>
      </c>
    </row>
    <row r="53" spans="1:50">
      <c r="A53">
        <v>49</v>
      </c>
      <c r="B53">
        <v>605</v>
      </c>
      <c r="C53">
        <v>53</v>
      </c>
      <c r="D53" s="7">
        <v>45686</v>
      </c>
      <c r="E53" s="7" t="s">
        <v>451</v>
      </c>
      <c r="F53" s="10" t="s">
        <v>448</v>
      </c>
      <c r="G53" s="36" t="s">
        <v>141</v>
      </c>
      <c r="H53" s="36" t="s">
        <v>140</v>
      </c>
      <c r="I53" s="36" t="s">
        <v>141</v>
      </c>
      <c r="J53" s="36" t="s">
        <v>140</v>
      </c>
      <c r="K53" s="36" t="s">
        <v>140</v>
      </c>
      <c r="L53" s="36" t="s">
        <v>140</v>
      </c>
      <c r="M53" s="36" t="s">
        <v>140</v>
      </c>
      <c r="N53" s="36" t="s">
        <v>140</v>
      </c>
      <c r="O53" s="119" t="s">
        <v>140</v>
      </c>
      <c r="P53" s="36" t="s">
        <v>140</v>
      </c>
      <c r="Q53" s="36" t="s">
        <v>140</v>
      </c>
      <c r="R53" s="36" t="s">
        <v>140</v>
      </c>
      <c r="S53" s="36" t="s">
        <v>140</v>
      </c>
      <c r="T53" s="36" t="s">
        <v>140</v>
      </c>
      <c r="U53" s="36" t="s">
        <v>140</v>
      </c>
      <c r="V53" s="36" t="s">
        <v>140</v>
      </c>
      <c r="W53" s="36" t="s">
        <v>141</v>
      </c>
      <c r="X53" s="36" t="s">
        <v>140</v>
      </c>
      <c r="Y53" s="36" t="s">
        <v>140</v>
      </c>
      <c r="Z53" s="36" t="s">
        <v>140</v>
      </c>
      <c r="AA53" s="117" t="s">
        <v>140</v>
      </c>
      <c r="AB53" s="36" t="s">
        <v>140</v>
      </c>
      <c r="AC53" s="117" t="s">
        <v>140</v>
      </c>
      <c r="AD53" s="36" t="s">
        <v>141</v>
      </c>
      <c r="AE53" s="36" t="s">
        <v>141</v>
      </c>
      <c r="AF53" s="117" t="s">
        <v>140</v>
      </c>
      <c r="AG53" s="36" t="s">
        <v>140</v>
      </c>
      <c r="AH53" s="36" t="s">
        <v>140</v>
      </c>
      <c r="AI53" s="117" t="s">
        <v>140</v>
      </c>
      <c r="AJ53" s="36" t="s">
        <v>140</v>
      </c>
      <c r="AK53" s="36" t="s">
        <v>140</v>
      </c>
      <c r="AL53" s="36" t="s">
        <v>140</v>
      </c>
      <c r="AM53" s="117" t="s">
        <v>140</v>
      </c>
      <c r="AN53" s="117" t="s">
        <v>140</v>
      </c>
      <c r="AO53" s="117" t="s">
        <v>140</v>
      </c>
      <c r="AP53" s="117"/>
      <c r="AQ53" s="117"/>
      <c r="AR53" s="117" t="s">
        <v>141</v>
      </c>
      <c r="AS53" s="117"/>
      <c r="AT53" s="117"/>
      <c r="AU53" s="117"/>
      <c r="AV53" s="119">
        <f t="shared" si="0"/>
        <v>6</v>
      </c>
      <c r="AW53" s="119"/>
      <c r="AX53" s="119" t="s">
        <v>2142</v>
      </c>
    </row>
    <row r="54" spans="1:50">
      <c r="A54">
        <v>50</v>
      </c>
      <c r="B54">
        <v>606</v>
      </c>
      <c r="C54">
        <v>54</v>
      </c>
      <c r="D54" s="7">
        <v>45686</v>
      </c>
      <c r="E54" s="7" t="s">
        <v>459</v>
      </c>
      <c r="F54" s="10" t="s">
        <v>455</v>
      </c>
      <c r="G54" s="36" t="s">
        <v>141</v>
      </c>
      <c r="H54" s="36" t="s">
        <v>140</v>
      </c>
      <c r="I54" s="36" t="s">
        <v>140</v>
      </c>
      <c r="J54" s="36" t="s">
        <v>140</v>
      </c>
      <c r="K54" s="36" t="s">
        <v>140</v>
      </c>
      <c r="L54" s="36" t="s">
        <v>141</v>
      </c>
      <c r="M54" s="36" t="s">
        <v>140</v>
      </c>
      <c r="N54" s="36" t="s">
        <v>140</v>
      </c>
      <c r="O54" s="119" t="s">
        <v>140</v>
      </c>
      <c r="P54" s="36" t="s">
        <v>140</v>
      </c>
      <c r="Q54" s="36" t="s">
        <v>140</v>
      </c>
      <c r="R54" s="36" t="s">
        <v>140</v>
      </c>
      <c r="S54" s="36" t="s">
        <v>140</v>
      </c>
      <c r="T54" s="36" t="s">
        <v>140</v>
      </c>
      <c r="U54" s="36" t="s">
        <v>140</v>
      </c>
      <c r="V54" s="36" t="s">
        <v>140</v>
      </c>
      <c r="W54" s="36" t="s">
        <v>141</v>
      </c>
      <c r="X54" s="36" t="s">
        <v>140</v>
      </c>
      <c r="Y54" s="36" t="s">
        <v>140</v>
      </c>
      <c r="Z54" s="36" t="s">
        <v>140</v>
      </c>
      <c r="AA54" s="117" t="s">
        <v>140</v>
      </c>
      <c r="AB54" s="36" t="s">
        <v>140</v>
      </c>
      <c r="AC54" s="117" t="s">
        <v>140</v>
      </c>
      <c r="AD54" s="36" t="s">
        <v>140</v>
      </c>
      <c r="AE54" s="36" t="s">
        <v>141</v>
      </c>
      <c r="AF54" s="117" t="s">
        <v>140</v>
      </c>
      <c r="AG54" s="36" t="s">
        <v>140</v>
      </c>
      <c r="AH54" s="36" t="s">
        <v>140</v>
      </c>
      <c r="AI54" s="117" t="s">
        <v>140</v>
      </c>
      <c r="AJ54" s="36" t="s">
        <v>140</v>
      </c>
      <c r="AK54" s="36" t="s">
        <v>140</v>
      </c>
      <c r="AL54" s="36" t="s">
        <v>140</v>
      </c>
      <c r="AM54" s="117" t="s">
        <v>140</v>
      </c>
      <c r="AN54" s="117" t="s">
        <v>140</v>
      </c>
      <c r="AO54" s="117" t="s">
        <v>140</v>
      </c>
      <c r="AP54" s="117"/>
      <c r="AQ54" s="117"/>
      <c r="AR54" s="117" t="s">
        <v>140</v>
      </c>
      <c r="AS54" s="117"/>
      <c r="AT54" s="117"/>
      <c r="AU54" s="117"/>
      <c r="AV54" s="119">
        <f t="shared" si="0"/>
        <v>4</v>
      </c>
      <c r="AW54" s="119"/>
      <c r="AX54" s="119" t="s">
        <v>2142</v>
      </c>
    </row>
    <row r="55" spans="1:50">
      <c r="A55">
        <v>51</v>
      </c>
      <c r="B55">
        <v>607</v>
      </c>
      <c r="C55">
        <v>55</v>
      </c>
      <c r="D55" s="7">
        <v>45686</v>
      </c>
      <c r="E55" s="7" t="s">
        <v>466</v>
      </c>
      <c r="F55" s="10" t="s">
        <v>462</v>
      </c>
      <c r="G55" s="36" t="s">
        <v>140</v>
      </c>
      <c r="H55" s="36" t="s">
        <v>140</v>
      </c>
      <c r="I55" s="36" t="s">
        <v>140</v>
      </c>
      <c r="J55" s="36" t="s">
        <v>141</v>
      </c>
      <c r="K55" s="36" t="s">
        <v>140</v>
      </c>
      <c r="L55" s="36" t="s">
        <v>141</v>
      </c>
      <c r="M55" s="36" t="s">
        <v>140</v>
      </c>
      <c r="N55" s="36" t="s">
        <v>140</v>
      </c>
      <c r="O55" s="119" t="s">
        <v>141</v>
      </c>
      <c r="P55" s="36" t="s">
        <v>141</v>
      </c>
      <c r="Q55" s="36" t="s">
        <v>140</v>
      </c>
      <c r="R55" s="36" t="s">
        <v>140</v>
      </c>
      <c r="S55" s="36" t="s">
        <v>140</v>
      </c>
      <c r="T55" s="36" t="s">
        <v>140</v>
      </c>
      <c r="U55" s="36" t="s">
        <v>140</v>
      </c>
      <c r="V55" s="36" t="s">
        <v>140</v>
      </c>
      <c r="W55" s="36" t="s">
        <v>141</v>
      </c>
      <c r="X55" s="36" t="s">
        <v>140</v>
      </c>
      <c r="Y55" s="36" t="s">
        <v>140</v>
      </c>
      <c r="Z55" s="36" t="s">
        <v>141</v>
      </c>
      <c r="AA55" s="117" t="s">
        <v>140</v>
      </c>
      <c r="AB55" s="36" t="s">
        <v>140</v>
      </c>
      <c r="AC55" s="117" t="s">
        <v>140</v>
      </c>
      <c r="AD55" s="36" t="s">
        <v>140</v>
      </c>
      <c r="AE55" s="36" t="s">
        <v>141</v>
      </c>
      <c r="AF55" s="117" t="s">
        <v>140</v>
      </c>
      <c r="AG55" s="36" t="s">
        <v>140</v>
      </c>
      <c r="AH55" s="36" t="s">
        <v>140</v>
      </c>
      <c r="AI55" s="117" t="s">
        <v>140</v>
      </c>
      <c r="AJ55" s="36" t="s">
        <v>140</v>
      </c>
      <c r="AK55" s="36" t="s">
        <v>140</v>
      </c>
      <c r="AL55" s="36" t="s">
        <v>140</v>
      </c>
      <c r="AM55" s="117" t="s">
        <v>140</v>
      </c>
      <c r="AN55" s="117" t="s">
        <v>140</v>
      </c>
      <c r="AO55" s="117" t="s">
        <v>140</v>
      </c>
      <c r="AP55" s="117"/>
      <c r="AQ55" s="117"/>
      <c r="AR55" s="117" t="s">
        <v>140</v>
      </c>
      <c r="AS55" s="117"/>
      <c r="AT55" s="117"/>
      <c r="AU55" s="117"/>
      <c r="AV55" s="119">
        <f t="shared" si="0"/>
        <v>7</v>
      </c>
      <c r="AW55" s="119"/>
      <c r="AX55" s="119" t="s">
        <v>2142</v>
      </c>
    </row>
    <row r="56" spans="1:50">
      <c r="A56">
        <v>52</v>
      </c>
      <c r="B56">
        <v>608</v>
      </c>
      <c r="C56">
        <v>56</v>
      </c>
      <c r="D56" s="7">
        <v>45686</v>
      </c>
      <c r="E56" s="7" t="s">
        <v>472</v>
      </c>
      <c r="F56" s="10" t="s">
        <v>469</v>
      </c>
      <c r="G56" s="36" t="s">
        <v>141</v>
      </c>
      <c r="H56" s="36" t="s">
        <v>140</v>
      </c>
      <c r="I56" s="36" t="s">
        <v>141</v>
      </c>
      <c r="J56" s="36" t="s">
        <v>141</v>
      </c>
      <c r="K56" s="36" t="s">
        <v>140</v>
      </c>
      <c r="L56" s="36" t="s">
        <v>141</v>
      </c>
      <c r="M56" s="36" t="s">
        <v>140</v>
      </c>
      <c r="N56" s="36" t="s">
        <v>140</v>
      </c>
      <c r="O56" s="119" t="s">
        <v>140</v>
      </c>
      <c r="P56" s="36" t="s">
        <v>141</v>
      </c>
      <c r="Q56" s="36" t="s">
        <v>141</v>
      </c>
      <c r="R56" s="36" t="s">
        <v>140</v>
      </c>
      <c r="S56" s="36" t="s">
        <v>140</v>
      </c>
      <c r="T56" s="36" t="s">
        <v>140</v>
      </c>
      <c r="U56" s="36" t="s">
        <v>141</v>
      </c>
      <c r="V56" s="36" t="s">
        <v>140</v>
      </c>
      <c r="W56" s="36" t="s">
        <v>141</v>
      </c>
      <c r="X56" s="36" t="s">
        <v>140</v>
      </c>
      <c r="Y56" s="36" t="s">
        <v>140</v>
      </c>
      <c r="Z56" s="36" t="s">
        <v>141</v>
      </c>
      <c r="AA56" s="117" t="s">
        <v>140</v>
      </c>
      <c r="AB56" s="36" t="s">
        <v>141</v>
      </c>
      <c r="AC56" s="117" t="s">
        <v>140</v>
      </c>
      <c r="AD56" s="36" t="s">
        <v>141</v>
      </c>
      <c r="AE56" s="36" t="s">
        <v>141</v>
      </c>
      <c r="AF56" s="117" t="s">
        <v>140</v>
      </c>
      <c r="AG56" s="36" t="s">
        <v>140</v>
      </c>
      <c r="AH56" s="36" t="s">
        <v>140</v>
      </c>
      <c r="AI56" s="117" t="s">
        <v>140</v>
      </c>
      <c r="AJ56" s="36" t="s">
        <v>140</v>
      </c>
      <c r="AK56" s="36" t="s">
        <v>140</v>
      </c>
      <c r="AL56" s="36" t="s">
        <v>140</v>
      </c>
      <c r="AM56" s="117" t="s">
        <v>140</v>
      </c>
      <c r="AN56" s="117" t="s">
        <v>140</v>
      </c>
      <c r="AO56" s="117" t="s">
        <v>140</v>
      </c>
      <c r="AP56" s="117"/>
      <c r="AQ56" s="117"/>
      <c r="AR56" s="117" t="s">
        <v>140</v>
      </c>
      <c r="AS56" s="117"/>
      <c r="AT56" s="117"/>
      <c r="AU56" s="117"/>
      <c r="AV56" s="119">
        <f t="shared" si="0"/>
        <v>12</v>
      </c>
      <c r="AW56" s="119"/>
      <c r="AX56" s="119" t="s">
        <v>2142</v>
      </c>
    </row>
    <row r="57" spans="1:50">
      <c r="A57">
        <v>53</v>
      </c>
      <c r="B57">
        <v>609</v>
      </c>
      <c r="C57">
        <v>57</v>
      </c>
      <c r="D57" s="7">
        <v>45687</v>
      </c>
      <c r="E57" s="7" t="s">
        <v>476</v>
      </c>
      <c r="F57" s="10" t="s">
        <v>474</v>
      </c>
      <c r="G57" s="36" t="s">
        <v>141</v>
      </c>
      <c r="H57" s="36" t="s">
        <v>141</v>
      </c>
      <c r="I57" s="36" t="s">
        <v>141</v>
      </c>
      <c r="J57" s="36" t="s">
        <v>141</v>
      </c>
      <c r="K57" s="36" t="s">
        <v>140</v>
      </c>
      <c r="L57" s="36" t="s">
        <v>141</v>
      </c>
      <c r="M57" s="36" t="s">
        <v>140</v>
      </c>
      <c r="N57" s="36" t="s">
        <v>140</v>
      </c>
      <c r="O57" s="119" t="s">
        <v>140</v>
      </c>
      <c r="P57" s="36" t="s">
        <v>140</v>
      </c>
      <c r="Q57" s="36" t="s">
        <v>140</v>
      </c>
      <c r="R57" s="36" t="s">
        <v>141</v>
      </c>
      <c r="S57" s="36" t="s">
        <v>141</v>
      </c>
      <c r="T57" s="36" t="s">
        <v>140</v>
      </c>
      <c r="U57" s="36" t="s">
        <v>141</v>
      </c>
      <c r="V57" s="36" t="s">
        <v>140</v>
      </c>
      <c r="W57" s="36" t="s">
        <v>141</v>
      </c>
      <c r="X57" s="36" t="s">
        <v>140</v>
      </c>
      <c r="Y57" s="36" t="s">
        <v>140</v>
      </c>
      <c r="Z57" s="36" t="s">
        <v>140</v>
      </c>
      <c r="AA57" s="117" t="s">
        <v>141</v>
      </c>
      <c r="AB57" s="36" t="s">
        <v>140</v>
      </c>
      <c r="AC57" s="117" t="s">
        <v>140</v>
      </c>
      <c r="AD57" s="36" t="s">
        <v>140</v>
      </c>
      <c r="AE57" s="36" t="s">
        <v>140</v>
      </c>
      <c r="AF57" s="117" t="s">
        <v>140</v>
      </c>
      <c r="AG57" s="36" t="s">
        <v>140</v>
      </c>
      <c r="AH57" s="36" t="s">
        <v>140</v>
      </c>
      <c r="AI57" s="117" t="s">
        <v>140</v>
      </c>
      <c r="AJ57" s="36" t="s">
        <v>140</v>
      </c>
      <c r="AK57" s="36" t="s">
        <v>140</v>
      </c>
      <c r="AL57" s="36" t="s">
        <v>140</v>
      </c>
      <c r="AM57" s="117" t="s">
        <v>141</v>
      </c>
      <c r="AN57" s="117" t="s">
        <v>141</v>
      </c>
      <c r="AO57" s="117" t="s">
        <v>141</v>
      </c>
      <c r="AP57" s="117"/>
      <c r="AQ57" s="117"/>
      <c r="AR57" s="117" t="s">
        <v>140</v>
      </c>
      <c r="AS57" s="117"/>
      <c r="AT57" s="117"/>
      <c r="AU57" s="117"/>
      <c r="AV57" s="119">
        <f t="shared" si="0"/>
        <v>13</v>
      </c>
      <c r="AW57" s="119"/>
      <c r="AX57" s="119" t="s">
        <v>2142</v>
      </c>
    </row>
    <row r="58" spans="1:50">
      <c r="A58">
        <v>54</v>
      </c>
      <c r="B58">
        <v>610</v>
      </c>
      <c r="C58">
        <v>58</v>
      </c>
      <c r="D58" s="7">
        <v>45687</v>
      </c>
      <c r="E58" s="7" t="s">
        <v>480</v>
      </c>
      <c r="F58" s="10" t="s">
        <v>478</v>
      </c>
      <c r="G58" s="36" t="s">
        <v>141</v>
      </c>
      <c r="H58" s="36" t="s">
        <v>141</v>
      </c>
      <c r="I58" s="36" t="s">
        <v>141</v>
      </c>
      <c r="J58" s="36" t="s">
        <v>141</v>
      </c>
      <c r="K58" s="36" t="s">
        <v>141</v>
      </c>
      <c r="L58" s="36" t="s">
        <v>141</v>
      </c>
      <c r="M58" s="36" t="s">
        <v>140</v>
      </c>
      <c r="N58" s="36" t="s">
        <v>140</v>
      </c>
      <c r="O58" s="119" t="s">
        <v>140</v>
      </c>
      <c r="P58" s="36" t="s">
        <v>140</v>
      </c>
      <c r="Q58" s="36" t="s">
        <v>141</v>
      </c>
      <c r="R58" s="36" t="s">
        <v>141</v>
      </c>
      <c r="S58" s="36" t="s">
        <v>141</v>
      </c>
      <c r="T58" s="36" t="s">
        <v>140</v>
      </c>
      <c r="U58" s="36" t="s">
        <v>141</v>
      </c>
      <c r="V58" s="36" t="s">
        <v>140</v>
      </c>
      <c r="W58" s="36" t="s">
        <v>141</v>
      </c>
      <c r="X58" s="36" t="s">
        <v>140</v>
      </c>
      <c r="Y58" s="36" t="s">
        <v>140</v>
      </c>
      <c r="Z58" s="36" t="s">
        <v>140</v>
      </c>
      <c r="AA58" s="117" t="s">
        <v>141</v>
      </c>
      <c r="AB58" s="36" t="s">
        <v>140</v>
      </c>
      <c r="AC58" s="117" t="s">
        <v>140</v>
      </c>
      <c r="AD58" s="36" t="s">
        <v>141</v>
      </c>
      <c r="AE58" s="36" t="s">
        <v>140</v>
      </c>
      <c r="AF58" s="117" t="s">
        <v>140</v>
      </c>
      <c r="AG58" s="36" t="s">
        <v>140</v>
      </c>
      <c r="AH58" s="36" t="s">
        <v>140</v>
      </c>
      <c r="AI58" s="117" t="s">
        <v>140</v>
      </c>
      <c r="AJ58" s="36" t="s">
        <v>140</v>
      </c>
      <c r="AK58" s="36" t="s">
        <v>140</v>
      </c>
      <c r="AL58" s="36" t="s">
        <v>140</v>
      </c>
      <c r="AM58" s="117" t="s">
        <v>140</v>
      </c>
      <c r="AN58" s="117" t="s">
        <v>140</v>
      </c>
      <c r="AO58" s="117" t="s">
        <v>141</v>
      </c>
      <c r="AP58" s="117"/>
      <c r="AQ58" s="117"/>
      <c r="AR58" s="117" t="s">
        <v>140</v>
      </c>
      <c r="AS58" s="117"/>
      <c r="AT58" s="117"/>
      <c r="AU58" s="117"/>
      <c r="AV58" s="119">
        <f t="shared" si="0"/>
        <v>14</v>
      </c>
      <c r="AW58" s="119"/>
      <c r="AX58" s="119" t="s">
        <v>2142</v>
      </c>
    </row>
    <row r="59" spans="1:50">
      <c r="A59">
        <v>55</v>
      </c>
      <c r="B59">
        <v>611</v>
      </c>
      <c r="C59">
        <v>59</v>
      </c>
      <c r="D59" s="7">
        <v>45688</v>
      </c>
      <c r="E59" s="7" t="s">
        <v>484</v>
      </c>
      <c r="F59" s="10" t="s">
        <v>482</v>
      </c>
      <c r="G59" s="36" t="s">
        <v>141</v>
      </c>
      <c r="H59" s="36" t="s">
        <v>141</v>
      </c>
      <c r="I59" s="36" t="s">
        <v>141</v>
      </c>
      <c r="J59" s="36" t="s">
        <v>141</v>
      </c>
      <c r="K59" s="36" t="s">
        <v>140</v>
      </c>
      <c r="L59" s="36" t="s">
        <v>141</v>
      </c>
      <c r="M59" s="36" t="s">
        <v>140</v>
      </c>
      <c r="N59" s="36" t="s">
        <v>140</v>
      </c>
      <c r="O59" s="119" t="s">
        <v>140</v>
      </c>
      <c r="P59" s="36" t="s">
        <v>140</v>
      </c>
      <c r="Q59" s="36" t="s">
        <v>141</v>
      </c>
      <c r="R59" s="36" t="s">
        <v>140</v>
      </c>
      <c r="S59" s="36" t="s">
        <v>140</v>
      </c>
      <c r="T59" s="36" t="s">
        <v>140</v>
      </c>
      <c r="U59" s="36" t="s">
        <v>141</v>
      </c>
      <c r="V59" s="36" t="s">
        <v>140</v>
      </c>
      <c r="W59" s="36" t="s">
        <v>141</v>
      </c>
      <c r="X59" s="36" t="s">
        <v>140</v>
      </c>
      <c r="Y59" s="36" t="s">
        <v>140</v>
      </c>
      <c r="Z59" s="36" t="s">
        <v>140</v>
      </c>
      <c r="AA59" s="117" t="s">
        <v>140</v>
      </c>
      <c r="AB59" s="36" t="s">
        <v>141</v>
      </c>
      <c r="AC59" s="117" t="s">
        <v>140</v>
      </c>
      <c r="AD59" s="36" t="s">
        <v>141</v>
      </c>
      <c r="AE59" s="36" t="s">
        <v>140</v>
      </c>
      <c r="AF59" s="117" t="s">
        <v>140</v>
      </c>
      <c r="AG59" s="36" t="s">
        <v>140</v>
      </c>
      <c r="AH59" s="36" t="s">
        <v>140</v>
      </c>
      <c r="AI59" s="117" t="s">
        <v>140</v>
      </c>
      <c r="AJ59" s="36" t="s">
        <v>140</v>
      </c>
      <c r="AK59" s="36" t="s">
        <v>140</v>
      </c>
      <c r="AL59" s="36" t="s">
        <v>140</v>
      </c>
      <c r="AM59" s="117" t="s">
        <v>140</v>
      </c>
      <c r="AN59" s="117" t="s">
        <v>140</v>
      </c>
      <c r="AO59" s="117" t="s">
        <v>141</v>
      </c>
      <c r="AP59" s="117"/>
      <c r="AQ59" s="117"/>
      <c r="AR59" s="117" t="s">
        <v>140</v>
      </c>
      <c r="AS59" s="117"/>
      <c r="AT59" s="117"/>
      <c r="AU59" s="117"/>
      <c r="AV59" s="119">
        <f t="shared" si="0"/>
        <v>11</v>
      </c>
      <c r="AW59" s="119"/>
      <c r="AX59" s="119" t="s">
        <v>2142</v>
      </c>
    </row>
    <row r="60" spans="1:50">
      <c r="A60">
        <v>56</v>
      </c>
      <c r="B60">
        <v>612</v>
      </c>
      <c r="C60">
        <v>60</v>
      </c>
      <c r="D60" s="7">
        <v>45688</v>
      </c>
      <c r="E60" s="7" t="s">
        <v>488</v>
      </c>
      <c r="F60" s="10" t="s">
        <v>487</v>
      </c>
      <c r="G60" s="36" t="s">
        <v>141</v>
      </c>
      <c r="H60" s="36" t="s">
        <v>141</v>
      </c>
      <c r="I60" s="36" t="s">
        <v>140</v>
      </c>
      <c r="J60" s="36" t="s">
        <v>141</v>
      </c>
      <c r="K60" s="36" t="s">
        <v>140</v>
      </c>
      <c r="L60" s="36" t="s">
        <v>141</v>
      </c>
      <c r="M60" s="36" t="s">
        <v>140</v>
      </c>
      <c r="N60" s="36" t="s">
        <v>140</v>
      </c>
      <c r="O60" s="119" t="s">
        <v>140</v>
      </c>
      <c r="P60" s="36" t="s">
        <v>140</v>
      </c>
      <c r="Q60" s="36" t="s">
        <v>140</v>
      </c>
      <c r="R60" s="36" t="s">
        <v>140</v>
      </c>
      <c r="S60" s="36" t="s">
        <v>140</v>
      </c>
      <c r="T60" s="36" t="s">
        <v>140</v>
      </c>
      <c r="U60" s="36" t="s">
        <v>140</v>
      </c>
      <c r="V60" s="36" t="s">
        <v>140</v>
      </c>
      <c r="W60" s="36" t="s">
        <v>141</v>
      </c>
      <c r="X60" s="36" t="s">
        <v>140</v>
      </c>
      <c r="Y60" s="36" t="s">
        <v>140</v>
      </c>
      <c r="Z60" s="36" t="s">
        <v>140</v>
      </c>
      <c r="AA60" s="117" t="s">
        <v>140</v>
      </c>
      <c r="AB60" s="36" t="s">
        <v>140</v>
      </c>
      <c r="AC60" s="117" t="s">
        <v>140</v>
      </c>
      <c r="AD60" s="36" t="s">
        <v>141</v>
      </c>
      <c r="AE60" s="36" t="s">
        <v>140</v>
      </c>
      <c r="AF60" s="117" t="s">
        <v>140</v>
      </c>
      <c r="AG60" s="36" t="s">
        <v>140</v>
      </c>
      <c r="AH60" s="36" t="s">
        <v>140</v>
      </c>
      <c r="AI60" s="117" t="s">
        <v>140</v>
      </c>
      <c r="AJ60" s="36" t="s">
        <v>140</v>
      </c>
      <c r="AK60" s="36" t="s">
        <v>140</v>
      </c>
      <c r="AL60" s="36" t="s">
        <v>140</v>
      </c>
      <c r="AM60" s="117" t="s">
        <v>140</v>
      </c>
      <c r="AN60" s="117" t="s">
        <v>140</v>
      </c>
      <c r="AO60" s="117" t="s">
        <v>141</v>
      </c>
      <c r="AP60" s="117"/>
      <c r="AQ60" s="117"/>
      <c r="AR60" s="117" t="s">
        <v>140</v>
      </c>
      <c r="AS60" s="117"/>
      <c r="AT60" s="117"/>
      <c r="AU60" s="117"/>
      <c r="AV60" s="119">
        <f t="shared" si="0"/>
        <v>7</v>
      </c>
      <c r="AW60" s="119"/>
      <c r="AX60" s="119" t="s">
        <v>2142</v>
      </c>
    </row>
    <row r="61" spans="1:50">
      <c r="A61">
        <v>57</v>
      </c>
      <c r="B61">
        <v>613</v>
      </c>
      <c r="C61">
        <v>61</v>
      </c>
      <c r="D61" s="7">
        <v>45686</v>
      </c>
      <c r="E61" s="7" t="s">
        <v>495</v>
      </c>
      <c r="F61" s="10" t="s">
        <v>489</v>
      </c>
      <c r="G61" s="36" t="s">
        <v>141</v>
      </c>
      <c r="H61" s="36" t="s">
        <v>141</v>
      </c>
      <c r="I61" s="36" t="s">
        <v>140</v>
      </c>
      <c r="J61" s="36" t="s">
        <v>141</v>
      </c>
      <c r="K61" s="36" t="s">
        <v>140</v>
      </c>
      <c r="L61" s="36" t="s">
        <v>140</v>
      </c>
      <c r="M61" s="36" t="s">
        <v>140</v>
      </c>
      <c r="N61" s="36" t="s">
        <v>140</v>
      </c>
      <c r="O61" s="119" t="s">
        <v>140</v>
      </c>
      <c r="P61" s="36" t="s">
        <v>141</v>
      </c>
      <c r="Q61" s="36" t="s">
        <v>140</v>
      </c>
      <c r="R61" s="36" t="s">
        <v>140</v>
      </c>
      <c r="S61" s="36" t="s">
        <v>140</v>
      </c>
      <c r="T61" s="36" t="s">
        <v>140</v>
      </c>
      <c r="U61" s="36" t="s">
        <v>140</v>
      </c>
      <c r="V61" s="36" t="s">
        <v>140</v>
      </c>
      <c r="W61" s="36" t="s">
        <v>141</v>
      </c>
      <c r="X61" s="36" t="s">
        <v>140</v>
      </c>
      <c r="Y61" s="36" t="s">
        <v>140</v>
      </c>
      <c r="Z61" s="36" t="s">
        <v>140</v>
      </c>
      <c r="AA61" s="117" t="s">
        <v>140</v>
      </c>
      <c r="AB61" s="36" t="s">
        <v>140</v>
      </c>
      <c r="AC61" s="117" t="s">
        <v>141</v>
      </c>
      <c r="AD61" s="36" t="s">
        <v>140</v>
      </c>
      <c r="AE61" s="36" t="s">
        <v>140</v>
      </c>
      <c r="AF61" s="117" t="s">
        <v>140</v>
      </c>
      <c r="AG61" s="36" t="s">
        <v>140</v>
      </c>
      <c r="AH61" s="36" t="s">
        <v>140</v>
      </c>
      <c r="AI61" s="117" t="s">
        <v>140</v>
      </c>
      <c r="AJ61" s="36" t="s">
        <v>140</v>
      </c>
      <c r="AK61" s="36" t="s">
        <v>140</v>
      </c>
      <c r="AL61" s="36" t="s">
        <v>140</v>
      </c>
      <c r="AM61" s="117" t="s">
        <v>141</v>
      </c>
      <c r="AN61" s="117" t="s">
        <v>141</v>
      </c>
      <c r="AO61" s="117" t="s">
        <v>141</v>
      </c>
      <c r="AP61" s="117"/>
      <c r="AQ61" s="117"/>
      <c r="AR61" s="117" t="s">
        <v>140</v>
      </c>
      <c r="AS61" s="117"/>
      <c r="AT61" s="117"/>
      <c r="AU61" s="117"/>
      <c r="AV61" s="119">
        <f t="shared" si="0"/>
        <v>9</v>
      </c>
      <c r="AW61" s="119"/>
      <c r="AX61" s="119" t="s">
        <v>2142</v>
      </c>
    </row>
    <row r="62" spans="1:50">
      <c r="A62">
        <v>58</v>
      </c>
      <c r="B62">
        <v>614</v>
      </c>
      <c r="C62">
        <v>62</v>
      </c>
      <c r="D62" s="7">
        <v>45686</v>
      </c>
      <c r="E62" s="7" t="s">
        <v>500</v>
      </c>
      <c r="F62" s="10" t="s">
        <v>498</v>
      </c>
      <c r="G62" s="36" t="s">
        <v>141</v>
      </c>
      <c r="H62" s="36" t="s">
        <v>141</v>
      </c>
      <c r="I62" s="36" t="s">
        <v>141</v>
      </c>
      <c r="J62" s="36" t="s">
        <v>140</v>
      </c>
      <c r="K62" s="36" t="s">
        <v>140</v>
      </c>
      <c r="L62" s="36" t="s">
        <v>140</v>
      </c>
      <c r="M62" s="36" t="s">
        <v>140</v>
      </c>
      <c r="N62" s="36" t="s">
        <v>140</v>
      </c>
      <c r="O62" s="119" t="s">
        <v>140</v>
      </c>
      <c r="P62" s="36" t="s">
        <v>140</v>
      </c>
      <c r="Q62" s="36" t="s">
        <v>140</v>
      </c>
      <c r="R62" s="36" t="s">
        <v>140</v>
      </c>
      <c r="S62" s="36" t="s">
        <v>140</v>
      </c>
      <c r="T62" s="36" t="s">
        <v>140</v>
      </c>
      <c r="U62" s="36" t="s">
        <v>140</v>
      </c>
      <c r="V62" s="36" t="s">
        <v>140</v>
      </c>
      <c r="W62" s="36" t="s">
        <v>140</v>
      </c>
      <c r="X62" s="36" t="s">
        <v>140</v>
      </c>
      <c r="Y62" s="36" t="s">
        <v>140</v>
      </c>
      <c r="Z62" s="36" t="s">
        <v>140</v>
      </c>
      <c r="AA62" s="117" t="s">
        <v>140</v>
      </c>
      <c r="AB62" s="36" t="s">
        <v>141</v>
      </c>
      <c r="AC62" s="117" t="s">
        <v>140</v>
      </c>
      <c r="AD62" s="36" t="s">
        <v>140</v>
      </c>
      <c r="AE62" s="36" t="s">
        <v>140</v>
      </c>
      <c r="AF62" s="117" t="s">
        <v>140</v>
      </c>
      <c r="AG62" s="36" t="s">
        <v>141</v>
      </c>
      <c r="AH62" s="36" t="s">
        <v>140</v>
      </c>
      <c r="AI62" s="117" t="s">
        <v>140</v>
      </c>
      <c r="AJ62" s="36" t="s">
        <v>141</v>
      </c>
      <c r="AK62" s="36" t="s">
        <v>140</v>
      </c>
      <c r="AL62" s="36" t="s">
        <v>141</v>
      </c>
      <c r="AM62" s="117" t="s">
        <v>141</v>
      </c>
      <c r="AN62" s="117" t="s">
        <v>141</v>
      </c>
      <c r="AO62" s="117" t="s">
        <v>140</v>
      </c>
      <c r="AP62" s="117"/>
      <c r="AQ62" s="117"/>
      <c r="AR62" s="117" t="s">
        <v>140</v>
      </c>
      <c r="AS62" s="117"/>
      <c r="AT62" s="117"/>
      <c r="AU62" s="117"/>
      <c r="AV62" s="119">
        <f t="shared" si="0"/>
        <v>9</v>
      </c>
      <c r="AW62" s="119"/>
      <c r="AX62" s="119" t="s">
        <v>2142</v>
      </c>
    </row>
    <row r="63" spans="1:50">
      <c r="A63">
        <v>59</v>
      </c>
      <c r="B63">
        <v>615</v>
      </c>
      <c r="C63">
        <v>63</v>
      </c>
      <c r="D63" s="7">
        <v>45686</v>
      </c>
      <c r="E63" s="7" t="s">
        <v>506</v>
      </c>
      <c r="F63" s="10" t="s">
        <v>503</v>
      </c>
      <c r="G63" s="36" t="s">
        <v>140</v>
      </c>
      <c r="H63" s="36" t="s">
        <v>141</v>
      </c>
      <c r="I63" s="36" t="s">
        <v>141</v>
      </c>
      <c r="J63" s="36" t="s">
        <v>141</v>
      </c>
      <c r="K63" s="36" t="s">
        <v>140</v>
      </c>
      <c r="L63" s="36" t="s">
        <v>140</v>
      </c>
      <c r="M63" s="36" t="s">
        <v>140</v>
      </c>
      <c r="N63" s="36" t="s">
        <v>140</v>
      </c>
      <c r="O63" s="119" t="s">
        <v>140</v>
      </c>
      <c r="P63" s="36" t="s">
        <v>141</v>
      </c>
      <c r="Q63" s="36" t="s">
        <v>140</v>
      </c>
      <c r="R63" s="36" t="s">
        <v>140</v>
      </c>
      <c r="S63" s="36" t="s">
        <v>140</v>
      </c>
      <c r="T63" s="36" t="s">
        <v>140</v>
      </c>
      <c r="U63" s="36" t="s">
        <v>141</v>
      </c>
      <c r="V63" s="36" t="s">
        <v>140</v>
      </c>
      <c r="W63" s="36" t="s">
        <v>140</v>
      </c>
      <c r="X63" s="36" t="s">
        <v>140</v>
      </c>
      <c r="Y63" s="36" t="s">
        <v>140</v>
      </c>
      <c r="Z63" s="36" t="s">
        <v>140</v>
      </c>
      <c r="AA63" s="117" t="s">
        <v>141</v>
      </c>
      <c r="AB63" s="36" t="s">
        <v>141</v>
      </c>
      <c r="AC63" s="117" t="s">
        <v>140</v>
      </c>
      <c r="AD63" s="36" t="s">
        <v>141</v>
      </c>
      <c r="AE63" s="36" t="s">
        <v>140</v>
      </c>
      <c r="AF63" s="117" t="s">
        <v>140</v>
      </c>
      <c r="AG63" s="36" t="s">
        <v>140</v>
      </c>
      <c r="AH63" s="36" t="s">
        <v>140</v>
      </c>
      <c r="AI63" s="117" t="s">
        <v>140</v>
      </c>
      <c r="AJ63" s="36" t="s">
        <v>141</v>
      </c>
      <c r="AK63" s="36" t="s">
        <v>140</v>
      </c>
      <c r="AL63" s="36" t="s">
        <v>141</v>
      </c>
      <c r="AM63" s="117" t="s">
        <v>140</v>
      </c>
      <c r="AN63" s="117" t="s">
        <v>140</v>
      </c>
      <c r="AO63" s="117" t="s">
        <v>140</v>
      </c>
      <c r="AP63" s="117"/>
      <c r="AQ63" s="117"/>
      <c r="AR63" s="117" t="s">
        <v>140</v>
      </c>
      <c r="AS63" s="117"/>
      <c r="AT63" s="117"/>
      <c r="AU63" s="117"/>
      <c r="AV63" s="119">
        <f t="shared" si="0"/>
        <v>10</v>
      </c>
      <c r="AW63" s="119"/>
      <c r="AX63" s="119" t="s">
        <v>2142</v>
      </c>
    </row>
    <row r="64" spans="1:50">
      <c r="A64">
        <v>60</v>
      </c>
      <c r="B64">
        <v>616</v>
      </c>
      <c r="C64">
        <v>64</v>
      </c>
      <c r="D64" s="7">
        <v>45691</v>
      </c>
      <c r="E64" s="7" t="s">
        <v>510</v>
      </c>
      <c r="F64" s="10" t="s">
        <v>508</v>
      </c>
      <c r="G64" s="36" t="s">
        <v>140</v>
      </c>
      <c r="H64" s="36" t="s">
        <v>140</v>
      </c>
      <c r="I64" s="36" t="s">
        <v>140</v>
      </c>
      <c r="J64" s="36" t="s">
        <v>140</v>
      </c>
      <c r="K64" s="36" t="s">
        <v>140</v>
      </c>
      <c r="L64" s="36" t="s">
        <v>140</v>
      </c>
      <c r="M64" s="36" t="s">
        <v>140</v>
      </c>
      <c r="N64" s="36" t="s">
        <v>140</v>
      </c>
      <c r="O64" s="119" t="s">
        <v>140</v>
      </c>
      <c r="P64" s="36" t="s">
        <v>141</v>
      </c>
      <c r="Q64" s="36" t="s">
        <v>140</v>
      </c>
      <c r="R64" s="36" t="s">
        <v>140</v>
      </c>
      <c r="S64" s="36" t="s">
        <v>141</v>
      </c>
      <c r="T64" s="36" t="s">
        <v>140</v>
      </c>
      <c r="U64" s="36" t="s">
        <v>140</v>
      </c>
      <c r="V64" s="36" t="s">
        <v>140</v>
      </c>
      <c r="W64" s="36" t="s">
        <v>141</v>
      </c>
      <c r="X64" s="36" t="s">
        <v>140</v>
      </c>
      <c r="Y64" s="36" t="s">
        <v>140</v>
      </c>
      <c r="Z64" s="36" t="s">
        <v>141</v>
      </c>
      <c r="AA64" s="117" t="s">
        <v>141</v>
      </c>
      <c r="AB64" s="36" t="s">
        <v>140</v>
      </c>
      <c r="AC64" s="117" t="s">
        <v>140</v>
      </c>
      <c r="AD64" s="36" t="s">
        <v>141</v>
      </c>
      <c r="AE64" s="36" t="s">
        <v>140</v>
      </c>
      <c r="AF64" s="117" t="s">
        <v>141</v>
      </c>
      <c r="AG64" s="36" t="s">
        <v>140</v>
      </c>
      <c r="AH64" s="36" t="s">
        <v>140</v>
      </c>
      <c r="AI64" s="117" t="s">
        <v>141</v>
      </c>
      <c r="AJ64" s="36" t="s">
        <v>140</v>
      </c>
      <c r="AK64" s="36" t="s">
        <v>140</v>
      </c>
      <c r="AL64" s="36" t="s">
        <v>140</v>
      </c>
      <c r="AM64" s="117" t="s">
        <v>141</v>
      </c>
      <c r="AN64" s="117" t="s">
        <v>141</v>
      </c>
      <c r="AO64" s="117" t="s">
        <v>140</v>
      </c>
      <c r="AP64" s="117"/>
      <c r="AQ64" s="117"/>
      <c r="AR64" s="117" t="s">
        <v>140</v>
      </c>
      <c r="AS64" s="117"/>
      <c r="AT64" s="117"/>
      <c r="AU64" s="117"/>
      <c r="AV64" s="119">
        <f t="shared" si="0"/>
        <v>10</v>
      </c>
      <c r="AW64" s="119"/>
      <c r="AX64" s="119" t="s">
        <v>2142</v>
      </c>
    </row>
    <row r="65" spans="1:50">
      <c r="A65" t="s">
        <v>57</v>
      </c>
      <c r="B65" t="s">
        <v>57</v>
      </c>
      <c r="C65">
        <v>65</v>
      </c>
      <c r="D65" s="7">
        <v>45691</v>
      </c>
      <c r="E65" s="7" t="s">
        <v>2129</v>
      </c>
      <c r="F65" s="10" t="s">
        <v>2130</v>
      </c>
      <c r="G65" s="36" t="s">
        <v>141</v>
      </c>
      <c r="H65" s="36" t="s">
        <v>141</v>
      </c>
      <c r="I65" s="36" t="s">
        <v>141</v>
      </c>
      <c r="J65" s="36" t="s">
        <v>141</v>
      </c>
      <c r="K65" s="36" t="s">
        <v>141</v>
      </c>
      <c r="L65" s="36" t="s">
        <v>141</v>
      </c>
      <c r="M65" s="36" t="s">
        <v>2131</v>
      </c>
      <c r="N65" s="36" t="s">
        <v>141</v>
      </c>
      <c r="O65" s="119" t="s">
        <v>140</v>
      </c>
      <c r="P65" s="36" t="s">
        <v>141</v>
      </c>
      <c r="Q65" s="36" t="s">
        <v>141</v>
      </c>
      <c r="R65" s="36" t="s">
        <v>2131</v>
      </c>
      <c r="S65" s="36" t="s">
        <v>141</v>
      </c>
      <c r="T65" s="36" t="s">
        <v>2131</v>
      </c>
      <c r="U65" s="36" t="s">
        <v>2131</v>
      </c>
      <c r="V65" s="36" t="s">
        <v>2131</v>
      </c>
      <c r="W65" s="36" t="s">
        <v>141</v>
      </c>
      <c r="X65" s="36" t="s">
        <v>141</v>
      </c>
      <c r="Y65" s="36" t="s">
        <v>2131</v>
      </c>
      <c r="Z65" s="36" t="s">
        <v>141</v>
      </c>
      <c r="AA65" s="117" t="s">
        <v>2131</v>
      </c>
      <c r="AB65" s="36" t="s">
        <v>141</v>
      </c>
      <c r="AC65" s="117" t="s">
        <v>2131</v>
      </c>
      <c r="AD65" s="36" t="s">
        <v>2131</v>
      </c>
      <c r="AE65" s="36" t="s">
        <v>2131</v>
      </c>
      <c r="AF65" s="117" t="s">
        <v>2131</v>
      </c>
      <c r="AG65" s="36" t="s">
        <v>141</v>
      </c>
      <c r="AH65" s="36" t="s">
        <v>141</v>
      </c>
      <c r="AI65" s="117" t="s">
        <v>141</v>
      </c>
      <c r="AJ65" s="36" t="s">
        <v>141</v>
      </c>
      <c r="AK65" s="36" t="s">
        <v>2131</v>
      </c>
      <c r="AL65" s="36" t="s">
        <v>141</v>
      </c>
      <c r="AM65" s="117" t="s">
        <v>141</v>
      </c>
      <c r="AN65" s="117" t="s">
        <v>141</v>
      </c>
      <c r="AO65" s="117" t="s">
        <v>141</v>
      </c>
      <c r="AP65" s="117"/>
      <c r="AQ65" s="117"/>
      <c r="AR65" s="117" t="s">
        <v>141</v>
      </c>
      <c r="AS65" s="117"/>
      <c r="AT65" s="117"/>
      <c r="AU65" s="117"/>
      <c r="AV65" s="119">
        <f t="shared" si="0"/>
        <v>23</v>
      </c>
      <c r="AW65" s="119"/>
      <c r="AX65" s="119" t="s">
        <v>2142</v>
      </c>
    </row>
    <row r="66" spans="1:50">
      <c r="A66">
        <v>61</v>
      </c>
      <c r="B66">
        <v>617</v>
      </c>
      <c r="C66">
        <v>66</v>
      </c>
      <c r="D66" s="7">
        <v>45692</v>
      </c>
      <c r="E66" s="7" t="s">
        <v>515</v>
      </c>
      <c r="F66" s="10" t="s">
        <v>513</v>
      </c>
      <c r="G66" s="36"/>
      <c r="H66" s="36" t="s">
        <v>141</v>
      </c>
      <c r="I66" s="36"/>
      <c r="J66" s="36"/>
      <c r="K66" s="36"/>
      <c r="L66" s="36" t="s">
        <v>141</v>
      </c>
      <c r="M66" s="36"/>
      <c r="N66" s="36"/>
      <c r="O66" s="119" t="s">
        <v>141</v>
      </c>
      <c r="P66" s="36"/>
      <c r="Q66" s="36"/>
      <c r="R66" s="36"/>
      <c r="S66" s="36" t="s">
        <v>141</v>
      </c>
      <c r="T66" s="36"/>
      <c r="U66" s="36" t="s">
        <v>141</v>
      </c>
      <c r="V66" s="36"/>
      <c r="W66" s="36" t="s">
        <v>141</v>
      </c>
      <c r="X66" s="36"/>
      <c r="Y66" s="36"/>
      <c r="Z66" s="36"/>
      <c r="AA66" s="117"/>
      <c r="AB66" s="36"/>
      <c r="AC66" s="117" t="s">
        <v>141</v>
      </c>
      <c r="AD66" s="36" t="s">
        <v>141</v>
      </c>
      <c r="AE66" s="36"/>
      <c r="AF66" s="117"/>
      <c r="AG66" s="36" t="s">
        <v>141</v>
      </c>
      <c r="AH66" s="36"/>
      <c r="AI66" s="117"/>
      <c r="AJ66" s="36"/>
      <c r="AK66" s="36"/>
      <c r="AL66" s="36"/>
      <c r="AM66" s="117"/>
      <c r="AN66" s="117"/>
      <c r="AO66" s="117"/>
      <c r="AP66" s="117"/>
      <c r="AQ66" s="117"/>
      <c r="AR66" s="117"/>
      <c r="AS66" s="117"/>
      <c r="AT66" s="117"/>
      <c r="AU66" s="117"/>
      <c r="AV66" s="119">
        <f t="shared" ref="AV66:AV129" si="1">COUNTIF($F66:$AS66, "I")</f>
        <v>9</v>
      </c>
      <c r="AW66" s="119"/>
      <c r="AX66" s="119" t="s">
        <v>2142</v>
      </c>
    </row>
    <row r="67" spans="1:50">
      <c r="A67">
        <v>62</v>
      </c>
      <c r="B67">
        <v>618</v>
      </c>
      <c r="C67">
        <v>67</v>
      </c>
      <c r="D67" s="7">
        <v>45691</v>
      </c>
      <c r="E67" s="7" t="s">
        <v>522</v>
      </c>
      <c r="F67" s="10" t="s">
        <v>519</v>
      </c>
      <c r="G67" s="36"/>
      <c r="H67" s="36"/>
      <c r="I67" s="36"/>
      <c r="J67" s="36"/>
      <c r="K67" s="36"/>
      <c r="L67" s="36"/>
      <c r="M67" s="36"/>
      <c r="N67" s="36"/>
      <c r="O67" s="119" t="s">
        <v>141</v>
      </c>
      <c r="P67" s="36"/>
      <c r="Q67" s="36"/>
      <c r="R67" s="36" t="s">
        <v>141</v>
      </c>
      <c r="S67" s="36"/>
      <c r="T67" s="36" t="s">
        <v>141</v>
      </c>
      <c r="U67" s="36"/>
      <c r="V67" s="36"/>
      <c r="W67" s="36" t="s">
        <v>141</v>
      </c>
      <c r="X67" s="36"/>
      <c r="Y67" s="36"/>
      <c r="Z67" s="36" t="s">
        <v>141</v>
      </c>
      <c r="AA67" s="117"/>
      <c r="AB67" s="36"/>
      <c r="AC67" s="117" t="s">
        <v>141</v>
      </c>
      <c r="AD67" s="36"/>
      <c r="AE67" s="36"/>
      <c r="AF67" s="117"/>
      <c r="AG67" s="36"/>
      <c r="AH67" s="36"/>
      <c r="AI67" s="117"/>
      <c r="AJ67" s="36"/>
      <c r="AK67" s="36"/>
      <c r="AL67" s="36"/>
      <c r="AM67" s="117" t="s">
        <v>141</v>
      </c>
      <c r="AN67" s="117" t="s">
        <v>141</v>
      </c>
      <c r="AO67" s="117" t="s">
        <v>141</v>
      </c>
      <c r="AP67" s="117"/>
      <c r="AQ67" s="117"/>
      <c r="AR67" s="117"/>
      <c r="AS67" s="117"/>
      <c r="AT67" s="117"/>
      <c r="AU67" s="117"/>
      <c r="AV67" s="119">
        <f t="shared" si="1"/>
        <v>9</v>
      </c>
      <c r="AW67" s="119"/>
      <c r="AX67" s="119" t="s">
        <v>2142</v>
      </c>
    </row>
    <row r="68" spans="1:50">
      <c r="A68">
        <v>63</v>
      </c>
      <c r="B68">
        <v>619</v>
      </c>
      <c r="C68">
        <v>68</v>
      </c>
      <c r="D68" s="7">
        <v>45695</v>
      </c>
      <c r="E68" s="7" t="s">
        <v>530</v>
      </c>
      <c r="F68" s="10" t="s">
        <v>527</v>
      </c>
      <c r="G68" s="36" t="s">
        <v>141</v>
      </c>
      <c r="H68" s="36"/>
      <c r="I68" s="36"/>
      <c r="J68" s="36" t="s">
        <v>141</v>
      </c>
      <c r="K68" s="36"/>
      <c r="L68" s="36"/>
      <c r="M68" s="36"/>
      <c r="N68" s="36"/>
      <c r="O68" s="119"/>
      <c r="P68" s="36"/>
      <c r="Q68" s="36" t="s">
        <v>141</v>
      </c>
      <c r="R68" s="36" t="s">
        <v>141</v>
      </c>
      <c r="S68" s="36"/>
      <c r="T68" s="36" t="s">
        <v>141</v>
      </c>
      <c r="U68" s="36" t="s">
        <v>141</v>
      </c>
      <c r="V68" s="36"/>
      <c r="W68" s="36"/>
      <c r="X68" s="36"/>
      <c r="Y68" s="36"/>
      <c r="Z68" s="36" t="s">
        <v>141</v>
      </c>
      <c r="AA68" s="117"/>
      <c r="AB68" s="36"/>
      <c r="AC68" s="117"/>
      <c r="AD68" s="36" t="s">
        <v>141</v>
      </c>
      <c r="AE68" s="36"/>
      <c r="AF68" s="117"/>
      <c r="AG68" s="36"/>
      <c r="AH68" s="36"/>
      <c r="AI68" s="117"/>
      <c r="AJ68" s="36" t="s">
        <v>141</v>
      </c>
      <c r="AK68" s="36"/>
      <c r="AL68" s="36" t="s">
        <v>141</v>
      </c>
      <c r="AM68" s="117" t="s">
        <v>141</v>
      </c>
      <c r="AN68" s="117" t="s">
        <v>141</v>
      </c>
      <c r="AO68" s="117"/>
      <c r="AP68" s="117"/>
      <c r="AQ68" s="117"/>
      <c r="AR68" s="117"/>
      <c r="AS68" s="117"/>
      <c r="AT68" s="117"/>
      <c r="AU68" s="117"/>
      <c r="AV68" s="119">
        <f t="shared" si="1"/>
        <v>12</v>
      </c>
      <c r="AW68" s="119"/>
      <c r="AX68" s="119" t="s">
        <v>2142</v>
      </c>
    </row>
    <row r="69" spans="1:50">
      <c r="A69">
        <v>64</v>
      </c>
      <c r="B69">
        <v>620</v>
      </c>
      <c r="C69">
        <v>69</v>
      </c>
      <c r="D69" s="7">
        <v>45695</v>
      </c>
      <c r="E69" s="7" t="s">
        <v>536</v>
      </c>
      <c r="F69" s="10" t="s">
        <v>534</v>
      </c>
      <c r="G69" s="36" t="s">
        <v>141</v>
      </c>
      <c r="H69" s="36"/>
      <c r="I69" s="36"/>
      <c r="J69" s="36" t="s">
        <v>141</v>
      </c>
      <c r="K69" s="36"/>
      <c r="L69" s="36"/>
      <c r="M69" s="36"/>
      <c r="N69" s="36"/>
      <c r="O69" s="119" t="s">
        <v>141</v>
      </c>
      <c r="P69" s="36" t="s">
        <v>141</v>
      </c>
      <c r="Q69" s="36" t="s">
        <v>141</v>
      </c>
      <c r="R69" s="36" t="s">
        <v>141</v>
      </c>
      <c r="S69" s="36"/>
      <c r="T69" s="36" t="s">
        <v>141</v>
      </c>
      <c r="U69" s="36"/>
      <c r="V69" s="36"/>
      <c r="W69" s="36"/>
      <c r="X69" s="36" t="s">
        <v>141</v>
      </c>
      <c r="Y69" s="36"/>
      <c r="Z69" s="36" t="s">
        <v>141</v>
      </c>
      <c r="AA69" s="117" t="s">
        <v>141</v>
      </c>
      <c r="AB69" s="36" t="s">
        <v>141</v>
      </c>
      <c r="AC69" s="117"/>
      <c r="AD69" s="36"/>
      <c r="AE69" s="36"/>
      <c r="AF69" s="117"/>
      <c r="AG69" s="36"/>
      <c r="AH69" s="36"/>
      <c r="AI69" s="117"/>
      <c r="AJ69" s="36"/>
      <c r="AK69" s="36"/>
      <c r="AL69" s="36"/>
      <c r="AM69" s="117"/>
      <c r="AN69" s="117"/>
      <c r="AO69" s="117" t="s">
        <v>141</v>
      </c>
      <c r="AP69" s="117"/>
      <c r="AQ69" s="117"/>
      <c r="AR69" s="117"/>
      <c r="AS69" s="117"/>
      <c r="AT69" s="117"/>
      <c r="AU69" s="117"/>
      <c r="AV69" s="119">
        <f t="shared" si="1"/>
        <v>12</v>
      </c>
      <c r="AW69" s="119"/>
      <c r="AX69" s="119" t="s">
        <v>2142</v>
      </c>
    </row>
    <row r="70" spans="1:50">
      <c r="A70">
        <v>65</v>
      </c>
      <c r="B70">
        <v>621</v>
      </c>
      <c r="C70">
        <v>70</v>
      </c>
      <c r="D70" s="7">
        <v>45695</v>
      </c>
      <c r="E70" s="7" t="s">
        <v>540</v>
      </c>
      <c r="F70" s="10" t="s">
        <v>539</v>
      </c>
      <c r="G70" s="36" t="s">
        <v>141</v>
      </c>
      <c r="H70" s="36" t="s">
        <v>141</v>
      </c>
      <c r="I70" s="36"/>
      <c r="J70" s="36" t="s">
        <v>141</v>
      </c>
      <c r="K70" s="36"/>
      <c r="L70" s="36"/>
      <c r="M70" s="36"/>
      <c r="N70" s="36"/>
      <c r="O70" s="119" t="s">
        <v>141</v>
      </c>
      <c r="P70" s="36" t="s">
        <v>141</v>
      </c>
      <c r="Q70" s="36"/>
      <c r="R70" s="36" t="s">
        <v>141</v>
      </c>
      <c r="S70" s="36"/>
      <c r="T70" s="36" t="s">
        <v>141</v>
      </c>
      <c r="U70" s="36"/>
      <c r="V70" s="36"/>
      <c r="W70" s="36"/>
      <c r="X70" s="36" t="s">
        <v>141</v>
      </c>
      <c r="Y70" s="36"/>
      <c r="Z70" s="36" t="s">
        <v>141</v>
      </c>
      <c r="AA70" s="117" t="s">
        <v>141</v>
      </c>
      <c r="AB70" s="36" t="s">
        <v>141</v>
      </c>
      <c r="AC70" s="117"/>
      <c r="AD70" s="36"/>
      <c r="AE70" s="36"/>
      <c r="AF70" s="117" t="s">
        <v>141</v>
      </c>
      <c r="AG70" s="36"/>
      <c r="AH70" s="36"/>
      <c r="AI70" s="117"/>
      <c r="AJ70" s="36"/>
      <c r="AK70" s="36"/>
      <c r="AL70" s="36"/>
      <c r="AM70" s="117"/>
      <c r="AN70" s="117"/>
      <c r="AO70" s="117" t="s">
        <v>141</v>
      </c>
      <c r="AP70" s="117"/>
      <c r="AQ70" s="117"/>
      <c r="AR70" s="117" t="s">
        <v>141</v>
      </c>
      <c r="AS70" s="117"/>
      <c r="AT70" s="117"/>
      <c r="AU70" s="117"/>
      <c r="AV70" s="119">
        <f t="shared" si="1"/>
        <v>14</v>
      </c>
      <c r="AW70" s="119"/>
      <c r="AX70" s="119" t="s">
        <v>2142</v>
      </c>
    </row>
    <row r="71" spans="1:50">
      <c r="A71">
        <v>66</v>
      </c>
      <c r="B71">
        <v>622</v>
      </c>
      <c r="C71">
        <v>71</v>
      </c>
      <c r="D71" s="7">
        <v>45695</v>
      </c>
      <c r="E71" s="7" t="s">
        <v>545</v>
      </c>
      <c r="F71" s="10" t="s">
        <v>543</v>
      </c>
      <c r="G71" s="36" t="s">
        <v>141</v>
      </c>
      <c r="H71" s="36" t="s">
        <v>141</v>
      </c>
      <c r="I71" s="36"/>
      <c r="J71" s="36" t="s">
        <v>141</v>
      </c>
      <c r="K71" s="36"/>
      <c r="L71" s="36"/>
      <c r="M71" s="36"/>
      <c r="N71" s="36"/>
      <c r="O71" s="119" t="s">
        <v>141</v>
      </c>
      <c r="P71" s="36"/>
      <c r="Q71" s="36"/>
      <c r="R71" s="36" t="s">
        <v>141</v>
      </c>
      <c r="S71" s="36"/>
      <c r="T71" s="36"/>
      <c r="U71" s="36"/>
      <c r="V71" s="36"/>
      <c r="W71" s="36" t="s">
        <v>141</v>
      </c>
      <c r="X71" s="36" t="s">
        <v>141</v>
      </c>
      <c r="Y71" s="36"/>
      <c r="Z71" s="36" t="s">
        <v>141</v>
      </c>
      <c r="AA71" s="117" t="s">
        <v>141</v>
      </c>
      <c r="AB71" s="36"/>
      <c r="AC71" s="117" t="s">
        <v>141</v>
      </c>
      <c r="AD71" s="36"/>
      <c r="AE71" s="36"/>
      <c r="AF71" s="117" t="s">
        <v>141</v>
      </c>
      <c r="AG71" s="36"/>
      <c r="AH71" s="36"/>
      <c r="AI71" s="117"/>
      <c r="AJ71" s="36"/>
      <c r="AK71" s="36"/>
      <c r="AL71" s="36"/>
      <c r="AM71" s="117"/>
      <c r="AN71" s="117"/>
      <c r="AO71" s="117" t="s">
        <v>141</v>
      </c>
      <c r="AP71" s="117"/>
      <c r="AQ71" s="117"/>
      <c r="AR71" s="117"/>
      <c r="AS71" s="117"/>
      <c r="AT71" s="117"/>
      <c r="AU71" s="117"/>
      <c r="AV71" s="119">
        <f t="shared" si="1"/>
        <v>12</v>
      </c>
      <c r="AW71" s="119"/>
      <c r="AX71" s="119" t="s">
        <v>2142</v>
      </c>
    </row>
    <row r="72" spans="1:50">
      <c r="A72">
        <v>67</v>
      </c>
      <c r="B72">
        <v>623</v>
      </c>
      <c r="C72">
        <v>72</v>
      </c>
      <c r="D72" s="7">
        <v>45696</v>
      </c>
      <c r="E72" s="7" t="s">
        <v>551</v>
      </c>
      <c r="F72" s="10" t="s">
        <v>549</v>
      </c>
      <c r="G72" s="36" t="s">
        <v>141</v>
      </c>
      <c r="H72" s="36"/>
      <c r="I72" s="36"/>
      <c r="J72" s="36" t="s">
        <v>141</v>
      </c>
      <c r="K72" s="36"/>
      <c r="L72" s="36"/>
      <c r="M72" s="36"/>
      <c r="N72" s="36"/>
      <c r="O72" s="119" t="s">
        <v>141</v>
      </c>
      <c r="P72" s="36"/>
      <c r="Q72" s="36"/>
      <c r="R72" s="36" t="s">
        <v>141</v>
      </c>
      <c r="S72" s="36"/>
      <c r="T72" s="36"/>
      <c r="U72" s="36"/>
      <c r="V72" s="36"/>
      <c r="W72" s="36"/>
      <c r="X72" s="36" t="s">
        <v>141</v>
      </c>
      <c r="Y72" s="36"/>
      <c r="Z72" s="36" t="s">
        <v>141</v>
      </c>
      <c r="AA72" s="117" t="s">
        <v>141</v>
      </c>
      <c r="AB72" s="36"/>
      <c r="AC72" s="117" t="s">
        <v>141</v>
      </c>
      <c r="AD72" s="36"/>
      <c r="AE72" s="36"/>
      <c r="AF72" s="117"/>
      <c r="AG72" s="36"/>
      <c r="AH72" s="36"/>
      <c r="AI72" s="117"/>
      <c r="AJ72" s="36" t="s">
        <v>141</v>
      </c>
      <c r="AK72" s="36"/>
      <c r="AL72" s="36"/>
      <c r="AM72" s="117"/>
      <c r="AN72" s="117"/>
      <c r="AO72" s="117" t="s">
        <v>141</v>
      </c>
      <c r="AP72" s="117"/>
      <c r="AQ72" s="117"/>
      <c r="AR72" s="117" t="s">
        <v>141</v>
      </c>
      <c r="AS72" s="117"/>
      <c r="AT72" s="117"/>
      <c r="AU72" s="117"/>
      <c r="AV72" s="119">
        <f t="shared" si="1"/>
        <v>11</v>
      </c>
      <c r="AW72" s="119"/>
      <c r="AX72" s="119" t="s">
        <v>2142</v>
      </c>
    </row>
    <row r="73" spans="1:50">
      <c r="A73">
        <v>68</v>
      </c>
      <c r="B73">
        <v>624</v>
      </c>
      <c r="C73">
        <v>73</v>
      </c>
      <c r="D73" s="7">
        <v>45696</v>
      </c>
      <c r="E73" s="7" t="s">
        <v>556</v>
      </c>
      <c r="F73" s="10" t="s">
        <v>554</v>
      </c>
      <c r="G73" s="36" t="s">
        <v>141</v>
      </c>
      <c r="H73" s="36"/>
      <c r="I73" s="36"/>
      <c r="J73" s="36" t="s">
        <v>141</v>
      </c>
      <c r="K73" s="36"/>
      <c r="L73" s="36"/>
      <c r="M73" s="36"/>
      <c r="N73" s="36"/>
      <c r="O73" s="119" t="s">
        <v>141</v>
      </c>
      <c r="P73" s="36" t="s">
        <v>141</v>
      </c>
      <c r="Q73" s="36" t="s">
        <v>141</v>
      </c>
      <c r="R73" s="36"/>
      <c r="S73" s="36"/>
      <c r="T73" s="36" t="s">
        <v>141</v>
      </c>
      <c r="U73" s="36" t="s">
        <v>141</v>
      </c>
      <c r="V73" s="36"/>
      <c r="W73" s="36"/>
      <c r="X73" s="36"/>
      <c r="Y73" s="36"/>
      <c r="Z73" s="36" t="s">
        <v>141</v>
      </c>
      <c r="AA73" s="117"/>
      <c r="AB73" s="36"/>
      <c r="AC73" s="117"/>
      <c r="AD73" s="36"/>
      <c r="AE73" s="36" t="s">
        <v>141</v>
      </c>
      <c r="AF73" s="117"/>
      <c r="AG73" s="36"/>
      <c r="AH73" s="36"/>
      <c r="AI73" s="117"/>
      <c r="AJ73" s="36" t="s">
        <v>141</v>
      </c>
      <c r="AK73" s="36"/>
      <c r="AL73" s="36"/>
      <c r="AM73" s="117"/>
      <c r="AN73" s="117"/>
      <c r="AO73" s="117"/>
      <c r="AP73" s="117"/>
      <c r="AQ73" s="117"/>
      <c r="AR73" s="117"/>
      <c r="AS73" s="117"/>
      <c r="AT73" s="117"/>
      <c r="AU73" s="117"/>
      <c r="AV73" s="119">
        <f t="shared" si="1"/>
        <v>10</v>
      </c>
      <c r="AW73" s="119"/>
      <c r="AX73" s="119" t="s">
        <v>2142</v>
      </c>
    </row>
    <row r="74" spans="1:50">
      <c r="A74">
        <v>69</v>
      </c>
      <c r="B74">
        <v>625</v>
      </c>
      <c r="C74">
        <v>74</v>
      </c>
      <c r="D74" s="7">
        <v>45697</v>
      </c>
      <c r="E74" s="7" t="s">
        <v>563</v>
      </c>
      <c r="F74" s="10" t="s">
        <v>561</v>
      </c>
      <c r="G74" s="36"/>
      <c r="H74" s="36"/>
      <c r="I74" s="36"/>
      <c r="J74" s="36" t="s">
        <v>141</v>
      </c>
      <c r="K74" s="36"/>
      <c r="L74" s="36"/>
      <c r="M74" s="36"/>
      <c r="N74" s="36"/>
      <c r="O74" s="119"/>
      <c r="P74" s="36" t="s">
        <v>141</v>
      </c>
      <c r="Q74" s="36"/>
      <c r="R74" s="36"/>
      <c r="S74" s="36"/>
      <c r="T74" s="36" t="s">
        <v>141</v>
      </c>
      <c r="U74" s="36"/>
      <c r="V74" s="36"/>
      <c r="W74" s="36" t="s">
        <v>141</v>
      </c>
      <c r="X74" s="36"/>
      <c r="Y74" s="36"/>
      <c r="Z74" s="36" t="s">
        <v>141</v>
      </c>
      <c r="AA74" s="117"/>
      <c r="AB74" s="36"/>
      <c r="AC74" s="117"/>
      <c r="AD74" s="36"/>
      <c r="AE74" s="36"/>
      <c r="AF74" s="117"/>
      <c r="AG74" s="36"/>
      <c r="AH74" s="36"/>
      <c r="AI74" s="117"/>
      <c r="AJ74" s="36"/>
      <c r="AK74" s="36"/>
      <c r="AL74" s="36"/>
      <c r="AM74" s="117"/>
      <c r="AN74" s="117"/>
      <c r="AO74" s="117" t="s">
        <v>141</v>
      </c>
      <c r="AP74" s="117"/>
      <c r="AQ74" s="117"/>
      <c r="AR74" s="117"/>
      <c r="AS74" s="117"/>
      <c r="AT74" s="117"/>
      <c r="AU74" s="117"/>
      <c r="AV74" s="119">
        <f t="shared" si="1"/>
        <v>6</v>
      </c>
      <c r="AW74" s="119"/>
      <c r="AX74" s="119" t="s">
        <v>2142</v>
      </c>
    </row>
    <row r="75" spans="1:50">
      <c r="A75">
        <v>70</v>
      </c>
      <c r="B75">
        <v>626</v>
      </c>
      <c r="C75">
        <v>75</v>
      </c>
      <c r="D75" s="7">
        <v>45697</v>
      </c>
      <c r="E75" s="7" t="s">
        <v>566</v>
      </c>
      <c r="F75" s="10" t="s">
        <v>565</v>
      </c>
      <c r="G75" s="36"/>
      <c r="H75" s="36"/>
      <c r="I75" s="36"/>
      <c r="J75" s="36" t="s">
        <v>141</v>
      </c>
      <c r="K75" s="36"/>
      <c r="L75" s="36"/>
      <c r="M75" s="36"/>
      <c r="N75" s="36"/>
      <c r="O75" s="119" t="s">
        <v>141</v>
      </c>
      <c r="P75" s="36" t="s">
        <v>141</v>
      </c>
      <c r="Q75" s="36"/>
      <c r="R75" s="36"/>
      <c r="S75" s="36"/>
      <c r="T75" s="36" t="s">
        <v>141</v>
      </c>
      <c r="U75" s="36"/>
      <c r="V75" s="36"/>
      <c r="W75" s="36" t="s">
        <v>141</v>
      </c>
      <c r="X75" s="36"/>
      <c r="Y75" s="36"/>
      <c r="Z75" s="36" t="s">
        <v>141</v>
      </c>
      <c r="AA75" s="117"/>
      <c r="AB75" s="36"/>
      <c r="AC75" s="117"/>
      <c r="AD75" s="36"/>
      <c r="AE75" s="36"/>
      <c r="AF75" s="117"/>
      <c r="AG75" s="36"/>
      <c r="AH75" s="36"/>
      <c r="AI75" s="117"/>
      <c r="AJ75" s="36"/>
      <c r="AK75" s="36"/>
      <c r="AL75" s="36"/>
      <c r="AM75" s="117"/>
      <c r="AN75" s="117"/>
      <c r="AO75" s="117" t="s">
        <v>141</v>
      </c>
      <c r="AP75" s="117"/>
      <c r="AQ75" s="117"/>
      <c r="AR75" s="117"/>
      <c r="AS75" s="117"/>
      <c r="AT75" s="117"/>
      <c r="AU75" s="117"/>
      <c r="AV75" s="119">
        <f t="shared" si="1"/>
        <v>7</v>
      </c>
      <c r="AW75" s="119"/>
      <c r="AX75" s="119" t="s">
        <v>2142</v>
      </c>
    </row>
    <row r="76" spans="1:50">
      <c r="A76">
        <v>71</v>
      </c>
      <c r="B76">
        <v>627</v>
      </c>
      <c r="C76">
        <v>76</v>
      </c>
      <c r="D76" s="7">
        <v>45696</v>
      </c>
      <c r="E76" s="7" t="s">
        <v>569</v>
      </c>
      <c r="F76" s="10" t="s">
        <v>567</v>
      </c>
      <c r="G76" s="36" t="s">
        <v>141</v>
      </c>
      <c r="H76" s="36" t="s">
        <v>141</v>
      </c>
      <c r="I76" s="36" t="s">
        <v>141</v>
      </c>
      <c r="J76" s="36" t="s">
        <v>141</v>
      </c>
      <c r="K76" s="36"/>
      <c r="L76" s="36"/>
      <c r="M76" s="36"/>
      <c r="N76" s="36"/>
      <c r="O76" s="119"/>
      <c r="P76" s="36"/>
      <c r="Q76" s="36"/>
      <c r="R76" s="36"/>
      <c r="S76" s="36"/>
      <c r="T76" s="36"/>
      <c r="U76" s="36" t="s">
        <v>141</v>
      </c>
      <c r="V76" s="36"/>
      <c r="W76" s="36"/>
      <c r="X76" s="36"/>
      <c r="Y76" s="36"/>
      <c r="Z76" s="36"/>
      <c r="AA76" s="117"/>
      <c r="AB76" s="36" t="s">
        <v>141</v>
      </c>
      <c r="AC76" s="117" t="s">
        <v>141</v>
      </c>
      <c r="AD76" s="36"/>
      <c r="AE76" s="36"/>
      <c r="AF76" s="117"/>
      <c r="AG76" s="36"/>
      <c r="AH76" s="36"/>
      <c r="AI76" s="117"/>
      <c r="AJ76" s="36"/>
      <c r="AK76" s="36"/>
      <c r="AL76" s="36"/>
      <c r="AM76" s="117"/>
      <c r="AN76" s="117"/>
      <c r="AO76" s="117"/>
      <c r="AP76" s="117"/>
      <c r="AQ76" s="117"/>
      <c r="AR76" s="117" t="s">
        <v>141</v>
      </c>
      <c r="AS76" s="117"/>
      <c r="AT76" s="117"/>
      <c r="AU76" s="117"/>
      <c r="AV76" s="119">
        <f t="shared" si="1"/>
        <v>8</v>
      </c>
      <c r="AW76" s="119"/>
      <c r="AX76" s="119" t="s">
        <v>2142</v>
      </c>
    </row>
    <row r="77" spans="1:50">
      <c r="A77">
        <v>72</v>
      </c>
      <c r="B77">
        <v>628</v>
      </c>
      <c r="C77">
        <v>77</v>
      </c>
      <c r="D77" s="7">
        <v>45697</v>
      </c>
      <c r="E77" s="7" t="s">
        <v>574</v>
      </c>
      <c r="F77" s="10" t="s">
        <v>572</v>
      </c>
      <c r="G77" s="36"/>
      <c r="H77" s="36" t="s">
        <v>141</v>
      </c>
      <c r="I77" s="36"/>
      <c r="J77" s="36" t="s">
        <v>141</v>
      </c>
      <c r="K77" s="36" t="s">
        <v>141</v>
      </c>
      <c r="L77" s="36" t="s">
        <v>141</v>
      </c>
      <c r="M77" s="36"/>
      <c r="N77" s="36"/>
      <c r="O77" s="119"/>
      <c r="P77" s="36"/>
      <c r="Q77" s="36"/>
      <c r="R77" s="36"/>
      <c r="S77" s="36"/>
      <c r="T77" s="36"/>
      <c r="U77" s="36" t="s">
        <v>141</v>
      </c>
      <c r="V77" s="36"/>
      <c r="W77" s="36"/>
      <c r="X77" s="36"/>
      <c r="Y77" s="36"/>
      <c r="Z77" s="36" t="s">
        <v>141</v>
      </c>
      <c r="AA77" s="117" t="s">
        <v>141</v>
      </c>
      <c r="AB77" s="36"/>
      <c r="AC77" s="117"/>
      <c r="AD77" s="36"/>
      <c r="AE77" s="36"/>
      <c r="AF77" s="117"/>
      <c r="AG77" s="36"/>
      <c r="AH77" s="36"/>
      <c r="AI77" s="117"/>
      <c r="AJ77" s="36"/>
      <c r="AK77" s="36"/>
      <c r="AL77" s="36"/>
      <c r="AM77" s="117" t="s">
        <v>141</v>
      </c>
      <c r="AN77" s="117" t="s">
        <v>141</v>
      </c>
      <c r="AO77" s="117"/>
      <c r="AP77" s="117"/>
      <c r="AQ77" s="117"/>
      <c r="AR77" s="117" t="s">
        <v>141</v>
      </c>
      <c r="AS77" s="117"/>
      <c r="AT77" s="117"/>
      <c r="AU77" s="117"/>
      <c r="AV77" s="119">
        <f t="shared" si="1"/>
        <v>10</v>
      </c>
      <c r="AW77" s="119"/>
      <c r="AX77" s="119" t="s">
        <v>2142</v>
      </c>
    </row>
    <row r="78" spans="1:50">
      <c r="A78">
        <v>73</v>
      </c>
      <c r="B78">
        <v>629</v>
      </c>
      <c r="C78">
        <v>78</v>
      </c>
      <c r="D78" s="7">
        <v>45698</v>
      </c>
      <c r="E78" s="7" t="s">
        <v>581</v>
      </c>
      <c r="F78" s="10" t="s">
        <v>578</v>
      </c>
      <c r="G78" s="36"/>
      <c r="H78" s="36" t="s">
        <v>141</v>
      </c>
      <c r="I78" s="36" t="s">
        <v>141</v>
      </c>
      <c r="J78" s="36" t="s">
        <v>141</v>
      </c>
      <c r="K78" s="36"/>
      <c r="L78" s="36" t="s">
        <v>141</v>
      </c>
      <c r="M78" s="36"/>
      <c r="N78" s="36"/>
      <c r="O78" s="119" t="s">
        <v>141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117" t="s">
        <v>141</v>
      </c>
      <c r="AB78" s="36"/>
      <c r="AC78" s="117"/>
      <c r="AD78" s="36"/>
      <c r="AE78" s="36"/>
      <c r="AF78" s="117"/>
      <c r="AG78" s="36"/>
      <c r="AH78" s="36"/>
      <c r="AI78" s="117"/>
      <c r="AJ78" s="36"/>
      <c r="AK78" s="36"/>
      <c r="AL78" s="36"/>
      <c r="AM78" s="117"/>
      <c r="AN78" s="117"/>
      <c r="AO78" s="117"/>
      <c r="AP78" s="117"/>
      <c r="AQ78" s="117"/>
      <c r="AR78" s="117" t="s">
        <v>141</v>
      </c>
      <c r="AS78" s="117"/>
      <c r="AT78" s="117"/>
      <c r="AU78" s="117"/>
      <c r="AV78" s="119">
        <f t="shared" si="1"/>
        <v>7</v>
      </c>
      <c r="AW78" s="119"/>
      <c r="AX78" s="119" t="s">
        <v>2142</v>
      </c>
    </row>
    <row r="79" spans="1:50">
      <c r="A79">
        <v>74</v>
      </c>
      <c r="B79">
        <v>630</v>
      </c>
      <c r="C79">
        <v>79</v>
      </c>
      <c r="D79" s="7">
        <v>45698</v>
      </c>
      <c r="E79" s="7" t="s">
        <v>586</v>
      </c>
      <c r="F79" s="10" t="s">
        <v>584</v>
      </c>
      <c r="G79" s="36"/>
      <c r="H79" s="36" t="s">
        <v>141</v>
      </c>
      <c r="I79" s="36"/>
      <c r="J79" s="36"/>
      <c r="K79" s="36"/>
      <c r="L79" s="36"/>
      <c r="M79" s="36"/>
      <c r="N79" s="36"/>
      <c r="O79" s="119" t="s">
        <v>141</v>
      </c>
      <c r="P79" s="36"/>
      <c r="Q79" s="36"/>
      <c r="R79" s="36"/>
      <c r="S79" s="36"/>
      <c r="T79" s="36" t="s">
        <v>141</v>
      </c>
      <c r="U79" s="36" t="s">
        <v>141</v>
      </c>
      <c r="V79" s="36"/>
      <c r="W79" s="36" t="s">
        <v>141</v>
      </c>
      <c r="X79" s="36"/>
      <c r="Y79" s="36"/>
      <c r="Z79" s="36"/>
      <c r="AA79" s="117"/>
      <c r="AB79" s="36"/>
      <c r="AC79" s="117"/>
      <c r="AD79" s="36"/>
      <c r="AE79" s="36" t="s">
        <v>141</v>
      </c>
      <c r="AF79" s="117"/>
      <c r="AG79" s="36"/>
      <c r="AH79" s="36"/>
      <c r="AI79" s="117"/>
      <c r="AJ79" s="36"/>
      <c r="AK79" s="36"/>
      <c r="AL79" s="36"/>
      <c r="AM79" s="117"/>
      <c r="AN79" s="117"/>
      <c r="AO79" s="117" t="s">
        <v>141</v>
      </c>
      <c r="AP79" s="117"/>
      <c r="AQ79" s="117"/>
      <c r="AR79" s="117" t="s">
        <v>141</v>
      </c>
      <c r="AS79" s="117"/>
      <c r="AT79" s="117"/>
      <c r="AU79" s="117"/>
      <c r="AV79" s="119">
        <f t="shared" si="1"/>
        <v>8</v>
      </c>
      <c r="AW79" s="119"/>
      <c r="AX79" s="119" t="s">
        <v>2142</v>
      </c>
    </row>
    <row r="80" spans="1:50">
      <c r="A80">
        <v>75</v>
      </c>
      <c r="B80">
        <v>631</v>
      </c>
      <c r="C80">
        <v>80</v>
      </c>
      <c r="D80" s="7">
        <v>45698</v>
      </c>
      <c r="E80" s="7" t="s">
        <v>593</v>
      </c>
      <c r="F80" s="10" t="s">
        <v>591</v>
      </c>
      <c r="G80" s="36" t="s">
        <v>141</v>
      </c>
      <c r="H80" s="36" t="s">
        <v>141</v>
      </c>
      <c r="I80" s="36" t="s">
        <v>141</v>
      </c>
      <c r="J80" s="36" t="s">
        <v>141</v>
      </c>
      <c r="K80" s="36"/>
      <c r="L80" s="36"/>
      <c r="M80" s="36"/>
      <c r="N80" s="36"/>
      <c r="O80" s="119" t="s">
        <v>141</v>
      </c>
      <c r="P80" s="36" t="s">
        <v>141</v>
      </c>
      <c r="Q80" s="36"/>
      <c r="R80" s="36"/>
      <c r="S80" s="36"/>
      <c r="T80" s="36" t="s">
        <v>141</v>
      </c>
      <c r="U80" s="36"/>
      <c r="V80" s="36" t="s">
        <v>141</v>
      </c>
      <c r="W80" s="36"/>
      <c r="X80" s="36"/>
      <c r="Y80" s="36"/>
      <c r="Z80" s="36" t="s">
        <v>141</v>
      </c>
      <c r="AA80" s="117"/>
      <c r="AB80" s="36"/>
      <c r="AC80" s="117" t="s">
        <v>141</v>
      </c>
      <c r="AD80" s="36"/>
      <c r="AE80" s="36" t="s">
        <v>141</v>
      </c>
      <c r="AF80" s="117"/>
      <c r="AG80" s="36"/>
      <c r="AH80" s="36"/>
      <c r="AI80" s="117"/>
      <c r="AJ80" s="36"/>
      <c r="AK80" s="36"/>
      <c r="AL80" s="36"/>
      <c r="AM80" s="117" t="s">
        <v>141</v>
      </c>
      <c r="AN80" s="117" t="s">
        <v>141</v>
      </c>
      <c r="AO80" s="117"/>
      <c r="AP80" s="117"/>
      <c r="AQ80" s="117"/>
      <c r="AR80" s="117" t="s">
        <v>141</v>
      </c>
      <c r="AS80" s="117"/>
      <c r="AT80" s="117"/>
      <c r="AU80" s="117"/>
      <c r="AV80" s="119">
        <f t="shared" si="1"/>
        <v>14</v>
      </c>
      <c r="AW80" s="119"/>
      <c r="AX80" s="119" t="s">
        <v>2142</v>
      </c>
    </row>
    <row r="81" spans="1:50">
      <c r="A81">
        <v>76</v>
      </c>
      <c r="B81">
        <v>632</v>
      </c>
      <c r="C81">
        <v>81</v>
      </c>
      <c r="D81" s="7">
        <v>45698</v>
      </c>
      <c r="E81" s="7" t="s">
        <v>598</v>
      </c>
      <c r="F81" s="10" t="s">
        <v>595</v>
      </c>
      <c r="G81" s="36" t="s">
        <v>141</v>
      </c>
      <c r="H81" s="36" t="s">
        <v>141</v>
      </c>
      <c r="I81" s="36" t="s">
        <v>141</v>
      </c>
      <c r="J81" s="36" t="s">
        <v>141</v>
      </c>
      <c r="K81" s="36"/>
      <c r="L81" s="36"/>
      <c r="M81" s="36"/>
      <c r="N81" s="36"/>
      <c r="O81" s="119" t="s">
        <v>141</v>
      </c>
      <c r="P81" s="36" t="s">
        <v>141</v>
      </c>
      <c r="Q81" s="36"/>
      <c r="R81" s="36"/>
      <c r="S81" s="36"/>
      <c r="T81" s="36" t="s">
        <v>141</v>
      </c>
      <c r="U81" s="36"/>
      <c r="V81" s="36" t="s">
        <v>141</v>
      </c>
      <c r="W81" s="36"/>
      <c r="X81" s="36"/>
      <c r="Y81" s="36"/>
      <c r="Z81" s="36" t="s">
        <v>141</v>
      </c>
      <c r="AA81" s="117"/>
      <c r="AB81" s="36"/>
      <c r="AC81" s="117" t="s">
        <v>141</v>
      </c>
      <c r="AD81" s="36"/>
      <c r="AE81" s="36" t="s">
        <v>141</v>
      </c>
      <c r="AF81" s="117"/>
      <c r="AG81" s="36"/>
      <c r="AH81" s="36"/>
      <c r="AI81" s="117"/>
      <c r="AJ81" s="36"/>
      <c r="AK81" s="36"/>
      <c r="AL81" s="36"/>
      <c r="AM81" s="117"/>
      <c r="AN81" s="117"/>
      <c r="AO81" s="117"/>
      <c r="AP81" s="117"/>
      <c r="AQ81" s="117"/>
      <c r="AR81" s="117"/>
      <c r="AS81" s="117"/>
      <c r="AT81" s="117"/>
      <c r="AU81" s="117"/>
      <c r="AV81" s="119">
        <f t="shared" si="1"/>
        <v>11</v>
      </c>
      <c r="AW81" s="119"/>
      <c r="AX81" s="119" t="s">
        <v>2142</v>
      </c>
    </row>
    <row r="82" spans="1:50">
      <c r="A82" t="s">
        <v>57</v>
      </c>
      <c r="B82" t="s">
        <v>57</v>
      </c>
      <c r="C82">
        <v>82</v>
      </c>
      <c r="D82" s="7">
        <v>45698</v>
      </c>
      <c r="E82" s="7" t="s">
        <v>2129</v>
      </c>
      <c r="F82" s="10" t="s">
        <v>2130</v>
      </c>
      <c r="G82" s="36" t="s">
        <v>141</v>
      </c>
      <c r="H82" s="36" t="s">
        <v>141</v>
      </c>
      <c r="I82" s="36" t="s">
        <v>141</v>
      </c>
      <c r="J82" s="36" t="s">
        <v>141</v>
      </c>
      <c r="K82" s="36" t="s">
        <v>141</v>
      </c>
      <c r="L82" s="36" t="s">
        <v>2131</v>
      </c>
      <c r="M82" s="36" t="s">
        <v>2131</v>
      </c>
      <c r="N82" s="36" t="s">
        <v>2131</v>
      </c>
      <c r="O82" s="119" t="s">
        <v>141</v>
      </c>
      <c r="P82" s="36" t="s">
        <v>141</v>
      </c>
      <c r="Q82" s="36"/>
      <c r="R82" s="36" t="s">
        <v>141</v>
      </c>
      <c r="S82" s="36"/>
      <c r="T82" s="36" t="s">
        <v>141</v>
      </c>
      <c r="U82" s="36" t="s">
        <v>141</v>
      </c>
      <c r="V82" s="36" t="s">
        <v>141</v>
      </c>
      <c r="W82" s="36" t="s">
        <v>2131</v>
      </c>
      <c r="X82" s="36" t="s">
        <v>2131</v>
      </c>
      <c r="Y82" s="36" t="s">
        <v>141</v>
      </c>
      <c r="Z82" s="36" t="s">
        <v>141</v>
      </c>
      <c r="AA82" s="117" t="s">
        <v>2131</v>
      </c>
      <c r="AB82" s="36" t="s">
        <v>2131</v>
      </c>
      <c r="AC82" s="117" t="s">
        <v>141</v>
      </c>
      <c r="AD82" s="36" t="s">
        <v>141</v>
      </c>
      <c r="AE82" s="36" t="s">
        <v>141</v>
      </c>
      <c r="AF82" s="117" t="s">
        <v>141</v>
      </c>
      <c r="AG82" s="36" t="s">
        <v>141</v>
      </c>
      <c r="AH82" s="36" t="s">
        <v>141</v>
      </c>
      <c r="AI82" s="117" t="s">
        <v>141</v>
      </c>
      <c r="AJ82" s="36" t="s">
        <v>141</v>
      </c>
      <c r="AK82" s="36" t="s">
        <v>2131</v>
      </c>
      <c r="AL82" s="36" t="s">
        <v>2131</v>
      </c>
      <c r="AM82" s="117" t="s">
        <v>141</v>
      </c>
      <c r="AN82" s="117" t="s">
        <v>141</v>
      </c>
      <c r="AO82" s="117" t="s">
        <v>141</v>
      </c>
      <c r="AP82" s="117"/>
      <c r="AQ82" s="117"/>
      <c r="AR82" s="117" t="s">
        <v>2131</v>
      </c>
      <c r="AS82" s="117"/>
      <c r="AT82" s="117"/>
      <c r="AU82" s="117"/>
      <c r="AV82" s="119">
        <f t="shared" si="1"/>
        <v>24</v>
      </c>
      <c r="AW82" s="119"/>
      <c r="AX82" s="119" t="s">
        <v>2142</v>
      </c>
    </row>
    <row r="83" spans="1:50">
      <c r="A83">
        <v>77</v>
      </c>
      <c r="B83">
        <v>633</v>
      </c>
      <c r="C83">
        <v>83</v>
      </c>
      <c r="D83" s="7">
        <v>45698</v>
      </c>
      <c r="E83" s="7" t="s">
        <v>604</v>
      </c>
      <c r="F83" s="10" t="s">
        <v>602</v>
      </c>
      <c r="G83" s="36" t="s">
        <v>141</v>
      </c>
      <c r="H83" s="36" t="s">
        <v>141</v>
      </c>
      <c r="I83" s="36" t="s">
        <v>141</v>
      </c>
      <c r="J83" s="36" t="s">
        <v>141</v>
      </c>
      <c r="K83" s="36" t="s">
        <v>141</v>
      </c>
      <c r="L83" s="36"/>
      <c r="M83" s="36"/>
      <c r="N83" s="36"/>
      <c r="O83" s="119" t="s">
        <v>141</v>
      </c>
      <c r="P83" s="36" t="s">
        <v>141</v>
      </c>
      <c r="Q83" s="36"/>
      <c r="R83" s="36" t="s">
        <v>141</v>
      </c>
      <c r="S83" s="36"/>
      <c r="T83" s="36" t="s">
        <v>141</v>
      </c>
      <c r="U83" s="36" t="s">
        <v>141</v>
      </c>
      <c r="V83" s="36" t="s">
        <v>141</v>
      </c>
      <c r="W83" s="36"/>
      <c r="X83" s="36"/>
      <c r="Y83" s="36" t="s">
        <v>141</v>
      </c>
      <c r="Z83" s="36" t="s">
        <v>141</v>
      </c>
      <c r="AA83" s="117"/>
      <c r="AB83" s="36"/>
      <c r="AC83" s="117" t="s">
        <v>141</v>
      </c>
      <c r="AD83" s="36" t="s">
        <v>141</v>
      </c>
      <c r="AE83" s="36" t="s">
        <v>141</v>
      </c>
      <c r="AF83" s="117" t="s">
        <v>141</v>
      </c>
      <c r="AG83" s="36" t="s">
        <v>141</v>
      </c>
      <c r="AH83" s="36" t="s">
        <v>141</v>
      </c>
      <c r="AI83" s="117" t="s">
        <v>141</v>
      </c>
      <c r="AJ83" s="36" t="s">
        <v>141</v>
      </c>
      <c r="AK83" s="36"/>
      <c r="AL83" s="36"/>
      <c r="AM83" s="117" t="s">
        <v>141</v>
      </c>
      <c r="AN83" s="117" t="s">
        <v>141</v>
      </c>
      <c r="AO83" s="117" t="s">
        <v>141</v>
      </c>
      <c r="AP83" s="117"/>
      <c r="AQ83" s="117"/>
      <c r="AR83" s="117"/>
      <c r="AS83" s="117"/>
      <c r="AT83" s="117"/>
      <c r="AU83" s="117"/>
      <c r="AV83" s="119">
        <f t="shared" si="1"/>
        <v>24</v>
      </c>
      <c r="AW83" s="119"/>
      <c r="AX83" s="119" t="s">
        <v>2142</v>
      </c>
    </row>
    <row r="84" spans="1:50">
      <c r="A84">
        <v>78</v>
      </c>
      <c r="B84">
        <v>634</v>
      </c>
      <c r="C84">
        <v>84</v>
      </c>
      <c r="D84" s="7">
        <v>45698</v>
      </c>
      <c r="E84" s="7" t="s">
        <v>608</v>
      </c>
      <c r="F84" s="10" t="s">
        <v>606</v>
      </c>
      <c r="G84" s="36"/>
      <c r="H84" s="36" t="s">
        <v>141</v>
      </c>
      <c r="I84" s="36"/>
      <c r="J84" s="36" t="s">
        <v>141</v>
      </c>
      <c r="K84" s="36"/>
      <c r="L84" s="36"/>
      <c r="M84" s="36"/>
      <c r="N84" s="36"/>
      <c r="O84" s="119" t="s">
        <v>141</v>
      </c>
      <c r="P84" s="36" t="s">
        <v>141</v>
      </c>
      <c r="Q84" s="36"/>
      <c r="R84" s="36" t="s">
        <v>141</v>
      </c>
      <c r="S84" s="36"/>
      <c r="T84" s="36" t="s">
        <v>141</v>
      </c>
      <c r="U84" s="36"/>
      <c r="V84" s="36" t="s">
        <v>141</v>
      </c>
      <c r="W84" s="36"/>
      <c r="X84" s="36"/>
      <c r="Y84" s="36" t="s">
        <v>141</v>
      </c>
      <c r="Z84" s="36" t="s">
        <v>141</v>
      </c>
      <c r="AA84" s="117"/>
      <c r="AB84" s="36"/>
      <c r="AC84" s="117" t="s">
        <v>141</v>
      </c>
      <c r="AD84" s="36" t="s">
        <v>141</v>
      </c>
      <c r="AE84" s="36" t="s">
        <v>141</v>
      </c>
      <c r="AF84" s="117" t="s">
        <v>141</v>
      </c>
      <c r="AG84" s="36" t="s">
        <v>141</v>
      </c>
      <c r="AH84" s="36"/>
      <c r="AI84" s="117" t="s">
        <v>141</v>
      </c>
      <c r="AJ84" s="36" t="s">
        <v>141</v>
      </c>
      <c r="AK84" s="36"/>
      <c r="AL84" s="36"/>
      <c r="AM84" s="117"/>
      <c r="AN84" s="117"/>
      <c r="AO84" s="117" t="s">
        <v>141</v>
      </c>
      <c r="AP84" s="117"/>
      <c r="AQ84" s="117"/>
      <c r="AR84" s="117"/>
      <c r="AS84" s="117"/>
      <c r="AT84" s="117"/>
      <c r="AU84" s="117"/>
      <c r="AV84" s="119">
        <f t="shared" si="1"/>
        <v>17</v>
      </c>
      <c r="AW84" s="119"/>
      <c r="AX84" s="119" t="s">
        <v>2142</v>
      </c>
    </row>
    <row r="85" spans="1:50">
      <c r="A85">
        <v>79</v>
      </c>
      <c r="B85">
        <v>635</v>
      </c>
      <c r="C85">
        <v>85</v>
      </c>
      <c r="D85" s="7">
        <v>45699</v>
      </c>
      <c r="E85" s="7" t="s">
        <v>614</v>
      </c>
      <c r="F85" s="10" t="s">
        <v>612</v>
      </c>
      <c r="G85" s="36" t="s">
        <v>141</v>
      </c>
      <c r="H85" s="36"/>
      <c r="I85" s="36"/>
      <c r="J85" s="36" t="s">
        <v>141</v>
      </c>
      <c r="K85" s="36"/>
      <c r="L85" s="36"/>
      <c r="M85" s="36"/>
      <c r="N85" s="36"/>
      <c r="O85" s="119"/>
      <c r="P85" s="36" t="s">
        <v>141</v>
      </c>
      <c r="Q85" s="36"/>
      <c r="R85" s="36"/>
      <c r="S85" s="36"/>
      <c r="T85" s="36" t="s">
        <v>141</v>
      </c>
      <c r="U85" s="36"/>
      <c r="V85" s="36" t="s">
        <v>141</v>
      </c>
      <c r="W85" s="36" t="s">
        <v>141</v>
      </c>
      <c r="X85" s="36"/>
      <c r="Y85" s="36" t="s">
        <v>141</v>
      </c>
      <c r="Z85" s="36" t="s">
        <v>141</v>
      </c>
      <c r="AA85" s="117"/>
      <c r="AB85" s="36"/>
      <c r="AC85" s="117" t="s">
        <v>141</v>
      </c>
      <c r="AD85" s="36"/>
      <c r="AE85" s="36" t="s">
        <v>141</v>
      </c>
      <c r="AF85" s="117"/>
      <c r="AG85" s="36"/>
      <c r="AH85" s="36"/>
      <c r="AI85" s="117" t="s">
        <v>141</v>
      </c>
      <c r="AJ85" s="36"/>
      <c r="AK85" s="36"/>
      <c r="AL85" s="36"/>
      <c r="AM85" s="117" t="s">
        <v>141</v>
      </c>
      <c r="AN85" s="117" t="s">
        <v>141</v>
      </c>
      <c r="AO85" s="117"/>
      <c r="AP85" s="117"/>
      <c r="AQ85" s="117"/>
      <c r="AR85" s="117"/>
      <c r="AS85" s="117"/>
      <c r="AT85" s="117"/>
      <c r="AU85" s="117"/>
      <c r="AV85" s="119">
        <f t="shared" si="1"/>
        <v>13</v>
      </c>
      <c r="AW85" s="119"/>
      <c r="AX85" s="119" t="s">
        <v>2142</v>
      </c>
    </row>
    <row r="86" spans="1:50">
      <c r="A86">
        <v>80</v>
      </c>
      <c r="B86">
        <v>636</v>
      </c>
      <c r="C86">
        <v>86</v>
      </c>
      <c r="D86" s="7">
        <v>45700</v>
      </c>
      <c r="E86" s="7" t="s">
        <v>620</v>
      </c>
      <c r="F86" s="10" t="s">
        <v>617</v>
      </c>
      <c r="G86" s="36"/>
      <c r="H86" s="36"/>
      <c r="I86" s="36" t="s">
        <v>141</v>
      </c>
      <c r="J86" s="36" t="s">
        <v>141</v>
      </c>
      <c r="K86" s="36" t="s">
        <v>141</v>
      </c>
      <c r="L86" s="36"/>
      <c r="M86" s="36"/>
      <c r="N86" s="36"/>
      <c r="O86" s="119"/>
      <c r="P86" s="36" t="s">
        <v>141</v>
      </c>
      <c r="Q86" s="36"/>
      <c r="R86" s="36"/>
      <c r="S86" s="36"/>
      <c r="T86" s="36" t="s">
        <v>141</v>
      </c>
      <c r="U86" s="36" t="s">
        <v>141</v>
      </c>
      <c r="V86" s="36"/>
      <c r="W86" s="36" t="s">
        <v>141</v>
      </c>
      <c r="X86" s="36"/>
      <c r="Y86" s="36"/>
      <c r="Z86" s="36" t="s">
        <v>141</v>
      </c>
      <c r="AA86" s="117"/>
      <c r="AB86" s="36" t="s">
        <v>141</v>
      </c>
      <c r="AC86" s="117"/>
      <c r="AD86" s="36"/>
      <c r="AE86" s="36"/>
      <c r="AF86" s="117" t="s">
        <v>141</v>
      </c>
      <c r="AG86" s="36"/>
      <c r="AH86" s="36"/>
      <c r="AI86" s="117"/>
      <c r="AJ86" s="36"/>
      <c r="AK86" s="36"/>
      <c r="AL86" s="36"/>
      <c r="AM86" s="117" t="s">
        <v>141</v>
      </c>
      <c r="AN86" s="117" t="s">
        <v>141</v>
      </c>
      <c r="AO86" s="117"/>
      <c r="AP86" s="117"/>
      <c r="AQ86" s="117"/>
      <c r="AR86" s="117"/>
      <c r="AS86" s="117"/>
      <c r="AT86" s="117"/>
      <c r="AU86" s="117"/>
      <c r="AV86" s="119">
        <f t="shared" si="1"/>
        <v>12</v>
      </c>
      <c r="AW86" s="119"/>
      <c r="AX86" s="119" t="s">
        <v>2142</v>
      </c>
    </row>
    <row r="87" spans="1:50">
      <c r="A87">
        <v>81</v>
      </c>
      <c r="B87">
        <v>637</v>
      </c>
      <c r="C87">
        <v>87</v>
      </c>
      <c r="D87" s="7">
        <v>45700</v>
      </c>
      <c r="E87" s="7" t="s">
        <v>625</v>
      </c>
      <c r="F87" s="10" t="s">
        <v>623</v>
      </c>
      <c r="G87" s="36"/>
      <c r="H87" s="36" t="s">
        <v>141</v>
      </c>
      <c r="I87" s="36" t="s">
        <v>141</v>
      </c>
      <c r="J87" s="36" t="s">
        <v>141</v>
      </c>
      <c r="K87" s="36"/>
      <c r="L87" s="36"/>
      <c r="M87" s="36"/>
      <c r="N87" s="36"/>
      <c r="O87" s="119"/>
      <c r="P87" s="36" t="s">
        <v>141</v>
      </c>
      <c r="Q87" s="36"/>
      <c r="R87" s="36"/>
      <c r="S87" s="36"/>
      <c r="T87" s="36" t="s">
        <v>141</v>
      </c>
      <c r="U87" s="36"/>
      <c r="V87" s="36"/>
      <c r="W87" s="36" t="s">
        <v>141</v>
      </c>
      <c r="X87" s="36"/>
      <c r="Y87" s="36"/>
      <c r="Z87" s="36"/>
      <c r="AA87" s="117"/>
      <c r="AB87" s="36"/>
      <c r="AC87" s="117"/>
      <c r="AD87" s="36"/>
      <c r="AE87" s="36"/>
      <c r="AF87" s="117"/>
      <c r="AG87" s="36"/>
      <c r="AH87" s="36"/>
      <c r="AI87" s="117"/>
      <c r="AJ87" s="36"/>
      <c r="AK87" s="36"/>
      <c r="AL87" s="36"/>
      <c r="AM87" s="117"/>
      <c r="AN87" s="117"/>
      <c r="AO87" s="117"/>
      <c r="AP87" s="117"/>
      <c r="AQ87" s="117"/>
      <c r="AR87" s="117"/>
      <c r="AS87" s="117"/>
      <c r="AT87" s="117"/>
      <c r="AU87" s="117"/>
      <c r="AV87" s="119">
        <f t="shared" si="1"/>
        <v>6</v>
      </c>
      <c r="AW87" s="119"/>
      <c r="AX87" s="119" t="s">
        <v>2142</v>
      </c>
    </row>
    <row r="88" spans="1:50">
      <c r="A88">
        <v>82</v>
      </c>
      <c r="B88">
        <v>638</v>
      </c>
      <c r="C88">
        <v>88</v>
      </c>
      <c r="D88" s="7">
        <v>45701</v>
      </c>
      <c r="E88" s="7" t="s">
        <v>631</v>
      </c>
      <c r="F88" s="10" t="s">
        <v>629</v>
      </c>
      <c r="G88" s="36" t="s">
        <v>141</v>
      </c>
      <c r="H88" s="36"/>
      <c r="I88" s="36" t="s">
        <v>141</v>
      </c>
      <c r="J88" s="36" t="s">
        <v>141</v>
      </c>
      <c r="K88" s="36" t="s">
        <v>141</v>
      </c>
      <c r="L88" s="36"/>
      <c r="M88" s="36"/>
      <c r="N88" s="36"/>
      <c r="O88" s="119"/>
      <c r="P88" s="36" t="s">
        <v>141</v>
      </c>
      <c r="Q88" s="36" t="s">
        <v>141</v>
      </c>
      <c r="R88" s="36"/>
      <c r="S88" s="36"/>
      <c r="T88" s="36"/>
      <c r="U88" s="36" t="s">
        <v>141</v>
      </c>
      <c r="V88" s="36"/>
      <c r="W88" s="36" t="s">
        <v>141</v>
      </c>
      <c r="X88" s="36"/>
      <c r="Y88" s="36" t="s">
        <v>141</v>
      </c>
      <c r="Z88" s="36" t="s">
        <v>141</v>
      </c>
      <c r="AA88" s="117"/>
      <c r="AB88" s="36" t="s">
        <v>141</v>
      </c>
      <c r="AC88" s="117"/>
      <c r="AD88" s="36" t="s">
        <v>141</v>
      </c>
      <c r="AE88" s="36"/>
      <c r="AF88" s="117" t="s">
        <v>141</v>
      </c>
      <c r="AG88" s="36"/>
      <c r="AH88" s="36"/>
      <c r="AI88" s="117"/>
      <c r="AJ88" s="36"/>
      <c r="AK88" s="36"/>
      <c r="AL88" s="36" t="s">
        <v>141</v>
      </c>
      <c r="AM88" s="117"/>
      <c r="AN88" s="117"/>
      <c r="AO88" s="117" t="s">
        <v>141</v>
      </c>
      <c r="AP88" s="117"/>
      <c r="AQ88" s="117"/>
      <c r="AR88" s="117"/>
      <c r="AS88" s="117"/>
      <c r="AT88" s="117"/>
      <c r="AU88" s="117"/>
      <c r="AV88" s="119">
        <f t="shared" si="1"/>
        <v>15</v>
      </c>
      <c r="AW88" s="119"/>
      <c r="AX88" s="119" t="s">
        <v>2142</v>
      </c>
    </row>
    <row r="89" spans="1:50">
      <c r="A89">
        <v>83</v>
      </c>
      <c r="B89">
        <v>639</v>
      </c>
      <c r="C89">
        <v>89</v>
      </c>
      <c r="D89" s="7">
        <v>45700</v>
      </c>
      <c r="E89" s="7" t="s">
        <v>637</v>
      </c>
      <c r="F89" s="10" t="s">
        <v>634</v>
      </c>
      <c r="G89" s="36" t="s">
        <v>141</v>
      </c>
      <c r="H89" s="36" t="s">
        <v>141</v>
      </c>
      <c r="I89" s="36"/>
      <c r="J89" s="36" t="s">
        <v>141</v>
      </c>
      <c r="K89" s="36"/>
      <c r="L89" s="36"/>
      <c r="M89" s="36"/>
      <c r="N89" s="36"/>
      <c r="O89" s="119"/>
      <c r="P89" s="36"/>
      <c r="Q89" s="36" t="s">
        <v>141</v>
      </c>
      <c r="R89" s="36"/>
      <c r="S89" s="36" t="s">
        <v>141</v>
      </c>
      <c r="T89" s="36" t="s">
        <v>141</v>
      </c>
      <c r="U89" s="36"/>
      <c r="V89" s="36"/>
      <c r="W89" s="36"/>
      <c r="X89" s="36"/>
      <c r="Y89" s="36" t="s">
        <v>141</v>
      </c>
      <c r="Z89" s="36" t="s">
        <v>141</v>
      </c>
      <c r="AA89" s="117" t="s">
        <v>141</v>
      </c>
      <c r="AB89" s="36"/>
      <c r="AC89" s="117" t="s">
        <v>141</v>
      </c>
      <c r="AD89" s="36"/>
      <c r="AE89" s="36"/>
      <c r="AF89" s="117"/>
      <c r="AG89" s="36"/>
      <c r="AH89" s="36"/>
      <c r="AI89" s="117"/>
      <c r="AJ89" s="36"/>
      <c r="AK89" s="36"/>
      <c r="AL89" s="36"/>
      <c r="AM89" s="117" t="s">
        <v>141</v>
      </c>
      <c r="AN89" s="117" t="s">
        <v>141</v>
      </c>
      <c r="AO89" s="117"/>
      <c r="AP89" s="117"/>
      <c r="AQ89" s="117"/>
      <c r="AR89" s="117"/>
      <c r="AS89" s="117"/>
      <c r="AT89" s="117"/>
      <c r="AU89" s="117"/>
      <c r="AV89" s="119">
        <f t="shared" si="1"/>
        <v>12</v>
      </c>
      <c r="AW89" s="119"/>
      <c r="AX89" s="119" t="s">
        <v>2142</v>
      </c>
    </row>
    <row r="90" spans="1:50">
      <c r="A90">
        <v>84</v>
      </c>
      <c r="B90">
        <v>640</v>
      </c>
      <c r="C90">
        <v>90</v>
      </c>
      <c r="D90" s="7">
        <v>45702</v>
      </c>
      <c r="E90" s="7" t="s">
        <v>643</v>
      </c>
      <c r="F90" s="10" t="s">
        <v>641</v>
      </c>
      <c r="G90" s="36" t="s">
        <v>141</v>
      </c>
      <c r="H90" s="36" t="s">
        <v>141</v>
      </c>
      <c r="I90" s="36"/>
      <c r="J90" s="36"/>
      <c r="K90" s="36"/>
      <c r="L90" s="36"/>
      <c r="M90" s="36"/>
      <c r="N90" s="36"/>
      <c r="O90" s="119"/>
      <c r="P90" s="36"/>
      <c r="Q90" s="36"/>
      <c r="R90" s="36" t="s">
        <v>141</v>
      </c>
      <c r="S90" s="36"/>
      <c r="T90" s="36" t="s">
        <v>141</v>
      </c>
      <c r="U90" s="36"/>
      <c r="V90" s="36"/>
      <c r="W90" s="36" t="s">
        <v>141</v>
      </c>
      <c r="X90" s="36"/>
      <c r="Y90" s="36" t="s">
        <v>141</v>
      </c>
      <c r="Z90" s="36"/>
      <c r="AA90" s="117"/>
      <c r="AB90" s="36"/>
      <c r="AC90" s="117" t="s">
        <v>141</v>
      </c>
      <c r="AD90" s="36" t="s">
        <v>141</v>
      </c>
      <c r="AE90" s="36"/>
      <c r="AF90" s="117"/>
      <c r="AG90" s="36"/>
      <c r="AH90" s="36"/>
      <c r="AI90" s="117"/>
      <c r="AJ90" s="36" t="s">
        <v>141</v>
      </c>
      <c r="AK90" s="36"/>
      <c r="AL90" s="36"/>
      <c r="AM90" s="117" t="s">
        <v>141</v>
      </c>
      <c r="AN90" s="117" t="s">
        <v>141</v>
      </c>
      <c r="AO90" s="117"/>
      <c r="AP90" s="117"/>
      <c r="AQ90" s="117"/>
      <c r="AR90" s="117" t="s">
        <v>141</v>
      </c>
      <c r="AS90" s="117"/>
      <c r="AT90" s="117"/>
      <c r="AU90" s="117"/>
      <c r="AV90" s="119">
        <f t="shared" si="1"/>
        <v>12</v>
      </c>
      <c r="AW90" s="119"/>
      <c r="AX90" s="119" t="s">
        <v>2142</v>
      </c>
    </row>
    <row r="91" spans="1:50">
      <c r="A91">
        <v>85</v>
      </c>
      <c r="B91">
        <v>641</v>
      </c>
      <c r="C91">
        <v>91</v>
      </c>
      <c r="D91" s="7">
        <v>45703</v>
      </c>
      <c r="E91" s="7" t="s">
        <v>649</v>
      </c>
      <c r="F91" s="10" t="s">
        <v>646</v>
      </c>
      <c r="G91" s="36" t="s">
        <v>141</v>
      </c>
      <c r="H91" s="36" t="s">
        <v>141</v>
      </c>
      <c r="I91" s="36"/>
      <c r="J91" s="36" t="s">
        <v>141</v>
      </c>
      <c r="K91" s="36"/>
      <c r="L91" s="36" t="s">
        <v>141</v>
      </c>
      <c r="M91" s="36"/>
      <c r="N91" s="36"/>
      <c r="O91" s="119" t="s">
        <v>141</v>
      </c>
      <c r="P91" s="36"/>
      <c r="Q91" s="36" t="s">
        <v>141</v>
      </c>
      <c r="R91" s="36"/>
      <c r="S91" s="36"/>
      <c r="T91" s="36"/>
      <c r="U91" s="36"/>
      <c r="V91" s="36"/>
      <c r="W91" s="36" t="s">
        <v>141</v>
      </c>
      <c r="X91" s="36" t="s">
        <v>141</v>
      </c>
      <c r="Y91" s="36" t="s">
        <v>141</v>
      </c>
      <c r="Z91" s="36"/>
      <c r="AA91" s="117"/>
      <c r="AB91" s="36" t="s">
        <v>141</v>
      </c>
      <c r="AC91" s="117" t="s">
        <v>141</v>
      </c>
      <c r="AD91" s="36"/>
      <c r="AE91" s="36"/>
      <c r="AF91" s="117"/>
      <c r="AG91" s="36"/>
      <c r="AH91" s="36"/>
      <c r="AI91" s="117" t="s">
        <v>141</v>
      </c>
      <c r="AJ91" s="36" t="s">
        <v>141</v>
      </c>
      <c r="AK91" s="36"/>
      <c r="AL91" s="36"/>
      <c r="AM91" s="117"/>
      <c r="AN91" s="117"/>
      <c r="AO91" s="117"/>
      <c r="AP91" s="117"/>
      <c r="AQ91" s="117"/>
      <c r="AR91" s="117"/>
      <c r="AS91" s="117"/>
      <c r="AT91" s="117"/>
      <c r="AU91" s="117"/>
      <c r="AV91" s="119">
        <f t="shared" si="1"/>
        <v>13</v>
      </c>
      <c r="AW91" s="119"/>
      <c r="AX91" s="119" t="s">
        <v>2142</v>
      </c>
    </row>
    <row r="92" spans="1:50">
      <c r="A92">
        <v>86</v>
      </c>
      <c r="B92">
        <v>642</v>
      </c>
      <c r="C92">
        <v>92</v>
      </c>
      <c r="D92" s="7">
        <v>45704</v>
      </c>
      <c r="E92" s="7" t="s">
        <v>653</v>
      </c>
      <c r="F92" s="10" t="s">
        <v>651</v>
      </c>
      <c r="G92" s="36" t="s">
        <v>141</v>
      </c>
      <c r="H92" s="36" t="s">
        <v>141</v>
      </c>
      <c r="I92" s="36"/>
      <c r="J92" s="36" t="s">
        <v>141</v>
      </c>
      <c r="K92" s="36" t="s">
        <v>141</v>
      </c>
      <c r="L92" s="36" t="s">
        <v>141</v>
      </c>
      <c r="M92" s="36"/>
      <c r="N92" s="36"/>
      <c r="O92" s="119" t="s">
        <v>141</v>
      </c>
      <c r="P92" s="36"/>
      <c r="Q92" s="36" t="s">
        <v>141</v>
      </c>
      <c r="R92" s="36"/>
      <c r="S92" s="36"/>
      <c r="T92" s="36" t="s">
        <v>141</v>
      </c>
      <c r="U92" s="36" t="s">
        <v>141</v>
      </c>
      <c r="V92" s="36"/>
      <c r="W92" s="36"/>
      <c r="X92" s="36"/>
      <c r="Y92" s="36"/>
      <c r="Z92" s="36"/>
      <c r="AA92" s="117"/>
      <c r="AB92" s="36"/>
      <c r="AC92" s="117"/>
      <c r="AD92" s="36" t="s">
        <v>141</v>
      </c>
      <c r="AE92" s="36" t="s">
        <v>141</v>
      </c>
      <c r="AF92" s="117"/>
      <c r="AG92" s="36"/>
      <c r="AH92" s="36"/>
      <c r="AI92" s="117"/>
      <c r="AJ92" s="36"/>
      <c r="AK92" s="36"/>
      <c r="AL92" s="36"/>
      <c r="AM92" s="117"/>
      <c r="AN92" s="117"/>
      <c r="AO92" s="117"/>
      <c r="AP92" s="117"/>
      <c r="AQ92" s="117"/>
      <c r="AR92" s="117"/>
      <c r="AS92" s="117"/>
      <c r="AT92" s="117"/>
      <c r="AU92" s="117"/>
      <c r="AV92" s="119">
        <f t="shared" si="1"/>
        <v>11</v>
      </c>
      <c r="AW92" s="119"/>
      <c r="AX92" s="119" t="s">
        <v>2142</v>
      </c>
    </row>
    <row r="93" spans="1:50">
      <c r="A93">
        <v>87</v>
      </c>
      <c r="B93">
        <v>643</v>
      </c>
      <c r="C93">
        <v>93</v>
      </c>
      <c r="D93" s="7">
        <v>45702</v>
      </c>
      <c r="E93" s="7" t="s">
        <v>658</v>
      </c>
      <c r="F93" s="10" t="s">
        <v>656</v>
      </c>
      <c r="G93" s="36"/>
      <c r="H93" s="36" t="s">
        <v>141</v>
      </c>
      <c r="I93" s="36"/>
      <c r="J93" s="36"/>
      <c r="K93" s="36"/>
      <c r="L93" s="36" t="s">
        <v>141</v>
      </c>
      <c r="M93" s="36"/>
      <c r="N93" s="36"/>
      <c r="O93" s="119" t="s">
        <v>141</v>
      </c>
      <c r="P93" s="36" t="s">
        <v>141</v>
      </c>
      <c r="Q93" s="36" t="s">
        <v>141</v>
      </c>
      <c r="R93" s="36"/>
      <c r="S93" s="36"/>
      <c r="T93" s="36" t="s">
        <v>141</v>
      </c>
      <c r="U93" s="36"/>
      <c r="V93" s="36"/>
      <c r="W93" s="36" t="s">
        <v>141</v>
      </c>
      <c r="X93" s="36"/>
      <c r="Y93" s="36"/>
      <c r="Z93" s="36"/>
      <c r="AA93" s="117" t="s">
        <v>141</v>
      </c>
      <c r="AB93" s="36"/>
      <c r="AC93" s="117"/>
      <c r="AD93" s="36"/>
      <c r="AE93" s="36" t="s">
        <v>141</v>
      </c>
      <c r="AF93" s="117"/>
      <c r="AG93" s="36"/>
      <c r="AH93" s="36"/>
      <c r="AI93" s="117"/>
      <c r="AJ93" s="36"/>
      <c r="AK93" s="36"/>
      <c r="AL93" s="36"/>
      <c r="AM93" s="117" t="s">
        <v>141</v>
      </c>
      <c r="AN93" s="117" t="s">
        <v>141</v>
      </c>
      <c r="AO93" s="117"/>
      <c r="AP93" s="117"/>
      <c r="AQ93" s="117"/>
      <c r="AR93" s="117"/>
      <c r="AS93" s="117"/>
      <c r="AT93" s="117"/>
      <c r="AU93" s="117"/>
      <c r="AV93" s="119">
        <f t="shared" si="1"/>
        <v>11</v>
      </c>
      <c r="AW93" s="119"/>
      <c r="AX93" s="119" t="s">
        <v>2142</v>
      </c>
    </row>
    <row r="94" spans="1:50">
      <c r="A94">
        <v>88</v>
      </c>
      <c r="B94">
        <v>644</v>
      </c>
      <c r="C94">
        <v>94</v>
      </c>
      <c r="D94" s="7">
        <v>45702</v>
      </c>
      <c r="E94" s="7" t="s">
        <v>662</v>
      </c>
      <c r="F94" s="10" t="s">
        <v>660</v>
      </c>
      <c r="G94" s="36"/>
      <c r="H94" s="36" t="s">
        <v>141</v>
      </c>
      <c r="I94" s="36"/>
      <c r="J94" s="36"/>
      <c r="K94" s="36"/>
      <c r="L94" s="36" t="s">
        <v>141</v>
      </c>
      <c r="M94" s="36"/>
      <c r="N94" s="36"/>
      <c r="O94" s="119" t="s">
        <v>141</v>
      </c>
      <c r="P94" s="36" t="s">
        <v>141</v>
      </c>
      <c r="Q94" s="36"/>
      <c r="R94" s="36"/>
      <c r="S94" s="36"/>
      <c r="T94" s="36" t="s">
        <v>141</v>
      </c>
      <c r="U94" s="36"/>
      <c r="V94" s="36"/>
      <c r="W94" s="36" t="s">
        <v>141</v>
      </c>
      <c r="X94" s="36"/>
      <c r="Y94" s="36"/>
      <c r="Z94" s="36"/>
      <c r="AA94" s="117" t="s">
        <v>141</v>
      </c>
      <c r="AB94" s="36"/>
      <c r="AC94" s="117"/>
      <c r="AD94" s="36"/>
      <c r="AE94" s="36" t="s">
        <v>141</v>
      </c>
      <c r="AF94" s="117"/>
      <c r="AG94" s="36"/>
      <c r="AH94" s="36"/>
      <c r="AI94" s="117"/>
      <c r="AJ94" s="36"/>
      <c r="AK94" s="36"/>
      <c r="AL94" s="36"/>
      <c r="AM94" s="117" t="s">
        <v>141</v>
      </c>
      <c r="AN94" s="117" t="s">
        <v>141</v>
      </c>
      <c r="AO94" s="117"/>
      <c r="AP94" s="117"/>
      <c r="AQ94" s="117"/>
      <c r="AR94" s="117"/>
      <c r="AS94" s="117"/>
      <c r="AT94" s="117"/>
      <c r="AU94" s="117"/>
      <c r="AV94" s="119">
        <f t="shared" si="1"/>
        <v>10</v>
      </c>
      <c r="AW94" s="119"/>
      <c r="AX94" s="119" t="s">
        <v>2142</v>
      </c>
    </row>
    <row r="95" spans="1:50">
      <c r="A95">
        <v>89</v>
      </c>
      <c r="B95">
        <v>645</v>
      </c>
      <c r="C95">
        <v>95</v>
      </c>
      <c r="D95" s="7">
        <v>45705</v>
      </c>
      <c r="E95" s="7" t="s">
        <v>667</v>
      </c>
      <c r="F95" s="10" t="s">
        <v>665</v>
      </c>
      <c r="G95" s="36" t="s">
        <v>141</v>
      </c>
      <c r="H95" s="36" t="s">
        <v>141</v>
      </c>
      <c r="I95" s="36"/>
      <c r="J95" s="36" t="s">
        <v>141</v>
      </c>
      <c r="K95" s="36"/>
      <c r="L95" s="36" t="s">
        <v>141</v>
      </c>
      <c r="M95" s="36"/>
      <c r="N95" s="36"/>
      <c r="O95" s="119" t="s">
        <v>141</v>
      </c>
      <c r="P95" s="36" t="s">
        <v>141</v>
      </c>
      <c r="Q95" s="36"/>
      <c r="R95" s="36"/>
      <c r="S95" s="36"/>
      <c r="T95" s="36" t="s">
        <v>141</v>
      </c>
      <c r="U95" s="36" t="s">
        <v>141</v>
      </c>
      <c r="V95" s="36" t="s">
        <v>141</v>
      </c>
      <c r="W95" s="36" t="s">
        <v>141</v>
      </c>
      <c r="X95" s="36"/>
      <c r="Y95" s="36" t="s">
        <v>141</v>
      </c>
      <c r="Z95" s="36"/>
      <c r="AA95" s="117"/>
      <c r="AB95" s="36"/>
      <c r="AC95" s="117" t="s">
        <v>141</v>
      </c>
      <c r="AD95" s="36"/>
      <c r="AE95" s="36" t="s">
        <v>141</v>
      </c>
      <c r="AF95" s="117" t="s">
        <v>141</v>
      </c>
      <c r="AG95" s="36"/>
      <c r="AH95" s="36" t="s">
        <v>141</v>
      </c>
      <c r="AI95" s="117"/>
      <c r="AJ95" s="36"/>
      <c r="AK95" s="36"/>
      <c r="AL95" s="36"/>
      <c r="AM95" s="117" t="s">
        <v>141</v>
      </c>
      <c r="AN95" s="117" t="s">
        <v>141</v>
      </c>
      <c r="AO95" s="117" t="s">
        <v>141</v>
      </c>
      <c r="AP95" s="117"/>
      <c r="AQ95" s="117"/>
      <c r="AR95" s="117" t="s">
        <v>141</v>
      </c>
      <c r="AS95" s="117"/>
      <c r="AT95" s="117"/>
      <c r="AU95" s="117"/>
      <c r="AV95" s="119">
        <f t="shared" si="1"/>
        <v>19</v>
      </c>
      <c r="AW95" s="119"/>
      <c r="AX95" s="119" t="s">
        <v>2142</v>
      </c>
    </row>
    <row r="96" spans="1:50">
      <c r="A96">
        <v>90</v>
      </c>
      <c r="B96">
        <v>646</v>
      </c>
      <c r="C96">
        <v>96</v>
      </c>
      <c r="D96" s="7">
        <v>45705</v>
      </c>
      <c r="E96" s="7" t="s">
        <v>672</v>
      </c>
      <c r="F96" s="10" t="s">
        <v>671</v>
      </c>
      <c r="G96" s="36" t="s">
        <v>141</v>
      </c>
      <c r="H96" s="36" t="s">
        <v>141</v>
      </c>
      <c r="I96" s="36"/>
      <c r="J96" s="36" t="s">
        <v>141</v>
      </c>
      <c r="K96" s="36"/>
      <c r="L96" s="36" t="s">
        <v>141</v>
      </c>
      <c r="M96" s="36"/>
      <c r="N96" s="36"/>
      <c r="O96" s="119" t="s">
        <v>141</v>
      </c>
      <c r="P96" s="36" t="s">
        <v>141</v>
      </c>
      <c r="Q96" s="36"/>
      <c r="R96" s="36"/>
      <c r="S96" s="36"/>
      <c r="T96" s="36" t="s">
        <v>141</v>
      </c>
      <c r="U96" s="36" t="s">
        <v>141</v>
      </c>
      <c r="V96" s="36" t="s">
        <v>141</v>
      </c>
      <c r="W96" s="36" t="s">
        <v>141</v>
      </c>
      <c r="X96" s="36"/>
      <c r="Y96" s="36" t="s">
        <v>141</v>
      </c>
      <c r="Z96" s="36"/>
      <c r="AA96" s="117"/>
      <c r="AB96" s="36"/>
      <c r="AC96" s="117" t="s">
        <v>141</v>
      </c>
      <c r="AD96" s="36"/>
      <c r="AE96" s="36" t="s">
        <v>141</v>
      </c>
      <c r="AF96" s="117" t="s">
        <v>141</v>
      </c>
      <c r="AG96" s="36"/>
      <c r="AH96" s="36" t="s">
        <v>141</v>
      </c>
      <c r="AI96" s="117"/>
      <c r="AJ96" s="36"/>
      <c r="AK96" s="36"/>
      <c r="AL96" s="36"/>
      <c r="AM96" s="117" t="s">
        <v>141</v>
      </c>
      <c r="AN96" s="117" t="s">
        <v>141</v>
      </c>
      <c r="AO96" s="117" t="s">
        <v>141</v>
      </c>
      <c r="AP96" s="117"/>
      <c r="AQ96" s="117"/>
      <c r="AR96" s="117" t="s">
        <v>141</v>
      </c>
      <c r="AS96" s="117"/>
      <c r="AT96" s="117"/>
      <c r="AU96" s="117"/>
      <c r="AV96" s="119">
        <f t="shared" si="1"/>
        <v>19</v>
      </c>
      <c r="AW96" s="119"/>
      <c r="AX96" s="119" t="s">
        <v>2142</v>
      </c>
    </row>
    <row r="97" spans="1:50">
      <c r="A97" t="s">
        <v>57</v>
      </c>
      <c r="B97" t="s">
        <v>57</v>
      </c>
      <c r="C97">
        <v>97</v>
      </c>
      <c r="D97" s="7">
        <v>45705</v>
      </c>
      <c r="E97" s="7" t="s">
        <v>2134</v>
      </c>
      <c r="F97" s="10" t="s">
        <v>2130</v>
      </c>
      <c r="G97" s="36" t="s">
        <v>141</v>
      </c>
      <c r="H97" s="36" t="s">
        <v>141</v>
      </c>
      <c r="I97" s="36" t="s">
        <v>2131</v>
      </c>
      <c r="J97" s="36" t="s">
        <v>141</v>
      </c>
      <c r="K97" s="36" t="s">
        <v>2131</v>
      </c>
      <c r="L97" s="36" t="s">
        <v>141</v>
      </c>
      <c r="M97" s="36" t="s">
        <v>2131</v>
      </c>
      <c r="N97" s="36" t="s">
        <v>141</v>
      </c>
      <c r="O97" s="119"/>
      <c r="P97" s="36" t="s">
        <v>141</v>
      </c>
      <c r="Q97" s="36" t="s">
        <v>141</v>
      </c>
      <c r="R97" s="36" t="s">
        <v>2131</v>
      </c>
      <c r="S97" s="36" t="s">
        <v>141</v>
      </c>
      <c r="T97" s="36" t="s">
        <v>141</v>
      </c>
      <c r="U97" s="36" t="s">
        <v>141</v>
      </c>
      <c r="V97" s="36" t="s">
        <v>141</v>
      </c>
      <c r="W97" s="36" t="s">
        <v>2131</v>
      </c>
      <c r="X97" s="36" t="s">
        <v>2131</v>
      </c>
      <c r="Y97" s="36" t="s">
        <v>141</v>
      </c>
      <c r="Z97" s="36" t="s">
        <v>141</v>
      </c>
      <c r="AA97" s="117" t="s">
        <v>141</v>
      </c>
      <c r="AB97" s="36" t="s">
        <v>141</v>
      </c>
      <c r="AC97" s="117" t="s">
        <v>141</v>
      </c>
      <c r="AD97" s="36" t="s">
        <v>141</v>
      </c>
      <c r="AE97" s="36" t="s">
        <v>141</v>
      </c>
      <c r="AF97" s="117" t="s">
        <v>141</v>
      </c>
      <c r="AG97" s="36" t="s">
        <v>141</v>
      </c>
      <c r="AH97" s="36" t="s">
        <v>141</v>
      </c>
      <c r="AI97" s="117" t="s">
        <v>141</v>
      </c>
      <c r="AJ97" s="36" t="s">
        <v>141</v>
      </c>
      <c r="AK97" s="36" t="s">
        <v>2131</v>
      </c>
      <c r="AL97" s="36" t="s">
        <v>141</v>
      </c>
      <c r="AM97" s="117" t="s">
        <v>141</v>
      </c>
      <c r="AN97" s="117" t="s">
        <v>141</v>
      </c>
      <c r="AO97" s="117" t="s">
        <v>141</v>
      </c>
      <c r="AP97" s="117"/>
      <c r="AQ97" s="117"/>
      <c r="AR97" s="117" t="s">
        <v>141</v>
      </c>
      <c r="AS97" s="117"/>
      <c r="AT97" s="117"/>
      <c r="AU97" s="117"/>
      <c r="AV97" s="119">
        <f t="shared" si="1"/>
        <v>28</v>
      </c>
      <c r="AW97" s="119"/>
      <c r="AX97" s="119" t="s">
        <v>2142</v>
      </c>
    </row>
    <row r="98" spans="1:50">
      <c r="A98">
        <v>91</v>
      </c>
      <c r="B98">
        <v>647</v>
      </c>
      <c r="C98">
        <v>98</v>
      </c>
      <c r="D98" s="7">
        <v>45707</v>
      </c>
      <c r="E98" s="7" t="s">
        <v>677</v>
      </c>
      <c r="F98" s="10" t="s">
        <v>675</v>
      </c>
      <c r="G98" s="36"/>
      <c r="H98" s="36" t="s">
        <v>141</v>
      </c>
      <c r="I98" s="36"/>
      <c r="J98" s="36"/>
      <c r="K98" s="36"/>
      <c r="L98" s="36"/>
      <c r="M98" s="36"/>
      <c r="N98" s="36"/>
      <c r="O98" s="119"/>
      <c r="P98" s="36" t="s">
        <v>141</v>
      </c>
      <c r="Q98" s="36"/>
      <c r="R98" s="36"/>
      <c r="S98" s="36"/>
      <c r="T98" s="36" t="s">
        <v>141</v>
      </c>
      <c r="U98" s="36"/>
      <c r="V98" s="36"/>
      <c r="W98" s="36" t="s">
        <v>141</v>
      </c>
      <c r="X98" s="36"/>
      <c r="Y98" s="36" t="s">
        <v>141</v>
      </c>
      <c r="Z98" s="36"/>
      <c r="AA98" s="117" t="s">
        <v>141</v>
      </c>
      <c r="AB98" s="36"/>
      <c r="AC98" s="117"/>
      <c r="AD98" s="36"/>
      <c r="AE98" s="36"/>
      <c r="AF98" s="117"/>
      <c r="AG98" s="36"/>
      <c r="AH98" s="36"/>
      <c r="AI98" s="117"/>
      <c r="AJ98" s="36"/>
      <c r="AK98" s="36"/>
      <c r="AL98" s="36"/>
      <c r="AM98" s="117" t="s">
        <v>141</v>
      </c>
      <c r="AN98" s="117" t="s">
        <v>141</v>
      </c>
      <c r="AO98" s="117"/>
      <c r="AP98" s="117"/>
      <c r="AQ98" s="117"/>
      <c r="AR98" s="117"/>
      <c r="AS98" s="117"/>
      <c r="AT98" s="117"/>
      <c r="AU98" s="117"/>
      <c r="AV98" s="119">
        <f t="shared" si="1"/>
        <v>8</v>
      </c>
      <c r="AW98" s="119"/>
      <c r="AX98" s="119" t="s">
        <v>2142</v>
      </c>
    </row>
    <row r="99" spans="1:50">
      <c r="A99">
        <v>92</v>
      </c>
      <c r="B99">
        <v>648</v>
      </c>
      <c r="C99">
        <v>99</v>
      </c>
      <c r="D99" s="7">
        <v>45707</v>
      </c>
      <c r="E99" s="7" t="s">
        <v>683</v>
      </c>
      <c r="F99" s="10" t="s">
        <v>681</v>
      </c>
      <c r="G99" s="36"/>
      <c r="H99" s="36" t="s">
        <v>141</v>
      </c>
      <c r="I99" s="36"/>
      <c r="J99" s="36"/>
      <c r="K99" s="36"/>
      <c r="L99" s="36"/>
      <c r="M99" s="36"/>
      <c r="N99" s="36"/>
      <c r="O99" s="119"/>
      <c r="P99" s="36" t="s">
        <v>141</v>
      </c>
      <c r="Q99" s="36"/>
      <c r="R99" s="36"/>
      <c r="S99" s="36"/>
      <c r="T99" s="36" t="s">
        <v>141</v>
      </c>
      <c r="U99" s="36"/>
      <c r="V99" s="36"/>
      <c r="W99" s="36" t="s">
        <v>141</v>
      </c>
      <c r="X99" s="36"/>
      <c r="Y99" s="36" t="s">
        <v>141</v>
      </c>
      <c r="Z99" s="36"/>
      <c r="AA99" s="117" t="s">
        <v>141</v>
      </c>
      <c r="AB99" s="36"/>
      <c r="AC99" s="117"/>
      <c r="AD99" s="36"/>
      <c r="AE99" s="36"/>
      <c r="AF99" s="117"/>
      <c r="AG99" s="36"/>
      <c r="AH99" s="36"/>
      <c r="AI99" s="117"/>
      <c r="AJ99" s="36"/>
      <c r="AK99" s="36"/>
      <c r="AL99" s="36"/>
      <c r="AM99" s="117" t="s">
        <v>141</v>
      </c>
      <c r="AN99" s="117" t="s">
        <v>141</v>
      </c>
      <c r="AO99" s="117"/>
      <c r="AP99" s="117"/>
      <c r="AQ99" s="117"/>
      <c r="AR99" s="117"/>
      <c r="AS99" s="117"/>
      <c r="AT99" s="117"/>
      <c r="AU99" s="117"/>
      <c r="AV99" s="119">
        <f t="shared" si="1"/>
        <v>8</v>
      </c>
      <c r="AW99" s="119"/>
      <c r="AX99" s="119" t="s">
        <v>2142</v>
      </c>
    </row>
    <row r="100" spans="1:50">
      <c r="A100">
        <v>93</v>
      </c>
      <c r="B100">
        <v>649</v>
      </c>
      <c r="C100">
        <v>100</v>
      </c>
      <c r="D100" s="7">
        <v>45707</v>
      </c>
      <c r="E100" s="7" t="s">
        <v>690</v>
      </c>
      <c r="F100" s="10" t="s">
        <v>688</v>
      </c>
      <c r="G100" s="36"/>
      <c r="H100" s="36" t="s">
        <v>141</v>
      </c>
      <c r="I100" s="36"/>
      <c r="J100" s="36"/>
      <c r="K100" s="36"/>
      <c r="L100" s="36" t="s">
        <v>141</v>
      </c>
      <c r="M100" s="36" t="s">
        <v>141</v>
      </c>
      <c r="N100" s="36"/>
      <c r="O100" s="119"/>
      <c r="P100" s="36"/>
      <c r="Q100" s="36" t="s">
        <v>141</v>
      </c>
      <c r="R100" s="36"/>
      <c r="S100" s="36"/>
      <c r="T100" s="36"/>
      <c r="U100" s="36"/>
      <c r="V100" s="36"/>
      <c r="W100" s="36" t="s">
        <v>141</v>
      </c>
      <c r="X100" s="36"/>
      <c r="Y100" s="36"/>
      <c r="Z100" s="36"/>
      <c r="AA100" s="117"/>
      <c r="AB100" s="36"/>
      <c r="AC100" s="117" t="s">
        <v>141</v>
      </c>
      <c r="AD100" s="36"/>
      <c r="AE100" s="36"/>
      <c r="AF100" s="117"/>
      <c r="AG100" s="36" t="s">
        <v>141</v>
      </c>
      <c r="AH100" s="36"/>
      <c r="AI100" s="117"/>
      <c r="AJ100" s="36"/>
      <c r="AK100" s="36"/>
      <c r="AL100" s="36"/>
      <c r="AM100" s="117" t="s">
        <v>141</v>
      </c>
      <c r="AN100" s="117" t="s">
        <v>141</v>
      </c>
      <c r="AO100" s="117" t="s">
        <v>141</v>
      </c>
      <c r="AP100" s="117"/>
      <c r="AQ100" s="117"/>
      <c r="AR100" s="117"/>
      <c r="AS100" s="117"/>
      <c r="AT100" s="117"/>
      <c r="AU100" s="117"/>
      <c r="AV100" s="119">
        <f t="shared" si="1"/>
        <v>10</v>
      </c>
      <c r="AW100" s="119"/>
      <c r="AX100" s="119" t="s">
        <v>2142</v>
      </c>
    </row>
    <row r="101" spans="1:50">
      <c r="A101">
        <v>94</v>
      </c>
      <c r="B101">
        <v>650</v>
      </c>
      <c r="C101">
        <v>101</v>
      </c>
      <c r="D101" s="7">
        <v>45710</v>
      </c>
      <c r="E101" s="7" t="s">
        <v>696</v>
      </c>
      <c r="F101" s="10" t="s">
        <v>693</v>
      </c>
      <c r="G101" s="36" t="s">
        <v>141</v>
      </c>
      <c r="H101" s="36" t="s">
        <v>141</v>
      </c>
      <c r="I101" s="36" t="s">
        <v>141</v>
      </c>
      <c r="J101" s="36" t="s">
        <v>141</v>
      </c>
      <c r="K101" s="36"/>
      <c r="L101" s="36"/>
      <c r="M101" s="36" t="s">
        <v>141</v>
      </c>
      <c r="N101" s="36"/>
      <c r="O101" s="119"/>
      <c r="P101" s="36" t="s">
        <v>141</v>
      </c>
      <c r="Q101" s="36" t="s">
        <v>141</v>
      </c>
      <c r="R101" s="36" t="s">
        <v>141</v>
      </c>
      <c r="S101" s="36" t="s">
        <v>141</v>
      </c>
      <c r="T101" s="36" t="s">
        <v>141</v>
      </c>
      <c r="U101" s="36" t="s">
        <v>141</v>
      </c>
      <c r="V101" s="36" t="s">
        <v>141</v>
      </c>
      <c r="W101" s="36" t="s">
        <v>141</v>
      </c>
      <c r="X101" s="36" t="s">
        <v>141</v>
      </c>
      <c r="Y101" s="36"/>
      <c r="Z101" s="36"/>
      <c r="AA101" s="117"/>
      <c r="AB101" s="36" t="s">
        <v>141</v>
      </c>
      <c r="AC101" s="117"/>
      <c r="AD101" s="36" t="s">
        <v>141</v>
      </c>
      <c r="AE101" s="36"/>
      <c r="AF101" s="117" t="s">
        <v>141</v>
      </c>
      <c r="AG101" s="36"/>
      <c r="AH101" s="36"/>
      <c r="AI101" s="117"/>
      <c r="AJ101" s="36"/>
      <c r="AK101" s="36"/>
      <c r="AL101" s="36"/>
      <c r="AM101" s="117"/>
      <c r="AN101" s="117"/>
      <c r="AO101" s="117"/>
      <c r="AP101" s="117"/>
      <c r="AQ101" s="117"/>
      <c r="AR101" s="117" t="s">
        <v>141</v>
      </c>
      <c r="AS101" s="117"/>
      <c r="AT101" s="117"/>
      <c r="AU101" s="117"/>
      <c r="AV101" s="119">
        <f t="shared" si="1"/>
        <v>18</v>
      </c>
      <c r="AW101" s="119"/>
      <c r="AX101" s="119" t="s">
        <v>2142</v>
      </c>
    </row>
    <row r="102" spans="1:50">
      <c r="A102">
        <v>95</v>
      </c>
      <c r="B102">
        <v>651</v>
      </c>
      <c r="C102">
        <v>102</v>
      </c>
      <c r="D102" s="7">
        <v>45710</v>
      </c>
      <c r="E102" s="7" t="s">
        <v>700</v>
      </c>
      <c r="F102" s="10" t="s">
        <v>699</v>
      </c>
      <c r="G102" s="36" t="s">
        <v>141</v>
      </c>
      <c r="H102" s="36"/>
      <c r="I102" s="36" t="s">
        <v>141</v>
      </c>
      <c r="J102" s="36"/>
      <c r="K102" s="36"/>
      <c r="L102" s="36"/>
      <c r="M102" s="36" t="s">
        <v>141</v>
      </c>
      <c r="N102" s="36"/>
      <c r="O102" s="119"/>
      <c r="P102" s="36" t="s">
        <v>141</v>
      </c>
      <c r="Q102" s="36"/>
      <c r="R102" s="36"/>
      <c r="S102" s="36"/>
      <c r="T102" s="36" t="s">
        <v>141</v>
      </c>
      <c r="U102" s="36"/>
      <c r="V102" s="36" t="s">
        <v>141</v>
      </c>
      <c r="W102" s="36" t="s">
        <v>141</v>
      </c>
      <c r="X102" s="36"/>
      <c r="Y102" s="36"/>
      <c r="Z102" s="36"/>
      <c r="AA102" s="117"/>
      <c r="AB102" s="36" t="s">
        <v>141</v>
      </c>
      <c r="AC102" s="117"/>
      <c r="AD102" s="36" t="s">
        <v>141</v>
      </c>
      <c r="AE102" s="36"/>
      <c r="AF102" s="117"/>
      <c r="AG102" s="36"/>
      <c r="AH102" s="36"/>
      <c r="AI102" s="117"/>
      <c r="AJ102" s="36"/>
      <c r="AK102" s="36"/>
      <c r="AL102" s="36"/>
      <c r="AM102" s="117"/>
      <c r="AN102" s="117"/>
      <c r="AO102" s="117" t="s">
        <v>141</v>
      </c>
      <c r="AP102" s="117"/>
      <c r="AQ102" s="117"/>
      <c r="AR102" s="117"/>
      <c r="AS102" s="117"/>
      <c r="AT102" s="117"/>
      <c r="AU102" s="117"/>
      <c r="AV102" s="119">
        <f t="shared" si="1"/>
        <v>10</v>
      </c>
      <c r="AW102" s="119"/>
      <c r="AX102" s="119" t="s">
        <v>2142</v>
      </c>
    </row>
    <row r="103" spans="1:50">
      <c r="A103">
        <v>96</v>
      </c>
      <c r="B103">
        <v>652</v>
      </c>
      <c r="C103">
        <v>103</v>
      </c>
      <c r="D103" s="7">
        <v>45712</v>
      </c>
      <c r="E103" s="7" t="s">
        <v>705</v>
      </c>
      <c r="F103" s="10" t="s">
        <v>702</v>
      </c>
      <c r="G103" s="36"/>
      <c r="H103" s="36" t="s">
        <v>141</v>
      </c>
      <c r="I103" s="36"/>
      <c r="J103" s="36"/>
      <c r="K103" s="36"/>
      <c r="L103" s="36" t="s">
        <v>141</v>
      </c>
      <c r="M103" s="36" t="s">
        <v>141</v>
      </c>
      <c r="N103" s="36"/>
      <c r="O103" s="119"/>
      <c r="P103" s="36" t="s">
        <v>141</v>
      </c>
      <c r="Q103" s="36"/>
      <c r="R103" s="36"/>
      <c r="S103" s="36"/>
      <c r="T103" s="36" t="s">
        <v>141</v>
      </c>
      <c r="U103" s="36"/>
      <c r="V103" s="36"/>
      <c r="W103" s="36"/>
      <c r="X103" s="36" t="s">
        <v>141</v>
      </c>
      <c r="Y103" s="36"/>
      <c r="Z103" s="36"/>
      <c r="AA103" s="117"/>
      <c r="AB103" s="36"/>
      <c r="AC103" s="117"/>
      <c r="AD103" s="36"/>
      <c r="AE103" s="36" t="s">
        <v>141</v>
      </c>
      <c r="AF103" s="117"/>
      <c r="AG103" s="36"/>
      <c r="AH103" s="36"/>
      <c r="AI103" s="117" t="s">
        <v>141</v>
      </c>
      <c r="AJ103" s="36"/>
      <c r="AK103" s="36"/>
      <c r="AL103" s="36"/>
      <c r="AM103" s="117"/>
      <c r="AN103" s="117"/>
      <c r="AO103" s="117" t="s">
        <v>141</v>
      </c>
      <c r="AP103" s="117"/>
      <c r="AQ103" s="117"/>
      <c r="AR103" s="117"/>
      <c r="AS103" s="117"/>
      <c r="AT103" s="117"/>
      <c r="AU103" s="117"/>
      <c r="AV103" s="119">
        <f t="shared" si="1"/>
        <v>9</v>
      </c>
      <c r="AW103" s="119"/>
      <c r="AX103" s="119" t="s">
        <v>2142</v>
      </c>
    </row>
    <row r="104" spans="1:50">
      <c r="A104">
        <v>97</v>
      </c>
      <c r="B104">
        <v>653</v>
      </c>
      <c r="C104">
        <v>104</v>
      </c>
      <c r="D104" s="7">
        <v>45712</v>
      </c>
      <c r="E104" s="7" t="s">
        <v>713</v>
      </c>
      <c r="F104" s="10" t="s">
        <v>708</v>
      </c>
      <c r="G104" s="36" t="s">
        <v>141</v>
      </c>
      <c r="H104" s="36" t="s">
        <v>141</v>
      </c>
      <c r="I104" s="36"/>
      <c r="J104" s="36" t="s">
        <v>141</v>
      </c>
      <c r="K104" s="36"/>
      <c r="L104" s="36" t="s">
        <v>141</v>
      </c>
      <c r="M104" s="36" t="s">
        <v>141</v>
      </c>
      <c r="N104" s="36"/>
      <c r="O104" s="119"/>
      <c r="P104" s="36" t="s">
        <v>141</v>
      </c>
      <c r="Q104" s="36"/>
      <c r="R104" s="36"/>
      <c r="S104" s="36"/>
      <c r="T104" s="36" t="s">
        <v>141</v>
      </c>
      <c r="U104" s="36"/>
      <c r="V104" s="36"/>
      <c r="W104" s="36"/>
      <c r="X104" s="36" t="s">
        <v>141</v>
      </c>
      <c r="Y104" s="36"/>
      <c r="Z104" s="36"/>
      <c r="AA104" s="117"/>
      <c r="AB104" s="36"/>
      <c r="AC104" s="117"/>
      <c r="AD104" s="36"/>
      <c r="AE104" s="36" t="s">
        <v>141</v>
      </c>
      <c r="AF104" s="117"/>
      <c r="AG104" s="36"/>
      <c r="AH104" s="36"/>
      <c r="AI104" s="117"/>
      <c r="AJ104" s="36"/>
      <c r="AK104" s="36"/>
      <c r="AL104" s="36"/>
      <c r="AM104" s="117"/>
      <c r="AN104" s="117"/>
      <c r="AO104" s="117"/>
      <c r="AP104" s="117"/>
      <c r="AQ104" s="117"/>
      <c r="AR104" s="117"/>
      <c r="AS104" s="117"/>
      <c r="AT104" s="117"/>
      <c r="AU104" s="117"/>
      <c r="AV104" s="119">
        <f t="shared" si="1"/>
        <v>9</v>
      </c>
      <c r="AW104" s="119"/>
      <c r="AX104" s="119" t="s">
        <v>2142</v>
      </c>
    </row>
    <row r="105" spans="1:50">
      <c r="A105" t="s">
        <v>57</v>
      </c>
      <c r="B105" t="s">
        <v>57</v>
      </c>
      <c r="C105">
        <v>105</v>
      </c>
      <c r="D105" s="7">
        <v>45712</v>
      </c>
      <c r="E105" s="7" t="s">
        <v>2129</v>
      </c>
      <c r="F105" s="10" t="s">
        <v>2130</v>
      </c>
      <c r="G105" s="36" t="s">
        <v>141</v>
      </c>
      <c r="H105" s="36" t="s">
        <v>141</v>
      </c>
      <c r="I105" s="36" t="s">
        <v>141</v>
      </c>
      <c r="J105" s="36" t="s">
        <v>141</v>
      </c>
      <c r="K105" s="36" t="s">
        <v>141</v>
      </c>
      <c r="L105" s="36" t="s">
        <v>141</v>
      </c>
      <c r="M105" s="36" t="s">
        <v>141</v>
      </c>
      <c r="N105" s="36" t="s">
        <v>2131</v>
      </c>
      <c r="O105" s="119" t="s">
        <v>2131</v>
      </c>
      <c r="P105" s="36" t="s">
        <v>141</v>
      </c>
      <c r="Q105" s="36" t="s">
        <v>141</v>
      </c>
      <c r="R105" s="36" t="s">
        <v>2131</v>
      </c>
      <c r="S105" s="36" t="s">
        <v>2131</v>
      </c>
      <c r="T105" s="36" t="s">
        <v>141</v>
      </c>
      <c r="U105" s="36" t="s">
        <v>141</v>
      </c>
      <c r="V105" s="36" t="s">
        <v>141</v>
      </c>
      <c r="W105" s="36" t="s">
        <v>141</v>
      </c>
      <c r="X105" s="36" t="s">
        <v>141</v>
      </c>
      <c r="Y105" s="36" t="s">
        <v>141</v>
      </c>
      <c r="Z105" s="36" t="s">
        <v>2131</v>
      </c>
      <c r="AA105" s="117"/>
      <c r="AB105" s="36" t="s">
        <v>141</v>
      </c>
      <c r="AC105" s="117" t="s">
        <v>2131</v>
      </c>
      <c r="AD105" s="36" t="s">
        <v>141</v>
      </c>
      <c r="AE105" s="36" t="s">
        <v>141</v>
      </c>
      <c r="AF105" s="117" t="s">
        <v>2131</v>
      </c>
      <c r="AG105" s="36" t="s">
        <v>2131</v>
      </c>
      <c r="AH105" s="36"/>
      <c r="AI105" s="117" t="s">
        <v>141</v>
      </c>
      <c r="AJ105" s="36" t="s">
        <v>141</v>
      </c>
      <c r="AK105" s="36" t="s">
        <v>2131</v>
      </c>
      <c r="AL105" s="36" t="s">
        <v>141</v>
      </c>
      <c r="AM105" s="117" t="s">
        <v>141</v>
      </c>
      <c r="AN105" s="117" t="s">
        <v>141</v>
      </c>
      <c r="AO105" s="117"/>
      <c r="AP105" s="117"/>
      <c r="AQ105" s="117"/>
      <c r="AR105" s="117" t="s">
        <v>141</v>
      </c>
      <c r="AS105" s="117"/>
      <c r="AT105" s="117"/>
      <c r="AU105" s="117"/>
      <c r="AV105" s="119">
        <f t="shared" si="1"/>
        <v>24</v>
      </c>
      <c r="AW105" s="119"/>
      <c r="AX105" s="119" t="s">
        <v>2142</v>
      </c>
    </row>
    <row r="106" spans="1:50">
      <c r="A106">
        <v>98</v>
      </c>
      <c r="B106">
        <v>654</v>
      </c>
      <c r="C106">
        <v>106</v>
      </c>
      <c r="D106" s="7">
        <v>45714</v>
      </c>
      <c r="E106" s="7" t="s">
        <v>718</v>
      </c>
      <c r="F106" s="10" t="s">
        <v>716</v>
      </c>
      <c r="G106" s="36" t="s">
        <v>141</v>
      </c>
      <c r="H106" s="36" t="s">
        <v>141</v>
      </c>
      <c r="I106" s="36"/>
      <c r="J106" s="36" t="s">
        <v>141</v>
      </c>
      <c r="K106" s="36"/>
      <c r="L106" s="36"/>
      <c r="M106" s="36"/>
      <c r="N106" s="36"/>
      <c r="O106" s="119" t="s">
        <v>141</v>
      </c>
      <c r="P106" s="36"/>
      <c r="Q106" s="36" t="s">
        <v>141</v>
      </c>
      <c r="R106" s="36"/>
      <c r="S106" s="36"/>
      <c r="T106" s="36" t="s">
        <v>141</v>
      </c>
      <c r="U106" s="36"/>
      <c r="V106" s="36"/>
      <c r="W106" s="36" t="s">
        <v>141</v>
      </c>
      <c r="X106" s="36"/>
      <c r="Y106" s="36"/>
      <c r="Z106" s="36"/>
      <c r="AA106" s="117"/>
      <c r="AB106" s="36" t="s">
        <v>141</v>
      </c>
      <c r="AC106" s="117" t="s">
        <v>141</v>
      </c>
      <c r="AD106" s="36" t="s">
        <v>141</v>
      </c>
      <c r="AE106" s="36"/>
      <c r="AF106" s="117"/>
      <c r="AG106" s="36"/>
      <c r="AH106" s="36" t="s">
        <v>141</v>
      </c>
      <c r="AI106" s="117"/>
      <c r="AJ106" s="36"/>
      <c r="AK106" s="36"/>
      <c r="AL106" s="36"/>
      <c r="AM106" s="117" t="s">
        <v>141</v>
      </c>
      <c r="AN106" s="117" t="s">
        <v>141</v>
      </c>
      <c r="AO106" s="117" t="s">
        <v>141</v>
      </c>
      <c r="AP106" s="117"/>
      <c r="AQ106" s="117"/>
      <c r="AR106" s="117"/>
      <c r="AS106" s="117"/>
      <c r="AT106" s="117"/>
      <c r="AU106" s="117"/>
      <c r="AV106" s="119">
        <f t="shared" si="1"/>
        <v>14</v>
      </c>
      <c r="AW106" s="119"/>
      <c r="AX106" s="119" t="s">
        <v>2142</v>
      </c>
    </row>
    <row r="107" spans="1:50">
      <c r="A107">
        <v>99</v>
      </c>
      <c r="B107">
        <v>655</v>
      </c>
      <c r="C107">
        <v>107</v>
      </c>
      <c r="D107" s="7">
        <v>45714</v>
      </c>
      <c r="E107" s="7" t="s">
        <v>723</v>
      </c>
      <c r="F107" s="10" t="s">
        <v>721</v>
      </c>
      <c r="G107" s="36" t="s">
        <v>141</v>
      </c>
      <c r="H107" s="36" t="s">
        <v>141</v>
      </c>
      <c r="I107" s="36"/>
      <c r="J107" s="36" t="s">
        <v>141</v>
      </c>
      <c r="K107" s="36"/>
      <c r="L107" s="36"/>
      <c r="M107" s="36"/>
      <c r="N107" s="36"/>
      <c r="O107" s="119" t="s">
        <v>141</v>
      </c>
      <c r="P107" s="36"/>
      <c r="Q107" s="36" t="s">
        <v>141</v>
      </c>
      <c r="R107" s="36"/>
      <c r="S107" s="36"/>
      <c r="T107" s="36" t="s">
        <v>141</v>
      </c>
      <c r="U107" s="36"/>
      <c r="V107" s="36"/>
      <c r="W107" s="36" t="s">
        <v>141</v>
      </c>
      <c r="X107" s="36"/>
      <c r="Y107" s="36"/>
      <c r="Z107" s="36"/>
      <c r="AA107" s="117"/>
      <c r="AB107" s="36" t="s">
        <v>141</v>
      </c>
      <c r="AC107" s="117" t="s">
        <v>141</v>
      </c>
      <c r="AD107" s="36" t="s">
        <v>141</v>
      </c>
      <c r="AE107" s="36"/>
      <c r="AF107" s="117" t="s">
        <v>141</v>
      </c>
      <c r="AG107" s="36"/>
      <c r="AH107" s="36" t="s">
        <v>141</v>
      </c>
      <c r="AI107" s="117"/>
      <c r="AJ107" s="36"/>
      <c r="AK107" s="36"/>
      <c r="AL107" s="36"/>
      <c r="AM107" s="117" t="s">
        <v>141</v>
      </c>
      <c r="AN107" s="117" t="s">
        <v>141</v>
      </c>
      <c r="AO107" s="117" t="s">
        <v>141</v>
      </c>
      <c r="AP107" s="117"/>
      <c r="AQ107" s="117"/>
      <c r="AR107" s="117"/>
      <c r="AS107" s="117"/>
      <c r="AT107" s="117"/>
      <c r="AU107" s="117"/>
      <c r="AV107" s="119">
        <f t="shared" si="1"/>
        <v>15</v>
      </c>
      <c r="AW107" s="119"/>
      <c r="AX107" s="119" t="s">
        <v>2142</v>
      </c>
    </row>
    <row r="108" spans="1:50">
      <c r="A108">
        <v>100</v>
      </c>
      <c r="B108">
        <v>656</v>
      </c>
      <c r="C108">
        <v>108</v>
      </c>
      <c r="D108" s="7">
        <v>45715</v>
      </c>
      <c r="E108" s="7" t="s">
        <v>731</v>
      </c>
      <c r="F108" s="10" t="s">
        <v>727</v>
      </c>
      <c r="G108" s="36"/>
      <c r="H108" s="36" t="s">
        <v>141</v>
      </c>
      <c r="I108" s="36"/>
      <c r="J108" s="36"/>
      <c r="K108" s="36"/>
      <c r="L108" s="36" t="s">
        <v>141</v>
      </c>
      <c r="M108" s="36"/>
      <c r="N108" s="36"/>
      <c r="O108" s="119"/>
      <c r="P108" s="36" t="s">
        <v>141</v>
      </c>
      <c r="Q108" s="36" t="s">
        <v>141</v>
      </c>
      <c r="R108" s="36"/>
      <c r="S108" s="36"/>
      <c r="T108" s="36" t="s">
        <v>141</v>
      </c>
      <c r="U108" s="36" t="s">
        <v>141</v>
      </c>
      <c r="V108" s="36"/>
      <c r="W108" s="36"/>
      <c r="X108" s="36"/>
      <c r="Y108" s="36"/>
      <c r="Z108" s="36"/>
      <c r="AA108" s="117"/>
      <c r="AB108" s="36" t="s">
        <v>141</v>
      </c>
      <c r="AC108" s="117"/>
      <c r="AD108" s="36" t="s">
        <v>141</v>
      </c>
      <c r="AE108" s="36"/>
      <c r="AF108" s="117"/>
      <c r="AG108" s="36"/>
      <c r="AH108" s="36"/>
      <c r="AI108" s="117" t="s">
        <v>141</v>
      </c>
      <c r="AJ108" s="36"/>
      <c r="AK108" s="36"/>
      <c r="AL108" s="36"/>
      <c r="AM108" s="117" t="s">
        <v>141</v>
      </c>
      <c r="AN108" s="117" t="s">
        <v>141</v>
      </c>
      <c r="AO108" s="117" t="s">
        <v>141</v>
      </c>
      <c r="AP108" s="117"/>
      <c r="AQ108" s="117"/>
      <c r="AR108" s="117"/>
      <c r="AS108" s="117"/>
      <c r="AT108" s="117"/>
      <c r="AU108" s="117"/>
      <c r="AV108" s="119">
        <f t="shared" si="1"/>
        <v>12</v>
      </c>
      <c r="AW108" s="119"/>
      <c r="AX108" s="119" t="s">
        <v>2142</v>
      </c>
    </row>
    <row r="109" spans="1:50">
      <c r="A109">
        <v>101</v>
      </c>
      <c r="B109">
        <v>657</v>
      </c>
      <c r="C109">
        <v>109</v>
      </c>
      <c r="D109" s="7">
        <v>45715</v>
      </c>
      <c r="E109" s="7" t="s">
        <v>735</v>
      </c>
      <c r="F109" s="10" t="s">
        <v>734</v>
      </c>
      <c r="G109" s="36"/>
      <c r="H109" s="36" t="s">
        <v>141</v>
      </c>
      <c r="I109" s="36"/>
      <c r="J109" s="36"/>
      <c r="K109" s="36"/>
      <c r="L109" s="36" t="s">
        <v>141</v>
      </c>
      <c r="M109" s="36" t="s">
        <v>141</v>
      </c>
      <c r="N109" s="36"/>
      <c r="O109" s="119"/>
      <c r="P109" s="36" t="s">
        <v>141</v>
      </c>
      <c r="Q109" s="36" t="s">
        <v>141</v>
      </c>
      <c r="R109" s="36"/>
      <c r="S109" s="36"/>
      <c r="T109" s="36" t="s">
        <v>141</v>
      </c>
      <c r="U109" s="36" t="s">
        <v>141</v>
      </c>
      <c r="V109" s="36"/>
      <c r="W109" s="36"/>
      <c r="X109" s="36"/>
      <c r="Y109" s="36" t="s">
        <v>141</v>
      </c>
      <c r="Z109" s="36"/>
      <c r="AA109" s="117"/>
      <c r="AB109" s="36"/>
      <c r="AC109" s="117" t="s">
        <v>141</v>
      </c>
      <c r="AD109" s="36" t="s">
        <v>141</v>
      </c>
      <c r="AE109" s="36"/>
      <c r="AF109" s="117"/>
      <c r="AG109" s="36"/>
      <c r="AH109" s="36"/>
      <c r="AI109" s="117" t="s">
        <v>141</v>
      </c>
      <c r="AJ109" s="36"/>
      <c r="AK109" s="36"/>
      <c r="AL109" s="36"/>
      <c r="AM109" s="117"/>
      <c r="AN109" s="117"/>
      <c r="AO109" s="117" t="s">
        <v>141</v>
      </c>
      <c r="AP109" s="117"/>
      <c r="AQ109" s="117"/>
      <c r="AR109" s="117"/>
      <c r="AS109" s="117"/>
      <c r="AT109" s="117"/>
      <c r="AU109" s="117"/>
      <c r="AV109" s="119">
        <f t="shared" si="1"/>
        <v>12</v>
      </c>
      <c r="AW109" s="119"/>
      <c r="AX109" s="119" t="s">
        <v>2142</v>
      </c>
    </row>
    <row r="110" spans="1:50">
      <c r="A110">
        <v>102</v>
      </c>
      <c r="B110">
        <v>658</v>
      </c>
      <c r="C110">
        <v>110</v>
      </c>
      <c r="D110" s="7">
        <v>45715</v>
      </c>
      <c r="E110" s="7" t="s">
        <v>742</v>
      </c>
      <c r="F110" s="10" t="s">
        <v>738</v>
      </c>
      <c r="G110" s="36"/>
      <c r="H110" s="36"/>
      <c r="I110" s="36"/>
      <c r="J110" s="36" t="s">
        <v>141</v>
      </c>
      <c r="K110" s="36"/>
      <c r="L110" s="36"/>
      <c r="M110" s="36"/>
      <c r="N110" s="36"/>
      <c r="O110" s="119"/>
      <c r="P110" s="36" t="s">
        <v>141</v>
      </c>
      <c r="Q110" s="36"/>
      <c r="R110" s="36"/>
      <c r="S110" s="36"/>
      <c r="T110" s="36" t="s">
        <v>141</v>
      </c>
      <c r="U110" s="36"/>
      <c r="V110" s="36"/>
      <c r="W110" s="36" t="s">
        <v>141</v>
      </c>
      <c r="X110" s="36"/>
      <c r="Y110" s="36"/>
      <c r="Z110" s="36"/>
      <c r="AA110" s="117"/>
      <c r="AB110" s="36"/>
      <c r="AC110" s="117"/>
      <c r="AD110" s="36"/>
      <c r="AE110" s="36"/>
      <c r="AF110" s="117"/>
      <c r="AG110" s="36"/>
      <c r="AH110" s="36" t="s">
        <v>141</v>
      </c>
      <c r="AI110" s="117"/>
      <c r="AJ110" s="36"/>
      <c r="AK110" s="36"/>
      <c r="AL110" s="36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9">
        <f t="shared" si="1"/>
        <v>5</v>
      </c>
      <c r="AW110" s="119"/>
      <c r="AX110" s="119" t="s">
        <v>2142</v>
      </c>
    </row>
    <row r="111" spans="1:50">
      <c r="A111">
        <v>103</v>
      </c>
      <c r="B111">
        <v>659</v>
      </c>
      <c r="C111">
        <v>111</v>
      </c>
      <c r="D111" s="7">
        <v>45716</v>
      </c>
      <c r="E111" s="7" t="s">
        <v>747</v>
      </c>
      <c r="F111" s="10" t="s">
        <v>745</v>
      </c>
      <c r="G111" s="36" t="s">
        <v>141</v>
      </c>
      <c r="H111" s="36"/>
      <c r="I111" s="36"/>
      <c r="J111" s="36" t="s">
        <v>141</v>
      </c>
      <c r="K111" s="36" t="s">
        <v>141</v>
      </c>
      <c r="L111" s="36"/>
      <c r="M111" s="36"/>
      <c r="N111" s="36"/>
      <c r="O111" s="119"/>
      <c r="P111" s="36" t="s">
        <v>141</v>
      </c>
      <c r="Q111" s="36"/>
      <c r="R111" s="36"/>
      <c r="S111" s="36"/>
      <c r="T111" s="36"/>
      <c r="U111" s="36"/>
      <c r="V111" s="36" t="s">
        <v>141</v>
      </c>
      <c r="W111" s="36"/>
      <c r="X111" s="36"/>
      <c r="Y111" s="36" t="s">
        <v>141</v>
      </c>
      <c r="Z111" s="36"/>
      <c r="AA111" s="117" t="s">
        <v>141</v>
      </c>
      <c r="AB111" s="36"/>
      <c r="AC111" s="117"/>
      <c r="AD111" s="36"/>
      <c r="AE111" s="36"/>
      <c r="AF111" s="117"/>
      <c r="AG111" s="36" t="s">
        <v>141</v>
      </c>
      <c r="AH111" s="36" t="s">
        <v>141</v>
      </c>
      <c r="AI111" s="117"/>
      <c r="AJ111" s="36"/>
      <c r="AK111" s="36"/>
      <c r="AL111" s="36"/>
      <c r="AM111" s="117" t="s">
        <v>141</v>
      </c>
      <c r="AN111" s="117" t="s">
        <v>141</v>
      </c>
      <c r="AO111" s="117"/>
      <c r="AP111" s="117"/>
      <c r="AQ111" s="117"/>
      <c r="AR111" s="117"/>
      <c r="AS111" s="117"/>
      <c r="AT111" s="117"/>
      <c r="AU111" s="117"/>
      <c r="AV111" s="119">
        <f t="shared" si="1"/>
        <v>11</v>
      </c>
      <c r="AW111" s="119"/>
      <c r="AX111" s="119" t="s">
        <v>2142</v>
      </c>
    </row>
    <row r="112" spans="1:50">
      <c r="A112">
        <v>104</v>
      </c>
      <c r="B112">
        <v>660</v>
      </c>
      <c r="C112">
        <v>112</v>
      </c>
      <c r="D112" s="7">
        <v>45716</v>
      </c>
      <c r="E112" s="7" t="s">
        <v>754</v>
      </c>
      <c r="F112" s="10" t="s">
        <v>751</v>
      </c>
      <c r="G112" s="36" t="s">
        <v>141</v>
      </c>
      <c r="H112" s="36"/>
      <c r="I112" s="36"/>
      <c r="J112" s="36" t="s">
        <v>141</v>
      </c>
      <c r="K112" s="36"/>
      <c r="L112" s="36"/>
      <c r="M112" s="36"/>
      <c r="N112" s="36"/>
      <c r="O112" s="119"/>
      <c r="P112" s="36" t="s">
        <v>141</v>
      </c>
      <c r="Q112" s="36"/>
      <c r="R112" s="36"/>
      <c r="S112" s="36"/>
      <c r="T112" s="36"/>
      <c r="U112" s="36"/>
      <c r="V112" s="36"/>
      <c r="W112" s="36" t="s">
        <v>141</v>
      </c>
      <c r="X112" s="36"/>
      <c r="Y112" s="36" t="s">
        <v>141</v>
      </c>
      <c r="Z112" s="36"/>
      <c r="AA112" s="117" t="s">
        <v>141</v>
      </c>
      <c r="AB112" s="36" t="s">
        <v>141</v>
      </c>
      <c r="AC112" s="117" t="s">
        <v>141</v>
      </c>
      <c r="AD112" s="36" t="s">
        <v>141</v>
      </c>
      <c r="AE112" s="36"/>
      <c r="AF112" s="117"/>
      <c r="AG112" s="36" t="s">
        <v>141</v>
      </c>
      <c r="AH112" s="36" t="s">
        <v>141</v>
      </c>
      <c r="AI112" s="117"/>
      <c r="AJ112" s="36"/>
      <c r="AK112" s="36"/>
      <c r="AL112" s="36"/>
      <c r="AM112" s="117" t="s">
        <v>141</v>
      </c>
      <c r="AN112" s="117" t="s">
        <v>141</v>
      </c>
      <c r="AO112" s="117" t="s">
        <v>141</v>
      </c>
      <c r="AP112" s="117"/>
      <c r="AQ112" s="117"/>
      <c r="AR112" s="117"/>
      <c r="AS112" s="117"/>
      <c r="AT112" s="117"/>
      <c r="AU112" s="117"/>
      <c r="AV112" s="119">
        <f t="shared" si="1"/>
        <v>14</v>
      </c>
      <c r="AW112" s="119"/>
      <c r="AX112" s="119" t="s">
        <v>2142</v>
      </c>
    </row>
    <row r="113" spans="1:50">
      <c r="A113">
        <v>105</v>
      </c>
      <c r="B113">
        <v>661</v>
      </c>
      <c r="C113">
        <v>113</v>
      </c>
      <c r="D113" s="7">
        <v>45716</v>
      </c>
      <c r="E113" s="7" t="s">
        <v>759</v>
      </c>
      <c r="F113" s="10" t="s">
        <v>757</v>
      </c>
      <c r="G113" s="36" t="s">
        <v>141</v>
      </c>
      <c r="H113" s="36"/>
      <c r="I113" s="36" t="s">
        <v>141</v>
      </c>
      <c r="J113" s="36" t="s">
        <v>141</v>
      </c>
      <c r="K113" s="36" t="s">
        <v>141</v>
      </c>
      <c r="L113" s="36" t="s">
        <v>141</v>
      </c>
      <c r="M113" s="36"/>
      <c r="N113" s="36"/>
      <c r="O113" s="119"/>
      <c r="P113" s="36"/>
      <c r="Q113" s="36"/>
      <c r="R113" s="36" t="s">
        <v>141</v>
      </c>
      <c r="S113" s="36"/>
      <c r="T113" s="36"/>
      <c r="U113" s="36"/>
      <c r="V113" s="36"/>
      <c r="W113" s="36" t="s">
        <v>141</v>
      </c>
      <c r="X113" s="36"/>
      <c r="Y113" s="36" t="s">
        <v>141</v>
      </c>
      <c r="Z113" s="36"/>
      <c r="AA113" s="117"/>
      <c r="AB113" s="36" t="s">
        <v>141</v>
      </c>
      <c r="AC113" s="117"/>
      <c r="AD113" s="36"/>
      <c r="AE113" s="36"/>
      <c r="AF113" s="117"/>
      <c r="AG113" s="36"/>
      <c r="AH113" s="36" t="s">
        <v>141</v>
      </c>
      <c r="AI113" s="117"/>
      <c r="AJ113" s="36"/>
      <c r="AK113" s="36"/>
      <c r="AL113" s="36"/>
      <c r="AM113" s="117" t="s">
        <v>141</v>
      </c>
      <c r="AN113" s="117" t="s">
        <v>141</v>
      </c>
      <c r="AO113" s="117" t="s">
        <v>141</v>
      </c>
      <c r="AP113" s="117"/>
      <c r="AQ113" s="117"/>
      <c r="AR113" s="117" t="s">
        <v>141</v>
      </c>
      <c r="AS113" s="117"/>
      <c r="AT113" s="117"/>
      <c r="AU113" s="117"/>
      <c r="AV113" s="119">
        <f t="shared" si="1"/>
        <v>14</v>
      </c>
      <c r="AW113" s="119"/>
      <c r="AX113" s="119" t="s">
        <v>2142</v>
      </c>
    </row>
    <row r="114" spans="1:50">
      <c r="A114">
        <v>106</v>
      </c>
      <c r="B114">
        <v>662</v>
      </c>
      <c r="C114">
        <v>114</v>
      </c>
      <c r="D114" s="7">
        <v>45718</v>
      </c>
      <c r="E114" s="7" t="s">
        <v>768</v>
      </c>
      <c r="F114" s="10" t="s">
        <v>763</v>
      </c>
      <c r="G114" s="36" t="s">
        <v>141</v>
      </c>
      <c r="H114" s="36" t="s">
        <v>141</v>
      </c>
      <c r="I114" s="36"/>
      <c r="J114" s="36" t="s">
        <v>141</v>
      </c>
      <c r="K114" s="36"/>
      <c r="L114" s="36"/>
      <c r="M114" s="36"/>
      <c r="N114" s="36"/>
      <c r="O114" s="119" t="s">
        <v>141</v>
      </c>
      <c r="P114" s="36"/>
      <c r="Q114" s="36"/>
      <c r="R114" s="36"/>
      <c r="S114" s="36"/>
      <c r="T114" s="36"/>
      <c r="U114" s="36"/>
      <c r="V114" s="36"/>
      <c r="W114" s="36" t="s">
        <v>141</v>
      </c>
      <c r="X114" s="36"/>
      <c r="Y114" s="36" t="s">
        <v>141</v>
      </c>
      <c r="Z114" s="36"/>
      <c r="AA114" s="117" t="s">
        <v>141</v>
      </c>
      <c r="AB114" s="36"/>
      <c r="AC114" s="117"/>
      <c r="AD114" s="36"/>
      <c r="AE114" s="36" t="s">
        <v>141</v>
      </c>
      <c r="AF114" s="117"/>
      <c r="AG114" s="36"/>
      <c r="AH114" s="36"/>
      <c r="AI114" s="117"/>
      <c r="AJ114" s="36" t="s">
        <v>141</v>
      </c>
      <c r="AK114" s="36"/>
      <c r="AL114" s="36"/>
      <c r="AM114" s="117"/>
      <c r="AN114" s="117"/>
      <c r="AO114" s="117"/>
      <c r="AP114" s="117"/>
      <c r="AQ114" s="117"/>
      <c r="AR114" s="117" t="s">
        <v>141</v>
      </c>
      <c r="AS114" s="117"/>
      <c r="AT114" s="117"/>
      <c r="AU114" s="117"/>
      <c r="AV114" s="119">
        <f t="shared" si="1"/>
        <v>10</v>
      </c>
      <c r="AW114" s="119"/>
      <c r="AX114" s="119" t="s">
        <v>2142</v>
      </c>
    </row>
    <row r="115" spans="1:50">
      <c r="A115">
        <v>107</v>
      </c>
      <c r="B115">
        <v>663</v>
      </c>
      <c r="C115">
        <v>115</v>
      </c>
      <c r="D115" s="7">
        <v>45718</v>
      </c>
      <c r="E115" s="7" t="s">
        <v>775</v>
      </c>
      <c r="F115" s="10" t="s">
        <v>773</v>
      </c>
      <c r="G115" s="36" t="s">
        <v>141</v>
      </c>
      <c r="H115" s="36"/>
      <c r="I115" s="36"/>
      <c r="J115" s="36" t="s">
        <v>141</v>
      </c>
      <c r="K115" s="36"/>
      <c r="L115" s="36"/>
      <c r="M115" s="36"/>
      <c r="N115" s="36"/>
      <c r="O115" s="119" t="s">
        <v>141</v>
      </c>
      <c r="P115" s="36"/>
      <c r="Q115" s="36"/>
      <c r="R115" s="36"/>
      <c r="S115" s="36"/>
      <c r="T115" s="36"/>
      <c r="U115" s="36"/>
      <c r="V115" s="36"/>
      <c r="W115" s="36" t="s">
        <v>141</v>
      </c>
      <c r="X115" s="36"/>
      <c r="Y115" s="36" t="s">
        <v>141</v>
      </c>
      <c r="Z115" s="36"/>
      <c r="AA115" s="117"/>
      <c r="AB115" s="36"/>
      <c r="AC115" s="117" t="s">
        <v>141</v>
      </c>
      <c r="AD115" s="36"/>
      <c r="AE115" s="36" t="s">
        <v>141</v>
      </c>
      <c r="AF115" s="117"/>
      <c r="AG115" s="36"/>
      <c r="AH115" s="36"/>
      <c r="AI115" s="117"/>
      <c r="AJ115" s="36" t="s">
        <v>141</v>
      </c>
      <c r="AK115" s="36"/>
      <c r="AL115" s="36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9">
        <f t="shared" si="1"/>
        <v>8</v>
      </c>
      <c r="AW115" s="119"/>
      <c r="AX115" s="119" t="s">
        <v>2142</v>
      </c>
    </row>
    <row r="116" spans="1:50">
      <c r="A116">
        <v>108</v>
      </c>
      <c r="B116">
        <v>664</v>
      </c>
      <c r="C116">
        <v>116</v>
      </c>
      <c r="D116" s="7">
        <v>45718</v>
      </c>
      <c r="E116" s="7" t="s">
        <v>780</v>
      </c>
      <c r="F116" s="10" t="s">
        <v>778</v>
      </c>
      <c r="G116" s="36" t="s">
        <v>141</v>
      </c>
      <c r="H116" s="36" t="s">
        <v>141</v>
      </c>
      <c r="I116" s="36"/>
      <c r="J116" s="36" t="s">
        <v>141</v>
      </c>
      <c r="K116" s="36"/>
      <c r="L116" s="36"/>
      <c r="M116" s="36"/>
      <c r="N116" s="36"/>
      <c r="O116" s="119" t="s">
        <v>141</v>
      </c>
      <c r="P116" s="36"/>
      <c r="Q116" s="36"/>
      <c r="R116" s="36"/>
      <c r="S116" s="36"/>
      <c r="T116" s="36"/>
      <c r="U116" s="36"/>
      <c r="V116" s="36"/>
      <c r="W116" s="36" t="s">
        <v>141</v>
      </c>
      <c r="X116" s="36"/>
      <c r="Y116" s="36"/>
      <c r="Z116" s="36"/>
      <c r="AA116" s="117"/>
      <c r="AB116" s="36" t="s">
        <v>141</v>
      </c>
      <c r="AC116" s="117" t="s">
        <v>141</v>
      </c>
      <c r="AD116" s="36"/>
      <c r="AE116" s="36" t="s">
        <v>141</v>
      </c>
      <c r="AF116" s="117"/>
      <c r="AG116" s="36"/>
      <c r="AH116" s="36"/>
      <c r="AI116" s="117" t="s">
        <v>141</v>
      </c>
      <c r="AJ116" s="36" t="s">
        <v>141</v>
      </c>
      <c r="AK116" s="36"/>
      <c r="AL116" s="36"/>
      <c r="AM116" s="117"/>
      <c r="AN116" s="117"/>
      <c r="AO116" s="117"/>
      <c r="AP116" s="117"/>
      <c r="AQ116" s="117"/>
      <c r="AR116" s="117" t="s">
        <v>141</v>
      </c>
      <c r="AS116" s="117"/>
      <c r="AT116" s="117"/>
      <c r="AU116" s="117"/>
      <c r="AV116" s="119">
        <f t="shared" si="1"/>
        <v>11</v>
      </c>
      <c r="AW116" s="119"/>
      <c r="AX116" s="119" t="s">
        <v>2142</v>
      </c>
    </row>
    <row r="117" spans="1:50">
      <c r="A117">
        <v>109</v>
      </c>
      <c r="B117">
        <v>665</v>
      </c>
      <c r="C117">
        <v>117</v>
      </c>
      <c r="D117" s="7">
        <v>45718</v>
      </c>
      <c r="E117" s="7" t="s">
        <v>786</v>
      </c>
      <c r="F117" s="10" t="s">
        <v>783</v>
      </c>
      <c r="G117" s="36"/>
      <c r="H117" s="36" t="s">
        <v>141</v>
      </c>
      <c r="I117" s="36" t="s">
        <v>141</v>
      </c>
      <c r="J117" s="36" t="s">
        <v>141</v>
      </c>
      <c r="K117" s="36"/>
      <c r="L117" s="36"/>
      <c r="M117" s="36"/>
      <c r="N117" s="36"/>
      <c r="O117" s="119"/>
      <c r="P117" s="36"/>
      <c r="Q117" s="36"/>
      <c r="R117" s="36"/>
      <c r="S117" s="36"/>
      <c r="T117" s="36"/>
      <c r="U117" s="36" t="s">
        <v>141</v>
      </c>
      <c r="V117" s="36"/>
      <c r="W117" s="36" t="s">
        <v>141</v>
      </c>
      <c r="X117" s="36"/>
      <c r="Y117" s="36"/>
      <c r="Z117" s="36"/>
      <c r="AA117" s="117"/>
      <c r="AB117" s="36" t="s">
        <v>141</v>
      </c>
      <c r="AC117" s="117" t="s">
        <v>141</v>
      </c>
      <c r="AD117" s="36"/>
      <c r="AE117" s="36" t="s">
        <v>141</v>
      </c>
      <c r="AF117" s="117"/>
      <c r="AG117" s="36"/>
      <c r="AH117" s="36"/>
      <c r="AI117" s="117" t="s">
        <v>141</v>
      </c>
      <c r="AJ117" s="36" t="s">
        <v>141</v>
      </c>
      <c r="AK117" s="36"/>
      <c r="AL117" s="36"/>
      <c r="AM117" s="117" t="s">
        <v>141</v>
      </c>
      <c r="AN117" s="117" t="s">
        <v>141</v>
      </c>
      <c r="AO117" s="117"/>
      <c r="AP117" s="117"/>
      <c r="AQ117" s="117"/>
      <c r="AR117" s="117" t="s">
        <v>141</v>
      </c>
      <c r="AS117" s="117"/>
      <c r="AT117" s="117"/>
      <c r="AU117" s="117"/>
      <c r="AV117" s="119">
        <f t="shared" si="1"/>
        <v>13</v>
      </c>
      <c r="AW117" s="119"/>
      <c r="AX117" s="119" t="s">
        <v>2142</v>
      </c>
    </row>
    <row r="118" spans="1:50">
      <c r="A118">
        <v>110</v>
      </c>
      <c r="B118">
        <v>666</v>
      </c>
      <c r="C118">
        <v>118</v>
      </c>
      <c r="D118" s="7">
        <v>45718</v>
      </c>
      <c r="E118" s="7" t="s">
        <v>791</v>
      </c>
      <c r="F118" s="10" t="s">
        <v>789</v>
      </c>
      <c r="G118" s="36" t="s">
        <v>141</v>
      </c>
      <c r="H118" s="36" t="s">
        <v>141</v>
      </c>
      <c r="I118" s="36" t="s">
        <v>141</v>
      </c>
      <c r="J118" s="36" t="s">
        <v>141</v>
      </c>
      <c r="K118" s="36"/>
      <c r="L118" s="36"/>
      <c r="M118" s="36" t="s">
        <v>141</v>
      </c>
      <c r="N118" s="36"/>
      <c r="O118" s="119"/>
      <c r="P118" s="36"/>
      <c r="Q118" s="36"/>
      <c r="R118" s="36" t="s">
        <v>141</v>
      </c>
      <c r="S118" s="36"/>
      <c r="T118" s="36" t="s">
        <v>141</v>
      </c>
      <c r="U118" s="36"/>
      <c r="V118" s="36" t="s">
        <v>141</v>
      </c>
      <c r="W118" s="36" t="s">
        <v>141</v>
      </c>
      <c r="X118" s="36"/>
      <c r="Y118" s="36" t="s">
        <v>141</v>
      </c>
      <c r="Z118" s="36"/>
      <c r="AA118" s="117"/>
      <c r="AB118" s="36" t="s">
        <v>141</v>
      </c>
      <c r="AC118" s="117" t="s">
        <v>141</v>
      </c>
      <c r="AD118" s="36"/>
      <c r="AE118" s="36" t="s">
        <v>141</v>
      </c>
      <c r="AF118" s="117"/>
      <c r="AG118" s="36"/>
      <c r="AH118" s="36"/>
      <c r="AI118" s="117" t="s">
        <v>141</v>
      </c>
      <c r="AJ118" s="36" t="s">
        <v>141</v>
      </c>
      <c r="AK118" s="36"/>
      <c r="AL118" s="36" t="s">
        <v>141</v>
      </c>
      <c r="AM118" s="117"/>
      <c r="AN118" s="117"/>
      <c r="AO118" s="117"/>
      <c r="AP118" s="117"/>
      <c r="AQ118" s="117"/>
      <c r="AR118" s="117" t="s">
        <v>141</v>
      </c>
      <c r="AS118" s="117"/>
      <c r="AT118" s="117"/>
      <c r="AU118" s="117"/>
      <c r="AV118" s="119">
        <f t="shared" si="1"/>
        <v>17</v>
      </c>
      <c r="AW118" s="119"/>
      <c r="AX118" s="119" t="s">
        <v>2142</v>
      </c>
    </row>
    <row r="119" spans="1:50">
      <c r="A119">
        <v>111</v>
      </c>
      <c r="B119">
        <v>667</v>
      </c>
      <c r="C119">
        <v>119</v>
      </c>
      <c r="D119" s="7">
        <v>45719</v>
      </c>
      <c r="E119" s="7" t="s">
        <v>798</v>
      </c>
      <c r="F119" s="10" t="s">
        <v>795</v>
      </c>
      <c r="G119" s="36"/>
      <c r="H119" s="36"/>
      <c r="I119" s="36"/>
      <c r="J119" s="36" t="s">
        <v>141</v>
      </c>
      <c r="K119" s="36"/>
      <c r="L119" s="36"/>
      <c r="M119" s="36" t="s">
        <v>141</v>
      </c>
      <c r="N119" s="36"/>
      <c r="O119" s="119" t="s">
        <v>141</v>
      </c>
      <c r="P119" s="36" t="s">
        <v>141</v>
      </c>
      <c r="Q119" s="36"/>
      <c r="R119" s="36"/>
      <c r="S119" s="36" t="s">
        <v>141</v>
      </c>
      <c r="T119" s="36"/>
      <c r="U119" s="36"/>
      <c r="V119" s="36" t="s">
        <v>141</v>
      </c>
      <c r="W119" s="36"/>
      <c r="X119" s="36"/>
      <c r="Y119" s="36" t="s">
        <v>141</v>
      </c>
      <c r="Z119" s="36"/>
      <c r="AA119" s="117" t="s">
        <v>141</v>
      </c>
      <c r="AB119" s="36"/>
      <c r="AC119" s="117"/>
      <c r="AD119" s="36"/>
      <c r="AE119" s="36"/>
      <c r="AF119" s="117" t="s">
        <v>141</v>
      </c>
      <c r="AG119" s="36" t="s">
        <v>141</v>
      </c>
      <c r="AH119" s="36"/>
      <c r="AI119" s="117"/>
      <c r="AJ119" s="36"/>
      <c r="AK119" s="36"/>
      <c r="AL119" s="36"/>
      <c r="AM119" s="117"/>
      <c r="AN119" s="117"/>
      <c r="AO119" s="117" t="s">
        <v>141</v>
      </c>
      <c r="AP119" s="117"/>
      <c r="AQ119" s="117"/>
      <c r="AR119" s="117"/>
      <c r="AS119" s="117"/>
      <c r="AT119" s="117"/>
      <c r="AU119" s="117"/>
      <c r="AV119" s="119">
        <f t="shared" si="1"/>
        <v>11</v>
      </c>
      <c r="AW119" s="119"/>
      <c r="AX119" s="119" t="s">
        <v>2142</v>
      </c>
    </row>
    <row r="120" spans="1:50">
      <c r="A120">
        <v>112</v>
      </c>
      <c r="B120">
        <v>668</v>
      </c>
      <c r="C120">
        <v>120</v>
      </c>
      <c r="D120" s="7">
        <v>45719</v>
      </c>
      <c r="E120" s="7" t="s">
        <v>805</v>
      </c>
      <c r="F120" s="10" t="s">
        <v>802</v>
      </c>
      <c r="G120" s="36" t="s">
        <v>141</v>
      </c>
      <c r="H120" s="36" t="s">
        <v>141</v>
      </c>
      <c r="I120" s="36" t="s">
        <v>141</v>
      </c>
      <c r="J120" s="36" t="s">
        <v>141</v>
      </c>
      <c r="K120" s="36"/>
      <c r="L120" s="36"/>
      <c r="M120" s="36" t="s">
        <v>141</v>
      </c>
      <c r="N120" s="36"/>
      <c r="O120" s="119" t="s">
        <v>141</v>
      </c>
      <c r="P120" s="36" t="s">
        <v>141</v>
      </c>
      <c r="Q120" s="36"/>
      <c r="R120" s="36"/>
      <c r="S120" s="36" t="s">
        <v>141</v>
      </c>
      <c r="T120" s="36" t="s">
        <v>141</v>
      </c>
      <c r="U120" s="36"/>
      <c r="V120" s="36" t="s">
        <v>141</v>
      </c>
      <c r="W120" s="36"/>
      <c r="X120" s="36"/>
      <c r="Y120" s="36" t="s">
        <v>141</v>
      </c>
      <c r="Z120" s="36"/>
      <c r="AA120" s="117"/>
      <c r="AB120" s="36" t="s">
        <v>141</v>
      </c>
      <c r="AC120" s="117" t="s">
        <v>141</v>
      </c>
      <c r="AD120" s="36"/>
      <c r="AE120" s="36" t="s">
        <v>141</v>
      </c>
      <c r="AF120" s="117"/>
      <c r="AG120" s="36"/>
      <c r="AH120" s="36"/>
      <c r="AI120" s="117"/>
      <c r="AJ120" s="36"/>
      <c r="AK120" s="36"/>
      <c r="AL120" s="36"/>
      <c r="AM120" s="117" t="s">
        <v>141</v>
      </c>
      <c r="AN120" s="117" t="s">
        <v>141</v>
      </c>
      <c r="AO120" s="117"/>
      <c r="AP120" s="117"/>
      <c r="AQ120" s="117"/>
      <c r="AR120" s="117"/>
      <c r="AS120" s="117"/>
      <c r="AT120" s="117"/>
      <c r="AU120" s="117"/>
      <c r="AV120" s="119">
        <f t="shared" si="1"/>
        <v>16</v>
      </c>
      <c r="AW120" s="119"/>
      <c r="AX120" s="119" t="s">
        <v>2142</v>
      </c>
    </row>
    <row r="121" spans="1:50">
      <c r="A121" t="s">
        <v>57</v>
      </c>
      <c r="B121" t="s">
        <v>57</v>
      </c>
      <c r="C121">
        <v>121</v>
      </c>
      <c r="D121" s="7">
        <v>45719</v>
      </c>
      <c r="E121" s="7" t="s">
        <v>2129</v>
      </c>
      <c r="F121" s="10" t="s">
        <v>2130</v>
      </c>
      <c r="G121" s="36" t="s">
        <v>141</v>
      </c>
      <c r="H121" s="36" t="s">
        <v>141</v>
      </c>
      <c r="I121" s="36" t="s">
        <v>141</v>
      </c>
      <c r="J121" s="36" t="s">
        <v>141</v>
      </c>
      <c r="K121" s="36" t="s">
        <v>141</v>
      </c>
      <c r="L121" s="36" t="s">
        <v>141</v>
      </c>
      <c r="M121" s="36" t="s">
        <v>141</v>
      </c>
      <c r="N121" s="36" t="s">
        <v>2131</v>
      </c>
      <c r="O121" s="119"/>
      <c r="P121" s="36" t="s">
        <v>141</v>
      </c>
      <c r="Q121" s="36" t="s">
        <v>141</v>
      </c>
      <c r="R121" s="36" t="s">
        <v>141</v>
      </c>
      <c r="S121" s="36" t="s">
        <v>141</v>
      </c>
      <c r="T121" s="36" t="s">
        <v>141</v>
      </c>
      <c r="U121" s="36" t="s">
        <v>141</v>
      </c>
      <c r="V121" s="36" t="s">
        <v>141</v>
      </c>
      <c r="W121" s="36" t="s">
        <v>2131</v>
      </c>
      <c r="X121" s="36"/>
      <c r="Y121" s="36" t="s">
        <v>141</v>
      </c>
      <c r="Z121" s="36" t="s">
        <v>2131</v>
      </c>
      <c r="AA121" s="117" t="s">
        <v>141</v>
      </c>
      <c r="AB121" s="36" t="s">
        <v>141</v>
      </c>
      <c r="AC121" s="117" t="s">
        <v>141</v>
      </c>
      <c r="AD121" s="36" t="s">
        <v>2131</v>
      </c>
      <c r="AE121" s="36" t="s">
        <v>141</v>
      </c>
      <c r="AF121" s="117" t="s">
        <v>141</v>
      </c>
      <c r="AG121" s="36" t="s">
        <v>2131</v>
      </c>
      <c r="AH121" s="36" t="s">
        <v>141</v>
      </c>
      <c r="AI121" s="117" t="s">
        <v>141</v>
      </c>
      <c r="AJ121" s="36" t="s">
        <v>141</v>
      </c>
      <c r="AK121" s="36" t="s">
        <v>141</v>
      </c>
      <c r="AL121" s="36" t="s">
        <v>141</v>
      </c>
      <c r="AM121" s="117" t="s">
        <v>141</v>
      </c>
      <c r="AN121" s="117" t="s">
        <v>141</v>
      </c>
      <c r="AO121" s="117" t="s">
        <v>141</v>
      </c>
      <c r="AP121" s="117"/>
      <c r="AQ121" s="117"/>
      <c r="AR121" s="117" t="s">
        <v>141</v>
      </c>
      <c r="AS121" s="117"/>
      <c r="AT121" s="117"/>
      <c r="AU121" s="117"/>
      <c r="AV121" s="119">
        <f t="shared" si="1"/>
        <v>29</v>
      </c>
      <c r="AW121" s="119"/>
      <c r="AX121" s="119" t="s">
        <v>2142</v>
      </c>
    </row>
    <row r="122" spans="1:50">
      <c r="A122">
        <v>113</v>
      </c>
      <c r="B122">
        <v>669</v>
      </c>
      <c r="C122">
        <v>122</v>
      </c>
      <c r="D122" s="7">
        <v>45720</v>
      </c>
      <c r="E122" s="7" t="s">
        <v>811</v>
      </c>
      <c r="F122" s="10" t="s">
        <v>808</v>
      </c>
      <c r="G122" s="36"/>
      <c r="H122" s="36" t="s">
        <v>141</v>
      </c>
      <c r="I122" s="36"/>
      <c r="J122" s="36" t="s">
        <v>141</v>
      </c>
      <c r="K122" s="36"/>
      <c r="L122" s="36" t="s">
        <v>141</v>
      </c>
      <c r="M122" s="36" t="s">
        <v>141</v>
      </c>
      <c r="N122" s="36"/>
      <c r="O122" s="119" t="s">
        <v>141</v>
      </c>
      <c r="P122" s="36"/>
      <c r="Q122" s="36"/>
      <c r="R122" s="36"/>
      <c r="S122" s="36"/>
      <c r="T122" s="36"/>
      <c r="U122" s="36" t="s">
        <v>141</v>
      </c>
      <c r="V122" s="36"/>
      <c r="W122" s="36"/>
      <c r="X122" s="36"/>
      <c r="Y122" s="36" t="s">
        <v>141</v>
      </c>
      <c r="Z122" s="36"/>
      <c r="AA122" s="117" t="s">
        <v>141</v>
      </c>
      <c r="AB122" s="36"/>
      <c r="AC122" s="117"/>
      <c r="AD122" s="36"/>
      <c r="AE122" s="36"/>
      <c r="AF122" s="117"/>
      <c r="AG122" s="36" t="s">
        <v>141</v>
      </c>
      <c r="AH122" s="36"/>
      <c r="AI122" s="117"/>
      <c r="AJ122" s="36"/>
      <c r="AK122" s="36"/>
      <c r="AL122" s="36"/>
      <c r="AM122" s="117"/>
      <c r="AN122" s="117"/>
      <c r="AO122" s="117" t="s">
        <v>141</v>
      </c>
      <c r="AP122" s="117"/>
      <c r="AQ122" s="117"/>
      <c r="AR122" s="117"/>
      <c r="AS122" s="117"/>
      <c r="AT122" s="117"/>
      <c r="AU122" s="117"/>
      <c r="AV122" s="119">
        <f t="shared" si="1"/>
        <v>10</v>
      </c>
      <c r="AW122" s="119"/>
      <c r="AX122" s="119" t="s">
        <v>2142</v>
      </c>
    </row>
    <row r="123" spans="1:50">
      <c r="A123">
        <v>114</v>
      </c>
      <c r="B123">
        <v>670</v>
      </c>
      <c r="C123">
        <v>123</v>
      </c>
      <c r="D123" s="7">
        <v>45720</v>
      </c>
      <c r="E123" s="7" t="s">
        <v>816</v>
      </c>
      <c r="F123" s="10" t="s">
        <v>814</v>
      </c>
      <c r="G123" s="36"/>
      <c r="H123" s="36" t="s">
        <v>141</v>
      </c>
      <c r="I123" s="36"/>
      <c r="J123" s="36" t="s">
        <v>141</v>
      </c>
      <c r="K123" s="36"/>
      <c r="L123" s="36" t="s">
        <v>141</v>
      </c>
      <c r="M123" s="36" t="s">
        <v>141</v>
      </c>
      <c r="N123" s="36"/>
      <c r="O123" s="119" t="s">
        <v>141</v>
      </c>
      <c r="P123" s="36"/>
      <c r="Q123" s="36"/>
      <c r="R123" s="36"/>
      <c r="S123" s="36"/>
      <c r="T123" s="36"/>
      <c r="U123" s="36" t="s">
        <v>141</v>
      </c>
      <c r="V123" s="36"/>
      <c r="W123" s="36"/>
      <c r="X123" s="36"/>
      <c r="Y123" s="36" t="s">
        <v>141</v>
      </c>
      <c r="Z123" s="36"/>
      <c r="AA123" s="117" t="s">
        <v>141</v>
      </c>
      <c r="AB123" s="36"/>
      <c r="AC123" s="117"/>
      <c r="AD123" s="36"/>
      <c r="AE123" s="36"/>
      <c r="AF123" s="117"/>
      <c r="AG123" s="36" t="s">
        <v>141</v>
      </c>
      <c r="AH123" s="36"/>
      <c r="AI123" s="117"/>
      <c r="AJ123" s="36"/>
      <c r="AK123" s="36"/>
      <c r="AL123" s="36"/>
      <c r="AM123" s="117"/>
      <c r="AN123" s="117"/>
      <c r="AO123" s="117" t="s">
        <v>141</v>
      </c>
      <c r="AP123" s="117"/>
      <c r="AQ123" s="117"/>
      <c r="AR123" s="117"/>
      <c r="AS123" s="117"/>
      <c r="AT123" s="117"/>
      <c r="AU123" s="117"/>
      <c r="AV123" s="119">
        <f t="shared" si="1"/>
        <v>10</v>
      </c>
      <c r="AW123" s="119"/>
      <c r="AX123" s="119" t="s">
        <v>2142</v>
      </c>
    </row>
    <row r="124" spans="1:50">
      <c r="A124">
        <v>115</v>
      </c>
      <c r="B124">
        <v>671</v>
      </c>
      <c r="C124">
        <v>124</v>
      </c>
      <c r="D124" s="7">
        <v>45720</v>
      </c>
      <c r="E124" s="7" t="s">
        <v>821</v>
      </c>
      <c r="F124" s="10" t="s">
        <v>818</v>
      </c>
      <c r="G124" s="36"/>
      <c r="H124" s="36" t="s">
        <v>141</v>
      </c>
      <c r="I124" s="36"/>
      <c r="J124" s="36" t="s">
        <v>141</v>
      </c>
      <c r="K124" s="36"/>
      <c r="L124" s="36" t="s">
        <v>141</v>
      </c>
      <c r="M124" s="36" t="s">
        <v>141</v>
      </c>
      <c r="N124" s="36"/>
      <c r="O124" s="119" t="s">
        <v>141</v>
      </c>
      <c r="P124" s="36" t="s">
        <v>141</v>
      </c>
      <c r="Q124" s="36"/>
      <c r="R124" s="36"/>
      <c r="S124" s="36" t="s">
        <v>141</v>
      </c>
      <c r="T124" s="36"/>
      <c r="U124" s="36" t="s">
        <v>141</v>
      </c>
      <c r="V124" s="36"/>
      <c r="W124" s="36"/>
      <c r="X124" s="36"/>
      <c r="Y124" s="36" t="s">
        <v>141</v>
      </c>
      <c r="Z124" s="36"/>
      <c r="AA124" s="117" t="s">
        <v>141</v>
      </c>
      <c r="AB124" s="36"/>
      <c r="AC124" s="117"/>
      <c r="AD124" s="36"/>
      <c r="AE124" s="36"/>
      <c r="AF124" s="117"/>
      <c r="AG124" s="36"/>
      <c r="AH124" s="36" t="s">
        <v>141</v>
      </c>
      <c r="AI124" s="117"/>
      <c r="AJ124" s="36"/>
      <c r="AK124" s="36"/>
      <c r="AL124" s="36"/>
      <c r="AM124" s="117"/>
      <c r="AN124" s="117"/>
      <c r="AO124" s="117" t="s">
        <v>141</v>
      </c>
      <c r="AP124" s="117"/>
      <c r="AQ124" s="117"/>
      <c r="AR124" s="117"/>
      <c r="AS124" s="117"/>
      <c r="AT124" s="117"/>
      <c r="AU124" s="117"/>
      <c r="AV124" s="119">
        <f t="shared" si="1"/>
        <v>12</v>
      </c>
      <c r="AW124" s="119"/>
      <c r="AX124" s="119" t="s">
        <v>2142</v>
      </c>
    </row>
    <row r="125" spans="1:50">
      <c r="A125">
        <v>116</v>
      </c>
      <c r="B125">
        <v>672</v>
      </c>
      <c r="C125">
        <v>125</v>
      </c>
      <c r="D125" s="7">
        <v>45720</v>
      </c>
      <c r="E125" s="7" t="s">
        <v>828</v>
      </c>
      <c r="F125" s="10" t="s">
        <v>825</v>
      </c>
      <c r="G125" s="36"/>
      <c r="H125" s="36" t="s">
        <v>141</v>
      </c>
      <c r="I125" s="36"/>
      <c r="J125" s="36" t="s">
        <v>141</v>
      </c>
      <c r="K125" s="36"/>
      <c r="L125" s="36" t="s">
        <v>141</v>
      </c>
      <c r="M125" s="36" t="s">
        <v>141</v>
      </c>
      <c r="N125" s="36"/>
      <c r="O125" s="119" t="s">
        <v>141</v>
      </c>
      <c r="P125" s="36" t="s">
        <v>141</v>
      </c>
      <c r="Q125" s="36"/>
      <c r="R125" s="36"/>
      <c r="S125" s="36" t="s">
        <v>141</v>
      </c>
      <c r="T125" s="36"/>
      <c r="U125" s="36"/>
      <c r="V125" s="36"/>
      <c r="W125" s="36"/>
      <c r="X125" s="36"/>
      <c r="Y125" s="36" t="s">
        <v>141</v>
      </c>
      <c r="Z125" s="36"/>
      <c r="AA125" s="117" t="s">
        <v>141</v>
      </c>
      <c r="AB125" s="36"/>
      <c r="AC125" s="117"/>
      <c r="AD125" s="36"/>
      <c r="AE125" s="36"/>
      <c r="AF125" s="117"/>
      <c r="AG125" s="36"/>
      <c r="AH125" s="36" t="s">
        <v>141</v>
      </c>
      <c r="AI125" s="117"/>
      <c r="AJ125" s="36"/>
      <c r="AK125" s="36"/>
      <c r="AL125" s="36"/>
      <c r="AM125" s="117"/>
      <c r="AN125" s="117"/>
      <c r="AO125" s="117"/>
      <c r="AP125" s="117"/>
      <c r="AQ125" s="117"/>
      <c r="AR125" s="117"/>
      <c r="AS125" s="117"/>
      <c r="AT125" s="117"/>
      <c r="AU125" s="117"/>
      <c r="AV125" s="119">
        <f t="shared" si="1"/>
        <v>10</v>
      </c>
      <c r="AW125" s="119"/>
      <c r="AX125" s="119" t="s">
        <v>2142</v>
      </c>
    </row>
    <row r="126" spans="1:50">
      <c r="A126">
        <v>117</v>
      </c>
      <c r="B126">
        <v>673</v>
      </c>
      <c r="C126">
        <v>126</v>
      </c>
      <c r="D126" s="7">
        <v>45721</v>
      </c>
      <c r="E126" s="7" t="s">
        <v>833</v>
      </c>
      <c r="F126" s="10" t="s">
        <v>830</v>
      </c>
      <c r="G126" s="36"/>
      <c r="H126" s="36" t="s">
        <v>141</v>
      </c>
      <c r="I126" s="36"/>
      <c r="J126" s="36" t="s">
        <v>141</v>
      </c>
      <c r="K126" s="36"/>
      <c r="L126" s="36" t="s">
        <v>141</v>
      </c>
      <c r="M126" s="36" t="s">
        <v>141</v>
      </c>
      <c r="N126" s="36"/>
      <c r="O126" s="119"/>
      <c r="P126" s="36" t="s">
        <v>141</v>
      </c>
      <c r="Q126" s="36"/>
      <c r="R126" s="36"/>
      <c r="S126" s="36"/>
      <c r="T126" s="36" t="s">
        <v>141</v>
      </c>
      <c r="U126" s="36"/>
      <c r="V126" s="36" t="s">
        <v>141</v>
      </c>
      <c r="W126" s="36" t="s">
        <v>141</v>
      </c>
      <c r="X126" s="36"/>
      <c r="Y126" s="36" t="s">
        <v>141</v>
      </c>
      <c r="Z126" s="36"/>
      <c r="AA126" s="117"/>
      <c r="AB126" s="36"/>
      <c r="AC126" s="117"/>
      <c r="AD126" s="36"/>
      <c r="AE126" s="36"/>
      <c r="AF126" s="117"/>
      <c r="AG126" s="36"/>
      <c r="AH126" s="36"/>
      <c r="AI126" s="117"/>
      <c r="AJ126" s="36"/>
      <c r="AK126" s="36"/>
      <c r="AL126" s="36"/>
      <c r="AM126" s="117"/>
      <c r="AN126" s="117"/>
      <c r="AO126" s="117"/>
      <c r="AP126" s="117"/>
      <c r="AQ126" s="117"/>
      <c r="AR126" s="117"/>
      <c r="AS126" s="117"/>
      <c r="AT126" s="117"/>
      <c r="AU126" s="117"/>
      <c r="AV126" s="119">
        <f t="shared" si="1"/>
        <v>9</v>
      </c>
      <c r="AW126" s="119"/>
      <c r="AX126" s="119" t="s">
        <v>2142</v>
      </c>
    </row>
    <row r="127" spans="1:50">
      <c r="A127">
        <v>118</v>
      </c>
      <c r="B127">
        <v>674</v>
      </c>
      <c r="C127">
        <v>127</v>
      </c>
      <c r="D127" s="7">
        <v>45721</v>
      </c>
      <c r="E127" s="7" t="s">
        <v>838</v>
      </c>
      <c r="F127" s="10" t="s">
        <v>836</v>
      </c>
      <c r="G127" s="36" t="s">
        <v>141</v>
      </c>
      <c r="H127" s="36" t="s">
        <v>141</v>
      </c>
      <c r="I127" s="36"/>
      <c r="J127" s="36" t="s">
        <v>141</v>
      </c>
      <c r="K127" s="36" t="s">
        <v>141</v>
      </c>
      <c r="L127" s="36" t="s">
        <v>141</v>
      </c>
      <c r="M127" s="36"/>
      <c r="N127" s="36"/>
      <c r="O127" s="119"/>
      <c r="P127" s="36" t="s">
        <v>141</v>
      </c>
      <c r="Q127" s="36"/>
      <c r="R127" s="36" t="s">
        <v>141</v>
      </c>
      <c r="S127" s="36"/>
      <c r="T127" s="36" t="s">
        <v>141</v>
      </c>
      <c r="U127" s="36"/>
      <c r="V127" s="36" t="s">
        <v>141</v>
      </c>
      <c r="W127" s="36" t="s">
        <v>141</v>
      </c>
      <c r="X127" s="36"/>
      <c r="Y127" s="36" t="s">
        <v>141</v>
      </c>
      <c r="Z127" s="36"/>
      <c r="AA127" s="117"/>
      <c r="AB127" s="36"/>
      <c r="AC127" s="117"/>
      <c r="AD127" s="36"/>
      <c r="AE127" s="36"/>
      <c r="AF127" s="117"/>
      <c r="AG127" s="36"/>
      <c r="AH127" s="36" t="s">
        <v>141</v>
      </c>
      <c r="AI127" s="117"/>
      <c r="AJ127" s="36"/>
      <c r="AK127" s="36" t="s">
        <v>141</v>
      </c>
      <c r="AL127" s="36"/>
      <c r="AM127" s="117"/>
      <c r="AN127" s="117"/>
      <c r="AO127" s="117"/>
      <c r="AP127" s="117"/>
      <c r="AQ127" s="117"/>
      <c r="AR127" s="117"/>
      <c r="AS127" s="117"/>
      <c r="AT127" s="117"/>
      <c r="AU127" s="117"/>
      <c r="AV127" s="119">
        <f t="shared" si="1"/>
        <v>13</v>
      </c>
      <c r="AW127" s="119"/>
      <c r="AX127" s="119" t="s">
        <v>2142</v>
      </c>
    </row>
    <row r="128" spans="1:50">
      <c r="A128">
        <v>119</v>
      </c>
      <c r="B128">
        <v>675</v>
      </c>
      <c r="C128">
        <v>128</v>
      </c>
      <c r="D128" s="7">
        <v>45720</v>
      </c>
      <c r="E128" s="7" t="s">
        <v>845</v>
      </c>
      <c r="F128" s="10" t="s">
        <v>842</v>
      </c>
      <c r="G128" s="36" t="s">
        <v>141</v>
      </c>
      <c r="H128" s="36" t="s">
        <v>141</v>
      </c>
      <c r="I128" s="36"/>
      <c r="J128" s="36" t="s">
        <v>141</v>
      </c>
      <c r="K128" s="36" t="s">
        <v>141</v>
      </c>
      <c r="L128" s="36"/>
      <c r="M128" s="36"/>
      <c r="N128" s="36"/>
      <c r="O128" s="119"/>
      <c r="P128" s="36" t="s">
        <v>141</v>
      </c>
      <c r="Q128" s="36"/>
      <c r="R128" s="36"/>
      <c r="S128" s="36"/>
      <c r="T128" s="36"/>
      <c r="U128" s="36"/>
      <c r="V128" s="36" t="s">
        <v>141</v>
      </c>
      <c r="W128" s="36" t="s">
        <v>141</v>
      </c>
      <c r="X128" s="36"/>
      <c r="Y128" s="36"/>
      <c r="Z128" s="36"/>
      <c r="AA128" s="117"/>
      <c r="AB128" s="36"/>
      <c r="AC128" s="117" t="s">
        <v>141</v>
      </c>
      <c r="AD128" s="36"/>
      <c r="AE128" s="36"/>
      <c r="AF128" s="117"/>
      <c r="AG128" s="36"/>
      <c r="AH128" s="36" t="s">
        <v>141</v>
      </c>
      <c r="AI128" s="117"/>
      <c r="AJ128" s="36"/>
      <c r="AK128" s="36"/>
      <c r="AL128" s="36"/>
      <c r="AM128" s="117" t="s">
        <v>141</v>
      </c>
      <c r="AN128" s="117" t="s">
        <v>141</v>
      </c>
      <c r="AO128" s="117"/>
      <c r="AP128" s="117"/>
      <c r="AQ128" s="117"/>
      <c r="AR128" s="117"/>
      <c r="AS128" s="117"/>
      <c r="AT128" s="117"/>
      <c r="AU128" s="117"/>
      <c r="AV128" s="119">
        <f t="shared" si="1"/>
        <v>11</v>
      </c>
      <c r="AW128" s="119"/>
      <c r="AX128" s="119" t="s">
        <v>2142</v>
      </c>
    </row>
    <row r="129" spans="1:50">
      <c r="A129">
        <v>120</v>
      </c>
      <c r="B129">
        <v>676</v>
      </c>
      <c r="C129">
        <v>129</v>
      </c>
      <c r="D129" s="7">
        <v>45720</v>
      </c>
      <c r="E129" s="7" t="s">
        <v>851</v>
      </c>
      <c r="F129" s="10" t="s">
        <v>848</v>
      </c>
      <c r="G129" s="36" t="s">
        <v>141</v>
      </c>
      <c r="H129" s="36" t="s">
        <v>141</v>
      </c>
      <c r="I129" s="36" t="s">
        <v>141</v>
      </c>
      <c r="J129" s="36" t="s">
        <v>141</v>
      </c>
      <c r="K129" s="36"/>
      <c r="L129" s="36" t="s">
        <v>141</v>
      </c>
      <c r="M129" s="36"/>
      <c r="N129" s="36"/>
      <c r="O129" s="119"/>
      <c r="P129" s="36" t="s">
        <v>141</v>
      </c>
      <c r="Q129" s="36"/>
      <c r="R129" s="36"/>
      <c r="S129" s="36"/>
      <c r="T129" s="36"/>
      <c r="U129" s="36" t="s">
        <v>141</v>
      </c>
      <c r="V129" s="36"/>
      <c r="W129" s="36" t="s">
        <v>141</v>
      </c>
      <c r="X129" s="36"/>
      <c r="Y129" s="36" t="s">
        <v>141</v>
      </c>
      <c r="Z129" s="36"/>
      <c r="AA129" s="117"/>
      <c r="AB129" s="36" t="s">
        <v>141</v>
      </c>
      <c r="AC129" s="117" t="s">
        <v>141</v>
      </c>
      <c r="AD129" s="36"/>
      <c r="AE129" s="36" t="s">
        <v>141</v>
      </c>
      <c r="AF129" s="117"/>
      <c r="AG129" s="36"/>
      <c r="AH129" s="36" t="s">
        <v>141</v>
      </c>
      <c r="AI129" s="117"/>
      <c r="AJ129" s="36"/>
      <c r="AK129" s="36"/>
      <c r="AL129" s="36"/>
      <c r="AM129" s="117" t="s">
        <v>141</v>
      </c>
      <c r="AN129" s="117" t="s">
        <v>141</v>
      </c>
      <c r="AO129" s="117" t="s">
        <v>141</v>
      </c>
      <c r="AP129" s="117"/>
      <c r="AQ129" s="117"/>
      <c r="AR129" s="117"/>
      <c r="AS129" s="117"/>
      <c r="AT129" s="117"/>
      <c r="AU129" s="117"/>
      <c r="AV129" s="119">
        <f t="shared" si="1"/>
        <v>16</v>
      </c>
      <c r="AW129" s="119"/>
      <c r="AX129" s="119" t="s">
        <v>2142</v>
      </c>
    </row>
    <row r="130" spans="1:50">
      <c r="A130">
        <v>121</v>
      </c>
      <c r="B130">
        <v>677</v>
      </c>
      <c r="C130">
        <v>130</v>
      </c>
      <c r="D130" s="7">
        <v>45721</v>
      </c>
      <c r="E130" s="7" t="s">
        <v>857</v>
      </c>
      <c r="F130" s="10" t="s">
        <v>854</v>
      </c>
      <c r="G130" s="36" t="s">
        <v>141</v>
      </c>
      <c r="H130" s="36" t="s">
        <v>141</v>
      </c>
      <c r="I130" s="36" t="s">
        <v>141</v>
      </c>
      <c r="J130" s="36" t="s">
        <v>141</v>
      </c>
      <c r="K130" s="36"/>
      <c r="L130" s="36" t="s">
        <v>141</v>
      </c>
      <c r="M130" s="36"/>
      <c r="N130" s="36"/>
      <c r="O130" s="119"/>
      <c r="P130" s="36" t="s">
        <v>141</v>
      </c>
      <c r="Q130" s="36"/>
      <c r="R130" s="36"/>
      <c r="S130" s="36"/>
      <c r="T130" s="36"/>
      <c r="U130" s="36" t="s">
        <v>141</v>
      </c>
      <c r="V130" s="36"/>
      <c r="W130" s="36"/>
      <c r="X130" s="36"/>
      <c r="Y130" s="36" t="s">
        <v>141</v>
      </c>
      <c r="Z130" s="36"/>
      <c r="AA130" s="117"/>
      <c r="AB130" s="36" t="s">
        <v>141</v>
      </c>
      <c r="AC130" s="117" t="s">
        <v>141</v>
      </c>
      <c r="AD130" s="36"/>
      <c r="AE130" s="36" t="s">
        <v>141</v>
      </c>
      <c r="AF130" s="117"/>
      <c r="AG130" s="36"/>
      <c r="AH130" s="36" t="s">
        <v>141</v>
      </c>
      <c r="AI130" s="117"/>
      <c r="AJ130" s="36"/>
      <c r="AK130" s="36"/>
      <c r="AL130" s="36"/>
      <c r="AM130" s="117" t="s">
        <v>141</v>
      </c>
      <c r="AN130" s="117" t="s">
        <v>141</v>
      </c>
      <c r="AO130" s="117" t="s">
        <v>141</v>
      </c>
      <c r="AP130" s="117"/>
      <c r="AQ130" s="117"/>
      <c r="AR130" s="117"/>
      <c r="AS130" s="117"/>
      <c r="AT130" s="117"/>
      <c r="AU130" s="117"/>
      <c r="AV130" s="119">
        <f t="shared" ref="AV130:AV193" si="2">COUNTIF($F130:$AS130, "I")</f>
        <v>15</v>
      </c>
      <c r="AW130" s="119"/>
      <c r="AX130" s="119" t="s">
        <v>2142</v>
      </c>
    </row>
    <row r="131" spans="1:50">
      <c r="A131">
        <v>122</v>
      </c>
      <c r="B131">
        <v>678</v>
      </c>
      <c r="C131">
        <v>131</v>
      </c>
      <c r="D131" s="7">
        <v>45722</v>
      </c>
      <c r="E131" s="7" t="s">
        <v>870</v>
      </c>
      <c r="F131" s="10" t="s">
        <v>867</v>
      </c>
      <c r="G131" s="36"/>
      <c r="H131" s="36" t="s">
        <v>141</v>
      </c>
      <c r="I131" s="36"/>
      <c r="J131" s="36" t="s">
        <v>141</v>
      </c>
      <c r="K131" s="36"/>
      <c r="L131" s="36"/>
      <c r="M131" s="36"/>
      <c r="N131" s="36"/>
      <c r="O131" s="119"/>
      <c r="P131" s="36" t="s">
        <v>141</v>
      </c>
      <c r="Q131" s="36" t="s">
        <v>141</v>
      </c>
      <c r="R131" s="36"/>
      <c r="S131" s="36"/>
      <c r="T131" s="36" t="s">
        <v>141</v>
      </c>
      <c r="U131" s="36"/>
      <c r="V131" s="36" t="s">
        <v>141</v>
      </c>
      <c r="W131" s="36"/>
      <c r="X131" s="36"/>
      <c r="Y131" s="36" t="s">
        <v>141</v>
      </c>
      <c r="Z131" s="36"/>
      <c r="AA131" s="117"/>
      <c r="AB131" s="36"/>
      <c r="AC131" s="117"/>
      <c r="AD131" s="36"/>
      <c r="AE131" s="36" t="s">
        <v>141</v>
      </c>
      <c r="AF131" s="117"/>
      <c r="AG131" s="36"/>
      <c r="AH131" s="36"/>
      <c r="AI131" s="117"/>
      <c r="AJ131" s="36"/>
      <c r="AK131" s="36"/>
      <c r="AL131" s="36"/>
      <c r="AM131" s="117"/>
      <c r="AN131" s="117"/>
      <c r="AO131" s="117" t="s">
        <v>141</v>
      </c>
      <c r="AP131" s="117"/>
      <c r="AQ131" s="117"/>
      <c r="AR131" s="117"/>
      <c r="AS131" s="117"/>
      <c r="AT131" s="117"/>
      <c r="AU131" s="117"/>
      <c r="AV131" s="119">
        <f t="shared" si="2"/>
        <v>9</v>
      </c>
      <c r="AW131" s="119"/>
      <c r="AX131" s="119" t="s">
        <v>2142</v>
      </c>
    </row>
    <row r="132" spans="1:50">
      <c r="A132">
        <v>123</v>
      </c>
      <c r="B132">
        <v>679</v>
      </c>
      <c r="C132">
        <v>132</v>
      </c>
      <c r="D132" s="7">
        <v>45720</v>
      </c>
      <c r="E132" s="7" t="s">
        <v>875</v>
      </c>
      <c r="F132" s="10" t="s">
        <v>873</v>
      </c>
      <c r="G132" s="36" t="s">
        <v>141</v>
      </c>
      <c r="H132" s="36" t="s">
        <v>141</v>
      </c>
      <c r="I132" s="36"/>
      <c r="J132" s="36" t="s">
        <v>141</v>
      </c>
      <c r="K132" s="36"/>
      <c r="L132" s="36" t="s">
        <v>141</v>
      </c>
      <c r="M132" s="36" t="s">
        <v>141</v>
      </c>
      <c r="N132" s="36"/>
      <c r="O132" s="119"/>
      <c r="P132" s="36"/>
      <c r="Q132" s="36"/>
      <c r="R132" s="36"/>
      <c r="S132" s="36"/>
      <c r="T132" s="36"/>
      <c r="U132" s="36"/>
      <c r="V132" s="36"/>
      <c r="W132" s="36"/>
      <c r="X132" s="36"/>
      <c r="Y132" s="36" t="s">
        <v>141</v>
      </c>
      <c r="Z132" s="36"/>
      <c r="AA132" s="117" t="s">
        <v>141</v>
      </c>
      <c r="AB132" s="36"/>
      <c r="AC132" s="117"/>
      <c r="AD132" s="36"/>
      <c r="AE132" s="36"/>
      <c r="AF132" s="117"/>
      <c r="AG132" s="36"/>
      <c r="AH132" s="36"/>
      <c r="AI132" s="117"/>
      <c r="AJ132" s="36"/>
      <c r="AK132" s="36" t="s">
        <v>141</v>
      </c>
      <c r="AL132" s="36"/>
      <c r="AM132" s="117" t="s">
        <v>141</v>
      </c>
      <c r="AN132" s="117" t="s">
        <v>141</v>
      </c>
      <c r="AO132" s="117"/>
      <c r="AP132" s="117"/>
      <c r="AQ132" s="117"/>
      <c r="AR132" s="117"/>
      <c r="AS132" s="117"/>
      <c r="AT132" s="117"/>
      <c r="AU132" s="117"/>
      <c r="AV132" s="119">
        <f t="shared" si="2"/>
        <v>10</v>
      </c>
      <c r="AW132" s="119"/>
      <c r="AX132" s="119" t="s">
        <v>2142</v>
      </c>
    </row>
    <row r="133" spans="1:50">
      <c r="A133">
        <v>124</v>
      </c>
      <c r="B133">
        <v>680</v>
      </c>
      <c r="C133">
        <v>133</v>
      </c>
      <c r="D133" s="7">
        <v>45723</v>
      </c>
      <c r="E133" s="7" t="s">
        <v>881</v>
      </c>
      <c r="F133" s="10" t="s">
        <v>878</v>
      </c>
      <c r="G133" s="36"/>
      <c r="H133" s="36" t="s">
        <v>141</v>
      </c>
      <c r="I133" s="36"/>
      <c r="J133" s="36"/>
      <c r="K133" s="36"/>
      <c r="L133" s="36" t="s">
        <v>141</v>
      </c>
      <c r="M133" s="36"/>
      <c r="N133" s="36"/>
      <c r="O133" s="119" t="s">
        <v>141</v>
      </c>
      <c r="P133" s="36"/>
      <c r="Q133" s="36" t="s">
        <v>141</v>
      </c>
      <c r="R133" s="36"/>
      <c r="S133" s="36"/>
      <c r="T133" s="36" t="s">
        <v>141</v>
      </c>
      <c r="U133" s="36" t="s">
        <v>141</v>
      </c>
      <c r="V133" s="36"/>
      <c r="W133" s="36"/>
      <c r="X133" s="36"/>
      <c r="Y133" s="36" t="s">
        <v>141</v>
      </c>
      <c r="Z133" s="36"/>
      <c r="AA133" s="117" t="s">
        <v>141</v>
      </c>
      <c r="AB133" s="36"/>
      <c r="AC133" s="117"/>
      <c r="AD133" s="36"/>
      <c r="AE133" s="36"/>
      <c r="AF133" s="117"/>
      <c r="AG133" s="36"/>
      <c r="AH133" s="36"/>
      <c r="AI133" s="117"/>
      <c r="AJ133" s="36"/>
      <c r="AK133" s="36"/>
      <c r="AL133" s="36"/>
      <c r="AM133" s="117"/>
      <c r="AN133" s="117"/>
      <c r="AO133" s="117" t="s">
        <v>141</v>
      </c>
      <c r="AP133" s="117"/>
      <c r="AQ133" s="117"/>
      <c r="AR133" s="117"/>
      <c r="AS133" s="117"/>
      <c r="AT133" s="117"/>
      <c r="AU133" s="117"/>
      <c r="AV133" s="119">
        <f t="shared" si="2"/>
        <v>9</v>
      </c>
      <c r="AW133" s="119"/>
      <c r="AX133" s="119" t="s">
        <v>2142</v>
      </c>
    </row>
    <row r="134" spans="1:50">
      <c r="A134">
        <v>125</v>
      </c>
      <c r="B134">
        <v>681</v>
      </c>
      <c r="C134">
        <v>134</v>
      </c>
      <c r="D134" s="7">
        <v>45723</v>
      </c>
      <c r="E134" s="7" t="s">
        <v>887</v>
      </c>
      <c r="F134" s="10" t="s">
        <v>885</v>
      </c>
      <c r="G134" s="36" t="s">
        <v>141</v>
      </c>
      <c r="H134" s="36" t="s">
        <v>141</v>
      </c>
      <c r="I134" s="36"/>
      <c r="J134" s="36"/>
      <c r="K134" s="36"/>
      <c r="L134" s="36"/>
      <c r="M134" s="36" t="s">
        <v>141</v>
      </c>
      <c r="N134" s="36"/>
      <c r="O134" s="119"/>
      <c r="P134" s="36" t="s">
        <v>141</v>
      </c>
      <c r="Q134" s="36"/>
      <c r="R134" s="36"/>
      <c r="S134" s="36"/>
      <c r="T134" s="36" t="s">
        <v>141</v>
      </c>
      <c r="U134" s="36"/>
      <c r="V134" s="36" t="s">
        <v>141</v>
      </c>
      <c r="W134" s="36" t="s">
        <v>141</v>
      </c>
      <c r="X134" s="36"/>
      <c r="Y134" s="36" t="s">
        <v>141</v>
      </c>
      <c r="Z134" s="36"/>
      <c r="AA134" s="117"/>
      <c r="AB134" s="36"/>
      <c r="AC134" s="117"/>
      <c r="AD134" s="36"/>
      <c r="AE134" s="36"/>
      <c r="AF134" s="117"/>
      <c r="AG134" s="36"/>
      <c r="AH134" s="36"/>
      <c r="AI134" s="117"/>
      <c r="AJ134" s="36"/>
      <c r="AK134" s="36"/>
      <c r="AL134" s="36"/>
      <c r="AM134" s="117"/>
      <c r="AN134" s="117"/>
      <c r="AO134" s="117"/>
      <c r="AP134" s="117"/>
      <c r="AQ134" s="117"/>
      <c r="AR134" s="117"/>
      <c r="AS134" s="117"/>
      <c r="AT134" s="117"/>
      <c r="AU134" s="117"/>
      <c r="AV134" s="119">
        <f t="shared" si="2"/>
        <v>8</v>
      </c>
      <c r="AW134" s="119"/>
      <c r="AX134" s="119" t="s">
        <v>2142</v>
      </c>
    </row>
    <row r="135" spans="1:50">
      <c r="A135">
        <v>126</v>
      </c>
      <c r="B135">
        <v>682</v>
      </c>
      <c r="C135">
        <v>135</v>
      </c>
      <c r="D135" s="7">
        <v>45723</v>
      </c>
      <c r="E135" s="7" t="s">
        <v>255</v>
      </c>
      <c r="F135" s="10" t="s">
        <v>891</v>
      </c>
      <c r="G135" s="36" t="s">
        <v>141</v>
      </c>
      <c r="H135" s="36" t="s">
        <v>141</v>
      </c>
      <c r="I135" s="36"/>
      <c r="J135" s="36"/>
      <c r="K135" s="36"/>
      <c r="L135" s="36" t="s">
        <v>141</v>
      </c>
      <c r="M135" s="36" t="s">
        <v>141</v>
      </c>
      <c r="N135" s="36"/>
      <c r="O135" s="119"/>
      <c r="P135" s="36" t="s">
        <v>141</v>
      </c>
      <c r="Q135" s="36"/>
      <c r="R135" s="36"/>
      <c r="S135" s="36" t="s">
        <v>141</v>
      </c>
      <c r="T135" s="36" t="s">
        <v>141</v>
      </c>
      <c r="U135" s="36"/>
      <c r="V135" s="36" t="s">
        <v>141</v>
      </c>
      <c r="W135" s="36" t="s">
        <v>141</v>
      </c>
      <c r="X135" s="36" t="s">
        <v>141</v>
      </c>
      <c r="Y135" s="36" t="s">
        <v>141</v>
      </c>
      <c r="Z135" s="36"/>
      <c r="AA135" s="117" t="s">
        <v>141</v>
      </c>
      <c r="AB135" s="36" t="s">
        <v>141</v>
      </c>
      <c r="AC135" s="117" t="s">
        <v>141</v>
      </c>
      <c r="AD135" s="36"/>
      <c r="AE135" s="36"/>
      <c r="AF135" s="117" t="s">
        <v>141</v>
      </c>
      <c r="AG135" s="36" t="s">
        <v>141</v>
      </c>
      <c r="AH135" s="36"/>
      <c r="AI135" s="117"/>
      <c r="AJ135" s="36"/>
      <c r="AK135" s="36" t="s">
        <v>141</v>
      </c>
      <c r="AL135" s="36"/>
      <c r="AM135" s="117" t="s">
        <v>141</v>
      </c>
      <c r="AN135" s="117" t="s">
        <v>141</v>
      </c>
      <c r="AO135" s="117" t="s">
        <v>141</v>
      </c>
      <c r="AP135" s="117"/>
      <c r="AQ135" s="117"/>
      <c r="AR135" s="117" t="s">
        <v>141</v>
      </c>
      <c r="AS135" s="117"/>
      <c r="AT135" s="117"/>
      <c r="AU135" s="117"/>
      <c r="AV135" s="119">
        <f t="shared" si="2"/>
        <v>21</v>
      </c>
      <c r="AW135" s="119"/>
      <c r="AX135" s="119" t="s">
        <v>2142</v>
      </c>
    </row>
    <row r="136" spans="1:50">
      <c r="A136">
        <v>127</v>
      </c>
      <c r="B136">
        <v>683</v>
      </c>
      <c r="C136">
        <v>136</v>
      </c>
      <c r="D136" s="7">
        <v>45724</v>
      </c>
      <c r="E136" s="7" t="s">
        <v>897</v>
      </c>
      <c r="F136" s="10" t="s">
        <v>894</v>
      </c>
      <c r="G136" s="36" t="s">
        <v>141</v>
      </c>
      <c r="H136" s="36" t="s">
        <v>141</v>
      </c>
      <c r="I136" s="36"/>
      <c r="J136" s="36"/>
      <c r="K136" s="36"/>
      <c r="L136" s="36" t="s">
        <v>141</v>
      </c>
      <c r="M136" s="36" t="s">
        <v>141</v>
      </c>
      <c r="N136" s="36"/>
      <c r="O136" s="119"/>
      <c r="P136" s="36" t="s">
        <v>141</v>
      </c>
      <c r="Q136" s="36" t="s">
        <v>141</v>
      </c>
      <c r="R136" s="36"/>
      <c r="S136" s="36" t="s">
        <v>141</v>
      </c>
      <c r="T136" s="36" t="s">
        <v>141</v>
      </c>
      <c r="U136" s="36"/>
      <c r="V136" s="36" t="s">
        <v>141</v>
      </c>
      <c r="W136" s="36" t="s">
        <v>141</v>
      </c>
      <c r="X136" s="36" t="s">
        <v>141</v>
      </c>
      <c r="Y136" s="36" t="s">
        <v>141</v>
      </c>
      <c r="Z136" s="36"/>
      <c r="AA136" s="117" t="s">
        <v>141</v>
      </c>
      <c r="AB136" s="36" t="s">
        <v>141</v>
      </c>
      <c r="AC136" s="117" t="s">
        <v>141</v>
      </c>
      <c r="AD136" s="36"/>
      <c r="AE136" s="36"/>
      <c r="AF136" s="117" t="s">
        <v>141</v>
      </c>
      <c r="AG136" s="36" t="s">
        <v>141</v>
      </c>
      <c r="AH136" s="36"/>
      <c r="AI136" s="117"/>
      <c r="AJ136" s="36" t="s">
        <v>141</v>
      </c>
      <c r="AK136" s="36" t="s">
        <v>141</v>
      </c>
      <c r="AL136" s="36"/>
      <c r="AM136" s="117" t="s">
        <v>141</v>
      </c>
      <c r="AN136" s="117" t="s">
        <v>141</v>
      </c>
      <c r="AO136" s="117"/>
      <c r="AP136" s="117"/>
      <c r="AQ136" s="117"/>
      <c r="AR136" s="117"/>
      <c r="AS136" s="117"/>
      <c r="AT136" s="117"/>
      <c r="AU136" s="117"/>
      <c r="AV136" s="119">
        <f t="shared" si="2"/>
        <v>21</v>
      </c>
      <c r="AW136" s="119"/>
      <c r="AX136" s="119" t="s">
        <v>2142</v>
      </c>
    </row>
    <row r="137" spans="1:50">
      <c r="A137">
        <v>128</v>
      </c>
      <c r="B137">
        <v>684</v>
      </c>
      <c r="C137">
        <v>137</v>
      </c>
      <c r="D137" s="7">
        <v>45724</v>
      </c>
      <c r="E137" s="7" t="s">
        <v>902</v>
      </c>
      <c r="F137" s="10" t="s">
        <v>900</v>
      </c>
      <c r="G137" s="36" t="s">
        <v>141</v>
      </c>
      <c r="H137" s="36" t="s">
        <v>141</v>
      </c>
      <c r="I137" s="36"/>
      <c r="J137" s="36"/>
      <c r="K137" s="36"/>
      <c r="L137" s="36" t="s">
        <v>141</v>
      </c>
      <c r="M137" s="36" t="s">
        <v>141</v>
      </c>
      <c r="N137" s="36"/>
      <c r="O137" s="119"/>
      <c r="P137" s="36"/>
      <c r="Q137" s="36" t="s">
        <v>141</v>
      </c>
      <c r="R137" s="36"/>
      <c r="S137" s="36" t="s">
        <v>141</v>
      </c>
      <c r="T137" s="36"/>
      <c r="U137" s="36"/>
      <c r="V137" s="36" t="s">
        <v>141</v>
      </c>
      <c r="W137" s="36" t="s">
        <v>141</v>
      </c>
      <c r="X137" s="36" t="s">
        <v>141</v>
      </c>
      <c r="Y137" s="36" t="s">
        <v>141</v>
      </c>
      <c r="Z137" s="36"/>
      <c r="AA137" s="117" t="s">
        <v>141</v>
      </c>
      <c r="AB137" s="36" t="s">
        <v>141</v>
      </c>
      <c r="AC137" s="117" t="s">
        <v>141</v>
      </c>
      <c r="AD137" s="36"/>
      <c r="AE137" s="36" t="s">
        <v>141</v>
      </c>
      <c r="AF137" s="117" t="s">
        <v>141</v>
      </c>
      <c r="AG137" s="36"/>
      <c r="AH137" s="36"/>
      <c r="AI137" s="117" t="s">
        <v>141</v>
      </c>
      <c r="AJ137" s="36"/>
      <c r="AK137" s="36" t="s">
        <v>141</v>
      </c>
      <c r="AL137" s="36" t="s">
        <v>141</v>
      </c>
      <c r="AM137" s="117" t="s">
        <v>141</v>
      </c>
      <c r="AN137" s="117" t="s">
        <v>141</v>
      </c>
      <c r="AO137" s="117"/>
      <c r="AP137" s="117"/>
      <c r="AQ137" s="117"/>
      <c r="AR137" s="117"/>
      <c r="AS137" s="117"/>
      <c r="AT137" s="117"/>
      <c r="AU137" s="117"/>
      <c r="AV137" s="119">
        <f t="shared" si="2"/>
        <v>20</v>
      </c>
      <c r="AW137" s="119"/>
      <c r="AX137" s="119" t="s">
        <v>2142</v>
      </c>
    </row>
    <row r="138" spans="1:50">
      <c r="A138">
        <v>129</v>
      </c>
      <c r="B138">
        <v>685</v>
      </c>
      <c r="C138">
        <v>138</v>
      </c>
      <c r="D138" s="7">
        <v>45725</v>
      </c>
      <c r="E138" s="7" t="s">
        <v>907</v>
      </c>
      <c r="F138" s="10" t="s">
        <v>905</v>
      </c>
      <c r="G138" s="36" t="s">
        <v>141</v>
      </c>
      <c r="H138" s="36" t="s">
        <v>141</v>
      </c>
      <c r="I138" s="36" t="s">
        <v>141</v>
      </c>
      <c r="J138" s="36"/>
      <c r="K138" s="36"/>
      <c r="L138" s="36"/>
      <c r="M138" s="36" t="s">
        <v>141</v>
      </c>
      <c r="N138" s="36"/>
      <c r="O138" s="119" t="s">
        <v>141</v>
      </c>
      <c r="P138" s="36" t="s">
        <v>141</v>
      </c>
      <c r="Q138" s="36"/>
      <c r="R138" s="36" t="s">
        <v>141</v>
      </c>
      <c r="S138" s="36"/>
      <c r="T138" s="36"/>
      <c r="U138" s="36"/>
      <c r="V138" s="36" t="s">
        <v>141</v>
      </c>
      <c r="W138" s="36" t="s">
        <v>141</v>
      </c>
      <c r="X138" s="36"/>
      <c r="Y138" s="36"/>
      <c r="Z138" s="36"/>
      <c r="AA138" s="117"/>
      <c r="AB138" s="36" t="s">
        <v>141</v>
      </c>
      <c r="AC138" s="117"/>
      <c r="AD138" s="36"/>
      <c r="AE138" s="36"/>
      <c r="AF138" s="117" t="s">
        <v>141</v>
      </c>
      <c r="AG138" s="36" t="s">
        <v>141</v>
      </c>
      <c r="AH138" s="36"/>
      <c r="AI138" s="117"/>
      <c r="AJ138" s="36"/>
      <c r="AK138" s="36" t="s">
        <v>141</v>
      </c>
      <c r="AL138" s="36"/>
      <c r="AM138" s="117"/>
      <c r="AN138" s="117"/>
      <c r="AO138" s="117"/>
      <c r="AP138" s="117"/>
      <c r="AQ138" s="117"/>
      <c r="AR138" s="117"/>
      <c r="AS138" s="117"/>
      <c r="AT138" s="117"/>
      <c r="AU138" s="117"/>
      <c r="AV138" s="119">
        <f t="shared" si="2"/>
        <v>13</v>
      </c>
      <c r="AW138" s="119"/>
      <c r="AX138" s="119" t="s">
        <v>2142</v>
      </c>
    </row>
    <row r="139" spans="1:50">
      <c r="A139">
        <v>130</v>
      </c>
      <c r="B139">
        <v>686</v>
      </c>
      <c r="C139">
        <v>139</v>
      </c>
      <c r="D139" s="7">
        <v>45726</v>
      </c>
      <c r="E139" s="7" t="s">
        <v>912</v>
      </c>
      <c r="F139" s="10" t="s">
        <v>910</v>
      </c>
      <c r="G139" s="36" t="s">
        <v>141</v>
      </c>
      <c r="H139" s="36"/>
      <c r="I139" s="36"/>
      <c r="J139" s="36"/>
      <c r="K139" s="36"/>
      <c r="L139" s="36"/>
      <c r="M139" s="36"/>
      <c r="N139" s="36"/>
      <c r="O139" s="119"/>
      <c r="P139" s="36"/>
      <c r="Q139" s="36"/>
      <c r="R139" s="36"/>
      <c r="S139" s="36"/>
      <c r="T139" s="36" t="s">
        <v>141</v>
      </c>
      <c r="U139" s="36"/>
      <c r="V139" s="36" t="s">
        <v>141</v>
      </c>
      <c r="W139" s="36"/>
      <c r="X139" s="36"/>
      <c r="Y139" s="36" t="s">
        <v>141</v>
      </c>
      <c r="Z139" s="36"/>
      <c r="AA139" s="117"/>
      <c r="AB139" s="36"/>
      <c r="AC139" s="117"/>
      <c r="AD139" s="36"/>
      <c r="AE139" s="36" t="s">
        <v>141</v>
      </c>
      <c r="AF139" s="117"/>
      <c r="AG139" s="36" t="s">
        <v>141</v>
      </c>
      <c r="AH139" s="36"/>
      <c r="AI139" s="117"/>
      <c r="AJ139" s="36" t="s">
        <v>141</v>
      </c>
      <c r="AK139" s="36"/>
      <c r="AL139" s="36"/>
      <c r="AM139" s="117" t="s">
        <v>141</v>
      </c>
      <c r="AN139" s="117" t="s">
        <v>141</v>
      </c>
      <c r="AO139" s="117"/>
      <c r="AP139" s="117"/>
      <c r="AQ139" s="117"/>
      <c r="AR139" s="117"/>
      <c r="AS139" s="117"/>
      <c r="AT139" s="117"/>
      <c r="AU139" s="117"/>
      <c r="AV139" s="119">
        <f t="shared" si="2"/>
        <v>9</v>
      </c>
      <c r="AW139" s="119"/>
      <c r="AX139" s="119" t="s">
        <v>2142</v>
      </c>
    </row>
    <row r="140" spans="1:50">
      <c r="A140">
        <v>131</v>
      </c>
      <c r="B140">
        <v>687</v>
      </c>
      <c r="C140">
        <v>140</v>
      </c>
      <c r="D140" s="7">
        <v>45726</v>
      </c>
      <c r="E140" s="7" t="s">
        <v>920</v>
      </c>
      <c r="F140" s="10" t="s">
        <v>917</v>
      </c>
      <c r="G140" s="36" t="s">
        <v>141</v>
      </c>
      <c r="H140" s="36"/>
      <c r="I140" s="36"/>
      <c r="J140" s="36"/>
      <c r="K140" s="36"/>
      <c r="L140" s="36"/>
      <c r="M140" s="36" t="s">
        <v>141</v>
      </c>
      <c r="N140" s="36"/>
      <c r="O140" s="119"/>
      <c r="P140" s="36"/>
      <c r="Q140" s="36" t="s">
        <v>141</v>
      </c>
      <c r="R140" s="36"/>
      <c r="S140" s="36"/>
      <c r="T140" s="36" t="s">
        <v>141</v>
      </c>
      <c r="U140" s="36"/>
      <c r="V140" s="36" t="s">
        <v>141</v>
      </c>
      <c r="W140" s="36"/>
      <c r="X140" s="36"/>
      <c r="Y140" s="36" t="s">
        <v>141</v>
      </c>
      <c r="Z140" s="36"/>
      <c r="AA140" s="117"/>
      <c r="AB140" s="36"/>
      <c r="AC140" s="117"/>
      <c r="AD140" s="36" t="s">
        <v>141</v>
      </c>
      <c r="AE140" s="36" t="s">
        <v>141</v>
      </c>
      <c r="AF140" s="117"/>
      <c r="AG140" s="36"/>
      <c r="AH140" s="36"/>
      <c r="AI140" s="117"/>
      <c r="AJ140" s="36" t="s">
        <v>141</v>
      </c>
      <c r="AK140" s="36"/>
      <c r="AL140" s="36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9">
        <f t="shared" si="2"/>
        <v>9</v>
      </c>
      <c r="AW140" s="119"/>
      <c r="AX140" s="119" t="s">
        <v>2142</v>
      </c>
    </row>
    <row r="141" spans="1:50">
      <c r="A141">
        <v>132</v>
      </c>
      <c r="B141">
        <v>688</v>
      </c>
      <c r="C141">
        <v>141</v>
      </c>
      <c r="D141" s="7">
        <v>45726</v>
      </c>
      <c r="E141" s="7" t="s">
        <v>926</v>
      </c>
      <c r="F141" s="10" t="s">
        <v>923</v>
      </c>
      <c r="G141" s="36" t="s">
        <v>141</v>
      </c>
      <c r="H141" s="36"/>
      <c r="I141" s="36"/>
      <c r="J141" s="36"/>
      <c r="K141" s="36"/>
      <c r="L141" s="36"/>
      <c r="M141" s="36"/>
      <c r="N141" s="36"/>
      <c r="O141" s="119"/>
      <c r="P141" s="36"/>
      <c r="Q141" s="36" t="s">
        <v>141</v>
      </c>
      <c r="R141" s="36"/>
      <c r="S141" s="36"/>
      <c r="T141" s="36" t="s">
        <v>141</v>
      </c>
      <c r="U141" s="36" t="s">
        <v>141</v>
      </c>
      <c r="V141" s="36" t="s">
        <v>141</v>
      </c>
      <c r="W141" s="36"/>
      <c r="X141" s="36"/>
      <c r="Y141" s="36" t="s">
        <v>141</v>
      </c>
      <c r="Z141" s="36"/>
      <c r="AA141" s="117"/>
      <c r="AB141" s="36"/>
      <c r="AC141" s="117"/>
      <c r="AD141" s="36" t="s">
        <v>141</v>
      </c>
      <c r="AE141" s="36" t="s">
        <v>141</v>
      </c>
      <c r="AF141" s="117"/>
      <c r="AG141" s="36"/>
      <c r="AH141" s="36"/>
      <c r="AI141" s="117"/>
      <c r="AJ141" s="36" t="s">
        <v>141</v>
      </c>
      <c r="AK141" s="36"/>
      <c r="AL141" s="36"/>
      <c r="AM141" s="117"/>
      <c r="AN141" s="117"/>
      <c r="AO141" s="117"/>
      <c r="AP141" s="117"/>
      <c r="AQ141" s="117"/>
      <c r="AR141" s="117"/>
      <c r="AS141" s="117"/>
      <c r="AT141" s="117"/>
      <c r="AU141" s="117"/>
      <c r="AV141" s="119">
        <f t="shared" si="2"/>
        <v>9</v>
      </c>
      <c r="AW141" s="119"/>
      <c r="AX141" s="119" t="s">
        <v>2142</v>
      </c>
    </row>
    <row r="142" spans="1:50">
      <c r="A142">
        <v>133</v>
      </c>
      <c r="B142">
        <v>689</v>
      </c>
      <c r="C142">
        <v>142</v>
      </c>
      <c r="D142" s="7">
        <v>45724</v>
      </c>
      <c r="E142" s="7" t="s">
        <v>932</v>
      </c>
      <c r="F142" s="10" t="s">
        <v>928</v>
      </c>
      <c r="G142" s="36" t="s">
        <v>141</v>
      </c>
      <c r="H142" s="36" t="s">
        <v>141</v>
      </c>
      <c r="I142" s="36"/>
      <c r="J142" s="36"/>
      <c r="K142" s="36"/>
      <c r="L142" s="36"/>
      <c r="M142" s="36" t="s">
        <v>141</v>
      </c>
      <c r="N142" s="36"/>
      <c r="O142" s="119" t="s">
        <v>141</v>
      </c>
      <c r="P142" s="36" t="s">
        <v>141</v>
      </c>
      <c r="Q142" s="36" t="s">
        <v>141</v>
      </c>
      <c r="R142" s="36"/>
      <c r="S142" s="36"/>
      <c r="T142" s="36" t="s">
        <v>141</v>
      </c>
      <c r="U142" s="36"/>
      <c r="V142" s="36" t="s">
        <v>141</v>
      </c>
      <c r="W142" s="36" t="s">
        <v>141</v>
      </c>
      <c r="X142" s="36"/>
      <c r="Y142" s="36" t="s">
        <v>141</v>
      </c>
      <c r="Z142" s="36"/>
      <c r="AA142" s="117"/>
      <c r="AB142" s="36"/>
      <c r="AC142" s="117"/>
      <c r="AD142" s="36"/>
      <c r="AE142" s="36" t="s">
        <v>141</v>
      </c>
      <c r="AF142" s="117" t="s">
        <v>141</v>
      </c>
      <c r="AG142" s="36"/>
      <c r="AH142" s="36"/>
      <c r="AI142" s="117"/>
      <c r="AJ142" s="36"/>
      <c r="AK142" s="36"/>
      <c r="AL142" s="36"/>
      <c r="AM142" s="117" t="s">
        <v>141</v>
      </c>
      <c r="AN142" s="117" t="s">
        <v>141</v>
      </c>
      <c r="AO142" s="117"/>
      <c r="AP142" s="117"/>
      <c r="AQ142" s="117"/>
      <c r="AR142" s="117"/>
      <c r="AS142" s="117"/>
      <c r="AT142" s="117"/>
      <c r="AU142" s="117"/>
      <c r="AV142" s="119">
        <f t="shared" si="2"/>
        <v>14</v>
      </c>
      <c r="AW142" s="119"/>
      <c r="AX142" s="119" t="s">
        <v>2142</v>
      </c>
    </row>
    <row r="143" spans="1:50">
      <c r="A143">
        <v>134</v>
      </c>
      <c r="B143">
        <v>690</v>
      </c>
      <c r="C143">
        <v>143</v>
      </c>
      <c r="D143" s="7">
        <v>45726</v>
      </c>
      <c r="E143" s="7" t="s">
        <v>936</v>
      </c>
      <c r="F143" s="10" t="s">
        <v>934</v>
      </c>
      <c r="G143" s="36" t="s">
        <v>141</v>
      </c>
      <c r="H143" s="36" t="s">
        <v>141</v>
      </c>
      <c r="I143" s="36"/>
      <c r="J143" s="36"/>
      <c r="K143" s="36"/>
      <c r="L143" s="36"/>
      <c r="M143" s="36" t="s">
        <v>141</v>
      </c>
      <c r="N143" s="36"/>
      <c r="O143" s="119"/>
      <c r="P143" s="36" t="s">
        <v>141</v>
      </c>
      <c r="Q143" s="36"/>
      <c r="R143" s="36"/>
      <c r="S143" s="36"/>
      <c r="T143" s="36" t="s">
        <v>141</v>
      </c>
      <c r="U143" s="36" t="s">
        <v>141</v>
      </c>
      <c r="V143" s="36" t="s">
        <v>141</v>
      </c>
      <c r="W143" s="36" t="s">
        <v>141</v>
      </c>
      <c r="X143" s="36" t="s">
        <v>141</v>
      </c>
      <c r="Y143" s="36" t="s">
        <v>141</v>
      </c>
      <c r="Z143" s="36"/>
      <c r="AA143" s="117"/>
      <c r="AB143" s="36"/>
      <c r="AC143" s="117"/>
      <c r="AD143" s="36"/>
      <c r="AE143" s="36" t="s">
        <v>141</v>
      </c>
      <c r="AF143" s="117"/>
      <c r="AG143" s="36"/>
      <c r="AH143" s="36"/>
      <c r="AI143" s="117"/>
      <c r="AJ143" s="36"/>
      <c r="AK143" s="36"/>
      <c r="AL143" s="36"/>
      <c r="AM143" s="117" t="s">
        <v>141</v>
      </c>
      <c r="AN143" s="117" t="s">
        <v>141</v>
      </c>
      <c r="AO143" s="117"/>
      <c r="AP143" s="117"/>
      <c r="AQ143" s="117"/>
      <c r="AR143" s="117" t="s">
        <v>141</v>
      </c>
      <c r="AS143" s="117"/>
      <c r="AT143" s="117"/>
      <c r="AU143" s="117"/>
      <c r="AV143" s="119">
        <f t="shared" si="2"/>
        <v>14</v>
      </c>
      <c r="AW143" s="119"/>
      <c r="AX143" s="119" t="s">
        <v>2142</v>
      </c>
    </row>
    <row r="144" spans="1:50">
      <c r="A144" t="s">
        <v>57</v>
      </c>
      <c r="B144" t="s">
        <v>57</v>
      </c>
      <c r="C144">
        <v>144</v>
      </c>
      <c r="D144" s="7">
        <v>45726</v>
      </c>
      <c r="E144" s="7" t="s">
        <v>2129</v>
      </c>
      <c r="F144" s="10" t="s">
        <v>2130</v>
      </c>
      <c r="G144" s="36" t="s">
        <v>141</v>
      </c>
      <c r="H144" s="36" t="s">
        <v>141</v>
      </c>
      <c r="I144" s="36" t="s">
        <v>141</v>
      </c>
      <c r="J144" s="36" t="s">
        <v>2131</v>
      </c>
      <c r="K144" s="36" t="s">
        <v>141</v>
      </c>
      <c r="L144" s="36" t="s">
        <v>2131</v>
      </c>
      <c r="M144" s="36" t="s">
        <v>141</v>
      </c>
      <c r="N144" s="36" t="s">
        <v>141</v>
      </c>
      <c r="O144" s="119" t="s">
        <v>2131</v>
      </c>
      <c r="P144" s="36" t="s">
        <v>141</v>
      </c>
      <c r="Q144" s="36" t="s">
        <v>141</v>
      </c>
      <c r="R144" s="36"/>
      <c r="S144" s="36" t="s">
        <v>141</v>
      </c>
      <c r="T144" s="36" t="s">
        <v>141</v>
      </c>
      <c r="U144" s="36"/>
      <c r="V144" s="36" t="s">
        <v>141</v>
      </c>
      <c r="W144" s="36" t="s">
        <v>141</v>
      </c>
      <c r="X144" s="36" t="s">
        <v>141</v>
      </c>
      <c r="Y144" s="36" t="s">
        <v>141</v>
      </c>
      <c r="Z144" s="36" t="s">
        <v>2131</v>
      </c>
      <c r="AA144" s="117" t="s">
        <v>2131</v>
      </c>
      <c r="AB144" s="36" t="s">
        <v>2131</v>
      </c>
      <c r="AC144" s="117" t="s">
        <v>141</v>
      </c>
      <c r="AD144" s="36" t="s">
        <v>2131</v>
      </c>
      <c r="AE144" s="36" t="s">
        <v>141</v>
      </c>
      <c r="AF144" s="117" t="s">
        <v>2131</v>
      </c>
      <c r="AG144" s="36" t="s">
        <v>141</v>
      </c>
      <c r="AH144" s="36" t="s">
        <v>141</v>
      </c>
      <c r="AI144" s="117" t="s">
        <v>141</v>
      </c>
      <c r="AJ144" s="36" t="s">
        <v>141</v>
      </c>
      <c r="AK144" s="36" t="s">
        <v>141</v>
      </c>
      <c r="AL144" s="36" t="s">
        <v>141</v>
      </c>
      <c r="AM144" s="117" t="s">
        <v>141</v>
      </c>
      <c r="AN144" s="117" t="s">
        <v>141</v>
      </c>
      <c r="AO144" s="117" t="s">
        <v>141</v>
      </c>
      <c r="AP144" s="117"/>
      <c r="AQ144" s="117"/>
      <c r="AR144" s="117" t="s">
        <v>141</v>
      </c>
      <c r="AS144" s="117"/>
      <c r="AT144" s="117"/>
      <c r="AU144" s="117"/>
      <c r="AV144" s="119">
        <f t="shared" si="2"/>
        <v>26</v>
      </c>
      <c r="AW144" s="119"/>
      <c r="AX144" s="119" t="s">
        <v>2142</v>
      </c>
    </row>
    <row r="145" spans="1:50">
      <c r="A145">
        <v>135</v>
      </c>
      <c r="B145">
        <v>691</v>
      </c>
      <c r="C145">
        <v>145</v>
      </c>
      <c r="D145" s="7">
        <v>45728</v>
      </c>
      <c r="E145" s="7" t="s">
        <v>941</v>
      </c>
      <c r="F145" s="10" t="s">
        <v>938</v>
      </c>
      <c r="G145" s="36"/>
      <c r="H145" s="36"/>
      <c r="I145" s="36"/>
      <c r="J145" s="36" t="s">
        <v>141</v>
      </c>
      <c r="K145" s="36"/>
      <c r="L145" s="36"/>
      <c r="M145" s="36"/>
      <c r="N145" s="36"/>
      <c r="O145" s="119"/>
      <c r="P145" s="36"/>
      <c r="Q145" s="36"/>
      <c r="R145" s="36"/>
      <c r="S145" s="36"/>
      <c r="T145" s="36" t="s">
        <v>141</v>
      </c>
      <c r="U145" s="36"/>
      <c r="V145" s="36"/>
      <c r="W145" s="36"/>
      <c r="X145" s="36"/>
      <c r="Y145" s="36"/>
      <c r="Z145" s="36"/>
      <c r="AA145" s="117" t="s">
        <v>141</v>
      </c>
      <c r="AB145" s="36"/>
      <c r="AC145" s="117"/>
      <c r="AD145" s="36"/>
      <c r="AE145" s="36" t="s">
        <v>141</v>
      </c>
      <c r="AF145" s="117"/>
      <c r="AG145" s="36" t="s">
        <v>141</v>
      </c>
      <c r="AH145" s="36"/>
      <c r="AI145" s="117"/>
      <c r="AJ145" s="36"/>
      <c r="AK145" s="36"/>
      <c r="AL145" s="36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9">
        <f t="shared" si="2"/>
        <v>5</v>
      </c>
      <c r="AW145" s="119"/>
      <c r="AX145" s="119" t="s">
        <v>2142</v>
      </c>
    </row>
    <row r="146" spans="1:50">
      <c r="A146">
        <v>136</v>
      </c>
      <c r="B146">
        <v>692</v>
      </c>
      <c r="C146">
        <v>146</v>
      </c>
      <c r="D146" s="7">
        <v>45728</v>
      </c>
      <c r="E146" s="7" t="s">
        <v>946</v>
      </c>
      <c r="F146" s="10" t="s">
        <v>944</v>
      </c>
      <c r="G146" s="36"/>
      <c r="H146" s="36"/>
      <c r="I146" s="36"/>
      <c r="J146" s="36" t="s">
        <v>141</v>
      </c>
      <c r="K146" s="36"/>
      <c r="L146" s="36"/>
      <c r="M146" s="36"/>
      <c r="N146" s="36"/>
      <c r="O146" s="119"/>
      <c r="P146" s="36"/>
      <c r="Q146" s="36"/>
      <c r="R146" s="36"/>
      <c r="S146" s="36"/>
      <c r="T146" s="36" t="s">
        <v>141</v>
      </c>
      <c r="U146" s="36"/>
      <c r="V146" s="36"/>
      <c r="W146" s="36"/>
      <c r="X146" s="36"/>
      <c r="Y146" s="36"/>
      <c r="Z146" s="36"/>
      <c r="AA146" s="117" t="s">
        <v>141</v>
      </c>
      <c r="AB146" s="36"/>
      <c r="AC146" s="117" t="s">
        <v>141</v>
      </c>
      <c r="AD146" s="36"/>
      <c r="AE146" s="36"/>
      <c r="AF146" s="117"/>
      <c r="AG146" s="36" t="s">
        <v>141</v>
      </c>
      <c r="AH146" s="36"/>
      <c r="AI146" s="117"/>
      <c r="AJ146" s="36"/>
      <c r="AK146" s="36"/>
      <c r="AL146" s="36"/>
      <c r="AM146" s="117"/>
      <c r="AN146" s="117"/>
      <c r="AO146" s="117"/>
      <c r="AP146" s="117"/>
      <c r="AQ146" s="117"/>
      <c r="AR146" s="117"/>
      <c r="AS146" s="117"/>
      <c r="AT146" s="117"/>
      <c r="AU146" s="117"/>
      <c r="AV146" s="119">
        <f t="shared" si="2"/>
        <v>5</v>
      </c>
      <c r="AW146" s="119"/>
      <c r="AX146" s="119" t="s">
        <v>2142</v>
      </c>
    </row>
    <row r="147" spans="1:50">
      <c r="A147">
        <v>137</v>
      </c>
      <c r="B147">
        <v>693</v>
      </c>
      <c r="C147">
        <v>147</v>
      </c>
      <c r="D147" s="7">
        <v>45729</v>
      </c>
      <c r="E147" s="7" t="s">
        <v>950</v>
      </c>
      <c r="F147" s="10" t="s">
        <v>948</v>
      </c>
      <c r="G147" s="36"/>
      <c r="H147" s="36" t="s">
        <v>141</v>
      </c>
      <c r="I147" s="36"/>
      <c r="J147" s="36" t="s">
        <v>141</v>
      </c>
      <c r="K147" s="36"/>
      <c r="L147" s="36"/>
      <c r="M147" s="36"/>
      <c r="N147" s="36"/>
      <c r="O147" s="119" t="s">
        <v>141</v>
      </c>
      <c r="P147" s="36"/>
      <c r="Q147" s="36"/>
      <c r="R147" s="36"/>
      <c r="S147" s="36" t="s">
        <v>141</v>
      </c>
      <c r="T147" s="36" t="s">
        <v>141</v>
      </c>
      <c r="U147" s="36"/>
      <c r="V147" s="36"/>
      <c r="W147" s="36" t="s">
        <v>141</v>
      </c>
      <c r="X147" s="36"/>
      <c r="Y147" s="36" t="s">
        <v>141</v>
      </c>
      <c r="Z147" s="36"/>
      <c r="AA147" s="117" t="s">
        <v>141</v>
      </c>
      <c r="AB147" s="36"/>
      <c r="AC147" s="117"/>
      <c r="AD147" s="36"/>
      <c r="AE147" s="36"/>
      <c r="AF147" s="117"/>
      <c r="AG147" s="36"/>
      <c r="AH147" s="36" t="s">
        <v>141</v>
      </c>
      <c r="AI147" s="117"/>
      <c r="AJ147" s="36"/>
      <c r="AK147" s="36"/>
      <c r="AL147" s="36"/>
      <c r="AM147" s="117" t="s">
        <v>141</v>
      </c>
      <c r="AN147" s="117" t="s">
        <v>141</v>
      </c>
      <c r="AO147" s="117"/>
      <c r="AP147" s="117"/>
      <c r="AQ147" s="117"/>
      <c r="AR147" s="117"/>
      <c r="AS147" s="117"/>
      <c r="AT147" s="117"/>
      <c r="AU147" s="117"/>
      <c r="AV147" s="119">
        <f t="shared" si="2"/>
        <v>11</v>
      </c>
      <c r="AW147" s="119"/>
      <c r="AX147" s="119" t="s">
        <v>2142</v>
      </c>
    </row>
    <row r="148" spans="1:50">
      <c r="A148">
        <v>138</v>
      </c>
      <c r="B148">
        <v>694</v>
      </c>
      <c r="C148">
        <v>148</v>
      </c>
      <c r="D148" s="7">
        <v>45729</v>
      </c>
      <c r="E148" s="7" t="s">
        <v>955</v>
      </c>
      <c r="F148" s="10" t="s">
        <v>953</v>
      </c>
      <c r="G148" s="36"/>
      <c r="H148" s="36" t="s">
        <v>141</v>
      </c>
      <c r="I148" s="36"/>
      <c r="J148" s="36" t="s">
        <v>141</v>
      </c>
      <c r="K148" s="36"/>
      <c r="L148" s="36"/>
      <c r="M148" s="36"/>
      <c r="N148" s="36"/>
      <c r="O148" s="119" t="s">
        <v>141</v>
      </c>
      <c r="P148" s="36"/>
      <c r="Q148" s="36"/>
      <c r="R148" s="36"/>
      <c r="S148" s="36" t="s">
        <v>141</v>
      </c>
      <c r="T148" s="36"/>
      <c r="U148" s="36"/>
      <c r="V148" s="36"/>
      <c r="W148" s="36"/>
      <c r="X148" s="36"/>
      <c r="Y148" s="36"/>
      <c r="Z148" s="36"/>
      <c r="AA148" s="117" t="s">
        <v>141</v>
      </c>
      <c r="AB148" s="36"/>
      <c r="AC148" s="117" t="s">
        <v>141</v>
      </c>
      <c r="AD148" s="36"/>
      <c r="AE148" s="36"/>
      <c r="AF148" s="117"/>
      <c r="AG148" s="36"/>
      <c r="AH148" s="36"/>
      <c r="AI148" s="117" t="s">
        <v>141</v>
      </c>
      <c r="AJ148" s="36"/>
      <c r="AK148" s="36"/>
      <c r="AL148" s="36" t="s">
        <v>141</v>
      </c>
      <c r="AM148" s="117" t="s">
        <v>141</v>
      </c>
      <c r="AN148" s="117" t="s">
        <v>141</v>
      </c>
      <c r="AO148" s="117"/>
      <c r="AP148" s="117"/>
      <c r="AQ148" s="117"/>
      <c r="AR148" s="117"/>
      <c r="AS148" s="117"/>
      <c r="AT148" s="117"/>
      <c r="AU148" s="117"/>
      <c r="AV148" s="119">
        <f t="shared" si="2"/>
        <v>10</v>
      </c>
      <c r="AW148" s="119"/>
      <c r="AX148" s="119" t="s">
        <v>2142</v>
      </c>
    </row>
    <row r="149" spans="1:50">
      <c r="A149">
        <v>139</v>
      </c>
      <c r="B149">
        <v>695</v>
      </c>
      <c r="C149">
        <v>149</v>
      </c>
      <c r="D149" s="7">
        <v>45730</v>
      </c>
      <c r="E149" s="7" t="s">
        <v>962</v>
      </c>
      <c r="F149" s="10" t="s">
        <v>959</v>
      </c>
      <c r="G149" s="36" t="s">
        <v>141</v>
      </c>
      <c r="H149" s="36"/>
      <c r="I149" s="36"/>
      <c r="J149" s="36"/>
      <c r="K149" s="36"/>
      <c r="L149" s="36" t="s">
        <v>141</v>
      </c>
      <c r="M149" s="36"/>
      <c r="N149" s="36"/>
      <c r="O149" s="119"/>
      <c r="P149" s="36"/>
      <c r="Q149" s="36"/>
      <c r="R149" s="36"/>
      <c r="S149" s="36"/>
      <c r="T149" s="36" t="s">
        <v>141</v>
      </c>
      <c r="U149" s="36"/>
      <c r="V149" s="36"/>
      <c r="W149" s="36" t="s">
        <v>141</v>
      </c>
      <c r="X149" s="36"/>
      <c r="Y149" s="36"/>
      <c r="Z149" s="36"/>
      <c r="AA149" s="117"/>
      <c r="AB149" s="36"/>
      <c r="AC149" s="117"/>
      <c r="AD149" s="36" t="s">
        <v>141</v>
      </c>
      <c r="AE149" s="36"/>
      <c r="AF149" s="117"/>
      <c r="AG149" s="36"/>
      <c r="AH149" s="36" t="s">
        <v>141</v>
      </c>
      <c r="AI149" s="117"/>
      <c r="AJ149" s="36"/>
      <c r="AK149" s="36"/>
      <c r="AL149" s="36"/>
      <c r="AM149" s="117"/>
      <c r="AN149" s="117"/>
      <c r="AO149" s="117" t="s">
        <v>141</v>
      </c>
      <c r="AP149" s="117"/>
      <c r="AQ149" s="117"/>
      <c r="AR149" s="117"/>
      <c r="AS149" s="117"/>
      <c r="AT149" s="117"/>
      <c r="AU149" s="117"/>
      <c r="AV149" s="119">
        <f t="shared" si="2"/>
        <v>7</v>
      </c>
      <c r="AW149" s="119"/>
      <c r="AX149" s="119" t="s">
        <v>2142</v>
      </c>
    </row>
    <row r="150" spans="1:50">
      <c r="A150">
        <v>140</v>
      </c>
      <c r="B150">
        <v>696</v>
      </c>
      <c r="C150">
        <v>150</v>
      </c>
      <c r="D150" s="7">
        <v>45731</v>
      </c>
      <c r="E150" s="7" t="s">
        <v>967</v>
      </c>
      <c r="F150" s="10" t="s">
        <v>965</v>
      </c>
      <c r="G150" s="36" t="s">
        <v>141</v>
      </c>
      <c r="H150" s="36" t="s">
        <v>141</v>
      </c>
      <c r="I150" s="36"/>
      <c r="J150" s="36"/>
      <c r="K150" s="36"/>
      <c r="L150" s="36" t="s">
        <v>141</v>
      </c>
      <c r="M150" s="36"/>
      <c r="N150" s="36"/>
      <c r="O150" s="119"/>
      <c r="P150" s="36" t="s">
        <v>141</v>
      </c>
      <c r="Q150" s="36"/>
      <c r="R150" s="36"/>
      <c r="S150" s="36"/>
      <c r="T150" s="36"/>
      <c r="U150" s="36" t="s">
        <v>141</v>
      </c>
      <c r="V150" s="36"/>
      <c r="W150" s="36"/>
      <c r="X150" s="36"/>
      <c r="Y150" s="36"/>
      <c r="Z150" s="36"/>
      <c r="AA150" s="117"/>
      <c r="AB150" s="36"/>
      <c r="AC150" s="117" t="s">
        <v>141</v>
      </c>
      <c r="AD150" s="36" t="s">
        <v>141</v>
      </c>
      <c r="AE150" s="36"/>
      <c r="AF150" s="117" t="s">
        <v>141</v>
      </c>
      <c r="AG150" s="36"/>
      <c r="AH150" s="36"/>
      <c r="AI150" s="117"/>
      <c r="AJ150" s="36" t="s">
        <v>141</v>
      </c>
      <c r="AK150" s="36"/>
      <c r="AL150" s="36" t="s">
        <v>141</v>
      </c>
      <c r="AM150" s="117"/>
      <c r="AN150" s="117"/>
      <c r="AO150" s="117"/>
      <c r="AP150" s="117"/>
      <c r="AQ150" s="117"/>
      <c r="AR150" s="117" t="s">
        <v>141</v>
      </c>
      <c r="AS150" s="117"/>
      <c r="AT150" s="117"/>
      <c r="AU150" s="117"/>
      <c r="AV150" s="119">
        <f t="shared" si="2"/>
        <v>11</v>
      </c>
      <c r="AW150" s="119"/>
      <c r="AX150" s="119" t="s">
        <v>2142</v>
      </c>
    </row>
    <row r="151" spans="1:50">
      <c r="A151">
        <v>141</v>
      </c>
      <c r="B151">
        <v>697</v>
      </c>
      <c r="C151">
        <v>151</v>
      </c>
      <c r="D151" s="7">
        <v>45728</v>
      </c>
      <c r="E151" s="7" t="s">
        <v>972</v>
      </c>
      <c r="F151" s="10" t="s">
        <v>969</v>
      </c>
      <c r="G151" s="36" t="s">
        <v>141</v>
      </c>
      <c r="H151" s="36"/>
      <c r="I151" s="36"/>
      <c r="J151" s="36"/>
      <c r="K151" s="36"/>
      <c r="L151" s="36"/>
      <c r="M151" s="36"/>
      <c r="N151" s="36"/>
      <c r="O151" s="119"/>
      <c r="P151" s="36" t="s">
        <v>141</v>
      </c>
      <c r="Q151" s="36"/>
      <c r="R151" s="36"/>
      <c r="S151" s="36"/>
      <c r="T151" s="36"/>
      <c r="U151" s="36" t="s">
        <v>141</v>
      </c>
      <c r="V151" s="36"/>
      <c r="W151" s="36" t="s">
        <v>141</v>
      </c>
      <c r="X151" s="36"/>
      <c r="Y151" s="36"/>
      <c r="Z151" s="36"/>
      <c r="AA151" s="117"/>
      <c r="AB151" s="36"/>
      <c r="AC151" s="117" t="s">
        <v>141</v>
      </c>
      <c r="AD151" s="36" t="s">
        <v>141</v>
      </c>
      <c r="AE151" s="36"/>
      <c r="AF151" s="117"/>
      <c r="AG151" s="36"/>
      <c r="AH151" s="36" t="s">
        <v>141</v>
      </c>
      <c r="AI151" s="117"/>
      <c r="AJ151" s="36" t="s">
        <v>141</v>
      </c>
      <c r="AK151" s="36" t="s">
        <v>141</v>
      </c>
      <c r="AL151" s="36" t="s">
        <v>141</v>
      </c>
      <c r="AM151" s="117" t="s">
        <v>141</v>
      </c>
      <c r="AN151" s="117" t="s">
        <v>141</v>
      </c>
      <c r="AO151" s="117"/>
      <c r="AP151" s="117"/>
      <c r="AQ151" s="117"/>
      <c r="AR151" s="117" t="s">
        <v>141</v>
      </c>
      <c r="AS151" s="117"/>
      <c r="AT151" s="117"/>
      <c r="AU151" s="117"/>
      <c r="AV151" s="119">
        <f t="shared" si="2"/>
        <v>13</v>
      </c>
      <c r="AW151" s="119"/>
      <c r="AX151" s="119" t="s">
        <v>2142</v>
      </c>
    </row>
    <row r="152" spans="1:50">
      <c r="A152">
        <v>142</v>
      </c>
      <c r="B152">
        <v>698</v>
      </c>
      <c r="C152">
        <v>152</v>
      </c>
      <c r="D152" s="7">
        <v>45731</v>
      </c>
      <c r="E152" s="7" t="s">
        <v>978</v>
      </c>
      <c r="F152" s="10" t="s">
        <v>976</v>
      </c>
      <c r="G152" s="36" t="s">
        <v>141</v>
      </c>
      <c r="H152" s="36"/>
      <c r="I152" s="36"/>
      <c r="J152" s="36"/>
      <c r="K152" s="36"/>
      <c r="L152" s="36" t="s">
        <v>141</v>
      </c>
      <c r="M152" s="36"/>
      <c r="N152" s="36"/>
      <c r="O152" s="119"/>
      <c r="P152" s="36" t="s">
        <v>141</v>
      </c>
      <c r="Q152" s="36"/>
      <c r="R152" s="36"/>
      <c r="S152" s="36"/>
      <c r="T152" s="36"/>
      <c r="U152" s="36" t="s">
        <v>141</v>
      </c>
      <c r="V152" s="36"/>
      <c r="W152" s="36" t="s">
        <v>141</v>
      </c>
      <c r="X152" s="36"/>
      <c r="Y152" s="36"/>
      <c r="Z152" s="36"/>
      <c r="AA152" s="117"/>
      <c r="AB152" s="36"/>
      <c r="AC152" s="117" t="s">
        <v>141</v>
      </c>
      <c r="AD152" s="36" t="s">
        <v>141</v>
      </c>
      <c r="AE152" s="36"/>
      <c r="AF152" s="117"/>
      <c r="AG152" s="36"/>
      <c r="AH152" s="36" t="s">
        <v>141</v>
      </c>
      <c r="AI152" s="117"/>
      <c r="AJ152" s="36" t="s">
        <v>141</v>
      </c>
      <c r="AK152" s="36" t="s">
        <v>141</v>
      </c>
      <c r="AL152" s="36" t="s">
        <v>141</v>
      </c>
      <c r="AM152" s="117" t="s">
        <v>141</v>
      </c>
      <c r="AN152" s="117" t="s">
        <v>141</v>
      </c>
      <c r="AO152" s="117"/>
      <c r="AP152" s="117"/>
      <c r="AQ152" s="117"/>
      <c r="AR152" s="117" t="s">
        <v>141</v>
      </c>
      <c r="AS152" s="117"/>
      <c r="AT152" s="117"/>
      <c r="AU152" s="117"/>
      <c r="AV152" s="119">
        <f t="shared" si="2"/>
        <v>14</v>
      </c>
      <c r="AW152" s="119"/>
      <c r="AX152" s="119" t="s">
        <v>2142</v>
      </c>
    </row>
    <row r="153" spans="1:50">
      <c r="A153">
        <v>143</v>
      </c>
      <c r="B153">
        <v>699</v>
      </c>
      <c r="C153">
        <v>153</v>
      </c>
      <c r="D153" s="7">
        <v>45731</v>
      </c>
      <c r="E153" s="7" t="s">
        <v>985</v>
      </c>
      <c r="F153" s="10" t="s">
        <v>981</v>
      </c>
      <c r="G153" s="36" t="s">
        <v>141</v>
      </c>
      <c r="H153" s="36"/>
      <c r="I153" s="36"/>
      <c r="J153" s="36"/>
      <c r="K153" s="36" t="s">
        <v>141</v>
      </c>
      <c r="L153" s="36"/>
      <c r="M153" s="36"/>
      <c r="N153" s="36"/>
      <c r="O153" s="117"/>
      <c r="P153" s="36"/>
      <c r="Q153" s="36" t="s">
        <v>141</v>
      </c>
      <c r="R153" s="36"/>
      <c r="S153" s="36"/>
      <c r="T153" s="36"/>
      <c r="U153" s="36"/>
      <c r="V153" s="36"/>
      <c r="W153" s="36" t="s">
        <v>141</v>
      </c>
      <c r="X153" s="36"/>
      <c r="Y153" s="36"/>
      <c r="Z153" s="36"/>
      <c r="AA153" s="117"/>
      <c r="AB153" s="36"/>
      <c r="AC153" s="117"/>
      <c r="AD153" s="36" t="s">
        <v>141</v>
      </c>
      <c r="AE153" s="36"/>
      <c r="AF153" s="117"/>
      <c r="AG153" s="36"/>
      <c r="AH153" s="36" t="s">
        <v>141</v>
      </c>
      <c r="AI153" s="117"/>
      <c r="AJ153" s="36" t="s">
        <v>141</v>
      </c>
      <c r="AK153" s="36"/>
      <c r="AL153" s="36" t="s">
        <v>141</v>
      </c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9">
        <f t="shared" si="2"/>
        <v>8</v>
      </c>
      <c r="AW153" s="119"/>
      <c r="AX153" s="119" t="s">
        <v>2142</v>
      </c>
    </row>
    <row r="154" spans="1:50">
      <c r="A154">
        <v>144</v>
      </c>
      <c r="B154">
        <v>700</v>
      </c>
      <c r="C154">
        <v>154</v>
      </c>
      <c r="D154" s="7">
        <v>45731</v>
      </c>
      <c r="E154" s="7" t="s">
        <v>990</v>
      </c>
      <c r="F154" s="10" t="s">
        <v>987</v>
      </c>
      <c r="G154" s="36"/>
      <c r="H154" s="36"/>
      <c r="I154" s="36"/>
      <c r="J154" s="36"/>
      <c r="K154" s="36"/>
      <c r="L154" s="36"/>
      <c r="M154" s="36"/>
      <c r="N154" s="36"/>
      <c r="O154" s="117"/>
      <c r="P154" s="36"/>
      <c r="Q154" s="36"/>
      <c r="R154" s="36"/>
      <c r="S154" s="36"/>
      <c r="T154" s="36" t="s">
        <v>141</v>
      </c>
      <c r="U154" s="36"/>
      <c r="V154" s="36"/>
      <c r="W154" s="36"/>
      <c r="X154" s="36"/>
      <c r="Y154" s="36"/>
      <c r="Z154" s="36"/>
      <c r="AA154" s="117" t="s">
        <v>141</v>
      </c>
      <c r="AB154" s="36"/>
      <c r="AC154" s="117" t="s">
        <v>141</v>
      </c>
      <c r="AD154" s="36"/>
      <c r="AE154" s="36"/>
      <c r="AF154" s="117" t="s">
        <v>141</v>
      </c>
      <c r="AG154" s="36"/>
      <c r="AH154" s="36" t="s">
        <v>141</v>
      </c>
      <c r="AI154" s="117"/>
      <c r="AJ154" s="36"/>
      <c r="AK154" s="36"/>
      <c r="AL154" s="36" t="s">
        <v>141</v>
      </c>
      <c r="AM154" s="117" t="s">
        <v>141</v>
      </c>
      <c r="AN154" s="117" t="s">
        <v>141</v>
      </c>
      <c r="AO154" s="117"/>
      <c r="AP154" s="117"/>
      <c r="AQ154" s="117"/>
      <c r="AR154" s="117"/>
      <c r="AS154" s="117"/>
      <c r="AT154" s="117"/>
      <c r="AU154" s="117"/>
      <c r="AV154" s="119">
        <f t="shared" si="2"/>
        <v>8</v>
      </c>
      <c r="AW154" s="119"/>
      <c r="AX154" s="119" t="s">
        <v>2142</v>
      </c>
    </row>
    <row r="155" spans="1:50">
      <c r="A155">
        <v>145</v>
      </c>
      <c r="B155">
        <v>701</v>
      </c>
      <c r="C155">
        <v>155</v>
      </c>
      <c r="D155" s="7">
        <v>45732</v>
      </c>
      <c r="E155" s="7" t="s">
        <v>994</v>
      </c>
      <c r="F155" s="10" t="s">
        <v>992</v>
      </c>
      <c r="G155" s="36"/>
      <c r="H155" s="36"/>
      <c r="I155" s="36" t="s">
        <v>141</v>
      </c>
      <c r="J155" s="36"/>
      <c r="K155" s="36" t="s">
        <v>141</v>
      </c>
      <c r="L155" s="36" t="s">
        <v>141</v>
      </c>
      <c r="M155" s="36"/>
      <c r="N155" s="36"/>
      <c r="O155" s="117"/>
      <c r="P155" s="36" t="s">
        <v>141</v>
      </c>
      <c r="Q155" s="36" t="s">
        <v>141</v>
      </c>
      <c r="R155" s="36"/>
      <c r="S155" s="36"/>
      <c r="T155" s="36"/>
      <c r="U155" s="36"/>
      <c r="V155" s="36"/>
      <c r="W155" s="36" t="s">
        <v>141</v>
      </c>
      <c r="X155" s="36"/>
      <c r="Y155" s="36"/>
      <c r="Z155" s="36"/>
      <c r="AA155" s="117"/>
      <c r="AB155" s="36"/>
      <c r="AC155" s="117"/>
      <c r="AD155" s="36" t="s">
        <v>141</v>
      </c>
      <c r="AE155" s="36"/>
      <c r="AF155" s="117"/>
      <c r="AG155" s="36"/>
      <c r="AH155" s="36" t="s">
        <v>141</v>
      </c>
      <c r="AI155" s="117"/>
      <c r="AJ155" s="36"/>
      <c r="AK155" s="36"/>
      <c r="AL155" s="36"/>
      <c r="AM155" s="117" t="s">
        <v>141</v>
      </c>
      <c r="AN155" s="117" t="s">
        <v>141</v>
      </c>
      <c r="AO155" s="117"/>
      <c r="AP155" s="117"/>
      <c r="AQ155" s="117"/>
      <c r="AR155" s="117"/>
      <c r="AS155" s="117"/>
      <c r="AT155" s="117"/>
      <c r="AU155" s="117"/>
      <c r="AV155" s="119">
        <f t="shared" si="2"/>
        <v>10</v>
      </c>
      <c r="AW155" s="119"/>
      <c r="AX155" s="119" t="s">
        <v>2142</v>
      </c>
    </row>
    <row r="156" spans="1:50">
      <c r="A156">
        <v>146</v>
      </c>
      <c r="B156">
        <v>702</v>
      </c>
      <c r="C156">
        <v>156</v>
      </c>
      <c r="D156" s="7">
        <v>45733</v>
      </c>
      <c r="E156" s="7" t="s">
        <v>810</v>
      </c>
      <c r="F156" s="10" t="s">
        <v>998</v>
      </c>
      <c r="G156" s="36"/>
      <c r="H156" s="36"/>
      <c r="I156" s="36"/>
      <c r="J156" s="36" t="s">
        <v>141</v>
      </c>
      <c r="K156" s="36"/>
      <c r="L156" s="36"/>
      <c r="M156" s="36"/>
      <c r="N156" s="36"/>
      <c r="O156" s="117"/>
      <c r="P156" s="36" t="s">
        <v>141</v>
      </c>
      <c r="Q156" s="36"/>
      <c r="R156" s="36"/>
      <c r="S156" s="36" t="s">
        <v>141</v>
      </c>
      <c r="T156" s="36" t="s">
        <v>141</v>
      </c>
      <c r="U156" s="36" t="s">
        <v>141</v>
      </c>
      <c r="V156" s="36"/>
      <c r="W156" s="36" t="s">
        <v>141</v>
      </c>
      <c r="X156" s="36"/>
      <c r="Y156" s="36" t="s">
        <v>141</v>
      </c>
      <c r="Z156" s="36"/>
      <c r="AA156" s="117"/>
      <c r="AB156" s="36"/>
      <c r="AC156" s="117" t="s">
        <v>141</v>
      </c>
      <c r="AD156" s="36"/>
      <c r="AE156" s="36"/>
      <c r="AF156" s="117"/>
      <c r="AG156" s="36"/>
      <c r="AH156" s="36" t="s">
        <v>141</v>
      </c>
      <c r="AI156" s="117"/>
      <c r="AJ156" s="36"/>
      <c r="AK156" s="36"/>
      <c r="AL156" s="36"/>
      <c r="AM156" s="117"/>
      <c r="AN156" s="117"/>
      <c r="AO156" s="117"/>
      <c r="AP156" s="117"/>
      <c r="AQ156" s="117"/>
      <c r="AR156" s="117"/>
      <c r="AS156" s="117"/>
      <c r="AT156" s="117"/>
      <c r="AU156" s="117"/>
      <c r="AV156" s="119">
        <f t="shared" si="2"/>
        <v>9</v>
      </c>
      <c r="AW156" s="119"/>
      <c r="AX156" s="119" t="s">
        <v>2142</v>
      </c>
    </row>
    <row r="157" spans="1:50">
      <c r="A157">
        <v>147</v>
      </c>
      <c r="B157">
        <v>703</v>
      </c>
      <c r="C157">
        <v>157</v>
      </c>
      <c r="D157" s="7">
        <v>45733</v>
      </c>
      <c r="E157" s="7" t="s">
        <v>1004</v>
      </c>
      <c r="F157" s="10" t="s">
        <v>1001</v>
      </c>
      <c r="G157" s="36"/>
      <c r="H157" s="36" t="s">
        <v>141</v>
      </c>
      <c r="I157" s="36"/>
      <c r="J157" s="36"/>
      <c r="K157" s="36" t="s">
        <v>141</v>
      </c>
      <c r="L157" s="36"/>
      <c r="M157" s="36" t="s">
        <v>141</v>
      </c>
      <c r="N157" s="36"/>
      <c r="O157" s="117"/>
      <c r="P157" s="36" t="s">
        <v>141</v>
      </c>
      <c r="Q157" s="36"/>
      <c r="R157" s="36"/>
      <c r="S157" s="36" t="s">
        <v>141</v>
      </c>
      <c r="T157" s="36" t="s">
        <v>141</v>
      </c>
      <c r="U157" s="36"/>
      <c r="V157" s="36"/>
      <c r="W157" s="36" t="s">
        <v>141</v>
      </c>
      <c r="X157" s="36"/>
      <c r="Y157" s="36" t="s">
        <v>141</v>
      </c>
      <c r="Z157" s="36"/>
      <c r="AA157" s="117"/>
      <c r="AB157" s="36" t="s">
        <v>141</v>
      </c>
      <c r="AC157" s="117"/>
      <c r="AD157" s="36"/>
      <c r="AE157" s="36" t="s">
        <v>141</v>
      </c>
      <c r="AF157" s="117"/>
      <c r="AG157" s="36"/>
      <c r="AH157" s="36" t="s">
        <v>141</v>
      </c>
      <c r="AI157" s="117"/>
      <c r="AJ157" s="36"/>
      <c r="AK157" s="36" t="s">
        <v>141</v>
      </c>
      <c r="AL157" s="36"/>
      <c r="AM157" s="117" t="s">
        <v>141</v>
      </c>
      <c r="AN157" s="117" t="s">
        <v>141</v>
      </c>
      <c r="AO157" s="117" t="s">
        <v>141</v>
      </c>
      <c r="AP157" s="117"/>
      <c r="AQ157" s="117"/>
      <c r="AR157" s="117"/>
      <c r="AS157" s="117"/>
      <c r="AT157" s="117"/>
      <c r="AU157" s="117"/>
      <c r="AV157" s="119">
        <f t="shared" si="2"/>
        <v>15</v>
      </c>
      <c r="AW157" s="119"/>
      <c r="AX157" s="119" t="s">
        <v>2142</v>
      </c>
    </row>
    <row r="158" spans="1:50">
      <c r="A158" t="s">
        <v>57</v>
      </c>
      <c r="B158" t="s">
        <v>57</v>
      </c>
      <c r="C158">
        <v>158</v>
      </c>
      <c r="D158" s="7">
        <v>45733</v>
      </c>
      <c r="E158" s="7" t="s">
        <v>2129</v>
      </c>
      <c r="F158" s="10" t="s">
        <v>2130</v>
      </c>
      <c r="G158" s="36" t="s">
        <v>141</v>
      </c>
      <c r="H158" s="36" t="s">
        <v>141</v>
      </c>
      <c r="I158" s="36" t="s">
        <v>141</v>
      </c>
      <c r="J158" s="36" t="s">
        <v>2131</v>
      </c>
      <c r="K158" s="36" t="s">
        <v>2131</v>
      </c>
      <c r="L158" s="36" t="s">
        <v>2131</v>
      </c>
      <c r="M158" s="36" t="s">
        <v>141</v>
      </c>
      <c r="N158" s="36" t="s">
        <v>2131</v>
      </c>
      <c r="O158" s="117" t="s">
        <v>2131</v>
      </c>
      <c r="P158" s="36" t="s">
        <v>141</v>
      </c>
      <c r="Q158" s="36" t="s">
        <v>141</v>
      </c>
      <c r="R158" s="36" t="s">
        <v>141</v>
      </c>
      <c r="S158" s="36" t="s">
        <v>2131</v>
      </c>
      <c r="T158" s="36" t="s">
        <v>141</v>
      </c>
      <c r="U158" s="36" t="s">
        <v>141</v>
      </c>
      <c r="V158" s="36" t="s">
        <v>2131</v>
      </c>
      <c r="W158" s="36" t="s">
        <v>141</v>
      </c>
      <c r="X158" s="36" t="s">
        <v>141</v>
      </c>
      <c r="Y158" s="36" t="s">
        <v>141</v>
      </c>
      <c r="Z158" s="36" t="s">
        <v>2131</v>
      </c>
      <c r="AA158" s="117" t="s">
        <v>141</v>
      </c>
      <c r="AB158" s="36" t="s">
        <v>2131</v>
      </c>
      <c r="AC158" s="117" t="s">
        <v>2131</v>
      </c>
      <c r="AD158" s="36" t="s">
        <v>141</v>
      </c>
      <c r="AE158" s="36" t="s">
        <v>141</v>
      </c>
      <c r="AF158" s="117" t="s">
        <v>2131</v>
      </c>
      <c r="AG158" s="36" t="s">
        <v>2131</v>
      </c>
      <c r="AH158" s="36" t="s">
        <v>141</v>
      </c>
      <c r="AI158" s="117" t="s">
        <v>141</v>
      </c>
      <c r="AJ158" s="36" t="s">
        <v>141</v>
      </c>
      <c r="AK158" s="36" t="s">
        <v>2131</v>
      </c>
      <c r="AL158" s="36" t="s">
        <v>141</v>
      </c>
      <c r="AM158" s="117" t="s">
        <v>141</v>
      </c>
      <c r="AN158" s="117" t="s">
        <v>141</v>
      </c>
      <c r="AO158" s="117" t="s">
        <v>141</v>
      </c>
      <c r="AP158" s="117"/>
      <c r="AQ158" s="117"/>
      <c r="AR158" s="117" t="s">
        <v>141</v>
      </c>
      <c r="AS158" s="117"/>
      <c r="AT158" s="117"/>
      <c r="AU158" s="117"/>
      <c r="AV158" s="119">
        <f t="shared" si="2"/>
        <v>23</v>
      </c>
      <c r="AW158" s="119"/>
      <c r="AX158" s="119" t="s">
        <v>2142</v>
      </c>
    </row>
    <row r="159" spans="1:50">
      <c r="A159">
        <v>148</v>
      </c>
      <c r="B159">
        <v>704</v>
      </c>
      <c r="C159">
        <v>159</v>
      </c>
      <c r="D159" s="7">
        <v>45734</v>
      </c>
      <c r="E159" s="7" t="s">
        <v>1008</v>
      </c>
      <c r="F159" s="10" t="s">
        <v>1006</v>
      </c>
      <c r="G159" s="36" t="s">
        <v>141</v>
      </c>
      <c r="H159" s="36"/>
      <c r="I159" s="36" t="s">
        <v>141</v>
      </c>
      <c r="J159" s="36"/>
      <c r="K159" s="36"/>
      <c r="L159" s="36"/>
      <c r="M159" s="36" t="s">
        <v>141</v>
      </c>
      <c r="N159" s="36"/>
      <c r="O159" s="117"/>
      <c r="P159" s="36"/>
      <c r="Q159" s="36" t="s">
        <v>141</v>
      </c>
      <c r="R159" s="36"/>
      <c r="S159" s="36"/>
      <c r="T159" s="36"/>
      <c r="U159" s="36"/>
      <c r="V159" s="36" t="s">
        <v>141</v>
      </c>
      <c r="W159" s="36" t="s">
        <v>141</v>
      </c>
      <c r="X159" s="36"/>
      <c r="Y159" s="36"/>
      <c r="Z159" s="36"/>
      <c r="AA159" s="117"/>
      <c r="AB159" s="36"/>
      <c r="AC159" s="117"/>
      <c r="AD159" s="36"/>
      <c r="AE159" s="36" t="s">
        <v>141</v>
      </c>
      <c r="AF159" s="117"/>
      <c r="AG159" s="36" t="s">
        <v>141</v>
      </c>
      <c r="AH159" s="36" t="s">
        <v>141</v>
      </c>
      <c r="AI159" s="117"/>
      <c r="AJ159" s="36"/>
      <c r="AK159" s="36"/>
      <c r="AL159" s="36"/>
      <c r="AM159" s="117"/>
      <c r="AN159" s="117"/>
      <c r="AO159" s="117"/>
      <c r="AP159" s="117"/>
      <c r="AQ159" s="117"/>
      <c r="AR159" s="117"/>
      <c r="AS159" s="117"/>
      <c r="AT159" s="117"/>
      <c r="AU159" s="117"/>
      <c r="AV159" s="119">
        <f t="shared" si="2"/>
        <v>9</v>
      </c>
      <c r="AW159" s="119"/>
      <c r="AX159" s="119" t="s">
        <v>2142</v>
      </c>
    </row>
    <row r="160" spans="1:50">
      <c r="A160">
        <v>149</v>
      </c>
      <c r="B160">
        <v>705</v>
      </c>
      <c r="C160">
        <v>160</v>
      </c>
      <c r="D160" s="7">
        <v>45735</v>
      </c>
      <c r="E160" s="7" t="s">
        <v>1015</v>
      </c>
      <c r="F160" s="10" t="s">
        <v>1012</v>
      </c>
      <c r="G160" s="36"/>
      <c r="H160" s="36"/>
      <c r="I160" s="36"/>
      <c r="J160" s="36"/>
      <c r="K160" s="36" t="s">
        <v>141</v>
      </c>
      <c r="L160" s="36" t="s">
        <v>141</v>
      </c>
      <c r="M160" s="36" t="s">
        <v>141</v>
      </c>
      <c r="N160" s="36"/>
      <c r="O160" s="117"/>
      <c r="P160" s="36" t="s">
        <v>141</v>
      </c>
      <c r="Q160" s="36"/>
      <c r="R160" s="36"/>
      <c r="S160" s="36"/>
      <c r="T160" s="36" t="s">
        <v>141</v>
      </c>
      <c r="U160" s="36" t="s">
        <v>141</v>
      </c>
      <c r="V160" s="36"/>
      <c r="W160" s="36"/>
      <c r="X160" s="36"/>
      <c r="Y160" s="36"/>
      <c r="Z160" s="36"/>
      <c r="AA160" s="117" t="s">
        <v>141</v>
      </c>
      <c r="AB160" s="36"/>
      <c r="AC160" s="117"/>
      <c r="AD160" s="36" t="s">
        <v>141</v>
      </c>
      <c r="AE160" s="36"/>
      <c r="AF160" s="117"/>
      <c r="AG160" s="36" t="s">
        <v>141</v>
      </c>
      <c r="AH160" s="36"/>
      <c r="AI160" s="117"/>
      <c r="AJ160" s="36"/>
      <c r="AK160" s="36"/>
      <c r="AL160" s="36"/>
      <c r="AM160" s="117"/>
      <c r="AN160" s="117"/>
      <c r="AO160" s="117"/>
      <c r="AP160" s="117"/>
      <c r="AQ160" s="117"/>
      <c r="AR160" s="117"/>
      <c r="AS160" s="117"/>
      <c r="AT160" s="117"/>
      <c r="AU160" s="117"/>
      <c r="AV160" s="119">
        <f t="shared" si="2"/>
        <v>9</v>
      </c>
      <c r="AW160" s="119"/>
      <c r="AX160" s="119" t="s">
        <v>2142</v>
      </c>
    </row>
    <row r="161" spans="1:50">
      <c r="A161">
        <v>150</v>
      </c>
      <c r="B161">
        <v>706</v>
      </c>
      <c r="C161">
        <v>161</v>
      </c>
      <c r="D161" s="7">
        <v>45735</v>
      </c>
      <c r="E161" s="7" t="s">
        <v>1019</v>
      </c>
      <c r="F161" s="10" t="s">
        <v>1018</v>
      </c>
      <c r="G161" s="36" t="s">
        <v>141</v>
      </c>
      <c r="H161" s="36" t="s">
        <v>141</v>
      </c>
      <c r="I161" s="36"/>
      <c r="J161" s="36" t="s">
        <v>141</v>
      </c>
      <c r="K161" s="36"/>
      <c r="L161" s="36"/>
      <c r="M161" s="36"/>
      <c r="N161" s="36"/>
      <c r="O161" s="117"/>
      <c r="P161" s="36" t="s">
        <v>141</v>
      </c>
      <c r="Q161" s="36"/>
      <c r="R161" s="36" t="s">
        <v>141</v>
      </c>
      <c r="S161" s="36"/>
      <c r="T161" s="36" t="s">
        <v>141</v>
      </c>
      <c r="U161" s="36" t="s">
        <v>141</v>
      </c>
      <c r="V161" s="36"/>
      <c r="W161" s="36"/>
      <c r="X161" s="36"/>
      <c r="Y161" s="36"/>
      <c r="Z161" s="36"/>
      <c r="AA161" s="117"/>
      <c r="AB161" s="36"/>
      <c r="AC161" s="117"/>
      <c r="AD161" s="36"/>
      <c r="AE161" s="36"/>
      <c r="AF161" s="117"/>
      <c r="AG161" s="36" t="s">
        <v>141</v>
      </c>
      <c r="AH161" s="36" t="s">
        <v>141</v>
      </c>
      <c r="AI161" s="117"/>
      <c r="AJ161" s="36"/>
      <c r="AK161" s="36"/>
      <c r="AL161" s="36"/>
      <c r="AM161" s="117" t="s">
        <v>141</v>
      </c>
      <c r="AN161" s="117" t="s">
        <v>141</v>
      </c>
      <c r="AO161" s="117"/>
      <c r="AP161" s="117"/>
      <c r="AQ161" s="117"/>
      <c r="AR161" s="117"/>
      <c r="AS161" s="117"/>
      <c r="AT161" s="117"/>
      <c r="AU161" s="117"/>
      <c r="AV161" s="119">
        <f t="shared" si="2"/>
        <v>11</v>
      </c>
      <c r="AW161" s="119"/>
      <c r="AX161" s="119" t="s">
        <v>2142</v>
      </c>
    </row>
    <row r="162" spans="1:50">
      <c r="A162">
        <v>151</v>
      </c>
      <c r="B162">
        <v>707</v>
      </c>
      <c r="C162">
        <v>162</v>
      </c>
      <c r="D162" s="7">
        <v>45735</v>
      </c>
      <c r="E162" s="7" t="s">
        <v>1023</v>
      </c>
      <c r="F162" s="10" t="s">
        <v>1022</v>
      </c>
      <c r="G162" s="36" t="s">
        <v>141</v>
      </c>
      <c r="H162" s="36" t="s">
        <v>141</v>
      </c>
      <c r="I162" s="36"/>
      <c r="J162" s="36" t="s">
        <v>141</v>
      </c>
      <c r="K162" s="36" t="s">
        <v>141</v>
      </c>
      <c r="L162" s="36" t="s">
        <v>141</v>
      </c>
      <c r="M162" s="36"/>
      <c r="N162" s="36"/>
      <c r="O162" s="117"/>
      <c r="P162" s="36" t="s">
        <v>141</v>
      </c>
      <c r="Q162" s="36"/>
      <c r="R162" s="36"/>
      <c r="S162" s="36"/>
      <c r="T162" s="36"/>
      <c r="U162" s="36" t="s">
        <v>141</v>
      </c>
      <c r="V162" s="36"/>
      <c r="W162" s="36" t="s">
        <v>141</v>
      </c>
      <c r="X162" s="36"/>
      <c r="Y162" s="36"/>
      <c r="Z162" s="36"/>
      <c r="AA162" s="117" t="s">
        <v>141</v>
      </c>
      <c r="AB162" s="36" t="s">
        <v>141</v>
      </c>
      <c r="AC162" s="117"/>
      <c r="AD162" s="36" t="s">
        <v>141</v>
      </c>
      <c r="AE162" s="36" t="s">
        <v>141</v>
      </c>
      <c r="AF162" s="117" t="s">
        <v>141</v>
      </c>
      <c r="AG162" s="36"/>
      <c r="AH162" s="36"/>
      <c r="AI162" s="117" t="s">
        <v>141</v>
      </c>
      <c r="AJ162" s="36" t="s">
        <v>141</v>
      </c>
      <c r="AK162" s="36"/>
      <c r="AL162" s="36"/>
      <c r="AM162" s="117" t="s">
        <v>141</v>
      </c>
      <c r="AN162" s="117" t="s">
        <v>141</v>
      </c>
      <c r="AO162" s="117"/>
      <c r="AP162" s="117"/>
      <c r="AQ162" s="117"/>
      <c r="AR162" s="117"/>
      <c r="AS162" s="117"/>
      <c r="AT162" s="117"/>
      <c r="AU162" s="117"/>
      <c r="AV162" s="119">
        <f t="shared" si="2"/>
        <v>17</v>
      </c>
      <c r="AW162" s="119"/>
      <c r="AX162" s="119" t="s">
        <v>2142</v>
      </c>
    </row>
    <row r="163" spans="1:50">
      <c r="A163">
        <v>152</v>
      </c>
      <c r="B163">
        <v>708</v>
      </c>
      <c r="C163">
        <v>163</v>
      </c>
      <c r="D163" s="7">
        <v>45736</v>
      </c>
      <c r="E163" s="7" t="s">
        <v>1025</v>
      </c>
      <c r="F163" s="10" t="s">
        <v>1024</v>
      </c>
      <c r="G163" s="36"/>
      <c r="H163" s="36" t="s">
        <v>141</v>
      </c>
      <c r="I163" s="36"/>
      <c r="J163" s="36" t="s">
        <v>141</v>
      </c>
      <c r="K163" s="36"/>
      <c r="L163" s="36"/>
      <c r="M163" s="36"/>
      <c r="N163" s="36"/>
      <c r="O163" s="117"/>
      <c r="P163" s="36" t="s">
        <v>141</v>
      </c>
      <c r="Q163" s="36" t="s">
        <v>141</v>
      </c>
      <c r="R163" s="36"/>
      <c r="S163" s="36"/>
      <c r="T163" s="36" t="s">
        <v>141</v>
      </c>
      <c r="U163" s="36"/>
      <c r="V163" s="36"/>
      <c r="W163" s="36"/>
      <c r="X163" s="36"/>
      <c r="Y163" s="36"/>
      <c r="Z163" s="36"/>
      <c r="AA163" s="117" t="s">
        <v>141</v>
      </c>
      <c r="AB163" s="36"/>
      <c r="AC163" s="117"/>
      <c r="AD163" s="36" t="s">
        <v>141</v>
      </c>
      <c r="AE163" s="36" t="s">
        <v>141</v>
      </c>
      <c r="AF163" s="117"/>
      <c r="AG163" s="36"/>
      <c r="AH163" s="36"/>
      <c r="AI163" s="117" t="s">
        <v>141</v>
      </c>
      <c r="AJ163" s="36"/>
      <c r="AK163" s="36"/>
      <c r="AL163" s="36"/>
      <c r="AM163" s="117"/>
      <c r="AN163" s="117"/>
      <c r="AO163" s="117"/>
      <c r="AP163" s="117"/>
      <c r="AQ163" s="117"/>
      <c r="AR163" s="117"/>
      <c r="AS163" s="117"/>
      <c r="AT163" s="117"/>
      <c r="AU163" s="117"/>
      <c r="AV163" s="119">
        <f t="shared" si="2"/>
        <v>9</v>
      </c>
      <c r="AW163" s="119"/>
      <c r="AX163" s="119" t="s">
        <v>2142</v>
      </c>
    </row>
    <row r="164" spans="1:50">
      <c r="A164">
        <v>153</v>
      </c>
      <c r="B164">
        <v>709</v>
      </c>
      <c r="C164">
        <v>164</v>
      </c>
      <c r="D164" s="7">
        <v>45736</v>
      </c>
      <c r="E164" s="7" t="s">
        <v>1027</v>
      </c>
      <c r="F164" s="10" t="s">
        <v>1026</v>
      </c>
      <c r="G164" s="36"/>
      <c r="H164" s="36"/>
      <c r="I164" s="36"/>
      <c r="J164" s="36" t="s">
        <v>141</v>
      </c>
      <c r="K164" s="36"/>
      <c r="L164" s="36" t="s">
        <v>141</v>
      </c>
      <c r="M164" s="36" t="s">
        <v>141</v>
      </c>
      <c r="N164" s="36"/>
      <c r="O164" s="117"/>
      <c r="P164" s="36" t="s">
        <v>141</v>
      </c>
      <c r="Q164" s="36" t="s">
        <v>141</v>
      </c>
      <c r="R164" s="36"/>
      <c r="S164" s="36" t="s">
        <v>141</v>
      </c>
      <c r="T164" s="36" t="s">
        <v>141</v>
      </c>
      <c r="U164" s="36"/>
      <c r="V164" s="36"/>
      <c r="W164" s="36"/>
      <c r="X164" s="36"/>
      <c r="Y164" s="36"/>
      <c r="Z164" s="36"/>
      <c r="AA164" s="117" t="s">
        <v>141</v>
      </c>
      <c r="AB164" s="36"/>
      <c r="AC164" s="117"/>
      <c r="AD164" s="36" t="s">
        <v>141</v>
      </c>
      <c r="AE164" s="36" t="s">
        <v>141</v>
      </c>
      <c r="AF164" s="117"/>
      <c r="AG164" s="36"/>
      <c r="AH164" s="36" t="s">
        <v>141</v>
      </c>
      <c r="AI164" s="117"/>
      <c r="AJ164" s="36"/>
      <c r="AK164" s="36"/>
      <c r="AL164" s="36"/>
      <c r="AM164" s="117"/>
      <c r="AN164" s="117"/>
      <c r="AO164" s="117"/>
      <c r="AP164" s="117"/>
      <c r="AQ164" s="117"/>
      <c r="AR164" s="117"/>
      <c r="AS164" s="117"/>
      <c r="AT164" s="117"/>
      <c r="AU164" s="117"/>
      <c r="AV164" s="119">
        <f t="shared" si="2"/>
        <v>11</v>
      </c>
      <c r="AW164" s="119"/>
      <c r="AX164" s="119" t="s">
        <v>2142</v>
      </c>
    </row>
    <row r="165" spans="1:50">
      <c r="A165">
        <v>154</v>
      </c>
      <c r="B165">
        <v>710</v>
      </c>
      <c r="C165">
        <v>165</v>
      </c>
      <c r="D165" s="7">
        <v>45737</v>
      </c>
      <c r="E165" s="7" t="s">
        <v>1030</v>
      </c>
      <c r="F165" s="10" t="s">
        <v>1028</v>
      </c>
      <c r="G165" s="36" t="s">
        <v>141</v>
      </c>
      <c r="H165" s="36"/>
      <c r="I165" s="36"/>
      <c r="J165" s="36" t="s">
        <v>141</v>
      </c>
      <c r="K165" s="36" t="s">
        <v>141</v>
      </c>
      <c r="L165" s="36" t="s">
        <v>141</v>
      </c>
      <c r="M165" s="36" t="s">
        <v>141</v>
      </c>
      <c r="N165" s="36"/>
      <c r="O165" s="117" t="s">
        <v>141</v>
      </c>
      <c r="P165" s="36" t="s">
        <v>141</v>
      </c>
      <c r="Q165" s="36"/>
      <c r="R165" s="36"/>
      <c r="S165" s="36" t="s">
        <v>141</v>
      </c>
      <c r="T165" s="36"/>
      <c r="U165" s="36"/>
      <c r="V165" s="36"/>
      <c r="W165" s="36"/>
      <c r="X165" s="36"/>
      <c r="Y165" s="36"/>
      <c r="Z165" s="36"/>
      <c r="AA165" s="117" t="s">
        <v>141</v>
      </c>
      <c r="AB165" s="36"/>
      <c r="AC165" s="117"/>
      <c r="AD165" s="36" t="s">
        <v>141</v>
      </c>
      <c r="AE165" s="36"/>
      <c r="AF165" s="117"/>
      <c r="AG165" s="36"/>
      <c r="AH165" s="36"/>
      <c r="AI165" s="117"/>
      <c r="AJ165" s="36"/>
      <c r="AK165" s="36"/>
      <c r="AL165" s="36"/>
      <c r="AM165" s="117"/>
      <c r="AN165" s="117"/>
      <c r="AO165" s="117"/>
      <c r="AP165" s="117"/>
      <c r="AQ165" s="117"/>
      <c r="AR165" s="117"/>
      <c r="AS165" s="117"/>
      <c r="AT165" s="117"/>
      <c r="AU165" s="117"/>
      <c r="AV165" s="119">
        <f t="shared" si="2"/>
        <v>10</v>
      </c>
      <c r="AW165" s="119"/>
      <c r="AX165" s="119" t="s">
        <v>2142</v>
      </c>
    </row>
    <row r="166" spans="1:50">
      <c r="A166">
        <v>155</v>
      </c>
      <c r="B166">
        <v>711</v>
      </c>
      <c r="C166">
        <v>166</v>
      </c>
      <c r="D166" s="7">
        <v>45737</v>
      </c>
      <c r="E166" s="7" t="s">
        <v>1032</v>
      </c>
      <c r="F166" s="10" t="s">
        <v>1031</v>
      </c>
      <c r="G166" s="36" t="s">
        <v>141</v>
      </c>
      <c r="H166" s="36"/>
      <c r="I166" s="36"/>
      <c r="J166" s="36"/>
      <c r="K166" s="36"/>
      <c r="L166" s="36"/>
      <c r="M166" s="36" t="s">
        <v>141</v>
      </c>
      <c r="N166" s="36" t="s">
        <v>141</v>
      </c>
      <c r="O166" s="117"/>
      <c r="P166" s="36" t="s">
        <v>141</v>
      </c>
      <c r="Q166" s="36"/>
      <c r="R166" s="36"/>
      <c r="S166" s="36" t="s">
        <v>141</v>
      </c>
      <c r="T166" s="36"/>
      <c r="U166" s="36" t="s">
        <v>141</v>
      </c>
      <c r="V166" s="36"/>
      <c r="W166" s="36"/>
      <c r="X166" s="36" t="s">
        <v>141</v>
      </c>
      <c r="Y166" s="36"/>
      <c r="Z166" s="36"/>
      <c r="AA166" s="117" t="s">
        <v>141</v>
      </c>
      <c r="AB166" s="36"/>
      <c r="AC166" s="117"/>
      <c r="AD166" s="36"/>
      <c r="AE166" s="36"/>
      <c r="AF166" s="117"/>
      <c r="AG166" s="36" t="s">
        <v>141</v>
      </c>
      <c r="AH166" s="36"/>
      <c r="AI166" s="117"/>
      <c r="AJ166" s="36"/>
      <c r="AK166" s="36"/>
      <c r="AL166" s="36"/>
      <c r="AM166" s="117" t="s">
        <v>141</v>
      </c>
      <c r="AN166" s="117" t="s">
        <v>141</v>
      </c>
      <c r="AO166" s="117" t="s">
        <v>141</v>
      </c>
      <c r="AP166" s="117"/>
      <c r="AQ166" s="117"/>
      <c r="AR166" s="117"/>
      <c r="AS166" s="117"/>
      <c r="AT166" s="117"/>
      <c r="AU166" s="117"/>
      <c r="AV166" s="119">
        <f t="shared" si="2"/>
        <v>12</v>
      </c>
      <c r="AW166" s="119"/>
      <c r="AX166" s="119" t="s">
        <v>2142</v>
      </c>
    </row>
    <row r="167" spans="1:50">
      <c r="A167">
        <v>156</v>
      </c>
      <c r="B167">
        <v>712</v>
      </c>
      <c r="C167">
        <v>167</v>
      </c>
      <c r="D167" s="7">
        <v>45738</v>
      </c>
      <c r="E167" s="7" t="s">
        <v>1035</v>
      </c>
      <c r="F167" s="10" t="s">
        <v>1034</v>
      </c>
      <c r="G167" s="36"/>
      <c r="H167" s="36"/>
      <c r="I167" s="36"/>
      <c r="J167" s="36" t="s">
        <v>141</v>
      </c>
      <c r="K167" s="36"/>
      <c r="L167" s="36" t="s">
        <v>141</v>
      </c>
      <c r="M167" s="36" t="s">
        <v>141</v>
      </c>
      <c r="N167" s="36"/>
      <c r="O167" s="117" t="s">
        <v>141</v>
      </c>
      <c r="P167" s="36" t="s">
        <v>141</v>
      </c>
      <c r="Q167" s="36" t="s">
        <v>141</v>
      </c>
      <c r="R167" s="36"/>
      <c r="S167" s="36"/>
      <c r="T167" s="36"/>
      <c r="U167" s="36" t="s">
        <v>141</v>
      </c>
      <c r="V167" s="36"/>
      <c r="W167" s="36"/>
      <c r="X167" s="36" t="s">
        <v>141</v>
      </c>
      <c r="Y167" s="36"/>
      <c r="Z167" s="36"/>
      <c r="AA167" s="117" t="s">
        <v>141</v>
      </c>
      <c r="AB167" s="36" t="s">
        <v>141</v>
      </c>
      <c r="AC167" s="117"/>
      <c r="AD167" s="36"/>
      <c r="AE167" s="36"/>
      <c r="AF167" s="117"/>
      <c r="AG167" s="36"/>
      <c r="AH167" s="36"/>
      <c r="AI167" s="117"/>
      <c r="AJ167" s="36" t="s">
        <v>141</v>
      </c>
      <c r="AK167" s="36"/>
      <c r="AL167" s="36"/>
      <c r="AM167" s="117" t="s">
        <v>141</v>
      </c>
      <c r="AN167" s="117" t="s">
        <v>141</v>
      </c>
      <c r="AO167" s="117"/>
      <c r="AP167" s="117"/>
      <c r="AQ167" s="117"/>
      <c r="AR167" s="117"/>
      <c r="AS167" s="117"/>
      <c r="AT167" s="117"/>
      <c r="AU167" s="117"/>
      <c r="AV167" s="119">
        <f t="shared" si="2"/>
        <v>13</v>
      </c>
      <c r="AW167" s="119"/>
      <c r="AX167" s="119" t="s">
        <v>2142</v>
      </c>
    </row>
    <row r="168" spans="1:50">
      <c r="A168">
        <v>157</v>
      </c>
      <c r="B168">
        <v>713</v>
      </c>
      <c r="C168">
        <v>168</v>
      </c>
      <c r="D168" s="7">
        <v>45738</v>
      </c>
      <c r="E168" s="7" t="s">
        <v>1037</v>
      </c>
      <c r="F168" s="10" t="s">
        <v>1036</v>
      </c>
      <c r="G168" s="36"/>
      <c r="H168" s="36" t="s">
        <v>141</v>
      </c>
      <c r="I168" s="36" t="s">
        <v>141</v>
      </c>
      <c r="J168" s="36" t="s">
        <v>141</v>
      </c>
      <c r="K168" s="36"/>
      <c r="L168" s="36" t="s">
        <v>141</v>
      </c>
      <c r="M168" s="36" t="s">
        <v>141</v>
      </c>
      <c r="N168" s="36"/>
      <c r="O168" s="117" t="s">
        <v>141</v>
      </c>
      <c r="P168" s="36"/>
      <c r="Q168" s="36"/>
      <c r="R168" s="36"/>
      <c r="S168" s="36"/>
      <c r="T168" s="36"/>
      <c r="U168" s="36" t="s">
        <v>141</v>
      </c>
      <c r="V168" s="36"/>
      <c r="W168" s="36"/>
      <c r="X168" s="36" t="s">
        <v>141</v>
      </c>
      <c r="Y168" s="36"/>
      <c r="Z168" s="36"/>
      <c r="AA168" s="117"/>
      <c r="AB168" s="36"/>
      <c r="AC168" s="117"/>
      <c r="AD168" s="36" t="s">
        <v>141</v>
      </c>
      <c r="AE168" s="36"/>
      <c r="AF168" s="117"/>
      <c r="AG168" s="36"/>
      <c r="AH168" s="36"/>
      <c r="AI168" s="117"/>
      <c r="AJ168" s="36"/>
      <c r="AK168" s="36"/>
      <c r="AL168" s="36"/>
      <c r="AM168" s="117"/>
      <c r="AN168" s="117"/>
      <c r="AO168" s="117"/>
      <c r="AP168" s="117"/>
      <c r="AQ168" s="117"/>
      <c r="AR168" s="117"/>
      <c r="AS168" s="117"/>
      <c r="AT168" s="117"/>
      <c r="AU168" s="117"/>
      <c r="AV168" s="119">
        <f t="shared" si="2"/>
        <v>9</v>
      </c>
      <c r="AW168" s="119"/>
      <c r="AX168" s="119" t="s">
        <v>2142</v>
      </c>
    </row>
    <row r="169" spans="1:50">
      <c r="A169">
        <v>158</v>
      </c>
      <c r="B169">
        <v>714</v>
      </c>
      <c r="C169">
        <v>169</v>
      </c>
      <c r="D169" s="7">
        <v>45738</v>
      </c>
      <c r="E169" s="7" t="s">
        <v>1039</v>
      </c>
      <c r="F169" s="10" t="s">
        <v>1038</v>
      </c>
      <c r="G169" s="36"/>
      <c r="H169" s="36" t="s">
        <v>141</v>
      </c>
      <c r="I169" s="36"/>
      <c r="J169" s="36" t="s">
        <v>141</v>
      </c>
      <c r="K169" s="36"/>
      <c r="L169" s="36" t="s">
        <v>141</v>
      </c>
      <c r="M169" s="36" t="s">
        <v>141</v>
      </c>
      <c r="N169" s="36"/>
      <c r="O169" s="117" t="s">
        <v>141</v>
      </c>
      <c r="P169" s="36"/>
      <c r="Q169" s="36"/>
      <c r="R169" s="36"/>
      <c r="S169" s="36"/>
      <c r="T169" s="36"/>
      <c r="U169" s="36" t="s">
        <v>141</v>
      </c>
      <c r="V169" s="36"/>
      <c r="W169" s="36"/>
      <c r="X169" s="36" t="s">
        <v>141</v>
      </c>
      <c r="Y169" s="36"/>
      <c r="Z169" s="36"/>
      <c r="AA169" s="117"/>
      <c r="AB169" s="36"/>
      <c r="AC169" s="117"/>
      <c r="AD169" s="36" t="s">
        <v>141</v>
      </c>
      <c r="AE169" s="36"/>
      <c r="AF169" s="117" t="s">
        <v>141</v>
      </c>
      <c r="AG169" s="36"/>
      <c r="AH169" s="36"/>
      <c r="AI169" s="117"/>
      <c r="AJ169" s="36"/>
      <c r="AK169" s="36"/>
      <c r="AL169" s="36"/>
      <c r="AM169" s="117"/>
      <c r="AN169" s="117"/>
      <c r="AO169" s="117"/>
      <c r="AP169" s="117"/>
      <c r="AQ169" s="117"/>
      <c r="AR169" s="117"/>
      <c r="AS169" s="117"/>
      <c r="AT169" s="117"/>
      <c r="AU169" s="117"/>
      <c r="AV169" s="119">
        <f t="shared" si="2"/>
        <v>9</v>
      </c>
      <c r="AW169" s="119"/>
      <c r="AX169" s="119" t="s">
        <v>2142</v>
      </c>
    </row>
    <row r="170" spans="1:50">
      <c r="A170">
        <v>159</v>
      </c>
      <c r="B170">
        <v>715</v>
      </c>
      <c r="C170">
        <v>170</v>
      </c>
      <c r="D170" s="7">
        <v>45738</v>
      </c>
      <c r="E170" s="7" t="s">
        <v>1041</v>
      </c>
      <c r="F170" s="10" t="s">
        <v>1040</v>
      </c>
      <c r="G170" s="36"/>
      <c r="H170" s="36" t="s">
        <v>141</v>
      </c>
      <c r="I170" s="36"/>
      <c r="J170" s="36" t="s">
        <v>141</v>
      </c>
      <c r="K170" s="36"/>
      <c r="L170" s="36" t="s">
        <v>141</v>
      </c>
      <c r="M170" s="36"/>
      <c r="N170" s="36"/>
      <c r="O170" s="117" t="s">
        <v>141</v>
      </c>
      <c r="P170" s="36"/>
      <c r="Q170" s="36"/>
      <c r="R170" s="36"/>
      <c r="S170" s="36"/>
      <c r="T170" s="36"/>
      <c r="U170" s="36" t="s">
        <v>141</v>
      </c>
      <c r="V170" s="36"/>
      <c r="W170" s="36"/>
      <c r="X170" s="36" t="s">
        <v>141</v>
      </c>
      <c r="Y170" s="36"/>
      <c r="Z170" s="36"/>
      <c r="AA170" s="117"/>
      <c r="AB170" s="36" t="s">
        <v>141</v>
      </c>
      <c r="AC170" s="117"/>
      <c r="AD170" s="36" t="s">
        <v>141</v>
      </c>
      <c r="AE170" s="36" t="s">
        <v>141</v>
      </c>
      <c r="AF170" s="117"/>
      <c r="AG170" s="36"/>
      <c r="AH170" s="36"/>
      <c r="AI170" s="117"/>
      <c r="AJ170" s="36"/>
      <c r="AK170" s="36"/>
      <c r="AL170" s="36"/>
      <c r="AM170" s="117"/>
      <c r="AN170" s="117"/>
      <c r="AO170" s="117"/>
      <c r="AP170" s="117"/>
      <c r="AQ170" s="117"/>
      <c r="AR170" s="117" t="s">
        <v>141</v>
      </c>
      <c r="AS170" s="117"/>
      <c r="AT170" s="117"/>
      <c r="AU170" s="117"/>
      <c r="AV170" s="119">
        <f t="shared" si="2"/>
        <v>10</v>
      </c>
      <c r="AW170" s="119"/>
      <c r="AX170" s="119" t="s">
        <v>2142</v>
      </c>
    </row>
    <row r="171" spans="1:50">
      <c r="A171">
        <v>160</v>
      </c>
      <c r="B171">
        <v>716</v>
      </c>
      <c r="C171">
        <v>171</v>
      </c>
      <c r="D171" s="7">
        <v>45737</v>
      </c>
      <c r="E171" s="7" t="s">
        <v>1043</v>
      </c>
      <c r="F171" s="10" t="s">
        <v>1042</v>
      </c>
      <c r="G171" s="36" t="s">
        <v>141</v>
      </c>
      <c r="H171" s="36"/>
      <c r="I171" s="36"/>
      <c r="J171" s="36"/>
      <c r="K171" s="36"/>
      <c r="L171" s="36"/>
      <c r="M171" s="36"/>
      <c r="N171" s="36" t="s">
        <v>141</v>
      </c>
      <c r="O171" s="117"/>
      <c r="P171" s="36" t="s">
        <v>141</v>
      </c>
      <c r="Q171" s="36" t="s">
        <v>141</v>
      </c>
      <c r="R171" s="36" t="s">
        <v>141</v>
      </c>
      <c r="S171" s="36" t="s">
        <v>141</v>
      </c>
      <c r="T171" s="36" t="s">
        <v>141</v>
      </c>
      <c r="U171" s="36"/>
      <c r="V171" s="36"/>
      <c r="W171" s="36"/>
      <c r="X171" s="36" t="s">
        <v>141</v>
      </c>
      <c r="Y171" s="36"/>
      <c r="Z171" s="36"/>
      <c r="AA171" s="117" t="s">
        <v>141</v>
      </c>
      <c r="AB171" s="36"/>
      <c r="AC171" s="117" t="s">
        <v>141</v>
      </c>
      <c r="AD171" s="36"/>
      <c r="AE171" s="36"/>
      <c r="AF171" s="117"/>
      <c r="AG171" s="36"/>
      <c r="AH171" s="36" t="s">
        <v>141</v>
      </c>
      <c r="AI171" s="117" t="s">
        <v>141</v>
      </c>
      <c r="AJ171" s="36" t="s">
        <v>141</v>
      </c>
      <c r="AK171" s="36"/>
      <c r="AL171" s="36" t="s">
        <v>141</v>
      </c>
      <c r="AM171" s="117" t="s">
        <v>141</v>
      </c>
      <c r="AN171" s="117" t="s">
        <v>141</v>
      </c>
      <c r="AO171" s="117" t="s">
        <v>141</v>
      </c>
      <c r="AP171" s="117"/>
      <c r="AQ171" s="117"/>
      <c r="AR171" s="117" t="s">
        <v>141</v>
      </c>
      <c r="AS171" s="117"/>
      <c r="AT171" s="117"/>
      <c r="AU171" s="117"/>
      <c r="AV171" s="119">
        <f t="shared" si="2"/>
        <v>18</v>
      </c>
      <c r="AW171" s="119"/>
      <c r="AX171" s="119" t="s">
        <v>2142</v>
      </c>
    </row>
    <row r="172" spans="1:50">
      <c r="A172">
        <v>161</v>
      </c>
      <c r="B172">
        <v>717</v>
      </c>
      <c r="C172">
        <v>172</v>
      </c>
      <c r="D172" s="7">
        <v>45739</v>
      </c>
      <c r="E172" s="7" t="s">
        <v>1046</v>
      </c>
      <c r="F172" s="10" t="s">
        <v>1045</v>
      </c>
      <c r="G172" s="36"/>
      <c r="H172" s="36" t="s">
        <v>141</v>
      </c>
      <c r="I172" s="36" t="s">
        <v>141</v>
      </c>
      <c r="J172" s="36" t="s">
        <v>141</v>
      </c>
      <c r="K172" s="36" t="s">
        <v>141</v>
      </c>
      <c r="L172" s="36"/>
      <c r="M172" s="36"/>
      <c r="N172" s="36"/>
      <c r="O172" s="117" t="s">
        <v>141</v>
      </c>
      <c r="P172" s="36"/>
      <c r="Q172" s="36"/>
      <c r="R172" s="36" t="s">
        <v>141</v>
      </c>
      <c r="S172" s="36"/>
      <c r="T172" s="36"/>
      <c r="U172" s="36"/>
      <c r="V172" s="36" t="s">
        <v>141</v>
      </c>
      <c r="W172" s="36"/>
      <c r="X172" s="36" t="s">
        <v>141</v>
      </c>
      <c r="Y172" s="36"/>
      <c r="Z172" s="36"/>
      <c r="AA172" s="117"/>
      <c r="AB172" s="36"/>
      <c r="AC172" s="117"/>
      <c r="AD172" s="36"/>
      <c r="AE172" s="36"/>
      <c r="AF172" s="117"/>
      <c r="AG172" s="36"/>
      <c r="AH172" s="36"/>
      <c r="AI172" s="117"/>
      <c r="AJ172" s="36"/>
      <c r="AK172" s="36"/>
      <c r="AL172" s="36"/>
      <c r="AM172" s="117"/>
      <c r="AN172" s="117"/>
      <c r="AO172" s="117"/>
      <c r="AP172" s="117"/>
      <c r="AQ172" s="117"/>
      <c r="AR172" s="117"/>
      <c r="AS172" s="117"/>
      <c r="AT172" s="117"/>
      <c r="AU172" s="117"/>
      <c r="AV172" s="119">
        <f t="shared" si="2"/>
        <v>8</v>
      </c>
      <c r="AW172" s="119"/>
      <c r="AX172" s="119" t="s">
        <v>2142</v>
      </c>
    </row>
    <row r="173" spans="1:50">
      <c r="A173">
        <v>162</v>
      </c>
      <c r="B173">
        <v>718</v>
      </c>
      <c r="C173">
        <v>173</v>
      </c>
      <c r="D173" s="7">
        <v>45739</v>
      </c>
      <c r="E173" s="7" t="s">
        <v>1049</v>
      </c>
      <c r="F173" s="10" t="s">
        <v>1047</v>
      </c>
      <c r="G173" s="36"/>
      <c r="H173" s="36"/>
      <c r="I173" s="36" t="s">
        <v>141</v>
      </c>
      <c r="J173" s="36"/>
      <c r="K173" s="36" t="s">
        <v>141</v>
      </c>
      <c r="L173" s="36"/>
      <c r="M173" s="36"/>
      <c r="N173" s="36"/>
      <c r="O173" s="117" t="s">
        <v>141</v>
      </c>
      <c r="P173" s="36"/>
      <c r="Q173" s="36"/>
      <c r="R173" s="36" t="s">
        <v>141</v>
      </c>
      <c r="S173" s="36"/>
      <c r="T173" s="36"/>
      <c r="U173" s="36"/>
      <c r="V173" s="36"/>
      <c r="W173" s="36"/>
      <c r="X173" s="36" t="s">
        <v>141</v>
      </c>
      <c r="Y173" s="36"/>
      <c r="Z173" s="36"/>
      <c r="AA173" s="117"/>
      <c r="AB173" s="36"/>
      <c r="AC173" s="117"/>
      <c r="AD173" s="36"/>
      <c r="AE173" s="36"/>
      <c r="AF173" s="117"/>
      <c r="AG173" s="36"/>
      <c r="AH173" s="36"/>
      <c r="AI173" s="117"/>
      <c r="AJ173" s="36"/>
      <c r="AK173" s="36"/>
      <c r="AL173" s="36"/>
      <c r="AM173" s="117"/>
      <c r="AN173" s="117"/>
      <c r="AO173" s="117"/>
      <c r="AP173" s="117"/>
      <c r="AQ173" s="117"/>
      <c r="AR173" s="117"/>
      <c r="AS173" s="117"/>
      <c r="AT173" s="117"/>
      <c r="AU173" s="117"/>
      <c r="AV173" s="119">
        <f t="shared" si="2"/>
        <v>5</v>
      </c>
      <c r="AW173" s="119"/>
      <c r="AX173" s="119" t="s">
        <v>2142</v>
      </c>
    </row>
    <row r="174" spans="1:50">
      <c r="A174" t="s">
        <v>57</v>
      </c>
      <c r="B174" t="s">
        <v>57</v>
      </c>
      <c r="C174">
        <v>174</v>
      </c>
      <c r="D174" s="7">
        <v>45740</v>
      </c>
      <c r="E174" s="7" t="s">
        <v>2129</v>
      </c>
      <c r="F174" s="10" t="s">
        <v>2130</v>
      </c>
      <c r="G174" s="36" t="s">
        <v>141</v>
      </c>
      <c r="H174" s="36" t="s">
        <v>141</v>
      </c>
      <c r="I174" s="36" t="s">
        <v>2131</v>
      </c>
      <c r="J174" s="36" t="s">
        <v>141</v>
      </c>
      <c r="K174" s="36" t="s">
        <v>2131</v>
      </c>
      <c r="L174" s="36" t="s">
        <v>2131</v>
      </c>
      <c r="M174" s="36" t="s">
        <v>2131</v>
      </c>
      <c r="N174" s="36" t="s">
        <v>141</v>
      </c>
      <c r="O174" s="117" t="s">
        <v>141</v>
      </c>
      <c r="P174" s="36" t="s">
        <v>141</v>
      </c>
      <c r="Q174" s="36" t="s">
        <v>141</v>
      </c>
      <c r="R174" s="36" t="s">
        <v>141</v>
      </c>
      <c r="S174" s="36" t="s">
        <v>2131</v>
      </c>
      <c r="T174" s="36" t="s">
        <v>141</v>
      </c>
      <c r="U174" s="36" t="s">
        <v>141</v>
      </c>
      <c r="V174" s="36" t="s">
        <v>141</v>
      </c>
      <c r="W174" s="36" t="s">
        <v>141</v>
      </c>
      <c r="X174" s="36" t="s">
        <v>141</v>
      </c>
      <c r="Y174" s="36" t="s">
        <v>141</v>
      </c>
      <c r="Z174" s="36" t="s">
        <v>2131</v>
      </c>
      <c r="AA174" s="117" t="s">
        <v>141</v>
      </c>
      <c r="AB174" s="36" t="s">
        <v>141</v>
      </c>
      <c r="AC174" s="117" t="s">
        <v>141</v>
      </c>
      <c r="AD174" s="36" t="s">
        <v>141</v>
      </c>
      <c r="AE174" s="36" t="s">
        <v>2131</v>
      </c>
      <c r="AF174" s="117" t="s">
        <v>141</v>
      </c>
      <c r="AG174" s="36" t="s">
        <v>141</v>
      </c>
      <c r="AH174" s="36" t="s">
        <v>141</v>
      </c>
      <c r="AI174" s="117" t="s">
        <v>141</v>
      </c>
      <c r="AJ174" s="36" t="s">
        <v>141</v>
      </c>
      <c r="AK174" s="36" t="s">
        <v>141</v>
      </c>
      <c r="AL174" s="36" t="s">
        <v>141</v>
      </c>
      <c r="AM174" s="117" t="s">
        <v>141</v>
      </c>
      <c r="AN174" s="117" t="s">
        <v>141</v>
      </c>
      <c r="AO174" s="117" t="s">
        <v>141</v>
      </c>
      <c r="AP174" s="117"/>
      <c r="AQ174" s="117"/>
      <c r="AR174" s="117" t="s">
        <v>2131</v>
      </c>
      <c r="AS174" s="117"/>
      <c r="AT174" s="117"/>
      <c r="AU174" s="117"/>
      <c r="AV174" s="119">
        <f t="shared" si="2"/>
        <v>28</v>
      </c>
      <c r="AW174" s="119"/>
      <c r="AX174" s="119" t="s">
        <v>2142</v>
      </c>
    </row>
    <row r="175" spans="1:50">
      <c r="A175">
        <v>163</v>
      </c>
      <c r="B175">
        <v>719</v>
      </c>
      <c r="C175">
        <v>175</v>
      </c>
      <c r="D175" s="7">
        <v>45741</v>
      </c>
      <c r="E175" s="7" t="s">
        <v>1051</v>
      </c>
      <c r="F175" s="10" t="s">
        <v>1050</v>
      </c>
      <c r="G175" s="36"/>
      <c r="H175" s="36" t="s">
        <v>141</v>
      </c>
      <c r="I175" s="36"/>
      <c r="J175" s="36"/>
      <c r="K175" s="36"/>
      <c r="L175" s="36"/>
      <c r="M175" s="36"/>
      <c r="N175" s="36"/>
      <c r="O175" s="117" t="s">
        <v>141</v>
      </c>
      <c r="P175" s="36" t="s">
        <v>141</v>
      </c>
      <c r="Q175" s="36" t="s">
        <v>141</v>
      </c>
      <c r="R175" s="36"/>
      <c r="S175" s="36"/>
      <c r="T175" s="36" t="s">
        <v>141</v>
      </c>
      <c r="U175" s="36" t="s">
        <v>141</v>
      </c>
      <c r="V175" s="36"/>
      <c r="W175" s="36" t="s">
        <v>141</v>
      </c>
      <c r="X175" s="36"/>
      <c r="Y175" s="36" t="s">
        <v>141</v>
      </c>
      <c r="Z175" s="36"/>
      <c r="AA175" s="117"/>
      <c r="AB175" s="36"/>
      <c r="AC175" s="117"/>
      <c r="AD175" s="36"/>
      <c r="AE175" s="36"/>
      <c r="AF175" s="117"/>
      <c r="AG175" s="36"/>
      <c r="AH175" s="36"/>
      <c r="AI175" s="117" t="s">
        <v>141</v>
      </c>
      <c r="AJ175" s="36"/>
      <c r="AK175" s="36"/>
      <c r="AL175" s="36"/>
      <c r="AM175" s="117" t="s">
        <v>141</v>
      </c>
      <c r="AN175" s="117" t="s">
        <v>141</v>
      </c>
      <c r="AO175" s="117"/>
      <c r="AP175" s="117"/>
      <c r="AQ175" s="117"/>
      <c r="AR175" s="117"/>
      <c r="AS175" s="117"/>
      <c r="AT175" s="117"/>
      <c r="AU175" s="117"/>
      <c r="AV175" s="119">
        <f t="shared" si="2"/>
        <v>11</v>
      </c>
      <c r="AW175" s="119"/>
      <c r="AX175" s="119" t="s">
        <v>2142</v>
      </c>
    </row>
    <row r="176" spans="1:50">
      <c r="A176">
        <v>164</v>
      </c>
      <c r="B176">
        <v>720</v>
      </c>
      <c r="C176">
        <v>176</v>
      </c>
      <c r="D176" s="7">
        <v>45741</v>
      </c>
      <c r="E176" s="7" t="s">
        <v>1054</v>
      </c>
      <c r="F176" s="10" t="s">
        <v>1053</v>
      </c>
      <c r="G176" s="36"/>
      <c r="H176" s="36" t="s">
        <v>141</v>
      </c>
      <c r="I176" s="36"/>
      <c r="J176" s="36" t="s">
        <v>141</v>
      </c>
      <c r="K176" s="36"/>
      <c r="L176" s="36"/>
      <c r="M176" s="36"/>
      <c r="N176" s="36"/>
      <c r="O176" s="117" t="s">
        <v>141</v>
      </c>
      <c r="P176" s="36" t="s">
        <v>141</v>
      </c>
      <c r="Q176" s="36" t="s">
        <v>141</v>
      </c>
      <c r="R176" s="36"/>
      <c r="S176" s="36"/>
      <c r="T176" s="36" t="s">
        <v>141</v>
      </c>
      <c r="U176" s="36" t="s">
        <v>141</v>
      </c>
      <c r="V176" s="36"/>
      <c r="W176" s="36" t="s">
        <v>141</v>
      </c>
      <c r="X176" s="36"/>
      <c r="Y176" s="36" t="s">
        <v>141</v>
      </c>
      <c r="Z176" s="36"/>
      <c r="AA176" s="117"/>
      <c r="AB176" s="36"/>
      <c r="AC176" s="117"/>
      <c r="AD176" s="36"/>
      <c r="AE176" s="36"/>
      <c r="AF176" s="117"/>
      <c r="AG176" s="36"/>
      <c r="AH176" s="36" t="s">
        <v>141</v>
      </c>
      <c r="AI176" s="117" t="s">
        <v>141</v>
      </c>
      <c r="AJ176" s="36"/>
      <c r="AK176" s="36"/>
      <c r="AL176" s="36"/>
      <c r="AM176" s="117" t="s">
        <v>141</v>
      </c>
      <c r="AN176" s="117" t="s">
        <v>141</v>
      </c>
      <c r="AO176" s="117" t="s">
        <v>141</v>
      </c>
      <c r="AP176" s="117"/>
      <c r="AQ176" s="117"/>
      <c r="AR176" s="117"/>
      <c r="AS176" s="117"/>
      <c r="AT176" s="117"/>
      <c r="AU176" s="117"/>
      <c r="AV176" s="119">
        <f t="shared" si="2"/>
        <v>14</v>
      </c>
      <c r="AW176" s="119"/>
      <c r="AX176" s="119" t="s">
        <v>2142</v>
      </c>
    </row>
    <row r="177" spans="1:50">
      <c r="A177">
        <v>165</v>
      </c>
      <c r="B177">
        <v>721</v>
      </c>
      <c r="C177">
        <v>177</v>
      </c>
      <c r="D177" s="7">
        <v>45741</v>
      </c>
      <c r="E177" s="7" t="s">
        <v>1057</v>
      </c>
      <c r="F177" s="10" t="s">
        <v>1056</v>
      </c>
      <c r="G177" s="36"/>
      <c r="H177" s="36" t="s">
        <v>141</v>
      </c>
      <c r="I177" s="36"/>
      <c r="J177" s="36" t="s">
        <v>141</v>
      </c>
      <c r="K177" s="36"/>
      <c r="L177" s="36"/>
      <c r="M177" s="36"/>
      <c r="N177" s="36"/>
      <c r="O177" s="117" t="s">
        <v>141</v>
      </c>
      <c r="P177" s="36" t="s">
        <v>141</v>
      </c>
      <c r="Q177" s="36" t="s">
        <v>141</v>
      </c>
      <c r="R177" s="36"/>
      <c r="S177" s="36"/>
      <c r="T177" s="36" t="s">
        <v>141</v>
      </c>
      <c r="U177" s="36" t="s">
        <v>141</v>
      </c>
      <c r="V177" s="36"/>
      <c r="W177" s="36" t="s">
        <v>141</v>
      </c>
      <c r="X177" s="36"/>
      <c r="Y177" s="36" t="s">
        <v>141</v>
      </c>
      <c r="Z177" s="36"/>
      <c r="AA177" s="117"/>
      <c r="AB177" s="36"/>
      <c r="AC177" s="117"/>
      <c r="AD177" s="36"/>
      <c r="AE177" s="36"/>
      <c r="AF177" s="117" t="s">
        <v>141</v>
      </c>
      <c r="AG177" s="36"/>
      <c r="AH177" s="36" t="s">
        <v>141</v>
      </c>
      <c r="AI177" s="117" t="s">
        <v>141</v>
      </c>
      <c r="AJ177" s="36"/>
      <c r="AK177" s="36"/>
      <c r="AL177" s="36"/>
      <c r="AM177" s="117" t="s">
        <v>141</v>
      </c>
      <c r="AN177" s="117" t="s">
        <v>141</v>
      </c>
      <c r="AO177" s="117" t="s">
        <v>141</v>
      </c>
      <c r="AP177" s="117"/>
      <c r="AQ177" s="117"/>
      <c r="AR177" s="117"/>
      <c r="AS177" s="117"/>
      <c r="AT177" s="117"/>
      <c r="AU177" s="117"/>
      <c r="AV177" s="119">
        <f t="shared" si="2"/>
        <v>15</v>
      </c>
      <c r="AW177" s="119"/>
      <c r="AX177" s="119" t="s">
        <v>2142</v>
      </c>
    </row>
    <row r="178" spans="1:50">
      <c r="A178">
        <v>166</v>
      </c>
      <c r="B178">
        <v>722</v>
      </c>
      <c r="C178">
        <v>178</v>
      </c>
      <c r="D178" s="7">
        <v>45741</v>
      </c>
      <c r="E178" s="7" t="s">
        <v>1059</v>
      </c>
      <c r="F178" s="10" t="s">
        <v>1058</v>
      </c>
      <c r="G178" s="36" t="s">
        <v>141</v>
      </c>
      <c r="H178" s="36" t="s">
        <v>141</v>
      </c>
      <c r="I178" s="36"/>
      <c r="J178" s="36"/>
      <c r="K178" s="36" t="s">
        <v>141</v>
      </c>
      <c r="L178" s="36"/>
      <c r="M178" s="36"/>
      <c r="N178" s="36"/>
      <c r="O178" s="117"/>
      <c r="P178" s="36"/>
      <c r="Q178" s="36" t="s">
        <v>141</v>
      </c>
      <c r="R178" s="36"/>
      <c r="S178" s="36"/>
      <c r="T178" s="36" t="s">
        <v>141</v>
      </c>
      <c r="U178" s="36" t="s">
        <v>141</v>
      </c>
      <c r="V178" s="36"/>
      <c r="W178" s="36" t="s">
        <v>141</v>
      </c>
      <c r="X178" s="36"/>
      <c r="Y178" s="36" t="s">
        <v>141</v>
      </c>
      <c r="Z178" s="36"/>
      <c r="AA178" s="117"/>
      <c r="AB178" s="36" t="s">
        <v>141</v>
      </c>
      <c r="AC178" s="117"/>
      <c r="AD178" s="36" t="s">
        <v>141</v>
      </c>
      <c r="AE178" s="36" t="s">
        <v>141</v>
      </c>
      <c r="AF178" s="117"/>
      <c r="AG178" s="36"/>
      <c r="AH178" s="36"/>
      <c r="AI178" s="117" t="s">
        <v>141</v>
      </c>
      <c r="AJ178" s="36"/>
      <c r="AK178" s="36"/>
      <c r="AL178" s="36"/>
      <c r="AM178" s="117"/>
      <c r="AN178" s="117"/>
      <c r="AO178" s="117"/>
      <c r="AP178" s="117"/>
      <c r="AQ178" s="117"/>
      <c r="AR178" s="117"/>
      <c r="AS178" s="117"/>
      <c r="AT178" s="117"/>
      <c r="AU178" s="117"/>
      <c r="AV178" s="119">
        <f t="shared" si="2"/>
        <v>12</v>
      </c>
      <c r="AW178" s="119"/>
      <c r="AX178" s="119" t="s">
        <v>2142</v>
      </c>
    </row>
    <row r="179" spans="1:50">
      <c r="A179">
        <v>167</v>
      </c>
      <c r="B179">
        <v>723</v>
      </c>
      <c r="C179">
        <v>179</v>
      </c>
      <c r="D179" s="7">
        <v>45742</v>
      </c>
      <c r="E179" s="7" t="s">
        <v>1062</v>
      </c>
      <c r="F179" s="10" t="s">
        <v>1060</v>
      </c>
      <c r="G179" s="36"/>
      <c r="H179" s="36" t="s">
        <v>141</v>
      </c>
      <c r="I179" s="36"/>
      <c r="J179" s="36"/>
      <c r="K179" s="36"/>
      <c r="L179" s="36"/>
      <c r="M179" s="36"/>
      <c r="N179" s="36"/>
      <c r="O179" s="117" t="s">
        <v>141</v>
      </c>
      <c r="P179" s="36"/>
      <c r="Q179" s="36"/>
      <c r="R179" s="36"/>
      <c r="S179" s="36"/>
      <c r="T179" s="36" t="s">
        <v>141</v>
      </c>
      <c r="U179" s="36"/>
      <c r="V179" s="36"/>
      <c r="W179" s="36"/>
      <c r="X179" s="36"/>
      <c r="Y179" s="36"/>
      <c r="Z179" s="36"/>
      <c r="AA179" s="117"/>
      <c r="AB179" s="36"/>
      <c r="AC179" s="117"/>
      <c r="AD179" s="36"/>
      <c r="AE179" s="36" t="s">
        <v>141</v>
      </c>
      <c r="AF179" s="117"/>
      <c r="AG179" s="36"/>
      <c r="AH179" s="36"/>
      <c r="AI179" s="117" t="s">
        <v>141</v>
      </c>
      <c r="AJ179" s="36"/>
      <c r="AK179" s="36"/>
      <c r="AL179" s="36"/>
      <c r="AM179" s="117"/>
      <c r="AN179" s="117"/>
      <c r="AO179" s="117"/>
      <c r="AP179" s="117"/>
      <c r="AQ179" s="117"/>
      <c r="AR179" s="117"/>
      <c r="AS179" s="117"/>
      <c r="AT179" s="117"/>
      <c r="AU179" s="117"/>
      <c r="AV179" s="119">
        <f t="shared" si="2"/>
        <v>5</v>
      </c>
      <c r="AW179" s="119"/>
      <c r="AX179" s="119" t="s">
        <v>2142</v>
      </c>
    </row>
    <row r="180" spans="1:50">
      <c r="A180">
        <v>168</v>
      </c>
      <c r="B180">
        <v>724</v>
      </c>
      <c r="C180">
        <v>180</v>
      </c>
      <c r="D180" s="7">
        <v>45742</v>
      </c>
      <c r="E180" s="7" t="s">
        <v>1066</v>
      </c>
      <c r="F180" s="10" t="s">
        <v>1064</v>
      </c>
      <c r="G180" s="36" t="s">
        <v>141</v>
      </c>
      <c r="H180" s="36" t="s">
        <v>141</v>
      </c>
      <c r="I180" s="36"/>
      <c r="J180" s="36"/>
      <c r="K180" s="36"/>
      <c r="L180" s="36"/>
      <c r="M180" s="36"/>
      <c r="N180" s="36"/>
      <c r="O180" s="117"/>
      <c r="P180" s="36" t="s">
        <v>141</v>
      </c>
      <c r="Q180" s="36"/>
      <c r="R180" s="36"/>
      <c r="S180" s="36"/>
      <c r="T180" s="36" t="s">
        <v>141</v>
      </c>
      <c r="U180" s="36" t="s">
        <v>141</v>
      </c>
      <c r="V180" s="36"/>
      <c r="W180" s="36" t="s">
        <v>141</v>
      </c>
      <c r="X180" s="36"/>
      <c r="Y180" s="36"/>
      <c r="Z180" s="36"/>
      <c r="AA180" s="117" t="s">
        <v>141</v>
      </c>
      <c r="AB180" s="36"/>
      <c r="AC180" s="117"/>
      <c r="AD180" s="36"/>
      <c r="AE180" s="36"/>
      <c r="AF180" s="117" t="s">
        <v>141</v>
      </c>
      <c r="AG180" s="36"/>
      <c r="AH180" s="36"/>
      <c r="AI180" s="117"/>
      <c r="AJ180" s="36" t="s">
        <v>141</v>
      </c>
      <c r="AK180" s="36"/>
      <c r="AL180" s="36" t="s">
        <v>141</v>
      </c>
      <c r="AM180" s="117"/>
      <c r="AN180" s="117"/>
      <c r="AO180" s="117" t="s">
        <v>141</v>
      </c>
      <c r="AP180" s="117"/>
      <c r="AQ180" s="117"/>
      <c r="AR180" s="117" t="s">
        <v>141</v>
      </c>
      <c r="AS180" s="117"/>
      <c r="AT180" s="117"/>
      <c r="AU180" s="117"/>
      <c r="AV180" s="119">
        <f t="shared" si="2"/>
        <v>12</v>
      </c>
      <c r="AW180" s="119"/>
      <c r="AX180" s="119" t="s">
        <v>2142</v>
      </c>
    </row>
    <row r="181" spans="1:50">
      <c r="A181">
        <v>169</v>
      </c>
      <c r="B181">
        <v>726</v>
      </c>
      <c r="C181">
        <v>181</v>
      </c>
      <c r="D181" s="7">
        <v>45744</v>
      </c>
      <c r="E181" s="7" t="s">
        <v>1068</v>
      </c>
      <c r="F181" s="10" t="s">
        <v>1067</v>
      </c>
      <c r="G181" s="36" t="s">
        <v>141</v>
      </c>
      <c r="H181" s="36"/>
      <c r="I181" s="36"/>
      <c r="J181" s="36"/>
      <c r="K181" s="36"/>
      <c r="L181" s="36"/>
      <c r="M181" s="36"/>
      <c r="N181" s="36" t="s">
        <v>141</v>
      </c>
      <c r="O181" s="117" t="s">
        <v>141</v>
      </c>
      <c r="P181" s="36" t="s">
        <v>141</v>
      </c>
      <c r="Q181" s="36"/>
      <c r="R181" s="36"/>
      <c r="S181" s="36"/>
      <c r="T181" s="36"/>
      <c r="U181" s="36" t="s">
        <v>141</v>
      </c>
      <c r="V181" s="36"/>
      <c r="W181" s="36"/>
      <c r="X181" s="36"/>
      <c r="Y181" s="36"/>
      <c r="Z181" s="36"/>
      <c r="AA181" s="117" t="s">
        <v>141</v>
      </c>
      <c r="AB181" s="36"/>
      <c r="AC181" s="117"/>
      <c r="AD181" s="36" t="s">
        <v>141</v>
      </c>
      <c r="AE181" s="36"/>
      <c r="AF181" s="117"/>
      <c r="AG181" s="36"/>
      <c r="AH181" s="36"/>
      <c r="AI181" s="117"/>
      <c r="AJ181" s="36"/>
      <c r="AK181" s="36"/>
      <c r="AL181" s="36"/>
      <c r="AM181" s="117"/>
      <c r="AN181" s="117"/>
      <c r="AO181" s="117"/>
      <c r="AP181" s="117"/>
      <c r="AQ181" s="117"/>
      <c r="AR181" s="117"/>
      <c r="AS181" s="117"/>
      <c r="AT181" s="117"/>
      <c r="AU181" s="117"/>
      <c r="AV181" s="119">
        <f t="shared" si="2"/>
        <v>7</v>
      </c>
      <c r="AW181" s="119"/>
      <c r="AX181" s="119" t="s">
        <v>2142</v>
      </c>
    </row>
    <row r="182" spans="1:50">
      <c r="A182">
        <v>170</v>
      </c>
      <c r="B182">
        <v>727</v>
      </c>
      <c r="C182">
        <v>182</v>
      </c>
      <c r="D182" s="7">
        <v>45744</v>
      </c>
      <c r="E182" s="7" t="s">
        <v>1071</v>
      </c>
      <c r="F182" s="10" t="s">
        <v>1070</v>
      </c>
      <c r="G182" s="36" t="s">
        <v>141</v>
      </c>
      <c r="H182" s="36"/>
      <c r="I182" s="36"/>
      <c r="J182" s="36" t="s">
        <v>141</v>
      </c>
      <c r="K182" s="36"/>
      <c r="L182" s="36"/>
      <c r="M182" s="36"/>
      <c r="N182" s="36"/>
      <c r="O182" s="117" t="s">
        <v>141</v>
      </c>
      <c r="P182" s="36" t="s">
        <v>141</v>
      </c>
      <c r="Q182" s="36"/>
      <c r="R182" s="36"/>
      <c r="S182" s="36"/>
      <c r="T182" s="36"/>
      <c r="U182" s="36"/>
      <c r="V182" s="36"/>
      <c r="W182" s="36"/>
      <c r="X182" s="36"/>
      <c r="Y182" s="36" t="s">
        <v>141</v>
      </c>
      <c r="Z182" s="36"/>
      <c r="AA182" s="117"/>
      <c r="AB182" s="36"/>
      <c r="AC182" s="117"/>
      <c r="AD182" s="36" t="s">
        <v>141</v>
      </c>
      <c r="AE182" s="36"/>
      <c r="AF182" s="117"/>
      <c r="AG182" s="36"/>
      <c r="AH182" s="36"/>
      <c r="AI182" s="117"/>
      <c r="AJ182" s="36"/>
      <c r="AK182" s="36"/>
      <c r="AL182" s="36"/>
      <c r="AM182" s="117" t="s">
        <v>141</v>
      </c>
      <c r="AN182" s="117" t="s">
        <v>141</v>
      </c>
      <c r="AO182" s="117"/>
      <c r="AP182" s="117"/>
      <c r="AQ182" s="117"/>
      <c r="AR182" s="117"/>
      <c r="AS182" s="117"/>
      <c r="AT182" s="117"/>
      <c r="AU182" s="117"/>
      <c r="AV182" s="119">
        <f t="shared" si="2"/>
        <v>8</v>
      </c>
      <c r="AW182" s="119"/>
      <c r="AX182" s="119" t="s">
        <v>2142</v>
      </c>
    </row>
    <row r="183" spans="1:50">
      <c r="A183">
        <v>171</v>
      </c>
      <c r="B183">
        <v>728</v>
      </c>
      <c r="C183">
        <v>183</v>
      </c>
      <c r="D183" s="7">
        <v>45745</v>
      </c>
      <c r="E183" s="7" t="s">
        <v>1073</v>
      </c>
      <c r="F183" s="10" t="s">
        <v>1072</v>
      </c>
      <c r="G183" s="36" t="s">
        <v>141</v>
      </c>
      <c r="H183" s="36"/>
      <c r="I183" s="36"/>
      <c r="J183" s="36" t="s">
        <v>141</v>
      </c>
      <c r="K183" s="36"/>
      <c r="L183" s="36"/>
      <c r="M183" s="36"/>
      <c r="N183" s="36"/>
      <c r="O183" s="117"/>
      <c r="P183" s="36"/>
      <c r="Q183" s="36"/>
      <c r="R183" s="36"/>
      <c r="S183" s="36"/>
      <c r="T183" s="36" t="s">
        <v>141</v>
      </c>
      <c r="U183" s="36"/>
      <c r="V183" s="36" t="s">
        <v>141</v>
      </c>
      <c r="W183" s="36" t="s">
        <v>141</v>
      </c>
      <c r="X183" s="36"/>
      <c r="Y183" s="36" t="s">
        <v>141</v>
      </c>
      <c r="Z183" s="36"/>
      <c r="AA183" s="117"/>
      <c r="AB183" s="36" t="s">
        <v>141</v>
      </c>
      <c r="AC183" s="117"/>
      <c r="AD183" s="36" t="s">
        <v>141</v>
      </c>
      <c r="AE183" s="36" t="s">
        <v>141</v>
      </c>
      <c r="AF183" s="117"/>
      <c r="AG183" s="36"/>
      <c r="AH183" s="36"/>
      <c r="AI183" s="117"/>
      <c r="AJ183" s="36"/>
      <c r="AK183" s="36"/>
      <c r="AL183" s="36" t="s">
        <v>141</v>
      </c>
      <c r="AM183" s="117"/>
      <c r="AN183" s="117"/>
      <c r="AO183" s="117" t="s">
        <v>141</v>
      </c>
      <c r="AP183" s="117"/>
      <c r="AQ183" s="117"/>
      <c r="AR183" s="117"/>
      <c r="AS183" s="117"/>
      <c r="AT183" s="117"/>
      <c r="AU183" s="117"/>
      <c r="AV183" s="119">
        <f t="shared" si="2"/>
        <v>11</v>
      </c>
      <c r="AW183" s="119"/>
      <c r="AX183" s="119" t="s">
        <v>2142</v>
      </c>
    </row>
    <row r="184" spans="1:50">
      <c r="A184">
        <v>172</v>
      </c>
      <c r="B184">
        <v>729</v>
      </c>
      <c r="C184">
        <v>184</v>
      </c>
      <c r="D184" s="7">
        <v>45745</v>
      </c>
      <c r="E184" s="7" t="s">
        <v>1076</v>
      </c>
      <c r="F184" s="10" t="s">
        <v>1075</v>
      </c>
      <c r="G184" s="36"/>
      <c r="H184" s="36" t="s">
        <v>141</v>
      </c>
      <c r="I184" s="36"/>
      <c r="J184" s="36" t="s">
        <v>141</v>
      </c>
      <c r="K184" s="36"/>
      <c r="L184" s="36"/>
      <c r="M184" s="36"/>
      <c r="N184" s="36"/>
      <c r="O184" s="117"/>
      <c r="P184" s="36"/>
      <c r="Q184" s="36"/>
      <c r="R184" s="36"/>
      <c r="S184" s="36"/>
      <c r="T184" s="36"/>
      <c r="U184" s="36"/>
      <c r="V184" s="36"/>
      <c r="W184" s="36" t="s">
        <v>141</v>
      </c>
      <c r="X184" s="36"/>
      <c r="Y184" s="36" t="s">
        <v>141</v>
      </c>
      <c r="Z184" s="36"/>
      <c r="AA184" s="117" t="s">
        <v>141</v>
      </c>
      <c r="AB184" s="36"/>
      <c r="AC184" s="117"/>
      <c r="AD184" s="36"/>
      <c r="AE184" s="36" t="s">
        <v>141</v>
      </c>
      <c r="AF184" s="117"/>
      <c r="AG184" s="36"/>
      <c r="AH184" s="36"/>
      <c r="AI184" s="117" t="s">
        <v>141</v>
      </c>
      <c r="AJ184" s="36"/>
      <c r="AK184" s="36"/>
      <c r="AL184" s="36" t="s">
        <v>141</v>
      </c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9">
        <f t="shared" si="2"/>
        <v>8</v>
      </c>
      <c r="AW184" s="119"/>
      <c r="AX184" s="119" t="s">
        <v>2142</v>
      </c>
    </row>
    <row r="185" spans="1:50">
      <c r="A185">
        <v>173</v>
      </c>
      <c r="B185">
        <v>730</v>
      </c>
      <c r="C185">
        <v>185</v>
      </c>
      <c r="D185" s="7">
        <v>45747</v>
      </c>
      <c r="E185" s="7" t="s">
        <v>1078</v>
      </c>
      <c r="F185" s="10" t="s">
        <v>1077</v>
      </c>
      <c r="G185" s="36"/>
      <c r="H185" s="36" t="s">
        <v>141</v>
      </c>
      <c r="I185" s="36"/>
      <c r="J185" s="36" t="s">
        <v>141</v>
      </c>
      <c r="K185" s="36"/>
      <c r="L185" s="36" t="s">
        <v>141</v>
      </c>
      <c r="M185" s="36"/>
      <c r="N185" s="36"/>
      <c r="O185" s="117" t="s">
        <v>141</v>
      </c>
      <c r="P185" s="36" t="s">
        <v>141</v>
      </c>
      <c r="Q185" s="36" t="s">
        <v>141</v>
      </c>
      <c r="R185" s="36" t="s">
        <v>141</v>
      </c>
      <c r="S185" s="36"/>
      <c r="T185" s="36"/>
      <c r="U185" s="36" t="s">
        <v>141</v>
      </c>
      <c r="V185" s="36"/>
      <c r="W185" s="36"/>
      <c r="X185" s="36"/>
      <c r="Y185" s="36" t="s">
        <v>141</v>
      </c>
      <c r="Z185" s="36"/>
      <c r="AA185" s="117"/>
      <c r="AB185" s="36" t="s">
        <v>141</v>
      </c>
      <c r="AC185" s="117"/>
      <c r="AD185" s="36"/>
      <c r="AE185" s="36"/>
      <c r="AF185" s="117" t="s">
        <v>141</v>
      </c>
      <c r="AG185" s="36"/>
      <c r="AH185" s="36"/>
      <c r="AI185" s="117" t="s">
        <v>141</v>
      </c>
      <c r="AJ185" s="36" t="s">
        <v>141</v>
      </c>
      <c r="AK185" s="36"/>
      <c r="AL185" s="36" t="s">
        <v>141</v>
      </c>
      <c r="AM185" s="117" t="s">
        <v>141</v>
      </c>
      <c r="AN185" s="117" t="s">
        <v>141</v>
      </c>
      <c r="AO185" s="117"/>
      <c r="AP185" s="117"/>
      <c r="AQ185" s="117"/>
      <c r="AR185" s="117"/>
      <c r="AS185" s="117"/>
      <c r="AT185" s="117"/>
      <c r="AU185" s="117"/>
      <c r="AV185" s="119">
        <f t="shared" si="2"/>
        <v>16</v>
      </c>
      <c r="AW185" s="119"/>
      <c r="AX185" s="119" t="s">
        <v>2142</v>
      </c>
    </row>
    <row r="186" spans="1:50">
      <c r="A186" t="s">
        <v>57</v>
      </c>
      <c r="B186" t="s">
        <v>57</v>
      </c>
      <c r="C186">
        <v>186</v>
      </c>
      <c r="D186" s="7">
        <v>45747</v>
      </c>
      <c r="E186" s="7" t="s">
        <v>2129</v>
      </c>
      <c r="F186" s="10" t="s">
        <v>2130</v>
      </c>
      <c r="G186" s="36" t="s">
        <v>141</v>
      </c>
      <c r="H186" s="36" t="s">
        <v>141</v>
      </c>
      <c r="I186" s="36" t="s">
        <v>141</v>
      </c>
      <c r="J186" s="36" t="s">
        <v>141</v>
      </c>
      <c r="K186" s="36" t="s">
        <v>141</v>
      </c>
      <c r="L186" s="36" t="s">
        <v>2131</v>
      </c>
      <c r="M186" s="36" t="s">
        <v>141</v>
      </c>
      <c r="N186" s="36" t="s">
        <v>141</v>
      </c>
      <c r="O186" s="117" t="s">
        <v>141</v>
      </c>
      <c r="P186" s="36" t="s">
        <v>141</v>
      </c>
      <c r="Q186" s="36" t="s">
        <v>141</v>
      </c>
      <c r="R186" s="36" t="s">
        <v>2131</v>
      </c>
      <c r="S186" s="36" t="s">
        <v>141</v>
      </c>
      <c r="T186" s="36" t="s">
        <v>141</v>
      </c>
      <c r="U186" s="36" t="s">
        <v>2131</v>
      </c>
      <c r="V186" s="36" t="s">
        <v>141</v>
      </c>
      <c r="W186" s="36" t="s">
        <v>141</v>
      </c>
      <c r="X186" s="36" t="s">
        <v>141</v>
      </c>
      <c r="Y186" s="36" t="s">
        <v>141</v>
      </c>
      <c r="Z186" s="36" t="s">
        <v>2131</v>
      </c>
      <c r="AA186" s="117" t="s">
        <v>2131</v>
      </c>
      <c r="AB186" s="36" t="s">
        <v>141</v>
      </c>
      <c r="AC186" s="117" t="s">
        <v>141</v>
      </c>
      <c r="AD186" s="36" t="s">
        <v>141</v>
      </c>
      <c r="AE186" s="36" t="s">
        <v>2131</v>
      </c>
      <c r="AF186" s="117" t="s">
        <v>141</v>
      </c>
      <c r="AG186" s="36" t="s">
        <v>141</v>
      </c>
      <c r="AH186" s="36" t="s">
        <v>141</v>
      </c>
      <c r="AI186" s="117" t="s">
        <v>141</v>
      </c>
      <c r="AJ186" s="36" t="s">
        <v>141</v>
      </c>
      <c r="AK186" s="36" t="s">
        <v>141</v>
      </c>
      <c r="AL186" s="36" t="s">
        <v>141</v>
      </c>
      <c r="AM186" s="117" t="s">
        <v>141</v>
      </c>
      <c r="AN186" s="117" t="s">
        <v>141</v>
      </c>
      <c r="AO186" s="117" t="s">
        <v>2131</v>
      </c>
      <c r="AP186" s="117"/>
      <c r="AQ186" s="117"/>
      <c r="AR186" s="117" t="s">
        <v>2131</v>
      </c>
      <c r="AS186" s="117"/>
      <c r="AT186" s="117"/>
      <c r="AU186" s="117"/>
      <c r="AV186" s="119">
        <f t="shared" si="2"/>
        <v>28</v>
      </c>
      <c r="AW186" s="119"/>
      <c r="AX186" s="119" t="s">
        <v>2142</v>
      </c>
    </row>
    <row r="187" spans="1:50">
      <c r="A187">
        <v>174</v>
      </c>
      <c r="B187">
        <v>731</v>
      </c>
      <c r="C187">
        <v>187</v>
      </c>
      <c r="D187" s="7">
        <v>45748</v>
      </c>
      <c r="E187" s="7" t="s">
        <v>1080</v>
      </c>
      <c r="F187" s="10" t="s">
        <v>1079</v>
      </c>
      <c r="G187" s="36"/>
      <c r="H187" s="36"/>
      <c r="I187" s="36"/>
      <c r="J187" s="36"/>
      <c r="K187" s="36" t="s">
        <v>141</v>
      </c>
      <c r="L187" s="36" t="s">
        <v>141</v>
      </c>
      <c r="M187" s="36" t="s">
        <v>141</v>
      </c>
      <c r="N187" s="36"/>
      <c r="O187" s="117"/>
      <c r="P187" s="36"/>
      <c r="Q187" s="36"/>
      <c r="R187" s="36"/>
      <c r="S187" s="36"/>
      <c r="T187" s="36"/>
      <c r="U187" s="36"/>
      <c r="V187" s="36"/>
      <c r="W187" s="36" t="s">
        <v>141</v>
      </c>
      <c r="X187" s="36"/>
      <c r="Y187" s="36" t="s">
        <v>141</v>
      </c>
      <c r="Z187" s="36"/>
      <c r="AA187" s="117"/>
      <c r="AB187" s="36"/>
      <c r="AC187" s="117"/>
      <c r="AD187" s="36" t="s">
        <v>141</v>
      </c>
      <c r="AE187" s="36"/>
      <c r="AF187" s="117"/>
      <c r="AG187" s="36"/>
      <c r="AH187" s="36"/>
      <c r="AI187" s="117"/>
      <c r="AJ187" s="36" t="s">
        <v>141</v>
      </c>
      <c r="AK187" s="36"/>
      <c r="AL187" s="36"/>
      <c r="AM187" s="117"/>
      <c r="AN187" s="117"/>
      <c r="AO187" s="117"/>
      <c r="AP187" s="117"/>
      <c r="AQ187" s="117"/>
      <c r="AR187" s="117" t="s">
        <v>141</v>
      </c>
      <c r="AS187" s="117"/>
      <c r="AT187" s="117"/>
      <c r="AU187" s="117"/>
      <c r="AV187" s="119">
        <f t="shared" si="2"/>
        <v>8</v>
      </c>
      <c r="AW187" s="119"/>
      <c r="AX187" s="119" t="s">
        <v>2142</v>
      </c>
    </row>
    <row r="188" spans="1:50">
      <c r="A188">
        <v>175</v>
      </c>
      <c r="B188">
        <v>732</v>
      </c>
      <c r="C188">
        <v>188</v>
      </c>
      <c r="D188" s="7">
        <v>45748</v>
      </c>
      <c r="E188" s="7" t="s">
        <v>1082</v>
      </c>
      <c r="F188" s="10" t="s">
        <v>1081</v>
      </c>
      <c r="G188" s="36" t="s">
        <v>141</v>
      </c>
      <c r="H188" s="36"/>
      <c r="I188" s="36"/>
      <c r="J188" s="36" t="s">
        <v>141</v>
      </c>
      <c r="K188" s="36"/>
      <c r="L188" s="36" t="s">
        <v>141</v>
      </c>
      <c r="M188" s="36" t="s">
        <v>141</v>
      </c>
      <c r="N188" s="36"/>
      <c r="O188" s="117" t="s">
        <v>141</v>
      </c>
      <c r="P188" s="36" t="s">
        <v>141</v>
      </c>
      <c r="Q188" s="36"/>
      <c r="R188" s="36"/>
      <c r="S188" s="36"/>
      <c r="T188" s="36" t="s">
        <v>141</v>
      </c>
      <c r="U188" s="36"/>
      <c r="V188" s="36"/>
      <c r="W188" s="36"/>
      <c r="X188" s="36"/>
      <c r="Y188" s="36" t="s">
        <v>141</v>
      </c>
      <c r="Z188" s="36"/>
      <c r="AA188" s="117"/>
      <c r="AB188" s="36" t="s">
        <v>141</v>
      </c>
      <c r="AC188" s="117" t="s">
        <v>141</v>
      </c>
      <c r="AD188" s="36"/>
      <c r="AE188" s="36"/>
      <c r="AF188" s="117" t="s">
        <v>141</v>
      </c>
      <c r="AG188" s="36"/>
      <c r="AH188" s="36" t="s">
        <v>141</v>
      </c>
      <c r="AI188" s="117" t="s">
        <v>141</v>
      </c>
      <c r="AJ188" s="36"/>
      <c r="AK188" s="36"/>
      <c r="AL188" s="36"/>
      <c r="AM188" s="117" t="s">
        <v>141</v>
      </c>
      <c r="AN188" s="117" t="s">
        <v>141</v>
      </c>
      <c r="AO188" s="117" t="s">
        <v>141</v>
      </c>
      <c r="AP188" s="117"/>
      <c r="AQ188" s="117"/>
      <c r="AR188" s="117" t="s">
        <v>141</v>
      </c>
      <c r="AS188" s="117"/>
      <c r="AT188" s="117"/>
      <c r="AU188" s="117"/>
      <c r="AV188" s="119">
        <f t="shared" si="2"/>
        <v>17</v>
      </c>
      <c r="AW188" s="119"/>
      <c r="AX188" s="119" t="s">
        <v>2142</v>
      </c>
    </row>
    <row r="189" spans="1:50">
      <c r="A189">
        <v>176</v>
      </c>
      <c r="B189">
        <v>733</v>
      </c>
      <c r="C189">
        <v>189</v>
      </c>
      <c r="D189" s="7">
        <v>45748</v>
      </c>
      <c r="E189" s="7" t="s">
        <v>1084</v>
      </c>
      <c r="F189" s="10" t="s">
        <v>1083</v>
      </c>
      <c r="G189" s="36" t="s">
        <v>141</v>
      </c>
      <c r="H189" s="36" t="s">
        <v>141</v>
      </c>
      <c r="I189" s="36"/>
      <c r="J189" s="36" t="s">
        <v>141</v>
      </c>
      <c r="K189" s="36" t="s">
        <v>141</v>
      </c>
      <c r="L189" s="36"/>
      <c r="M189" s="36"/>
      <c r="N189" s="36"/>
      <c r="O189" s="117"/>
      <c r="P189" s="36" t="s">
        <v>141</v>
      </c>
      <c r="Q189" s="36"/>
      <c r="R189" s="36"/>
      <c r="S189" s="36"/>
      <c r="T189" s="36" t="s">
        <v>141</v>
      </c>
      <c r="U189" s="36"/>
      <c r="V189" s="36"/>
      <c r="W189" s="36"/>
      <c r="X189" s="36"/>
      <c r="Y189" s="36"/>
      <c r="Z189" s="36"/>
      <c r="AA189" s="117"/>
      <c r="AB189" s="36"/>
      <c r="AC189" s="117"/>
      <c r="AD189" s="36" t="s">
        <v>141</v>
      </c>
      <c r="AE189" s="36"/>
      <c r="AF189" s="117" t="s">
        <v>141</v>
      </c>
      <c r="AG189" s="36"/>
      <c r="AH189" s="36"/>
      <c r="AI189" s="117" t="s">
        <v>141</v>
      </c>
      <c r="AJ189" s="36" t="s">
        <v>141</v>
      </c>
      <c r="AK189" s="36"/>
      <c r="AL189" s="36" t="s">
        <v>141</v>
      </c>
      <c r="AM189" s="117" t="s">
        <v>141</v>
      </c>
      <c r="AN189" s="117" t="s">
        <v>141</v>
      </c>
      <c r="AO189" s="117"/>
      <c r="AP189" s="117"/>
      <c r="AQ189" s="117"/>
      <c r="AR189" s="117"/>
      <c r="AS189" s="117"/>
      <c r="AT189" s="117"/>
      <c r="AU189" s="117"/>
      <c r="AV189" s="119">
        <f t="shared" si="2"/>
        <v>13</v>
      </c>
      <c r="AW189" s="119"/>
      <c r="AX189" s="119" t="s">
        <v>2142</v>
      </c>
    </row>
    <row r="190" spans="1:50">
      <c r="A190">
        <v>177</v>
      </c>
      <c r="B190">
        <v>734</v>
      </c>
      <c r="C190">
        <v>190</v>
      </c>
      <c r="D190" s="7">
        <v>45748</v>
      </c>
      <c r="E190" s="7" t="s">
        <v>1086</v>
      </c>
      <c r="F190" s="10" t="s">
        <v>1085</v>
      </c>
      <c r="G190" s="36" t="s">
        <v>141</v>
      </c>
      <c r="H190" s="36" t="s">
        <v>141</v>
      </c>
      <c r="I190" s="36"/>
      <c r="J190" s="36" t="s">
        <v>141</v>
      </c>
      <c r="K190" s="36" t="s">
        <v>141</v>
      </c>
      <c r="L190" s="36" t="s">
        <v>141</v>
      </c>
      <c r="M190" s="36"/>
      <c r="N190" s="36"/>
      <c r="O190" s="117" t="s">
        <v>141</v>
      </c>
      <c r="P190" s="36" t="s">
        <v>141</v>
      </c>
      <c r="Q190" s="36"/>
      <c r="R190" s="36"/>
      <c r="S190" s="36"/>
      <c r="T190" s="36"/>
      <c r="U190" s="36"/>
      <c r="V190" s="36"/>
      <c r="W190" s="36"/>
      <c r="X190" s="36"/>
      <c r="Y190" s="36" t="s">
        <v>141</v>
      </c>
      <c r="Z190" s="36"/>
      <c r="AA190" s="117" t="s">
        <v>141</v>
      </c>
      <c r="AB190" s="36" t="s">
        <v>141</v>
      </c>
      <c r="AC190" s="117" t="s">
        <v>141</v>
      </c>
      <c r="AD190" s="36" t="s">
        <v>141</v>
      </c>
      <c r="AE190" s="36"/>
      <c r="AF190" s="117"/>
      <c r="AG190" s="36"/>
      <c r="AH190" s="36"/>
      <c r="AI190" s="117" t="s">
        <v>141</v>
      </c>
      <c r="AJ190" s="36" t="s">
        <v>141</v>
      </c>
      <c r="AK190" s="36"/>
      <c r="AL190" s="36"/>
      <c r="AM190" s="117"/>
      <c r="AN190" s="117"/>
      <c r="AO190" s="117"/>
      <c r="AP190" s="117"/>
      <c r="AQ190" s="117"/>
      <c r="AR190" s="117" t="s">
        <v>141</v>
      </c>
      <c r="AS190" s="117"/>
      <c r="AT190" s="117"/>
      <c r="AU190" s="117"/>
      <c r="AV190" s="119">
        <f t="shared" si="2"/>
        <v>15</v>
      </c>
      <c r="AW190" s="119"/>
      <c r="AX190" s="119" t="s">
        <v>2142</v>
      </c>
    </row>
    <row r="191" spans="1:50">
      <c r="A191">
        <v>178</v>
      </c>
      <c r="B191">
        <v>735</v>
      </c>
      <c r="C191">
        <v>191</v>
      </c>
      <c r="D191" s="7">
        <v>45750</v>
      </c>
      <c r="E191" s="7" t="s">
        <v>1088</v>
      </c>
      <c r="F191" s="10" t="s">
        <v>1087</v>
      </c>
      <c r="G191" s="36"/>
      <c r="H191" s="36" t="s">
        <v>141</v>
      </c>
      <c r="I191" s="36"/>
      <c r="J191" s="36" t="s">
        <v>141</v>
      </c>
      <c r="K191" s="36"/>
      <c r="L191" s="36" t="s">
        <v>141</v>
      </c>
      <c r="M191" s="36"/>
      <c r="N191" s="36"/>
      <c r="O191" s="117" t="s">
        <v>141</v>
      </c>
      <c r="P191" s="36" t="s">
        <v>141</v>
      </c>
      <c r="Q191" s="36"/>
      <c r="R191" s="36"/>
      <c r="S191" s="36"/>
      <c r="T191" s="36" t="s">
        <v>141</v>
      </c>
      <c r="U191" s="36"/>
      <c r="V191" s="36"/>
      <c r="W191" s="36"/>
      <c r="X191" s="36"/>
      <c r="Y191" s="36" t="s">
        <v>141</v>
      </c>
      <c r="Z191" s="36"/>
      <c r="AA191" s="117"/>
      <c r="AB191" s="36" t="s">
        <v>141</v>
      </c>
      <c r="AC191" s="117"/>
      <c r="AD191" s="36" t="s">
        <v>141</v>
      </c>
      <c r="AE191" s="36" t="s">
        <v>141</v>
      </c>
      <c r="AF191" s="117"/>
      <c r="AG191" s="36"/>
      <c r="AH191" s="36"/>
      <c r="AI191" s="117"/>
      <c r="AJ191" s="36"/>
      <c r="AK191" s="36"/>
      <c r="AL191" s="36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9">
        <f t="shared" si="2"/>
        <v>10</v>
      </c>
      <c r="AW191" s="119"/>
      <c r="AX191" s="119" t="s">
        <v>2142</v>
      </c>
    </row>
    <row r="192" spans="1:50">
      <c r="A192">
        <v>179</v>
      </c>
      <c r="B192">
        <v>736</v>
      </c>
      <c r="C192">
        <v>192</v>
      </c>
      <c r="D192" s="7">
        <v>45750</v>
      </c>
      <c r="E192" s="7" t="s">
        <v>1090</v>
      </c>
      <c r="F192" s="10" t="s">
        <v>1089</v>
      </c>
      <c r="G192" s="36"/>
      <c r="H192" s="36" t="s">
        <v>141</v>
      </c>
      <c r="I192" s="36"/>
      <c r="J192" s="36" t="s">
        <v>141</v>
      </c>
      <c r="K192" s="36"/>
      <c r="L192" s="36" t="s">
        <v>141</v>
      </c>
      <c r="M192" s="36" t="s">
        <v>141</v>
      </c>
      <c r="N192" s="36"/>
      <c r="O192" s="117" t="s">
        <v>141</v>
      </c>
      <c r="P192" s="36" t="s">
        <v>141</v>
      </c>
      <c r="Q192" s="36"/>
      <c r="R192" s="36"/>
      <c r="S192" s="36"/>
      <c r="T192" s="36" t="s">
        <v>141</v>
      </c>
      <c r="U192" s="36"/>
      <c r="V192" s="36"/>
      <c r="W192" s="36"/>
      <c r="X192" s="36"/>
      <c r="Y192" s="36"/>
      <c r="Z192" s="36"/>
      <c r="AA192" s="117"/>
      <c r="AB192" s="36"/>
      <c r="AC192" s="117"/>
      <c r="AD192" s="36"/>
      <c r="AE192" s="36" t="s">
        <v>141</v>
      </c>
      <c r="AF192" s="117"/>
      <c r="AG192" s="36"/>
      <c r="AH192" s="36"/>
      <c r="AI192" s="117" t="s">
        <v>141</v>
      </c>
      <c r="AJ192" s="36"/>
      <c r="AK192" s="36"/>
      <c r="AL192" s="36"/>
      <c r="AM192" s="117" t="s">
        <v>141</v>
      </c>
      <c r="AN192" s="117" t="s">
        <v>141</v>
      </c>
      <c r="AO192" s="117"/>
      <c r="AP192" s="117"/>
      <c r="AQ192" s="117"/>
      <c r="AR192" s="117"/>
      <c r="AS192" s="117"/>
      <c r="AT192" s="117"/>
      <c r="AU192" s="117"/>
      <c r="AV192" s="119">
        <f t="shared" si="2"/>
        <v>11</v>
      </c>
      <c r="AW192" s="119"/>
      <c r="AX192" s="119" t="s">
        <v>2142</v>
      </c>
    </row>
    <row r="193" spans="1:50">
      <c r="A193">
        <v>180</v>
      </c>
      <c r="B193">
        <v>737</v>
      </c>
      <c r="C193">
        <v>193</v>
      </c>
      <c r="D193" s="7">
        <v>45751</v>
      </c>
      <c r="E193" s="7" t="s">
        <v>1093</v>
      </c>
      <c r="F193" s="10" t="s">
        <v>1091</v>
      </c>
      <c r="G193" s="36" t="s">
        <v>141</v>
      </c>
      <c r="H193" s="36" t="s">
        <v>141</v>
      </c>
      <c r="I193" s="36"/>
      <c r="J193" s="36" t="s">
        <v>141</v>
      </c>
      <c r="K193" s="36"/>
      <c r="L193" s="36" t="s">
        <v>141</v>
      </c>
      <c r="M193" s="36"/>
      <c r="N193" s="36"/>
      <c r="O193" s="117" t="s">
        <v>141</v>
      </c>
      <c r="P193" s="36" t="s">
        <v>141</v>
      </c>
      <c r="Q193" s="36"/>
      <c r="R193" s="36"/>
      <c r="S193" s="36" t="s">
        <v>141</v>
      </c>
      <c r="T193" s="36"/>
      <c r="U193" s="36"/>
      <c r="V193" s="36"/>
      <c r="W193" s="36"/>
      <c r="X193" s="36"/>
      <c r="Y193" s="36" t="s">
        <v>141</v>
      </c>
      <c r="Z193" s="36"/>
      <c r="AA193" s="117"/>
      <c r="AB193" s="36" t="s">
        <v>141</v>
      </c>
      <c r="AC193" s="117" t="s">
        <v>141</v>
      </c>
      <c r="AD193" s="36"/>
      <c r="AE193" s="36"/>
      <c r="AF193" s="117"/>
      <c r="AG193" s="36" t="s">
        <v>141</v>
      </c>
      <c r="AH193" s="36"/>
      <c r="AI193" s="117" t="s">
        <v>141</v>
      </c>
      <c r="AJ193" s="36" t="s">
        <v>141</v>
      </c>
      <c r="AK193" s="36"/>
      <c r="AL193" s="36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9">
        <f t="shared" si="2"/>
        <v>13</v>
      </c>
      <c r="AW193" s="119"/>
      <c r="AX193" s="119" t="s">
        <v>2142</v>
      </c>
    </row>
    <row r="194" spans="1:50">
      <c r="A194">
        <v>181</v>
      </c>
      <c r="B194">
        <v>738</v>
      </c>
      <c r="C194">
        <v>194</v>
      </c>
      <c r="D194" s="7">
        <v>45751</v>
      </c>
      <c r="E194" s="7" t="s">
        <v>1095</v>
      </c>
      <c r="F194" s="10" t="s">
        <v>1094</v>
      </c>
      <c r="G194" s="36" t="s">
        <v>141</v>
      </c>
      <c r="H194" s="36"/>
      <c r="I194" s="36" t="s">
        <v>141</v>
      </c>
      <c r="J194" s="36" t="s">
        <v>141</v>
      </c>
      <c r="K194" s="36"/>
      <c r="L194" s="36" t="s">
        <v>141</v>
      </c>
      <c r="M194" s="36"/>
      <c r="N194" s="36"/>
      <c r="O194" s="117" t="s">
        <v>141</v>
      </c>
      <c r="P194" s="36" t="s">
        <v>141</v>
      </c>
      <c r="Q194" s="36"/>
      <c r="R194" s="36" t="s">
        <v>141</v>
      </c>
      <c r="S194" s="36"/>
      <c r="T194" s="36" t="s">
        <v>141</v>
      </c>
      <c r="U194" s="36" t="s">
        <v>141</v>
      </c>
      <c r="V194" s="36"/>
      <c r="W194" s="36"/>
      <c r="X194" s="36" t="s">
        <v>141</v>
      </c>
      <c r="Y194" s="36" t="s">
        <v>141</v>
      </c>
      <c r="Z194" s="36"/>
      <c r="AA194" s="117"/>
      <c r="AB194" s="36"/>
      <c r="AC194" s="117" t="s">
        <v>141</v>
      </c>
      <c r="AD194" s="36" t="s">
        <v>141</v>
      </c>
      <c r="AE194" s="36" t="s">
        <v>141</v>
      </c>
      <c r="AF194" s="117"/>
      <c r="AG194" s="36"/>
      <c r="AH194" s="36"/>
      <c r="AI194" s="117"/>
      <c r="AJ194" s="36" t="s">
        <v>141</v>
      </c>
      <c r="AK194" s="36"/>
      <c r="AL194" s="36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9">
        <f t="shared" ref="AV194:AV257" si="3">COUNTIF($F194:$AS194, "I")</f>
        <v>15</v>
      </c>
      <c r="AW194" s="119"/>
      <c r="AX194" s="119" t="s">
        <v>2142</v>
      </c>
    </row>
    <row r="195" spans="1:50">
      <c r="A195">
        <v>182</v>
      </c>
      <c r="B195">
        <v>739</v>
      </c>
      <c r="C195">
        <v>195</v>
      </c>
      <c r="D195" s="7">
        <v>45752</v>
      </c>
      <c r="E195" s="7" t="s">
        <v>939</v>
      </c>
      <c r="F195" s="10" t="s">
        <v>1096</v>
      </c>
      <c r="G195" s="36" t="s">
        <v>141</v>
      </c>
      <c r="H195" s="36"/>
      <c r="I195" s="36" t="s">
        <v>141</v>
      </c>
      <c r="J195" s="36" t="s">
        <v>141</v>
      </c>
      <c r="K195" s="36"/>
      <c r="L195" s="36"/>
      <c r="M195" s="36"/>
      <c r="N195" s="36"/>
      <c r="O195" s="117"/>
      <c r="P195" s="36"/>
      <c r="Q195" s="36"/>
      <c r="R195" s="36"/>
      <c r="S195" s="36" t="s">
        <v>141</v>
      </c>
      <c r="T195" s="36" t="s">
        <v>141</v>
      </c>
      <c r="U195" s="36"/>
      <c r="V195" s="36"/>
      <c r="W195" s="36"/>
      <c r="X195" s="36"/>
      <c r="Y195" s="36" t="s">
        <v>141</v>
      </c>
      <c r="Z195" s="36"/>
      <c r="AA195" s="117" t="s">
        <v>141</v>
      </c>
      <c r="AB195" s="36"/>
      <c r="AC195" s="117"/>
      <c r="AD195" s="36"/>
      <c r="AE195" s="36"/>
      <c r="AF195" s="117"/>
      <c r="AG195" s="36"/>
      <c r="AH195" s="36"/>
      <c r="AI195" s="117"/>
      <c r="AJ195" s="36" t="s">
        <v>141</v>
      </c>
      <c r="AK195" s="36" t="s">
        <v>141</v>
      </c>
      <c r="AL195" s="36" t="s">
        <v>141</v>
      </c>
      <c r="AM195" s="117"/>
      <c r="AN195" s="117"/>
      <c r="AO195" s="117" t="s">
        <v>141</v>
      </c>
      <c r="AP195" s="117"/>
      <c r="AQ195" s="117"/>
      <c r="AR195" s="117"/>
      <c r="AS195" s="117"/>
      <c r="AT195" s="117"/>
      <c r="AU195" s="117"/>
      <c r="AV195" s="119">
        <f t="shared" si="3"/>
        <v>11</v>
      </c>
      <c r="AW195" s="119"/>
      <c r="AX195" s="119" t="s">
        <v>2142</v>
      </c>
    </row>
    <row r="196" spans="1:50">
      <c r="A196">
        <v>183</v>
      </c>
      <c r="B196">
        <v>740</v>
      </c>
      <c r="C196">
        <v>196</v>
      </c>
      <c r="D196" s="7">
        <v>45753</v>
      </c>
      <c r="E196" s="7" t="s">
        <v>1098</v>
      </c>
      <c r="F196" s="10" t="s">
        <v>1097</v>
      </c>
      <c r="G196" s="36"/>
      <c r="H196" s="36"/>
      <c r="I196" s="36"/>
      <c r="J196" s="36" t="s">
        <v>141</v>
      </c>
      <c r="K196" s="36"/>
      <c r="L196" s="36"/>
      <c r="M196" s="36"/>
      <c r="N196" s="36"/>
      <c r="O196" s="117"/>
      <c r="P196" s="36"/>
      <c r="Q196" s="36" t="s">
        <v>141</v>
      </c>
      <c r="R196" s="36"/>
      <c r="S196" s="36"/>
      <c r="T196" s="36" t="s">
        <v>141</v>
      </c>
      <c r="U196" s="36" t="s">
        <v>141</v>
      </c>
      <c r="V196" s="36"/>
      <c r="W196" s="36"/>
      <c r="X196" s="36" t="s">
        <v>141</v>
      </c>
      <c r="Y196" s="36"/>
      <c r="Z196" s="36"/>
      <c r="AA196" s="117"/>
      <c r="AB196" s="36"/>
      <c r="AC196" s="117"/>
      <c r="AD196" s="36" t="s">
        <v>141</v>
      </c>
      <c r="AE196" s="36"/>
      <c r="AF196" s="117"/>
      <c r="AG196" s="36"/>
      <c r="AH196" s="36"/>
      <c r="AI196" s="117"/>
      <c r="AJ196" s="36" t="s">
        <v>141</v>
      </c>
      <c r="AK196" s="36"/>
      <c r="AL196" s="36" t="s">
        <v>141</v>
      </c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9">
        <f t="shared" si="3"/>
        <v>8</v>
      </c>
      <c r="AW196" s="119"/>
      <c r="AX196" s="119" t="s">
        <v>2142</v>
      </c>
    </row>
    <row r="197" spans="1:50">
      <c r="A197">
        <v>184</v>
      </c>
      <c r="B197">
        <v>741</v>
      </c>
      <c r="C197">
        <v>197</v>
      </c>
      <c r="D197" s="7">
        <v>45753</v>
      </c>
      <c r="E197" s="7" t="s">
        <v>1101</v>
      </c>
      <c r="F197" s="10" t="s">
        <v>1099</v>
      </c>
      <c r="G197" s="36"/>
      <c r="H197" s="36"/>
      <c r="I197" s="36" t="s">
        <v>141</v>
      </c>
      <c r="J197" s="36" t="s">
        <v>141</v>
      </c>
      <c r="K197" s="36"/>
      <c r="L197" s="36"/>
      <c r="M197" s="36"/>
      <c r="N197" s="36"/>
      <c r="O197" s="117" t="s">
        <v>141</v>
      </c>
      <c r="P197" s="36"/>
      <c r="Q197" s="36"/>
      <c r="R197" s="36"/>
      <c r="S197" s="36"/>
      <c r="T197" s="36"/>
      <c r="U197" s="36"/>
      <c r="V197" s="36"/>
      <c r="W197" s="36"/>
      <c r="X197" s="36"/>
      <c r="Y197" s="36" t="s">
        <v>141</v>
      </c>
      <c r="Z197" s="36"/>
      <c r="AA197" s="117" t="s">
        <v>141</v>
      </c>
      <c r="AB197" s="36" t="s">
        <v>141</v>
      </c>
      <c r="AC197" s="117"/>
      <c r="AD197" s="36"/>
      <c r="AE197" s="36"/>
      <c r="AF197" s="117"/>
      <c r="AG197" s="36"/>
      <c r="AH197" s="36"/>
      <c r="AI197" s="117"/>
      <c r="AJ197" s="36"/>
      <c r="AK197" s="36"/>
      <c r="AL197" s="36"/>
      <c r="AM197" s="117" t="s">
        <v>141</v>
      </c>
      <c r="AN197" s="117" t="s">
        <v>141</v>
      </c>
      <c r="AO197" s="117"/>
      <c r="AP197" s="117"/>
      <c r="AQ197" s="117"/>
      <c r="AR197" s="117" t="s">
        <v>141</v>
      </c>
      <c r="AS197" s="117"/>
      <c r="AT197" s="117"/>
      <c r="AU197" s="117"/>
      <c r="AV197" s="119">
        <f t="shared" si="3"/>
        <v>9</v>
      </c>
      <c r="AW197" s="119"/>
      <c r="AX197" s="119" t="s">
        <v>2142</v>
      </c>
    </row>
    <row r="198" spans="1:50">
      <c r="A198">
        <v>185</v>
      </c>
      <c r="B198">
        <v>742</v>
      </c>
      <c r="C198">
        <v>198</v>
      </c>
      <c r="D198" s="7">
        <v>45754</v>
      </c>
      <c r="E198" s="7" t="s">
        <v>1103</v>
      </c>
      <c r="F198" s="10" t="s">
        <v>1102</v>
      </c>
      <c r="G198" s="36"/>
      <c r="H198" s="36"/>
      <c r="I198" s="36" t="s">
        <v>141</v>
      </c>
      <c r="J198" s="36" t="s">
        <v>141</v>
      </c>
      <c r="K198" s="36" t="s">
        <v>141</v>
      </c>
      <c r="L198" s="36" t="s">
        <v>141</v>
      </c>
      <c r="M198" s="36" t="s">
        <v>141</v>
      </c>
      <c r="N198" s="36" t="s">
        <v>141</v>
      </c>
      <c r="O198" s="117" t="s">
        <v>141</v>
      </c>
      <c r="P198" s="36" t="s">
        <v>141</v>
      </c>
      <c r="Q198" s="36" t="s">
        <v>141</v>
      </c>
      <c r="R198" s="36" t="s">
        <v>141</v>
      </c>
      <c r="S198" s="36" t="s">
        <v>141</v>
      </c>
      <c r="T198" s="36" t="s">
        <v>141</v>
      </c>
      <c r="U198" s="36"/>
      <c r="V198" s="36"/>
      <c r="W198" s="36"/>
      <c r="X198" s="36"/>
      <c r="Y198" s="36" t="s">
        <v>141</v>
      </c>
      <c r="Z198" s="36"/>
      <c r="AA198" s="117"/>
      <c r="AB198" s="36" t="s">
        <v>141</v>
      </c>
      <c r="AC198" s="117"/>
      <c r="AD198" s="36" t="s">
        <v>141</v>
      </c>
      <c r="AE198" s="36" t="s">
        <v>141</v>
      </c>
      <c r="AF198" s="117" t="s">
        <v>141</v>
      </c>
      <c r="AG198" s="36" t="s">
        <v>141</v>
      </c>
      <c r="AH198" s="36" t="s">
        <v>141</v>
      </c>
      <c r="AI198" s="117"/>
      <c r="AJ198" s="36"/>
      <c r="AK198" s="36"/>
      <c r="AL198" s="36"/>
      <c r="AM198" s="117" t="s">
        <v>141</v>
      </c>
      <c r="AN198" s="117" t="s">
        <v>141</v>
      </c>
      <c r="AO198" s="117" t="s">
        <v>141</v>
      </c>
      <c r="AP198" s="117"/>
      <c r="AQ198" s="117"/>
      <c r="AR198" s="117" t="s">
        <v>141</v>
      </c>
      <c r="AS198" s="117"/>
      <c r="AT198" s="117"/>
      <c r="AU198" s="117"/>
      <c r="AV198" s="119">
        <f t="shared" si="3"/>
        <v>23</v>
      </c>
      <c r="AW198" s="119"/>
      <c r="AX198" s="119" t="s">
        <v>2142</v>
      </c>
    </row>
    <row r="199" spans="1:50">
      <c r="A199" t="s">
        <v>57</v>
      </c>
      <c r="B199" t="s">
        <v>57</v>
      </c>
      <c r="C199">
        <v>199</v>
      </c>
      <c r="D199" s="7">
        <v>45754</v>
      </c>
      <c r="E199" s="7" t="s">
        <v>2134</v>
      </c>
      <c r="F199" s="10" t="s">
        <v>2130</v>
      </c>
      <c r="G199" s="36" t="s">
        <v>2131</v>
      </c>
      <c r="H199" s="36" t="s">
        <v>2131</v>
      </c>
      <c r="I199" s="36" t="s">
        <v>141</v>
      </c>
      <c r="J199" s="36" t="s">
        <v>141</v>
      </c>
      <c r="K199" s="36" t="s">
        <v>141</v>
      </c>
      <c r="L199" s="36" t="s">
        <v>141</v>
      </c>
      <c r="M199" s="36" t="s">
        <v>141</v>
      </c>
      <c r="N199" s="36" t="s">
        <v>141</v>
      </c>
      <c r="O199" s="117" t="s">
        <v>141</v>
      </c>
      <c r="P199" s="36" t="s">
        <v>141</v>
      </c>
      <c r="Q199" s="36" t="s">
        <v>141</v>
      </c>
      <c r="R199" s="36" t="s">
        <v>141</v>
      </c>
      <c r="S199" s="36" t="s">
        <v>141</v>
      </c>
      <c r="T199" s="36" t="s">
        <v>141</v>
      </c>
      <c r="U199" s="36" t="s">
        <v>2131</v>
      </c>
      <c r="V199" s="36" t="s">
        <v>2131</v>
      </c>
      <c r="W199" s="36" t="s">
        <v>141</v>
      </c>
      <c r="X199" s="36" t="s">
        <v>2131</v>
      </c>
      <c r="Y199" s="36" t="s">
        <v>141</v>
      </c>
      <c r="Z199" s="36" t="s">
        <v>141</v>
      </c>
      <c r="AA199" s="117" t="s">
        <v>2131</v>
      </c>
      <c r="AB199" s="36" t="s">
        <v>141</v>
      </c>
      <c r="AC199" s="117" t="s">
        <v>2131</v>
      </c>
      <c r="AD199" s="36" t="s">
        <v>141</v>
      </c>
      <c r="AE199" s="36" t="s">
        <v>141</v>
      </c>
      <c r="AF199" s="117" t="s">
        <v>141</v>
      </c>
      <c r="AG199" s="36" t="s">
        <v>141</v>
      </c>
      <c r="AH199" s="36" t="s">
        <v>141</v>
      </c>
      <c r="AI199" s="117" t="s">
        <v>141</v>
      </c>
      <c r="AJ199" s="36" t="s">
        <v>141</v>
      </c>
      <c r="AK199" s="36" t="s">
        <v>2131</v>
      </c>
      <c r="AL199" s="36" t="s">
        <v>141</v>
      </c>
      <c r="AM199" s="117" t="s">
        <v>141</v>
      </c>
      <c r="AN199" s="117" t="s">
        <v>141</v>
      </c>
      <c r="AO199" s="117" t="s">
        <v>141</v>
      </c>
      <c r="AP199" s="117"/>
      <c r="AQ199" s="117"/>
      <c r="AR199" s="117" t="s">
        <v>141</v>
      </c>
      <c r="AS199" s="117"/>
      <c r="AT199" s="117"/>
      <c r="AU199" s="117"/>
      <c r="AV199" s="119">
        <f t="shared" si="3"/>
        <v>28</v>
      </c>
      <c r="AW199" s="119"/>
      <c r="AX199" s="119" t="s">
        <v>2142</v>
      </c>
    </row>
    <row r="200" spans="1:50">
      <c r="A200">
        <v>186</v>
      </c>
      <c r="B200">
        <v>743</v>
      </c>
      <c r="C200">
        <v>200</v>
      </c>
      <c r="D200" s="7">
        <v>45756</v>
      </c>
      <c r="E200" s="7" t="s">
        <v>1106</v>
      </c>
      <c r="F200" s="10" t="s">
        <v>1105</v>
      </c>
      <c r="G200" s="36"/>
      <c r="H200" s="36" t="s">
        <v>141</v>
      </c>
      <c r="I200" s="36" t="s">
        <v>141</v>
      </c>
      <c r="J200" s="36" t="s">
        <v>141</v>
      </c>
      <c r="K200" s="36" t="s">
        <v>141</v>
      </c>
      <c r="L200" s="36"/>
      <c r="M200" s="36"/>
      <c r="N200" s="36"/>
      <c r="O200" s="117"/>
      <c r="P200" s="36"/>
      <c r="Q200" s="36"/>
      <c r="R200" s="36" t="s">
        <v>141</v>
      </c>
      <c r="S200" s="36" t="s">
        <v>141</v>
      </c>
      <c r="T200" s="36"/>
      <c r="U200" s="36"/>
      <c r="V200" s="36"/>
      <c r="W200" s="36"/>
      <c r="X200" s="36"/>
      <c r="Y200" s="36" t="s">
        <v>141</v>
      </c>
      <c r="Z200" s="36"/>
      <c r="AA200" s="117" t="s">
        <v>141</v>
      </c>
      <c r="AB200" s="36"/>
      <c r="AC200" s="117"/>
      <c r="AD200" s="36" t="s">
        <v>141</v>
      </c>
      <c r="AE200" s="36"/>
      <c r="AF200" s="117"/>
      <c r="AG200" s="36"/>
      <c r="AH200" s="36" t="s">
        <v>141</v>
      </c>
      <c r="AI200" s="117"/>
      <c r="AJ200" s="36"/>
      <c r="AK200" s="36"/>
      <c r="AL200" s="36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9">
        <f t="shared" si="3"/>
        <v>10</v>
      </c>
      <c r="AW200" s="119"/>
      <c r="AX200" s="119" t="s">
        <v>2142</v>
      </c>
    </row>
    <row r="201" spans="1:50">
      <c r="A201">
        <v>187</v>
      </c>
      <c r="B201">
        <v>744</v>
      </c>
      <c r="C201">
        <v>201</v>
      </c>
      <c r="D201" s="7">
        <v>45757</v>
      </c>
      <c r="E201" s="7" t="s">
        <v>1108</v>
      </c>
      <c r="F201" s="10" t="s">
        <v>1107</v>
      </c>
      <c r="G201" s="36"/>
      <c r="H201" s="36"/>
      <c r="I201" s="36"/>
      <c r="J201" s="36"/>
      <c r="K201" s="36"/>
      <c r="L201" s="36" t="s">
        <v>141</v>
      </c>
      <c r="M201" s="36" t="s">
        <v>141</v>
      </c>
      <c r="N201" s="36"/>
      <c r="O201" s="117"/>
      <c r="P201" s="36"/>
      <c r="Q201" s="36"/>
      <c r="R201" s="36"/>
      <c r="S201" s="36" t="s">
        <v>141</v>
      </c>
      <c r="T201" s="36" t="s">
        <v>141</v>
      </c>
      <c r="U201" s="36"/>
      <c r="V201" s="36"/>
      <c r="W201" s="36" t="s">
        <v>141</v>
      </c>
      <c r="X201" s="36"/>
      <c r="Y201" s="36" t="s">
        <v>141</v>
      </c>
      <c r="Z201" s="36"/>
      <c r="AA201" s="117" t="s">
        <v>141</v>
      </c>
      <c r="AB201" s="36"/>
      <c r="AC201" s="117"/>
      <c r="AD201" s="36" t="s">
        <v>141</v>
      </c>
      <c r="AE201" s="36" t="s">
        <v>141</v>
      </c>
      <c r="AF201" s="117"/>
      <c r="AG201" s="36" t="s">
        <v>141</v>
      </c>
      <c r="AH201" s="36" t="s">
        <v>141</v>
      </c>
      <c r="AI201" s="117"/>
      <c r="AJ201" s="36"/>
      <c r="AK201" s="36"/>
      <c r="AL201" s="36"/>
      <c r="AM201" s="117" t="s">
        <v>141</v>
      </c>
      <c r="AN201" s="117" t="s">
        <v>141</v>
      </c>
      <c r="AO201" s="117" t="s">
        <v>141</v>
      </c>
      <c r="AP201" s="117"/>
      <c r="AQ201" s="117"/>
      <c r="AR201" s="117"/>
      <c r="AS201" s="117"/>
      <c r="AT201" s="117"/>
      <c r="AU201" s="117"/>
      <c r="AV201" s="119">
        <f t="shared" si="3"/>
        <v>14</v>
      </c>
      <c r="AW201" s="119"/>
      <c r="AX201" s="119" t="s">
        <v>2142</v>
      </c>
    </row>
    <row r="202" spans="1:50">
      <c r="A202">
        <v>188</v>
      </c>
      <c r="B202">
        <v>745</v>
      </c>
      <c r="C202">
        <v>202</v>
      </c>
      <c r="D202" s="7">
        <v>45757</v>
      </c>
      <c r="E202" s="7" t="s">
        <v>1110</v>
      </c>
      <c r="F202" s="10" t="s">
        <v>1109</v>
      </c>
      <c r="G202" s="36"/>
      <c r="H202" s="36"/>
      <c r="I202" s="36"/>
      <c r="J202" s="36"/>
      <c r="K202" s="36"/>
      <c r="L202" s="36" t="s">
        <v>141</v>
      </c>
      <c r="M202" s="36" t="s">
        <v>141</v>
      </c>
      <c r="N202" s="36"/>
      <c r="O202" s="117"/>
      <c r="P202" s="36"/>
      <c r="Q202" s="36" t="s">
        <v>141</v>
      </c>
      <c r="R202" s="36"/>
      <c r="S202" s="36" t="s">
        <v>141</v>
      </c>
      <c r="T202" s="36" t="s">
        <v>141</v>
      </c>
      <c r="U202" s="36"/>
      <c r="V202" s="36"/>
      <c r="W202" s="36" t="s">
        <v>141</v>
      </c>
      <c r="X202" s="36"/>
      <c r="Y202" s="36" t="s">
        <v>141</v>
      </c>
      <c r="Z202" s="36"/>
      <c r="AA202" s="117" t="s">
        <v>141</v>
      </c>
      <c r="AB202" s="36"/>
      <c r="AC202" s="117"/>
      <c r="AD202" s="36" t="s">
        <v>141</v>
      </c>
      <c r="AE202" s="36" t="s">
        <v>141</v>
      </c>
      <c r="AF202" s="117"/>
      <c r="AG202" s="36" t="s">
        <v>141</v>
      </c>
      <c r="AH202" s="36" t="s">
        <v>141</v>
      </c>
      <c r="AI202" s="117"/>
      <c r="AJ202" s="36"/>
      <c r="AK202" s="36"/>
      <c r="AL202" s="36"/>
      <c r="AM202" s="117" t="s">
        <v>141</v>
      </c>
      <c r="AN202" s="117" t="s">
        <v>141</v>
      </c>
      <c r="AO202" s="117"/>
      <c r="AP202" s="117"/>
      <c r="AQ202" s="117"/>
      <c r="AR202" s="117"/>
      <c r="AS202" s="117"/>
      <c r="AT202" s="117"/>
      <c r="AU202" s="117"/>
      <c r="AV202" s="119">
        <f t="shared" si="3"/>
        <v>14</v>
      </c>
      <c r="AW202" s="119"/>
      <c r="AX202" s="119" t="s">
        <v>2142</v>
      </c>
    </row>
    <row r="203" spans="1:50">
      <c r="A203">
        <v>189</v>
      </c>
      <c r="B203">
        <v>746</v>
      </c>
      <c r="C203">
        <v>203</v>
      </c>
      <c r="D203" s="7">
        <v>45757</v>
      </c>
      <c r="E203" s="7" t="s">
        <v>1112</v>
      </c>
      <c r="F203" s="10" t="s">
        <v>1111</v>
      </c>
      <c r="G203" s="36"/>
      <c r="H203" s="36"/>
      <c r="I203" s="36"/>
      <c r="J203" s="36"/>
      <c r="K203" s="36"/>
      <c r="L203" s="36" t="s">
        <v>141</v>
      </c>
      <c r="M203" s="36" t="s">
        <v>141</v>
      </c>
      <c r="N203" s="36"/>
      <c r="O203" s="117"/>
      <c r="P203" s="36"/>
      <c r="Q203" s="36" t="s">
        <v>141</v>
      </c>
      <c r="R203" s="36"/>
      <c r="S203" s="36" t="s">
        <v>141</v>
      </c>
      <c r="T203" s="36" t="s">
        <v>141</v>
      </c>
      <c r="U203" s="36" t="s">
        <v>141</v>
      </c>
      <c r="V203" s="36"/>
      <c r="W203" s="36" t="s">
        <v>141</v>
      </c>
      <c r="X203" s="36"/>
      <c r="Y203" s="36" t="s">
        <v>141</v>
      </c>
      <c r="Z203" s="36"/>
      <c r="AA203" s="117" t="s">
        <v>141</v>
      </c>
      <c r="AB203" s="36"/>
      <c r="AC203" s="117"/>
      <c r="AD203" s="36" t="s">
        <v>141</v>
      </c>
      <c r="AE203" s="36" t="s">
        <v>141</v>
      </c>
      <c r="AF203" s="117"/>
      <c r="AG203" s="36" t="s">
        <v>141</v>
      </c>
      <c r="AH203" s="36" t="s">
        <v>141</v>
      </c>
      <c r="AI203" s="117" t="s">
        <v>141</v>
      </c>
      <c r="AJ203" s="36"/>
      <c r="AK203" s="36"/>
      <c r="AL203" s="36"/>
      <c r="AM203" s="117" t="s">
        <v>141</v>
      </c>
      <c r="AN203" s="117" t="s">
        <v>141</v>
      </c>
      <c r="AO203" s="117" t="s">
        <v>141</v>
      </c>
      <c r="AP203" s="117"/>
      <c r="AQ203" s="117"/>
      <c r="AR203" s="117"/>
      <c r="AS203" s="117"/>
      <c r="AT203" s="117"/>
      <c r="AU203" s="117"/>
      <c r="AV203" s="119">
        <f t="shared" si="3"/>
        <v>17</v>
      </c>
      <c r="AW203" s="119"/>
      <c r="AX203" s="119" t="s">
        <v>2142</v>
      </c>
    </row>
    <row r="204" spans="1:50">
      <c r="A204">
        <v>190</v>
      </c>
      <c r="B204">
        <v>747</v>
      </c>
      <c r="C204">
        <v>204</v>
      </c>
      <c r="D204" s="7">
        <v>45757</v>
      </c>
      <c r="E204" s="7" t="s">
        <v>1114</v>
      </c>
      <c r="F204" s="10" t="s">
        <v>1113</v>
      </c>
      <c r="G204" s="36"/>
      <c r="H204" s="36"/>
      <c r="I204" s="36"/>
      <c r="J204" s="36"/>
      <c r="K204" s="36"/>
      <c r="L204" s="36" t="s">
        <v>141</v>
      </c>
      <c r="M204" s="36" t="s">
        <v>141</v>
      </c>
      <c r="N204" s="36"/>
      <c r="O204" s="117"/>
      <c r="P204" s="36"/>
      <c r="Q204" s="36"/>
      <c r="R204" s="36"/>
      <c r="S204" s="36" t="s">
        <v>141</v>
      </c>
      <c r="T204" s="36" t="s">
        <v>141</v>
      </c>
      <c r="U204" s="36"/>
      <c r="V204" s="36"/>
      <c r="W204" s="36" t="s">
        <v>141</v>
      </c>
      <c r="X204" s="36"/>
      <c r="Y204" s="36" t="s">
        <v>141</v>
      </c>
      <c r="Z204" s="36"/>
      <c r="AA204" s="117" t="s">
        <v>141</v>
      </c>
      <c r="AB204" s="36"/>
      <c r="AC204" s="117"/>
      <c r="AD204" s="36" t="s">
        <v>141</v>
      </c>
      <c r="AE204" s="36" t="s">
        <v>141</v>
      </c>
      <c r="AF204" s="117"/>
      <c r="AG204" s="36"/>
      <c r="AH204" s="36" t="s">
        <v>141</v>
      </c>
      <c r="AI204" s="117" t="s">
        <v>141</v>
      </c>
      <c r="AJ204" s="36"/>
      <c r="AK204" s="36"/>
      <c r="AL204" s="36"/>
      <c r="AM204" s="117" t="s">
        <v>141</v>
      </c>
      <c r="AN204" s="117" t="s">
        <v>141</v>
      </c>
      <c r="AO204" s="117"/>
      <c r="AP204" s="117"/>
      <c r="AQ204" s="117"/>
      <c r="AR204" s="117" t="s">
        <v>141</v>
      </c>
      <c r="AS204" s="117"/>
      <c r="AT204" s="117"/>
      <c r="AU204" s="117"/>
      <c r="AV204" s="119">
        <f t="shared" si="3"/>
        <v>14</v>
      </c>
      <c r="AW204" s="119"/>
      <c r="AX204" s="119" t="s">
        <v>2142</v>
      </c>
    </row>
    <row r="205" spans="1:50">
      <c r="A205">
        <v>191</v>
      </c>
      <c r="B205">
        <v>748</v>
      </c>
      <c r="C205">
        <v>205</v>
      </c>
      <c r="D205" s="7">
        <v>45759</v>
      </c>
      <c r="E205" s="7" t="s">
        <v>1116</v>
      </c>
      <c r="F205" s="10" t="s">
        <v>1115</v>
      </c>
      <c r="G205" s="36"/>
      <c r="H205" s="36" t="s">
        <v>141</v>
      </c>
      <c r="I205" s="36" t="s">
        <v>141</v>
      </c>
      <c r="J205" s="36"/>
      <c r="K205" s="36"/>
      <c r="L205" s="36"/>
      <c r="M205" s="36"/>
      <c r="N205" s="36"/>
      <c r="O205" s="117"/>
      <c r="P205" s="36"/>
      <c r="Q205" s="36" t="s">
        <v>141</v>
      </c>
      <c r="R205" s="36"/>
      <c r="S205" s="36"/>
      <c r="T205" s="36" t="s">
        <v>141</v>
      </c>
      <c r="U205" s="36"/>
      <c r="V205" s="36"/>
      <c r="W205" s="36" t="s">
        <v>141</v>
      </c>
      <c r="X205" s="36"/>
      <c r="Y205" s="36"/>
      <c r="Z205" s="36"/>
      <c r="AA205" s="117"/>
      <c r="AB205" s="36" t="s">
        <v>141</v>
      </c>
      <c r="AC205" s="117"/>
      <c r="AD205" s="36" t="s">
        <v>141</v>
      </c>
      <c r="AE205" s="36"/>
      <c r="AF205" s="117"/>
      <c r="AG205" s="36"/>
      <c r="AH205" s="36" t="s">
        <v>141</v>
      </c>
      <c r="AI205" s="117" t="s">
        <v>141</v>
      </c>
      <c r="AJ205" s="36"/>
      <c r="AK205" s="36"/>
      <c r="AL205" s="36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9">
        <f t="shared" si="3"/>
        <v>9</v>
      </c>
      <c r="AW205" s="119"/>
      <c r="AX205" s="119" t="s">
        <v>2142</v>
      </c>
    </row>
    <row r="206" spans="1:50">
      <c r="A206">
        <v>192</v>
      </c>
      <c r="B206">
        <v>749</v>
      </c>
      <c r="C206">
        <v>206</v>
      </c>
      <c r="D206" s="7">
        <v>45759</v>
      </c>
      <c r="E206" s="7" t="s">
        <v>1118</v>
      </c>
      <c r="F206" s="10" t="s">
        <v>1117</v>
      </c>
      <c r="G206" s="36"/>
      <c r="H206" s="36" t="s">
        <v>141</v>
      </c>
      <c r="I206" s="36" t="s">
        <v>141</v>
      </c>
      <c r="J206" s="36"/>
      <c r="K206" s="36"/>
      <c r="L206" s="36"/>
      <c r="M206" s="36"/>
      <c r="N206" s="36"/>
      <c r="O206" s="117"/>
      <c r="P206" s="36"/>
      <c r="Q206" s="36" t="s">
        <v>141</v>
      </c>
      <c r="R206" s="36"/>
      <c r="S206" s="36"/>
      <c r="T206" s="36" t="s">
        <v>141</v>
      </c>
      <c r="U206" s="36"/>
      <c r="V206" s="36"/>
      <c r="W206" s="36" t="s">
        <v>141</v>
      </c>
      <c r="X206" s="36"/>
      <c r="Y206" s="36"/>
      <c r="Z206" s="36"/>
      <c r="AA206" s="117"/>
      <c r="AB206" s="36" t="s">
        <v>141</v>
      </c>
      <c r="AC206" s="117"/>
      <c r="AD206" s="36" t="s">
        <v>141</v>
      </c>
      <c r="AE206" s="36"/>
      <c r="AF206" s="117"/>
      <c r="AG206" s="36"/>
      <c r="AH206" s="36" t="s">
        <v>141</v>
      </c>
      <c r="AI206" s="117" t="s">
        <v>141</v>
      </c>
      <c r="AJ206" s="36"/>
      <c r="AK206" s="36"/>
      <c r="AL206" s="36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9">
        <f t="shared" si="3"/>
        <v>9</v>
      </c>
      <c r="AW206" s="119"/>
      <c r="AX206" s="119" t="s">
        <v>2142</v>
      </c>
    </row>
    <row r="207" spans="1:50">
      <c r="A207">
        <v>193</v>
      </c>
      <c r="B207">
        <v>750</v>
      </c>
      <c r="C207">
        <v>207</v>
      </c>
      <c r="D207" s="7">
        <v>45759</v>
      </c>
      <c r="E207" s="7" t="s">
        <v>1120</v>
      </c>
      <c r="F207" s="10" t="s">
        <v>1119</v>
      </c>
      <c r="G207" s="36"/>
      <c r="H207" s="36" t="s">
        <v>141</v>
      </c>
      <c r="I207" s="36" t="s">
        <v>141</v>
      </c>
      <c r="J207" s="36"/>
      <c r="K207" s="36"/>
      <c r="L207" s="36"/>
      <c r="M207" s="36"/>
      <c r="N207" s="36"/>
      <c r="O207" s="117"/>
      <c r="P207" s="36"/>
      <c r="Q207" s="36" t="s">
        <v>141</v>
      </c>
      <c r="R207" s="36"/>
      <c r="S207" s="36"/>
      <c r="T207" s="36" t="s">
        <v>141</v>
      </c>
      <c r="U207" s="36"/>
      <c r="V207" s="36"/>
      <c r="W207" s="36" t="s">
        <v>141</v>
      </c>
      <c r="X207" s="36"/>
      <c r="Y207" s="36"/>
      <c r="Z207" s="36"/>
      <c r="AA207" s="117"/>
      <c r="AB207" s="36" t="s">
        <v>141</v>
      </c>
      <c r="AC207" s="117"/>
      <c r="AD207" s="36" t="s">
        <v>141</v>
      </c>
      <c r="AE207" s="36"/>
      <c r="AF207" s="117"/>
      <c r="AG207" s="36"/>
      <c r="AH207" s="36" t="s">
        <v>141</v>
      </c>
      <c r="AI207" s="117" t="s">
        <v>141</v>
      </c>
      <c r="AJ207" s="36"/>
      <c r="AK207" s="36"/>
      <c r="AL207" s="36"/>
      <c r="AM207" s="117"/>
      <c r="AN207" s="117"/>
      <c r="AO207" s="117"/>
      <c r="AP207" s="117"/>
      <c r="AQ207" s="117"/>
      <c r="AR207" s="117"/>
      <c r="AS207" s="117"/>
      <c r="AT207" s="117"/>
      <c r="AU207" s="117"/>
      <c r="AV207" s="119">
        <f t="shared" si="3"/>
        <v>9</v>
      </c>
      <c r="AW207" s="119"/>
      <c r="AX207" s="119" t="s">
        <v>2142</v>
      </c>
    </row>
    <row r="208" spans="1:50">
      <c r="A208">
        <v>194</v>
      </c>
      <c r="B208">
        <v>751</v>
      </c>
      <c r="C208">
        <v>208</v>
      </c>
      <c r="D208" s="7">
        <v>45760</v>
      </c>
      <c r="E208" s="7" t="s">
        <v>1122</v>
      </c>
      <c r="F208" s="10" t="s">
        <v>1121</v>
      </c>
      <c r="G208" s="36" t="s">
        <v>141</v>
      </c>
      <c r="H208" s="36" t="s">
        <v>141</v>
      </c>
      <c r="I208" s="36"/>
      <c r="J208" s="36" t="s">
        <v>141</v>
      </c>
      <c r="K208" s="36"/>
      <c r="L208" s="36" t="s">
        <v>141</v>
      </c>
      <c r="M208" s="36" t="s">
        <v>141</v>
      </c>
      <c r="N208" s="36"/>
      <c r="O208" s="117" t="s">
        <v>141</v>
      </c>
      <c r="P208" s="36"/>
      <c r="Q208" s="36" t="s">
        <v>141</v>
      </c>
      <c r="R208" s="36"/>
      <c r="S208" s="36" t="s">
        <v>141</v>
      </c>
      <c r="T208" s="36"/>
      <c r="U208" s="36" t="s">
        <v>141</v>
      </c>
      <c r="V208" s="36"/>
      <c r="W208" s="36"/>
      <c r="X208" s="36"/>
      <c r="Y208" s="36"/>
      <c r="Z208" s="36"/>
      <c r="AA208" s="117"/>
      <c r="AB208" s="36"/>
      <c r="AC208" s="117"/>
      <c r="AD208" s="36"/>
      <c r="AE208" s="36"/>
      <c r="AF208" s="117"/>
      <c r="AG208" s="36"/>
      <c r="AH208" s="36"/>
      <c r="AI208" s="117" t="s">
        <v>141</v>
      </c>
      <c r="AJ208" s="36"/>
      <c r="AK208" s="36"/>
      <c r="AL208" s="36"/>
      <c r="AM208" s="117" t="s">
        <v>141</v>
      </c>
      <c r="AN208" s="117" t="s">
        <v>141</v>
      </c>
      <c r="AO208" s="117"/>
      <c r="AP208" s="117"/>
      <c r="AQ208" s="117"/>
      <c r="AR208" s="117" t="s">
        <v>141</v>
      </c>
      <c r="AS208" s="117"/>
      <c r="AT208" s="117"/>
      <c r="AU208" s="117"/>
      <c r="AV208" s="119">
        <f t="shared" si="3"/>
        <v>13</v>
      </c>
      <c r="AW208" s="119"/>
      <c r="AX208" s="119" t="s">
        <v>2142</v>
      </c>
    </row>
    <row r="209" spans="1:50">
      <c r="A209">
        <v>195</v>
      </c>
      <c r="B209">
        <v>752</v>
      </c>
      <c r="C209">
        <v>209</v>
      </c>
      <c r="D209" s="7">
        <v>45761</v>
      </c>
      <c r="E209" s="7" t="s">
        <v>1124</v>
      </c>
      <c r="F209" s="10" t="s">
        <v>1123</v>
      </c>
      <c r="G209" s="36"/>
      <c r="H209" s="36" t="s">
        <v>141</v>
      </c>
      <c r="I209" s="36"/>
      <c r="J209" s="36" t="s">
        <v>141</v>
      </c>
      <c r="K209" s="36"/>
      <c r="L209" s="36"/>
      <c r="M209" s="36" t="s">
        <v>141</v>
      </c>
      <c r="N209" s="36"/>
      <c r="O209" s="117" t="s">
        <v>141</v>
      </c>
      <c r="P209" s="36"/>
      <c r="Q209" s="36"/>
      <c r="R209" s="36"/>
      <c r="S209" s="36"/>
      <c r="T209" s="36" t="s">
        <v>141</v>
      </c>
      <c r="U209" s="36"/>
      <c r="V209" s="36"/>
      <c r="W209" s="36" t="s">
        <v>141</v>
      </c>
      <c r="X209" s="36"/>
      <c r="Y209" s="36" t="s">
        <v>141</v>
      </c>
      <c r="Z209" s="36"/>
      <c r="AA209" s="117" t="s">
        <v>141</v>
      </c>
      <c r="AB209" s="36" t="s">
        <v>141</v>
      </c>
      <c r="AC209" s="117"/>
      <c r="AD209" s="36" t="s">
        <v>141</v>
      </c>
      <c r="AE209" s="36"/>
      <c r="AF209" s="117" t="s">
        <v>141</v>
      </c>
      <c r="AG209" s="36"/>
      <c r="AH209" s="36" t="s">
        <v>141</v>
      </c>
      <c r="AI209" s="117"/>
      <c r="AJ209" s="36"/>
      <c r="AK209" s="36"/>
      <c r="AL209" s="36"/>
      <c r="AM209" s="117" t="s">
        <v>141</v>
      </c>
      <c r="AN209" s="117" t="s">
        <v>141</v>
      </c>
      <c r="AO209" s="117"/>
      <c r="AP209" s="117"/>
      <c r="AQ209" s="117"/>
      <c r="AR209" s="117"/>
      <c r="AS209" s="117"/>
      <c r="AT209" s="117"/>
      <c r="AU209" s="117"/>
      <c r="AV209" s="119">
        <f t="shared" si="3"/>
        <v>14</v>
      </c>
      <c r="AW209" s="119"/>
      <c r="AX209" s="119" t="s">
        <v>2142</v>
      </c>
    </row>
    <row r="210" spans="1:50">
      <c r="A210">
        <v>196</v>
      </c>
      <c r="B210">
        <v>753</v>
      </c>
      <c r="C210">
        <v>210</v>
      </c>
      <c r="D210" s="7">
        <v>45761</v>
      </c>
      <c r="E210" s="7" t="s">
        <v>1127</v>
      </c>
      <c r="F210" s="10" t="s">
        <v>1125</v>
      </c>
      <c r="G210" s="36" t="s">
        <v>141</v>
      </c>
      <c r="H210" s="36" t="s">
        <v>141</v>
      </c>
      <c r="I210" s="36"/>
      <c r="J210" s="36" t="s">
        <v>141</v>
      </c>
      <c r="K210" s="36"/>
      <c r="L210" s="36"/>
      <c r="M210" s="36" t="s">
        <v>141</v>
      </c>
      <c r="N210" s="36"/>
      <c r="O210" s="117" t="s">
        <v>141</v>
      </c>
      <c r="P210" s="36"/>
      <c r="Q210" s="36"/>
      <c r="R210" s="36"/>
      <c r="S210" s="36"/>
      <c r="T210" s="36" t="s">
        <v>141</v>
      </c>
      <c r="U210" s="36"/>
      <c r="V210" s="36"/>
      <c r="W210" s="36" t="s">
        <v>141</v>
      </c>
      <c r="X210" s="36"/>
      <c r="Y210" s="36" t="s">
        <v>141</v>
      </c>
      <c r="Z210" s="36"/>
      <c r="AA210" s="117"/>
      <c r="AB210" s="36" t="s">
        <v>141</v>
      </c>
      <c r="AC210" s="117"/>
      <c r="AD210" s="36" t="s">
        <v>141</v>
      </c>
      <c r="AE210" s="36"/>
      <c r="AF210" s="117" t="s">
        <v>141</v>
      </c>
      <c r="AG210" s="36"/>
      <c r="AH210" s="36" t="s">
        <v>141</v>
      </c>
      <c r="AI210" s="117"/>
      <c r="AJ210" s="36"/>
      <c r="AK210" s="36"/>
      <c r="AL210" s="36"/>
      <c r="AM210" s="117" t="s">
        <v>141</v>
      </c>
      <c r="AN210" s="117" t="s">
        <v>141</v>
      </c>
      <c r="AO210" s="117"/>
      <c r="AP210" s="117"/>
      <c r="AQ210" s="117"/>
      <c r="AR210" s="117"/>
      <c r="AS210" s="117"/>
      <c r="AT210" s="117"/>
      <c r="AU210" s="117"/>
      <c r="AV210" s="119">
        <f t="shared" si="3"/>
        <v>14</v>
      </c>
      <c r="AW210" s="119"/>
      <c r="AX210" s="119" t="s">
        <v>2142</v>
      </c>
    </row>
    <row r="211" spans="1:50">
      <c r="A211" t="s">
        <v>57</v>
      </c>
      <c r="B211" t="s">
        <v>57</v>
      </c>
      <c r="C211">
        <v>211</v>
      </c>
      <c r="D211" s="7">
        <v>45761</v>
      </c>
      <c r="E211" s="7" t="s">
        <v>2129</v>
      </c>
      <c r="F211" s="10" t="s">
        <v>2130</v>
      </c>
      <c r="G211" s="36" t="s">
        <v>141</v>
      </c>
      <c r="H211" s="36" t="s">
        <v>141</v>
      </c>
      <c r="I211" s="36" t="s">
        <v>2131</v>
      </c>
      <c r="J211" s="36" t="s">
        <v>141</v>
      </c>
      <c r="K211" s="36" t="s">
        <v>2131</v>
      </c>
      <c r="L211" s="36" t="s">
        <v>141</v>
      </c>
      <c r="M211" s="36" t="s">
        <v>141</v>
      </c>
      <c r="N211" s="36" t="s">
        <v>141</v>
      </c>
      <c r="O211" s="117" t="s">
        <v>141</v>
      </c>
      <c r="P211" s="36" t="s">
        <v>141</v>
      </c>
      <c r="Q211" s="36" t="s">
        <v>141</v>
      </c>
      <c r="R211" s="36" t="s">
        <v>2131</v>
      </c>
      <c r="S211" s="36" t="s">
        <v>141</v>
      </c>
      <c r="T211" s="36" t="s">
        <v>141</v>
      </c>
      <c r="U211" s="36" t="s">
        <v>141</v>
      </c>
      <c r="V211" s="36" t="s">
        <v>141</v>
      </c>
      <c r="W211" s="36" t="s">
        <v>2131</v>
      </c>
      <c r="X211" s="36" t="s">
        <v>141</v>
      </c>
      <c r="Y211" s="36" t="s">
        <v>141</v>
      </c>
      <c r="Z211" s="36" t="s">
        <v>141</v>
      </c>
      <c r="AA211" s="117" t="s">
        <v>2131</v>
      </c>
      <c r="AB211" s="36" t="s">
        <v>141</v>
      </c>
      <c r="AC211" s="117" t="s">
        <v>2131</v>
      </c>
      <c r="AD211" s="36" t="s">
        <v>141</v>
      </c>
      <c r="AE211" s="36" t="s">
        <v>141</v>
      </c>
      <c r="AF211" s="117" t="s">
        <v>2131</v>
      </c>
      <c r="AG211" s="36" t="s">
        <v>2131</v>
      </c>
      <c r="AH211" s="36" t="s">
        <v>141</v>
      </c>
      <c r="AI211" s="117" t="s">
        <v>141</v>
      </c>
      <c r="AJ211" s="36" t="s">
        <v>2131</v>
      </c>
      <c r="AK211" s="36" t="s">
        <v>141</v>
      </c>
      <c r="AL211" s="36" t="s">
        <v>141</v>
      </c>
      <c r="AM211" s="117" t="s">
        <v>141</v>
      </c>
      <c r="AN211" s="117" t="s">
        <v>141</v>
      </c>
      <c r="AO211" s="117" t="s">
        <v>141</v>
      </c>
      <c r="AP211" s="117"/>
      <c r="AQ211" s="117"/>
      <c r="AR211" s="117" t="s">
        <v>2131</v>
      </c>
      <c r="AS211" s="117"/>
      <c r="AT211" s="117"/>
      <c r="AU211" s="117"/>
      <c r="AV211" s="119">
        <f t="shared" si="3"/>
        <v>26</v>
      </c>
      <c r="AW211" s="119"/>
      <c r="AX211" s="119" t="s">
        <v>2142</v>
      </c>
    </row>
    <row r="212" spans="1:50">
      <c r="A212">
        <v>197</v>
      </c>
      <c r="B212">
        <v>754</v>
      </c>
      <c r="C212">
        <v>212</v>
      </c>
      <c r="D212" s="7">
        <v>45762</v>
      </c>
      <c r="E212" s="7" t="s">
        <v>1130</v>
      </c>
      <c r="F212" s="10" t="s">
        <v>1129</v>
      </c>
      <c r="G212" s="36" t="s">
        <v>141</v>
      </c>
      <c r="H212" s="36" t="s">
        <v>141</v>
      </c>
      <c r="I212" s="36" t="s">
        <v>141</v>
      </c>
      <c r="J212" s="36" t="s">
        <v>141</v>
      </c>
      <c r="K212" s="36"/>
      <c r="L212" s="36" t="s">
        <v>141</v>
      </c>
      <c r="M212" s="36" t="s">
        <v>141</v>
      </c>
      <c r="N212" s="36"/>
      <c r="O212" s="117" t="s">
        <v>141</v>
      </c>
      <c r="P212" s="36" t="s">
        <v>141</v>
      </c>
      <c r="Q212" s="36"/>
      <c r="R212" s="36"/>
      <c r="S212" s="36"/>
      <c r="T212" s="36" t="s">
        <v>141</v>
      </c>
      <c r="U212" s="36"/>
      <c r="V212" s="36"/>
      <c r="W212" s="36" t="s">
        <v>141</v>
      </c>
      <c r="X212" s="36"/>
      <c r="Y212" s="36" t="s">
        <v>141</v>
      </c>
      <c r="Z212" s="36"/>
      <c r="AA212" s="117" t="s">
        <v>141</v>
      </c>
      <c r="AB212" s="36" t="s">
        <v>141</v>
      </c>
      <c r="AC212" s="117"/>
      <c r="AD212" s="36"/>
      <c r="AE212" s="36"/>
      <c r="AF212" s="117"/>
      <c r="AG212" s="36"/>
      <c r="AH212" s="36" t="s">
        <v>141</v>
      </c>
      <c r="AI212" s="117" t="s">
        <v>141</v>
      </c>
      <c r="AJ212" s="36"/>
      <c r="AK212" s="36" t="s">
        <v>141</v>
      </c>
      <c r="AL212" s="36"/>
      <c r="AM212" s="117"/>
      <c r="AN212" s="117"/>
      <c r="AO212" s="117" t="s">
        <v>141</v>
      </c>
      <c r="AP212" s="117"/>
      <c r="AQ212" s="117"/>
      <c r="AR212" s="117"/>
      <c r="AS212" s="117"/>
      <c r="AT212" s="117"/>
      <c r="AU212" s="117"/>
      <c r="AV212" s="119">
        <f t="shared" si="3"/>
        <v>17</v>
      </c>
      <c r="AW212" s="119"/>
      <c r="AX212" s="119" t="s">
        <v>2142</v>
      </c>
    </row>
    <row r="213" spans="1:50">
      <c r="A213">
        <v>198</v>
      </c>
      <c r="B213">
        <v>755</v>
      </c>
      <c r="C213">
        <v>213</v>
      </c>
      <c r="D213" s="7">
        <v>45762</v>
      </c>
      <c r="E213" s="7" t="s">
        <v>1132</v>
      </c>
      <c r="F213" s="10" t="s">
        <v>1131</v>
      </c>
      <c r="G213" s="36"/>
      <c r="H213" s="36" t="s">
        <v>141</v>
      </c>
      <c r="I213" s="36" t="s">
        <v>141</v>
      </c>
      <c r="J213" s="36"/>
      <c r="K213" s="36"/>
      <c r="L213" s="36" t="s">
        <v>141</v>
      </c>
      <c r="M213" s="36"/>
      <c r="N213" s="36"/>
      <c r="O213" s="117" t="s">
        <v>141</v>
      </c>
      <c r="P213" s="36" t="s">
        <v>141</v>
      </c>
      <c r="Q213" s="36"/>
      <c r="R213" s="36"/>
      <c r="S213" s="36"/>
      <c r="T213" s="36"/>
      <c r="U213" s="36"/>
      <c r="V213" s="36"/>
      <c r="W213" s="36"/>
      <c r="X213" s="36"/>
      <c r="Y213" s="36" t="s">
        <v>141</v>
      </c>
      <c r="Z213" s="36"/>
      <c r="AA213" s="117"/>
      <c r="AB213" s="36"/>
      <c r="AC213" s="117"/>
      <c r="AD213" s="36" t="s">
        <v>141</v>
      </c>
      <c r="AE213" s="36"/>
      <c r="AF213" s="117"/>
      <c r="AG213" s="36"/>
      <c r="AH213" s="36"/>
      <c r="AI213" s="117"/>
      <c r="AJ213" s="36"/>
      <c r="AK213" s="36"/>
      <c r="AL213" s="36"/>
      <c r="AM213" s="117"/>
      <c r="AN213" s="117"/>
      <c r="AO213" s="117"/>
      <c r="AP213" s="117"/>
      <c r="AQ213" s="117"/>
      <c r="AR213" s="117" t="s">
        <v>141</v>
      </c>
      <c r="AS213" s="117"/>
      <c r="AT213" s="117"/>
      <c r="AU213" s="117"/>
      <c r="AV213" s="119">
        <f t="shared" si="3"/>
        <v>8</v>
      </c>
      <c r="AW213" s="119"/>
      <c r="AX213" s="119" t="s">
        <v>2142</v>
      </c>
    </row>
    <row r="214" spans="1:50">
      <c r="A214">
        <v>199</v>
      </c>
      <c r="B214">
        <v>756</v>
      </c>
      <c r="C214">
        <v>214</v>
      </c>
      <c r="D214" s="7">
        <v>45763</v>
      </c>
      <c r="E214" s="7" t="s">
        <v>1136</v>
      </c>
      <c r="F214" s="10" t="s">
        <v>1134</v>
      </c>
      <c r="G214" s="36"/>
      <c r="H214" s="36" t="s">
        <v>141</v>
      </c>
      <c r="I214" s="36"/>
      <c r="J214" s="36"/>
      <c r="K214" s="36"/>
      <c r="L214" s="36"/>
      <c r="M214" s="36" t="s">
        <v>141</v>
      </c>
      <c r="N214" s="36" t="s">
        <v>141</v>
      </c>
      <c r="O214" s="117"/>
      <c r="P214" s="36" t="s">
        <v>141</v>
      </c>
      <c r="Q214" s="36"/>
      <c r="R214" s="36"/>
      <c r="S214" s="36" t="s">
        <v>141</v>
      </c>
      <c r="T214" s="36" t="s">
        <v>141</v>
      </c>
      <c r="U214" s="36"/>
      <c r="V214" s="36"/>
      <c r="W214" s="36" t="s">
        <v>141</v>
      </c>
      <c r="X214" s="36"/>
      <c r="Y214" s="36" t="s">
        <v>141</v>
      </c>
      <c r="Z214" s="36"/>
      <c r="AA214" s="117"/>
      <c r="AB214" s="36" t="s">
        <v>141</v>
      </c>
      <c r="AC214" s="117"/>
      <c r="AD214" s="36"/>
      <c r="AE214" s="36" t="s">
        <v>141</v>
      </c>
      <c r="AF214" s="117" t="s">
        <v>141</v>
      </c>
      <c r="AG214" s="36"/>
      <c r="AH214" s="36"/>
      <c r="AI214" s="117" t="s">
        <v>141</v>
      </c>
      <c r="AJ214" s="36"/>
      <c r="AK214" s="36" t="s">
        <v>141</v>
      </c>
      <c r="AL214" s="36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9">
        <f t="shared" si="3"/>
        <v>13</v>
      </c>
      <c r="AW214" s="119"/>
      <c r="AX214" s="119" t="s">
        <v>2142</v>
      </c>
    </row>
    <row r="215" spans="1:50">
      <c r="A215">
        <v>200</v>
      </c>
      <c r="B215">
        <v>757</v>
      </c>
      <c r="C215">
        <v>215</v>
      </c>
      <c r="D215" s="7">
        <v>45763</v>
      </c>
      <c r="E215" s="7" t="s">
        <v>1139</v>
      </c>
      <c r="F215" s="10" t="s">
        <v>1138</v>
      </c>
      <c r="G215" s="36"/>
      <c r="H215" s="36" t="s">
        <v>141</v>
      </c>
      <c r="I215" s="36" t="s">
        <v>141</v>
      </c>
      <c r="J215" s="36"/>
      <c r="K215" s="36"/>
      <c r="L215" s="36"/>
      <c r="M215" s="36" t="s">
        <v>141</v>
      </c>
      <c r="N215" s="36" t="s">
        <v>141</v>
      </c>
      <c r="O215" s="117"/>
      <c r="P215" s="36" t="s">
        <v>141</v>
      </c>
      <c r="Q215" s="36"/>
      <c r="R215" s="36"/>
      <c r="S215" s="36" t="s">
        <v>141</v>
      </c>
      <c r="T215" s="36" t="s">
        <v>141</v>
      </c>
      <c r="U215" s="36"/>
      <c r="V215" s="36"/>
      <c r="W215" s="36" t="s">
        <v>141</v>
      </c>
      <c r="X215" s="36"/>
      <c r="Y215" s="36" t="s">
        <v>141</v>
      </c>
      <c r="Z215" s="36"/>
      <c r="AA215" s="117"/>
      <c r="AB215" s="36" t="s">
        <v>141</v>
      </c>
      <c r="AC215" s="117"/>
      <c r="AD215" s="36"/>
      <c r="AE215" s="36" t="s">
        <v>141</v>
      </c>
      <c r="AF215" s="117" t="s">
        <v>141</v>
      </c>
      <c r="AG215" s="36"/>
      <c r="AH215" s="36"/>
      <c r="AI215" s="117" t="s">
        <v>141</v>
      </c>
      <c r="AJ215" s="36"/>
      <c r="AK215" s="36" t="s">
        <v>141</v>
      </c>
      <c r="AL215" s="36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9">
        <f t="shared" si="3"/>
        <v>14</v>
      </c>
      <c r="AW215" s="119"/>
      <c r="AX215" s="119" t="s">
        <v>2142</v>
      </c>
    </row>
    <row r="216" spans="1:50">
      <c r="A216">
        <v>201</v>
      </c>
      <c r="B216">
        <v>758</v>
      </c>
      <c r="C216">
        <v>216</v>
      </c>
      <c r="D216" s="7">
        <v>45763</v>
      </c>
      <c r="E216" s="7" t="s">
        <v>1141</v>
      </c>
      <c r="F216" s="10" t="s">
        <v>1140</v>
      </c>
      <c r="G216" s="36" t="s">
        <v>141</v>
      </c>
      <c r="H216" s="36" t="s">
        <v>141</v>
      </c>
      <c r="I216" s="36" t="s">
        <v>141</v>
      </c>
      <c r="J216" s="36"/>
      <c r="K216" s="36"/>
      <c r="L216" s="36"/>
      <c r="M216" s="36" t="s">
        <v>141</v>
      </c>
      <c r="N216" s="36" t="s">
        <v>141</v>
      </c>
      <c r="O216" s="117"/>
      <c r="P216" s="36" t="s">
        <v>141</v>
      </c>
      <c r="Q216" s="36"/>
      <c r="R216" s="36"/>
      <c r="S216" s="36" t="s">
        <v>141</v>
      </c>
      <c r="T216" s="36" t="s">
        <v>141</v>
      </c>
      <c r="U216" s="36"/>
      <c r="V216" s="36"/>
      <c r="W216" s="36" t="s">
        <v>141</v>
      </c>
      <c r="X216" s="36"/>
      <c r="Y216" s="36"/>
      <c r="Z216" s="36"/>
      <c r="AA216" s="117"/>
      <c r="AB216" s="36"/>
      <c r="AC216" s="117"/>
      <c r="AD216" s="36"/>
      <c r="AE216" s="36"/>
      <c r="AF216" s="117"/>
      <c r="AG216" s="36"/>
      <c r="AH216" s="36"/>
      <c r="AI216" s="117"/>
      <c r="AJ216" s="36"/>
      <c r="AK216" s="36"/>
      <c r="AL216" s="36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9">
        <f t="shared" si="3"/>
        <v>9</v>
      </c>
      <c r="AW216" s="119"/>
      <c r="AX216" s="119" t="s">
        <v>2142</v>
      </c>
    </row>
    <row r="217" spans="1:50">
      <c r="A217">
        <v>202</v>
      </c>
      <c r="B217">
        <v>759</v>
      </c>
      <c r="C217">
        <v>217</v>
      </c>
      <c r="D217" s="7">
        <v>45763</v>
      </c>
      <c r="E217" s="7" t="s">
        <v>1143</v>
      </c>
      <c r="F217" s="10" t="s">
        <v>1142</v>
      </c>
      <c r="G217" s="36" t="s">
        <v>141</v>
      </c>
      <c r="H217" s="36" t="s">
        <v>141</v>
      </c>
      <c r="I217" s="36" t="s">
        <v>141</v>
      </c>
      <c r="J217" s="36"/>
      <c r="K217" s="36"/>
      <c r="L217" s="36"/>
      <c r="M217" s="36" t="s">
        <v>141</v>
      </c>
      <c r="N217" s="36" t="s">
        <v>141</v>
      </c>
      <c r="O217" s="117"/>
      <c r="P217" s="36" t="s">
        <v>141</v>
      </c>
      <c r="Q217" s="36" t="s">
        <v>141</v>
      </c>
      <c r="R217" s="36"/>
      <c r="S217" s="36" t="s">
        <v>141</v>
      </c>
      <c r="T217" s="36" t="s">
        <v>141</v>
      </c>
      <c r="U217" s="36"/>
      <c r="V217" s="36"/>
      <c r="W217" s="36" t="s">
        <v>141</v>
      </c>
      <c r="X217" s="36"/>
      <c r="Y217" s="36" t="s">
        <v>141</v>
      </c>
      <c r="Z217" s="36"/>
      <c r="AA217" s="117" t="s">
        <v>141</v>
      </c>
      <c r="AB217" s="36"/>
      <c r="AC217" s="117"/>
      <c r="AD217" s="36"/>
      <c r="AE217" s="36"/>
      <c r="AF217" s="117"/>
      <c r="AG217" s="36"/>
      <c r="AH217" s="36"/>
      <c r="AI217" s="117"/>
      <c r="AJ217" s="36"/>
      <c r="AK217" s="36" t="s">
        <v>141</v>
      </c>
      <c r="AL217" s="36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9">
        <f t="shared" si="3"/>
        <v>13</v>
      </c>
      <c r="AW217" s="119"/>
      <c r="AX217" s="119" t="s">
        <v>2142</v>
      </c>
    </row>
    <row r="218" spans="1:50">
      <c r="A218">
        <v>203</v>
      </c>
      <c r="B218">
        <v>760</v>
      </c>
      <c r="C218">
        <v>218</v>
      </c>
      <c r="D218" s="7">
        <v>45766</v>
      </c>
      <c r="E218" s="7" t="s">
        <v>1146</v>
      </c>
      <c r="F218" s="10" t="s">
        <v>1145</v>
      </c>
      <c r="G218" s="36" t="s">
        <v>141</v>
      </c>
      <c r="H218" s="36" t="s">
        <v>141</v>
      </c>
      <c r="I218" s="36" t="s">
        <v>141</v>
      </c>
      <c r="J218" s="36"/>
      <c r="K218" s="36"/>
      <c r="L218" s="36"/>
      <c r="M218" s="36"/>
      <c r="N218" s="36"/>
      <c r="O218" s="117"/>
      <c r="P218" s="36"/>
      <c r="Q218" s="36" t="s">
        <v>141</v>
      </c>
      <c r="R218" s="36"/>
      <c r="S218" s="36"/>
      <c r="T218" s="36" t="s">
        <v>141</v>
      </c>
      <c r="U218" s="36"/>
      <c r="V218" s="36"/>
      <c r="W218" s="36"/>
      <c r="X218" s="36" t="s">
        <v>141</v>
      </c>
      <c r="Y218" s="36"/>
      <c r="Z218" s="36"/>
      <c r="AA218" s="117" t="s">
        <v>141</v>
      </c>
      <c r="AB218" s="36" t="s">
        <v>141</v>
      </c>
      <c r="AC218" s="117"/>
      <c r="AD218" s="36"/>
      <c r="AE218" s="36" t="s">
        <v>141</v>
      </c>
      <c r="AF218" s="117" t="s">
        <v>141</v>
      </c>
      <c r="AG218" s="36"/>
      <c r="AH218" s="36"/>
      <c r="AI218" s="117"/>
      <c r="AJ218" s="36"/>
      <c r="AK218" s="36"/>
      <c r="AL218" s="36"/>
      <c r="AM218" s="117" t="s">
        <v>141</v>
      </c>
      <c r="AN218" s="117" t="s">
        <v>141</v>
      </c>
      <c r="AO218" s="117" t="s">
        <v>141</v>
      </c>
      <c r="AP218" s="117"/>
      <c r="AQ218" s="117"/>
      <c r="AR218" s="117"/>
      <c r="AS218" s="117"/>
      <c r="AT218" s="117"/>
      <c r="AU218" s="117"/>
      <c r="AV218" s="119">
        <f t="shared" si="3"/>
        <v>13</v>
      </c>
      <c r="AW218" s="119"/>
      <c r="AX218" s="119" t="s">
        <v>2142</v>
      </c>
    </row>
    <row r="219" spans="1:50">
      <c r="A219">
        <v>204</v>
      </c>
      <c r="B219">
        <v>761</v>
      </c>
      <c r="C219">
        <v>219</v>
      </c>
      <c r="D219" s="7">
        <v>45767</v>
      </c>
      <c r="E219" s="7" t="s">
        <v>1148</v>
      </c>
      <c r="F219" s="10" t="s">
        <v>1147</v>
      </c>
      <c r="G219" s="36" t="s">
        <v>141</v>
      </c>
      <c r="H219" s="36" t="s">
        <v>141</v>
      </c>
      <c r="I219" s="36" t="s">
        <v>141</v>
      </c>
      <c r="J219" s="36" t="s">
        <v>141</v>
      </c>
      <c r="K219" s="36"/>
      <c r="L219" s="36" t="s">
        <v>141</v>
      </c>
      <c r="M219" s="36"/>
      <c r="N219" s="36" t="s">
        <v>141</v>
      </c>
      <c r="O219" s="117"/>
      <c r="P219" s="36"/>
      <c r="Q219" s="36"/>
      <c r="R219" s="36"/>
      <c r="S219" s="36"/>
      <c r="T219" s="36" t="s">
        <v>141</v>
      </c>
      <c r="U219" s="36"/>
      <c r="V219" s="36"/>
      <c r="W219" s="36"/>
      <c r="X219" s="36" t="s">
        <v>141</v>
      </c>
      <c r="Y219" s="36"/>
      <c r="Z219" s="36"/>
      <c r="AA219" s="117"/>
      <c r="AB219" s="36"/>
      <c r="AC219" s="117" t="s">
        <v>141</v>
      </c>
      <c r="AD219" s="36" t="s">
        <v>141</v>
      </c>
      <c r="AE219" s="36"/>
      <c r="AF219" s="117" t="s">
        <v>141</v>
      </c>
      <c r="AG219" s="36" t="s">
        <v>141</v>
      </c>
      <c r="AH219" s="36"/>
      <c r="AI219" s="117"/>
      <c r="AJ219" s="36"/>
      <c r="AK219" s="36" t="s">
        <v>141</v>
      </c>
      <c r="AL219" s="36"/>
      <c r="AM219" s="117" t="s">
        <v>141</v>
      </c>
      <c r="AN219" s="117" t="s">
        <v>141</v>
      </c>
      <c r="AO219" s="117"/>
      <c r="AP219" s="117"/>
      <c r="AQ219" s="117"/>
      <c r="AR219" s="117" t="s">
        <v>141</v>
      </c>
      <c r="AS219" s="117"/>
      <c r="AT219" s="117"/>
      <c r="AU219" s="117"/>
      <c r="AV219" s="119">
        <f t="shared" si="3"/>
        <v>16</v>
      </c>
      <c r="AW219" s="119"/>
      <c r="AX219" s="119" t="s">
        <v>2142</v>
      </c>
    </row>
    <row r="220" spans="1:50">
      <c r="A220">
        <v>205</v>
      </c>
      <c r="B220">
        <v>762</v>
      </c>
      <c r="C220">
        <v>220</v>
      </c>
      <c r="D220" s="7">
        <v>45768</v>
      </c>
      <c r="E220" s="7" t="s">
        <v>1150</v>
      </c>
      <c r="F220" s="10" t="s">
        <v>1149</v>
      </c>
      <c r="G220" s="36"/>
      <c r="H220" s="36"/>
      <c r="I220" s="36" t="s">
        <v>141</v>
      </c>
      <c r="J220" s="36" t="s">
        <v>141</v>
      </c>
      <c r="K220" s="36"/>
      <c r="L220" s="36" t="s">
        <v>141</v>
      </c>
      <c r="M220" s="36"/>
      <c r="N220" s="36"/>
      <c r="O220" s="117"/>
      <c r="P220" s="36"/>
      <c r="Q220" s="36"/>
      <c r="R220" s="36" t="s">
        <v>141</v>
      </c>
      <c r="S220" s="36"/>
      <c r="T220" s="36" t="s">
        <v>141</v>
      </c>
      <c r="U220" s="36"/>
      <c r="V220" s="36"/>
      <c r="W220" s="36"/>
      <c r="X220" s="36"/>
      <c r="Y220" s="36"/>
      <c r="Z220" s="36"/>
      <c r="AA220" s="117"/>
      <c r="AB220" s="36" t="s">
        <v>141</v>
      </c>
      <c r="AC220" s="117" t="s">
        <v>141</v>
      </c>
      <c r="AD220" s="36"/>
      <c r="AE220" s="36"/>
      <c r="AF220" s="117"/>
      <c r="AG220" s="36"/>
      <c r="AH220" s="36"/>
      <c r="AI220" s="117" t="s">
        <v>141</v>
      </c>
      <c r="AJ220" s="36"/>
      <c r="AK220" s="36"/>
      <c r="AL220" s="36"/>
      <c r="AM220" s="117" t="s">
        <v>141</v>
      </c>
      <c r="AN220" s="117" t="s">
        <v>141</v>
      </c>
      <c r="AO220" s="117"/>
      <c r="AP220" s="117"/>
      <c r="AQ220" s="117"/>
      <c r="AR220" s="117"/>
      <c r="AS220" s="117"/>
      <c r="AT220" s="117"/>
      <c r="AU220" s="117"/>
      <c r="AV220" s="119">
        <f t="shared" si="3"/>
        <v>10</v>
      </c>
      <c r="AW220" s="119"/>
      <c r="AX220" s="119" t="s">
        <v>2142</v>
      </c>
    </row>
    <row r="221" spans="1:50">
      <c r="A221" t="s">
        <v>57</v>
      </c>
      <c r="B221" t="s">
        <v>57</v>
      </c>
      <c r="C221">
        <v>221</v>
      </c>
      <c r="D221" s="7">
        <v>45769</v>
      </c>
      <c r="E221" s="7" t="s">
        <v>2129</v>
      </c>
      <c r="F221" s="10" t="s">
        <v>2130</v>
      </c>
      <c r="G221" s="36" t="s">
        <v>141</v>
      </c>
      <c r="H221" s="36" t="s">
        <v>2131</v>
      </c>
      <c r="I221" s="36" t="s">
        <v>141</v>
      </c>
      <c r="J221" s="36" t="s">
        <v>141</v>
      </c>
      <c r="K221" s="36" t="s">
        <v>141</v>
      </c>
      <c r="L221" s="36" t="s">
        <v>141</v>
      </c>
      <c r="M221" s="36" t="s">
        <v>141</v>
      </c>
      <c r="N221" s="36" t="s">
        <v>141</v>
      </c>
      <c r="O221" s="117" t="s">
        <v>2131</v>
      </c>
      <c r="P221" s="36" t="s">
        <v>141</v>
      </c>
      <c r="Q221" s="36" t="s">
        <v>2131</v>
      </c>
      <c r="R221" s="36"/>
      <c r="S221" s="36" t="s">
        <v>2131</v>
      </c>
      <c r="T221" s="36" t="s">
        <v>141</v>
      </c>
      <c r="U221" s="36" t="s">
        <v>2131</v>
      </c>
      <c r="V221" s="36" t="s">
        <v>2131</v>
      </c>
      <c r="W221" s="36" t="s">
        <v>2131</v>
      </c>
      <c r="X221" s="36" t="s">
        <v>2131</v>
      </c>
      <c r="Y221" s="36" t="s">
        <v>2131</v>
      </c>
      <c r="Z221" s="36" t="s">
        <v>2131</v>
      </c>
      <c r="AA221" s="117" t="s">
        <v>2131</v>
      </c>
      <c r="AB221" s="36" t="s">
        <v>141</v>
      </c>
      <c r="AC221" s="117" t="s">
        <v>2131</v>
      </c>
      <c r="AD221" s="36" t="s">
        <v>2131</v>
      </c>
      <c r="AE221" s="36" t="s">
        <v>2131</v>
      </c>
      <c r="AF221" s="117" t="s">
        <v>141</v>
      </c>
      <c r="AG221" s="36"/>
      <c r="AH221" s="36" t="s">
        <v>141</v>
      </c>
      <c r="AI221" s="117" t="s">
        <v>141</v>
      </c>
      <c r="AJ221" s="36" t="s">
        <v>2131</v>
      </c>
      <c r="AK221" s="36" t="s">
        <v>141</v>
      </c>
      <c r="AL221" s="36" t="s">
        <v>141</v>
      </c>
      <c r="AM221" s="117" t="s">
        <v>141</v>
      </c>
      <c r="AN221" s="117" t="s">
        <v>141</v>
      </c>
      <c r="AO221" s="117" t="s">
        <v>141</v>
      </c>
      <c r="AP221" s="117"/>
      <c r="AQ221" s="117"/>
      <c r="AR221" s="117" t="s">
        <v>2131</v>
      </c>
      <c r="AS221" s="117" t="s">
        <v>2131</v>
      </c>
      <c r="AT221" s="117"/>
      <c r="AU221" s="117"/>
      <c r="AV221" s="119">
        <f t="shared" si="3"/>
        <v>18</v>
      </c>
      <c r="AW221" s="119"/>
      <c r="AX221" s="119" t="s">
        <v>2142</v>
      </c>
    </row>
    <row r="222" spans="1:50">
      <c r="A222">
        <v>206</v>
      </c>
      <c r="B222">
        <v>763</v>
      </c>
      <c r="C222">
        <v>222</v>
      </c>
      <c r="D222" s="7">
        <v>45769</v>
      </c>
      <c r="E222" s="7" t="s">
        <v>1152</v>
      </c>
      <c r="F222" s="10" t="s">
        <v>1151</v>
      </c>
      <c r="G222" s="36" t="s">
        <v>141</v>
      </c>
      <c r="H222" s="36"/>
      <c r="I222" s="36" t="s">
        <v>141</v>
      </c>
      <c r="J222" s="36" t="s">
        <v>141</v>
      </c>
      <c r="K222" s="36" t="s">
        <v>141</v>
      </c>
      <c r="L222" s="36" t="s">
        <v>141</v>
      </c>
      <c r="M222" s="36" t="s">
        <v>141</v>
      </c>
      <c r="N222" s="36" t="s">
        <v>141</v>
      </c>
      <c r="O222" s="117"/>
      <c r="P222" s="36" t="s">
        <v>141</v>
      </c>
      <c r="Q222" s="36"/>
      <c r="R222" s="36"/>
      <c r="S222" s="36"/>
      <c r="T222" s="36" t="s">
        <v>141</v>
      </c>
      <c r="U222" s="36"/>
      <c r="V222" s="36"/>
      <c r="W222" s="36"/>
      <c r="X222" s="36"/>
      <c r="Y222" s="36"/>
      <c r="Z222" s="36"/>
      <c r="AA222" s="117"/>
      <c r="AB222" s="36" t="s">
        <v>141</v>
      </c>
      <c r="AC222" s="117"/>
      <c r="AD222" s="36"/>
      <c r="AE222" s="36"/>
      <c r="AF222" s="117" t="s">
        <v>141</v>
      </c>
      <c r="AG222" s="36"/>
      <c r="AH222" s="36" t="s">
        <v>141</v>
      </c>
      <c r="AI222" s="117" t="s">
        <v>141</v>
      </c>
      <c r="AJ222" s="36" t="s">
        <v>141</v>
      </c>
      <c r="AK222" s="36" t="s">
        <v>141</v>
      </c>
      <c r="AL222" s="36" t="s">
        <v>141</v>
      </c>
      <c r="AM222" s="117" t="s">
        <v>141</v>
      </c>
      <c r="AN222" s="117" t="s">
        <v>141</v>
      </c>
      <c r="AO222" s="117" t="s">
        <v>141</v>
      </c>
      <c r="AP222" s="117"/>
      <c r="AQ222" s="117"/>
      <c r="AR222" s="117"/>
      <c r="AS222" s="117"/>
      <c r="AT222" s="117"/>
      <c r="AU222" s="117"/>
      <c r="AV222" s="119">
        <f t="shared" si="3"/>
        <v>19</v>
      </c>
      <c r="AW222" s="119"/>
      <c r="AX222" s="119" t="s">
        <v>2142</v>
      </c>
    </row>
    <row r="223" spans="1:50">
      <c r="A223">
        <v>207</v>
      </c>
      <c r="B223">
        <v>764</v>
      </c>
      <c r="C223">
        <v>223</v>
      </c>
      <c r="D223" s="7">
        <v>45773</v>
      </c>
      <c r="E223" s="7" t="s">
        <v>1154</v>
      </c>
      <c r="F223" s="10" t="s">
        <v>1153</v>
      </c>
      <c r="G223" s="36" t="s">
        <v>141</v>
      </c>
      <c r="H223" s="36"/>
      <c r="I223" s="36"/>
      <c r="J223" s="36" t="s">
        <v>141</v>
      </c>
      <c r="K223" s="36"/>
      <c r="L223" s="36" t="s">
        <v>141</v>
      </c>
      <c r="M223" s="36"/>
      <c r="N223" s="36"/>
      <c r="O223" s="117" t="s">
        <v>141</v>
      </c>
      <c r="P223" s="36" t="s">
        <v>141</v>
      </c>
      <c r="Q223" s="36"/>
      <c r="R223" s="36"/>
      <c r="S223" s="36"/>
      <c r="T223" s="36" t="s">
        <v>141</v>
      </c>
      <c r="U223" s="36" t="s">
        <v>141</v>
      </c>
      <c r="V223" s="36"/>
      <c r="W223" s="36"/>
      <c r="X223" s="36"/>
      <c r="Y223" s="36" t="s">
        <v>141</v>
      </c>
      <c r="Z223" s="36"/>
      <c r="AA223" s="117" t="s">
        <v>141</v>
      </c>
      <c r="AB223" s="36" t="s">
        <v>141</v>
      </c>
      <c r="AC223" s="117"/>
      <c r="AD223" s="36"/>
      <c r="AE223" s="36"/>
      <c r="AF223" s="117"/>
      <c r="AG223" s="36"/>
      <c r="AH223" s="36"/>
      <c r="AI223" s="117"/>
      <c r="AJ223" s="36"/>
      <c r="AK223" s="36"/>
      <c r="AL223" s="36"/>
      <c r="AM223" s="117"/>
      <c r="AN223" s="117"/>
      <c r="AO223" s="117"/>
      <c r="AP223" s="117"/>
      <c r="AQ223" s="117"/>
      <c r="AR223" s="117"/>
      <c r="AS223" s="117"/>
      <c r="AT223" s="117"/>
      <c r="AU223" s="117"/>
      <c r="AV223" s="119">
        <f t="shared" si="3"/>
        <v>10</v>
      </c>
      <c r="AW223" s="119"/>
      <c r="AX223" s="119" t="s">
        <v>2142</v>
      </c>
    </row>
    <row r="224" spans="1:50">
      <c r="A224">
        <v>208</v>
      </c>
      <c r="B224">
        <v>765</v>
      </c>
      <c r="C224">
        <v>224</v>
      </c>
      <c r="D224" s="7">
        <v>45773</v>
      </c>
      <c r="E224" s="7" t="s">
        <v>1156</v>
      </c>
      <c r="F224" s="10" t="s">
        <v>1155</v>
      </c>
      <c r="G224" s="36" t="s">
        <v>141</v>
      </c>
      <c r="H224" s="36" t="s">
        <v>141</v>
      </c>
      <c r="I224" s="36"/>
      <c r="J224" s="36" t="s">
        <v>141</v>
      </c>
      <c r="K224" s="36"/>
      <c r="L224" s="36" t="s">
        <v>141</v>
      </c>
      <c r="M224" s="36"/>
      <c r="N224" s="36"/>
      <c r="O224" s="117" t="s">
        <v>141</v>
      </c>
      <c r="P224" s="36" t="s">
        <v>141</v>
      </c>
      <c r="Q224" s="36"/>
      <c r="R224" s="36"/>
      <c r="S224" s="36" t="s">
        <v>141</v>
      </c>
      <c r="T224" s="36"/>
      <c r="U224" s="36" t="s">
        <v>141</v>
      </c>
      <c r="V224" s="36"/>
      <c r="W224" s="36"/>
      <c r="X224" s="36"/>
      <c r="Y224" s="36" t="s">
        <v>141</v>
      </c>
      <c r="Z224" s="36"/>
      <c r="AA224" s="117"/>
      <c r="AB224" s="36"/>
      <c r="AC224" s="117"/>
      <c r="AD224" s="36"/>
      <c r="AE224" s="36"/>
      <c r="AF224" s="117"/>
      <c r="AG224" s="36"/>
      <c r="AH224" s="36"/>
      <c r="AI224" s="117"/>
      <c r="AJ224" s="36"/>
      <c r="AK224" s="36"/>
      <c r="AL224" s="36"/>
      <c r="AM224" s="117"/>
      <c r="AN224" s="117"/>
      <c r="AO224" s="117"/>
      <c r="AP224" s="117"/>
      <c r="AQ224" s="117"/>
      <c r="AR224" s="117"/>
      <c r="AS224" s="117"/>
      <c r="AT224" s="117"/>
      <c r="AU224" s="117"/>
      <c r="AV224" s="119">
        <f t="shared" si="3"/>
        <v>9</v>
      </c>
      <c r="AW224" s="119"/>
      <c r="AX224" s="119" t="s">
        <v>2142</v>
      </c>
    </row>
    <row r="225" spans="1:50">
      <c r="A225">
        <v>209</v>
      </c>
      <c r="B225">
        <v>766</v>
      </c>
      <c r="C225">
        <v>225</v>
      </c>
      <c r="D225" s="7">
        <v>45773</v>
      </c>
      <c r="E225" s="7" t="s">
        <v>1158</v>
      </c>
      <c r="F225" s="10" t="s">
        <v>1157</v>
      </c>
      <c r="G225" s="36"/>
      <c r="H225" s="36" t="s">
        <v>141</v>
      </c>
      <c r="I225" s="36"/>
      <c r="J225" s="36" t="s">
        <v>141</v>
      </c>
      <c r="K225" s="36"/>
      <c r="L225" s="36" t="s">
        <v>141</v>
      </c>
      <c r="M225" s="36"/>
      <c r="N225" s="36"/>
      <c r="O225" s="117" t="s">
        <v>141</v>
      </c>
      <c r="P225" s="36" t="s">
        <v>141</v>
      </c>
      <c r="Q225" s="36"/>
      <c r="R225" s="36"/>
      <c r="S225" s="36" t="s">
        <v>141</v>
      </c>
      <c r="T225" s="36"/>
      <c r="U225" s="36"/>
      <c r="V225" s="36"/>
      <c r="W225" s="36"/>
      <c r="X225" s="36"/>
      <c r="Y225" s="36"/>
      <c r="Z225" s="36"/>
      <c r="AA225" s="117"/>
      <c r="AB225" s="36"/>
      <c r="AC225" s="117"/>
      <c r="AD225" s="36"/>
      <c r="AE225" s="36"/>
      <c r="AF225" s="117"/>
      <c r="AG225" s="36"/>
      <c r="AH225" s="36"/>
      <c r="AI225" s="117"/>
      <c r="AJ225" s="36"/>
      <c r="AK225" s="36"/>
      <c r="AL225" s="36"/>
      <c r="AM225" s="117"/>
      <c r="AN225" s="117"/>
      <c r="AO225" s="117"/>
      <c r="AP225" s="117"/>
      <c r="AQ225" s="117"/>
      <c r="AR225" s="117"/>
      <c r="AS225" s="117"/>
      <c r="AT225" s="117"/>
      <c r="AU225" s="117"/>
      <c r="AV225" s="119">
        <f t="shared" si="3"/>
        <v>6</v>
      </c>
      <c r="AW225" s="119"/>
      <c r="AX225" s="119" t="s">
        <v>2142</v>
      </c>
    </row>
    <row r="226" spans="1:50">
      <c r="A226">
        <v>210</v>
      </c>
      <c r="B226">
        <v>767</v>
      </c>
      <c r="C226">
        <v>226</v>
      </c>
      <c r="D226" s="7">
        <v>45773</v>
      </c>
      <c r="E226" s="7" t="s">
        <v>1160</v>
      </c>
      <c r="F226" s="10" t="s">
        <v>1159</v>
      </c>
      <c r="G226" s="36" t="s">
        <v>141</v>
      </c>
      <c r="H226" s="36"/>
      <c r="I226" s="36"/>
      <c r="J226" s="36"/>
      <c r="K226" s="36"/>
      <c r="L226" s="36"/>
      <c r="M226" s="36"/>
      <c r="N226" s="36"/>
      <c r="O226" s="117"/>
      <c r="P226" s="36" t="s">
        <v>141</v>
      </c>
      <c r="Q226" s="36"/>
      <c r="R226" s="36" t="s">
        <v>141</v>
      </c>
      <c r="S226" s="36" t="s">
        <v>141</v>
      </c>
      <c r="T226" s="36"/>
      <c r="U226" s="36" t="s">
        <v>141</v>
      </c>
      <c r="V226" s="36"/>
      <c r="W226" s="36"/>
      <c r="X226" s="36"/>
      <c r="Y226" s="36" t="s">
        <v>141</v>
      </c>
      <c r="Z226" s="36"/>
      <c r="AA226" s="117" t="s">
        <v>141</v>
      </c>
      <c r="AB226" s="36"/>
      <c r="AC226" s="117" t="s">
        <v>141</v>
      </c>
      <c r="AD226" s="36" t="s">
        <v>141</v>
      </c>
      <c r="AE226" s="36"/>
      <c r="AF226" s="117"/>
      <c r="AG226" s="36" t="s">
        <v>141</v>
      </c>
      <c r="AH226" s="36"/>
      <c r="AI226" s="117"/>
      <c r="AJ226" s="36"/>
      <c r="AK226" s="36"/>
      <c r="AL226" s="36"/>
      <c r="AM226" s="117"/>
      <c r="AN226" s="117"/>
      <c r="AO226" s="117"/>
      <c r="AP226" s="117"/>
      <c r="AQ226" s="117"/>
      <c r="AR226" s="117" t="s">
        <v>141</v>
      </c>
      <c r="AS226" s="117"/>
      <c r="AT226" s="117"/>
      <c r="AU226" s="117"/>
      <c r="AV226" s="119">
        <f t="shared" si="3"/>
        <v>11</v>
      </c>
      <c r="AW226" s="119"/>
      <c r="AX226" s="119" t="s">
        <v>2142</v>
      </c>
    </row>
    <row r="227" spans="1:50">
      <c r="A227">
        <v>211</v>
      </c>
      <c r="B227">
        <v>768</v>
      </c>
      <c r="C227">
        <v>227</v>
      </c>
      <c r="D227" s="7">
        <v>45774</v>
      </c>
      <c r="E227" s="7" t="s">
        <v>1163</v>
      </c>
      <c r="F227" s="10" t="s">
        <v>1162</v>
      </c>
      <c r="G227" s="36" t="s">
        <v>141</v>
      </c>
      <c r="H227" s="36"/>
      <c r="I227" s="36"/>
      <c r="J227" s="36"/>
      <c r="K227" s="36"/>
      <c r="L227" s="36" t="s">
        <v>141</v>
      </c>
      <c r="M227" s="36"/>
      <c r="N227" s="36"/>
      <c r="O227" s="117"/>
      <c r="P227" s="36" t="s">
        <v>141</v>
      </c>
      <c r="Q227" s="36" t="s">
        <v>141</v>
      </c>
      <c r="R227" s="36"/>
      <c r="S227" s="36" t="s">
        <v>141</v>
      </c>
      <c r="T227" s="36"/>
      <c r="U227" s="36" t="s">
        <v>141</v>
      </c>
      <c r="V227" s="36"/>
      <c r="W227" s="36"/>
      <c r="X227" s="36"/>
      <c r="Y227" s="36" t="s">
        <v>141</v>
      </c>
      <c r="Z227" s="36"/>
      <c r="AA227" s="117" t="s">
        <v>141</v>
      </c>
      <c r="AB227" s="36" t="s">
        <v>141</v>
      </c>
      <c r="AC227" s="117"/>
      <c r="AD227" s="36" t="s">
        <v>141</v>
      </c>
      <c r="AE227" s="36"/>
      <c r="AF227" s="117"/>
      <c r="AG227" s="36" t="s">
        <v>141</v>
      </c>
      <c r="AH227" s="36"/>
      <c r="AI227" s="117"/>
      <c r="AJ227" s="36"/>
      <c r="AK227" s="36"/>
      <c r="AL227" s="36"/>
      <c r="AM227" s="117"/>
      <c r="AN227" s="117"/>
      <c r="AO227" s="117"/>
      <c r="AP227" s="117"/>
      <c r="AQ227" s="117"/>
      <c r="AR227" s="117"/>
      <c r="AS227" s="117"/>
      <c r="AT227" s="117"/>
      <c r="AU227" s="117"/>
      <c r="AV227" s="119">
        <f t="shared" si="3"/>
        <v>11</v>
      </c>
      <c r="AW227" s="119"/>
      <c r="AX227" s="119" t="s">
        <v>2142</v>
      </c>
    </row>
    <row r="228" spans="1:50">
      <c r="A228">
        <v>212</v>
      </c>
      <c r="B228">
        <v>769</v>
      </c>
      <c r="C228">
        <v>228</v>
      </c>
      <c r="D228" s="7">
        <v>45774</v>
      </c>
      <c r="E228" s="7" t="s">
        <v>844</v>
      </c>
      <c r="F228" s="10" t="s">
        <v>1164</v>
      </c>
      <c r="G228" s="36" t="s">
        <v>141</v>
      </c>
      <c r="H228" s="36" t="s">
        <v>141</v>
      </c>
      <c r="I228" s="36"/>
      <c r="J228" s="36"/>
      <c r="K228" s="36"/>
      <c r="L228" s="36" t="s">
        <v>141</v>
      </c>
      <c r="M228" s="36"/>
      <c r="N228" s="36"/>
      <c r="O228" s="117"/>
      <c r="P228" s="36" t="s">
        <v>141</v>
      </c>
      <c r="Q228" s="36" t="s">
        <v>141</v>
      </c>
      <c r="R228" s="36"/>
      <c r="S228" s="36"/>
      <c r="T228" s="36"/>
      <c r="U228" s="36"/>
      <c r="V228" s="36"/>
      <c r="W228" s="36"/>
      <c r="X228" s="36"/>
      <c r="Y228" s="36" t="s">
        <v>141</v>
      </c>
      <c r="Z228" s="36"/>
      <c r="AA228" s="117" t="s">
        <v>141</v>
      </c>
      <c r="AB228" s="36" t="s">
        <v>141</v>
      </c>
      <c r="AC228" s="117"/>
      <c r="AD228" s="36"/>
      <c r="AE228" s="36"/>
      <c r="AF228" s="117"/>
      <c r="AG228" s="36"/>
      <c r="AH228" s="36" t="s">
        <v>141</v>
      </c>
      <c r="AI228" s="117"/>
      <c r="AJ228" s="36"/>
      <c r="AK228" s="36"/>
      <c r="AL228" s="36"/>
      <c r="AM228" s="117"/>
      <c r="AN228" s="117"/>
      <c r="AO228" s="117"/>
      <c r="AP228" s="117"/>
      <c r="AQ228" s="117"/>
      <c r="AR228" s="117"/>
      <c r="AS228" s="117"/>
      <c r="AT228" s="117"/>
      <c r="AU228" s="117"/>
      <c r="AV228" s="119">
        <f t="shared" si="3"/>
        <v>9</v>
      </c>
      <c r="AW228" s="119"/>
      <c r="AX228" s="119" t="s">
        <v>2142</v>
      </c>
    </row>
    <row r="229" spans="1:50">
      <c r="A229">
        <v>213</v>
      </c>
      <c r="B229">
        <v>770</v>
      </c>
      <c r="C229">
        <v>229</v>
      </c>
      <c r="D229" s="7">
        <v>45775</v>
      </c>
      <c r="E229" s="7" t="s">
        <v>1166</v>
      </c>
      <c r="F229" s="10" t="s">
        <v>1165</v>
      </c>
      <c r="G229" s="36" t="s">
        <v>141</v>
      </c>
      <c r="H229" s="36" t="s">
        <v>141</v>
      </c>
      <c r="I229" s="36"/>
      <c r="J229" s="36" t="s">
        <v>141</v>
      </c>
      <c r="K229" s="36"/>
      <c r="L229" s="36" t="s">
        <v>141</v>
      </c>
      <c r="M229" s="36" t="s">
        <v>141</v>
      </c>
      <c r="N229" s="36"/>
      <c r="O229" s="117" t="s">
        <v>141</v>
      </c>
      <c r="P229" s="36" t="s">
        <v>141</v>
      </c>
      <c r="Q229" s="36"/>
      <c r="R229" s="36"/>
      <c r="S229" s="36"/>
      <c r="T229" s="36" t="s">
        <v>141</v>
      </c>
      <c r="U229" s="36"/>
      <c r="V229" s="36"/>
      <c r="W229" s="36"/>
      <c r="X229" s="36"/>
      <c r="Y229" s="36"/>
      <c r="Z229" s="36"/>
      <c r="AA229" s="117"/>
      <c r="AB229" s="36"/>
      <c r="AC229" s="117"/>
      <c r="AD229" s="36"/>
      <c r="AE229" s="36" t="s">
        <v>141</v>
      </c>
      <c r="AF229" s="117"/>
      <c r="AG229" s="36" t="s">
        <v>141</v>
      </c>
      <c r="AH229" s="36"/>
      <c r="AI229" s="117"/>
      <c r="AJ229" s="36"/>
      <c r="AK229" s="36"/>
      <c r="AL229" s="36"/>
      <c r="AM229" s="117" t="s">
        <v>141</v>
      </c>
      <c r="AN229" s="117" t="s">
        <v>141</v>
      </c>
      <c r="AO229" s="117"/>
      <c r="AP229" s="117"/>
      <c r="AQ229" s="117"/>
      <c r="AR229" s="117"/>
      <c r="AS229" s="117"/>
      <c r="AT229" s="117"/>
      <c r="AU229" s="117"/>
      <c r="AV229" s="119">
        <f t="shared" si="3"/>
        <v>12</v>
      </c>
      <c r="AW229" s="119"/>
      <c r="AX229" s="119" t="s">
        <v>2142</v>
      </c>
    </row>
    <row r="230" spans="1:50">
      <c r="A230" t="s">
        <v>57</v>
      </c>
      <c r="B230" t="s">
        <v>57</v>
      </c>
      <c r="C230">
        <v>230</v>
      </c>
      <c r="D230" s="7">
        <v>45775</v>
      </c>
      <c r="E230" s="7" t="s">
        <v>2129</v>
      </c>
      <c r="F230" s="10" t="s">
        <v>2130</v>
      </c>
      <c r="G230" s="36" t="s">
        <v>141</v>
      </c>
      <c r="H230" s="36" t="s">
        <v>141</v>
      </c>
      <c r="I230" s="36" t="s">
        <v>141</v>
      </c>
      <c r="J230" s="36" t="s">
        <v>141</v>
      </c>
      <c r="K230" s="36" t="s">
        <v>141</v>
      </c>
      <c r="L230" s="36" t="s">
        <v>141</v>
      </c>
      <c r="M230" s="36" t="s">
        <v>141</v>
      </c>
      <c r="N230" s="36" t="s">
        <v>141</v>
      </c>
      <c r="O230" s="117" t="s">
        <v>141</v>
      </c>
      <c r="P230" s="36" t="s">
        <v>141</v>
      </c>
      <c r="Q230" s="36" t="s">
        <v>141</v>
      </c>
      <c r="R230" s="36" t="s">
        <v>141</v>
      </c>
      <c r="S230" s="36" t="s">
        <v>141</v>
      </c>
      <c r="T230" s="36" t="s">
        <v>141</v>
      </c>
      <c r="U230" s="36"/>
      <c r="V230" s="36"/>
      <c r="W230" s="36" t="s">
        <v>141</v>
      </c>
      <c r="X230" s="36" t="s">
        <v>141</v>
      </c>
      <c r="Y230" s="36" t="s">
        <v>141</v>
      </c>
      <c r="Z230" s="36" t="s">
        <v>2131</v>
      </c>
      <c r="AA230" s="117" t="s">
        <v>141</v>
      </c>
      <c r="AB230" s="36" t="s">
        <v>141</v>
      </c>
      <c r="AC230" s="117" t="s">
        <v>2131</v>
      </c>
      <c r="AD230" s="36" t="s">
        <v>141</v>
      </c>
      <c r="AE230" s="36" t="s">
        <v>141</v>
      </c>
      <c r="AF230" s="117" t="s">
        <v>141</v>
      </c>
      <c r="AG230" s="36" t="s">
        <v>141</v>
      </c>
      <c r="AH230" s="36" t="s">
        <v>141</v>
      </c>
      <c r="AI230" s="117" t="s">
        <v>141</v>
      </c>
      <c r="AJ230" s="36" t="s">
        <v>2131</v>
      </c>
      <c r="AK230" s="36" t="s">
        <v>141</v>
      </c>
      <c r="AL230" s="36" t="s">
        <v>141</v>
      </c>
      <c r="AM230" s="117" t="s">
        <v>141</v>
      </c>
      <c r="AN230" s="117" t="s">
        <v>141</v>
      </c>
      <c r="AO230" s="117" t="s">
        <v>141</v>
      </c>
      <c r="AP230" s="117"/>
      <c r="AQ230" s="117"/>
      <c r="AR230" s="117" t="s">
        <v>141</v>
      </c>
      <c r="AS230" s="117" t="s">
        <v>2131</v>
      </c>
      <c r="AT230" s="117"/>
      <c r="AU230" s="117"/>
      <c r="AV230" s="119">
        <f t="shared" si="3"/>
        <v>31</v>
      </c>
      <c r="AW230" s="119"/>
      <c r="AX230" s="119" t="s">
        <v>2142</v>
      </c>
    </row>
    <row r="231" spans="1:50">
      <c r="A231">
        <v>214</v>
      </c>
      <c r="B231">
        <v>771</v>
      </c>
      <c r="C231">
        <v>231</v>
      </c>
      <c r="D231" s="7">
        <v>45777</v>
      </c>
      <c r="E231" s="7" t="s">
        <v>1168</v>
      </c>
      <c r="F231" s="10" t="s">
        <v>1167</v>
      </c>
      <c r="G231" s="36"/>
      <c r="H231" s="36" t="s">
        <v>141</v>
      </c>
      <c r="I231" s="36"/>
      <c r="J231" s="36"/>
      <c r="K231" s="36" t="s">
        <v>141</v>
      </c>
      <c r="L231" s="36" t="s">
        <v>141</v>
      </c>
      <c r="M231" s="36" t="s">
        <v>141</v>
      </c>
      <c r="N231" s="36"/>
      <c r="O231" s="117" t="s">
        <v>141</v>
      </c>
      <c r="P231" s="36" t="s">
        <v>141</v>
      </c>
      <c r="Q231" s="36"/>
      <c r="R231" s="36"/>
      <c r="S231" s="36"/>
      <c r="T231" s="36" t="s">
        <v>141</v>
      </c>
      <c r="U231" s="36"/>
      <c r="V231" s="36"/>
      <c r="W231" s="36" t="s">
        <v>141</v>
      </c>
      <c r="X231" s="36"/>
      <c r="Y231" s="36" t="s">
        <v>141</v>
      </c>
      <c r="Z231" s="36"/>
      <c r="AA231" s="117"/>
      <c r="AB231" s="36" t="s">
        <v>141</v>
      </c>
      <c r="AC231" s="117"/>
      <c r="AD231" s="36"/>
      <c r="AE231" s="36"/>
      <c r="AF231" s="117"/>
      <c r="AG231" s="36"/>
      <c r="AH231" s="36"/>
      <c r="AI231" s="117" t="s">
        <v>141</v>
      </c>
      <c r="AJ231" s="36"/>
      <c r="AK231" s="36"/>
      <c r="AL231" s="36"/>
      <c r="AM231" s="117"/>
      <c r="AN231" s="117"/>
      <c r="AO231" s="117"/>
      <c r="AP231" s="117"/>
      <c r="AQ231" s="117"/>
      <c r="AR231" s="117"/>
      <c r="AS231" s="117"/>
      <c r="AT231" s="117"/>
      <c r="AU231" s="117"/>
      <c r="AV231" s="119">
        <f t="shared" si="3"/>
        <v>11</v>
      </c>
      <c r="AW231" s="119"/>
      <c r="AX231" s="119" t="s">
        <v>2142</v>
      </c>
    </row>
    <row r="232" spans="1:50">
      <c r="A232">
        <v>215</v>
      </c>
      <c r="B232">
        <v>772</v>
      </c>
      <c r="C232">
        <v>232</v>
      </c>
      <c r="D232" s="7">
        <v>45777</v>
      </c>
      <c r="E232" s="7" t="s">
        <v>1171</v>
      </c>
      <c r="F232" s="10" t="s">
        <v>1169</v>
      </c>
      <c r="G232" s="36"/>
      <c r="H232" s="36" t="s">
        <v>141</v>
      </c>
      <c r="I232" s="36" t="s">
        <v>141</v>
      </c>
      <c r="J232" s="36" t="s">
        <v>141</v>
      </c>
      <c r="K232" s="36" t="s">
        <v>141</v>
      </c>
      <c r="L232" s="36" t="s">
        <v>141</v>
      </c>
      <c r="M232" s="36"/>
      <c r="N232" s="36" t="s">
        <v>141</v>
      </c>
      <c r="O232" s="117"/>
      <c r="P232" s="36" t="s">
        <v>141</v>
      </c>
      <c r="Q232" s="36"/>
      <c r="R232" s="36"/>
      <c r="S232" s="36"/>
      <c r="T232" s="36" t="s">
        <v>141</v>
      </c>
      <c r="U232" s="36"/>
      <c r="V232" s="36"/>
      <c r="W232" s="36"/>
      <c r="X232" s="36"/>
      <c r="Y232" s="36" t="s">
        <v>141</v>
      </c>
      <c r="Z232" s="36"/>
      <c r="AA232" s="117"/>
      <c r="AB232" s="36"/>
      <c r="AC232" s="117"/>
      <c r="AD232" s="36"/>
      <c r="AE232" s="36"/>
      <c r="AF232" s="117"/>
      <c r="AG232" s="36"/>
      <c r="AH232" s="36"/>
      <c r="AI232" s="117"/>
      <c r="AJ232" s="36"/>
      <c r="AK232" s="36"/>
      <c r="AL232" s="36" t="s">
        <v>141</v>
      </c>
      <c r="AM232" s="117" t="s">
        <v>141</v>
      </c>
      <c r="AN232" s="117" t="s">
        <v>141</v>
      </c>
      <c r="AO232" s="117"/>
      <c r="AP232" s="117"/>
      <c r="AQ232" s="117"/>
      <c r="AR232" s="117"/>
      <c r="AS232" s="117"/>
      <c r="AT232" s="117"/>
      <c r="AU232" s="117"/>
      <c r="AV232" s="119">
        <f t="shared" si="3"/>
        <v>12</v>
      </c>
      <c r="AW232" s="119"/>
      <c r="AX232" s="119" t="s">
        <v>2142</v>
      </c>
    </row>
    <row r="233" spans="1:50">
      <c r="A233">
        <v>216</v>
      </c>
      <c r="B233">
        <v>773</v>
      </c>
      <c r="C233">
        <v>233</v>
      </c>
      <c r="D233" s="7">
        <v>45778</v>
      </c>
      <c r="E233" s="7" t="s">
        <v>1174</v>
      </c>
      <c r="F233" s="10" t="s">
        <v>1173</v>
      </c>
      <c r="G233" s="36"/>
      <c r="H233" s="36" t="s">
        <v>141</v>
      </c>
      <c r="I233" s="36"/>
      <c r="J233" s="36" t="s">
        <v>141</v>
      </c>
      <c r="K233" s="36"/>
      <c r="L233" s="36" t="s">
        <v>141</v>
      </c>
      <c r="M233" s="36" t="s">
        <v>141</v>
      </c>
      <c r="N233" s="36"/>
      <c r="O233" s="117"/>
      <c r="P233" s="36" t="s">
        <v>141</v>
      </c>
      <c r="Q233" s="36" t="s">
        <v>141</v>
      </c>
      <c r="R233" s="36"/>
      <c r="S233" s="36"/>
      <c r="T233" s="36" t="s">
        <v>141</v>
      </c>
      <c r="U233" s="36"/>
      <c r="V233" s="36"/>
      <c r="W233" s="36" t="s">
        <v>141</v>
      </c>
      <c r="X233" s="36"/>
      <c r="Y233" s="36"/>
      <c r="Z233" s="36"/>
      <c r="AA233" s="117" t="s">
        <v>141</v>
      </c>
      <c r="AB233" s="36" t="s">
        <v>141</v>
      </c>
      <c r="AC233" s="117" t="s">
        <v>141</v>
      </c>
      <c r="AD233" s="36"/>
      <c r="AE233" s="36"/>
      <c r="AF233" s="117" t="s">
        <v>141</v>
      </c>
      <c r="AG233" s="36" t="s">
        <v>141</v>
      </c>
      <c r="AH233" s="36" t="s">
        <v>141</v>
      </c>
      <c r="AI233" s="117"/>
      <c r="AJ233" s="36"/>
      <c r="AK233" s="36" t="s">
        <v>141</v>
      </c>
      <c r="AL233" s="36"/>
      <c r="AM233" s="117"/>
      <c r="AN233" s="117"/>
      <c r="AO233" s="117"/>
      <c r="AP233" s="117"/>
      <c r="AQ233" s="117"/>
      <c r="AR233" s="117"/>
      <c r="AS233" s="117"/>
      <c r="AT233" s="117"/>
      <c r="AU233" s="117"/>
      <c r="AV233" s="119">
        <f t="shared" si="3"/>
        <v>15</v>
      </c>
      <c r="AW233" s="119"/>
      <c r="AX233" s="119" t="s">
        <v>2142</v>
      </c>
    </row>
    <row r="234" spans="1:50">
      <c r="A234">
        <v>217</v>
      </c>
      <c r="B234">
        <v>774</v>
      </c>
      <c r="C234">
        <v>234</v>
      </c>
      <c r="D234" s="7">
        <v>45778</v>
      </c>
      <c r="E234" s="7" t="s">
        <v>1176</v>
      </c>
      <c r="F234" s="10" t="s">
        <v>1175</v>
      </c>
      <c r="G234" s="36"/>
      <c r="H234" s="36" t="s">
        <v>141</v>
      </c>
      <c r="I234" s="36"/>
      <c r="J234" s="36"/>
      <c r="K234" s="36"/>
      <c r="L234" s="36" t="s">
        <v>141</v>
      </c>
      <c r="M234" s="36" t="s">
        <v>141</v>
      </c>
      <c r="N234" s="36"/>
      <c r="O234" s="117"/>
      <c r="P234" s="36" t="s">
        <v>141</v>
      </c>
      <c r="Q234" s="36"/>
      <c r="R234" s="36"/>
      <c r="S234" s="36"/>
      <c r="T234" s="36" t="s">
        <v>141</v>
      </c>
      <c r="U234" s="36"/>
      <c r="V234" s="36"/>
      <c r="W234" s="36" t="s">
        <v>141</v>
      </c>
      <c r="X234" s="36"/>
      <c r="Y234" s="36"/>
      <c r="Z234" s="36"/>
      <c r="AA234" s="117" t="s">
        <v>141</v>
      </c>
      <c r="AB234" s="36"/>
      <c r="AC234" s="117" t="s">
        <v>141</v>
      </c>
      <c r="AD234" s="36"/>
      <c r="AE234" s="36"/>
      <c r="AF234" s="117"/>
      <c r="AG234" s="36"/>
      <c r="AH234" s="36"/>
      <c r="AI234" s="117"/>
      <c r="AJ234" s="36"/>
      <c r="AK234" s="36"/>
      <c r="AL234" s="36"/>
      <c r="AM234" s="117"/>
      <c r="AN234" s="117"/>
      <c r="AO234" s="117"/>
      <c r="AP234" s="117"/>
      <c r="AQ234" s="117"/>
      <c r="AR234" s="117"/>
      <c r="AS234" s="117"/>
      <c r="AT234" s="117"/>
      <c r="AU234" s="117"/>
      <c r="AV234" s="119">
        <f t="shared" si="3"/>
        <v>8</v>
      </c>
      <c r="AW234" s="119"/>
      <c r="AX234" s="119" t="s">
        <v>2142</v>
      </c>
    </row>
    <row r="235" spans="1:50">
      <c r="A235">
        <v>218</v>
      </c>
      <c r="B235">
        <v>775</v>
      </c>
      <c r="C235">
        <v>235</v>
      </c>
      <c r="D235" s="7">
        <v>45778</v>
      </c>
      <c r="E235" s="7" t="s">
        <v>1178</v>
      </c>
      <c r="F235" s="10" t="s">
        <v>1177</v>
      </c>
      <c r="G235" s="36" t="s">
        <v>141</v>
      </c>
      <c r="H235" s="36" t="s">
        <v>141</v>
      </c>
      <c r="I235" s="36"/>
      <c r="J235" s="36"/>
      <c r="K235" s="36"/>
      <c r="L235" s="36" t="s">
        <v>141</v>
      </c>
      <c r="M235" s="36"/>
      <c r="N235" s="36"/>
      <c r="O235" s="117" t="s">
        <v>141</v>
      </c>
      <c r="P235" s="36"/>
      <c r="Q235" s="36"/>
      <c r="R235" s="36"/>
      <c r="S235" s="36"/>
      <c r="T235" s="36" t="s">
        <v>141</v>
      </c>
      <c r="U235" s="36"/>
      <c r="V235" s="36"/>
      <c r="W235" s="36" t="s">
        <v>141</v>
      </c>
      <c r="X235" s="36"/>
      <c r="Y235" s="36"/>
      <c r="Z235" s="36"/>
      <c r="AA235" s="117"/>
      <c r="AB235" s="36"/>
      <c r="AC235" s="117"/>
      <c r="AD235" s="36"/>
      <c r="AE235" s="36"/>
      <c r="AF235" s="117" t="s">
        <v>141</v>
      </c>
      <c r="AG235" s="36"/>
      <c r="AH235" s="36" t="s">
        <v>141</v>
      </c>
      <c r="AI235" s="117" t="s">
        <v>141</v>
      </c>
      <c r="AJ235" s="36"/>
      <c r="AK235" s="36"/>
      <c r="AL235" s="36"/>
      <c r="AM235" s="117" t="s">
        <v>141</v>
      </c>
      <c r="AN235" s="117" t="s">
        <v>141</v>
      </c>
      <c r="AO235" s="117"/>
      <c r="AP235" s="117"/>
      <c r="AQ235" s="117"/>
      <c r="AR235" s="117"/>
      <c r="AS235" s="117"/>
      <c r="AT235" s="117"/>
      <c r="AU235" s="117"/>
      <c r="AV235" s="119">
        <f t="shared" si="3"/>
        <v>11</v>
      </c>
      <c r="AW235" s="119"/>
      <c r="AX235" s="119" t="s">
        <v>2142</v>
      </c>
    </row>
    <row r="236" spans="1:50">
      <c r="A236">
        <v>219</v>
      </c>
      <c r="B236">
        <v>776</v>
      </c>
      <c r="C236">
        <v>236</v>
      </c>
      <c r="D236" s="7">
        <v>45778</v>
      </c>
      <c r="E236" s="7" t="s">
        <v>1180</v>
      </c>
      <c r="F236" s="10" t="s">
        <v>1179</v>
      </c>
      <c r="G236" s="36" t="s">
        <v>141</v>
      </c>
      <c r="H236" s="36" t="s">
        <v>141</v>
      </c>
      <c r="I236" s="36" t="s">
        <v>141</v>
      </c>
      <c r="J236" s="36" t="s">
        <v>141</v>
      </c>
      <c r="K236" s="36" t="s">
        <v>141</v>
      </c>
      <c r="L236" s="36" t="s">
        <v>141</v>
      </c>
      <c r="M236" s="36" t="s">
        <v>141</v>
      </c>
      <c r="N236" s="36"/>
      <c r="O236" s="117" t="s">
        <v>141</v>
      </c>
      <c r="P236" s="36"/>
      <c r="Q236" s="36"/>
      <c r="R236" s="36"/>
      <c r="S236" s="36" t="s">
        <v>141</v>
      </c>
      <c r="T236" s="36"/>
      <c r="U236" s="36"/>
      <c r="V236" s="36"/>
      <c r="W236" s="36"/>
      <c r="X236" s="36"/>
      <c r="Y236" s="36"/>
      <c r="Z236" s="36"/>
      <c r="AA236" s="117"/>
      <c r="AB236" s="36"/>
      <c r="AC236" s="117" t="s">
        <v>141</v>
      </c>
      <c r="AD236" s="36" t="s">
        <v>141</v>
      </c>
      <c r="AE236" s="36" t="s">
        <v>141</v>
      </c>
      <c r="AF236" s="117"/>
      <c r="AG236" s="36"/>
      <c r="AH236" s="36" t="s">
        <v>141</v>
      </c>
      <c r="AI236" s="117"/>
      <c r="AJ236" s="36"/>
      <c r="AK236" s="36"/>
      <c r="AL236" s="36" t="s">
        <v>141</v>
      </c>
      <c r="AM236" s="117" t="s">
        <v>141</v>
      </c>
      <c r="AN236" s="117" t="s">
        <v>141</v>
      </c>
      <c r="AO236" s="117"/>
      <c r="AP236" s="117"/>
      <c r="AQ236" s="117"/>
      <c r="AR236" s="117" t="s">
        <v>141</v>
      </c>
      <c r="AS236" s="117"/>
      <c r="AT236" s="117"/>
      <c r="AU236" s="117"/>
      <c r="AV236" s="119">
        <f t="shared" si="3"/>
        <v>17</v>
      </c>
      <c r="AW236" s="119"/>
      <c r="AX236" s="119" t="s">
        <v>2142</v>
      </c>
    </row>
    <row r="237" spans="1:50">
      <c r="A237">
        <v>220</v>
      </c>
      <c r="B237">
        <v>777</v>
      </c>
      <c r="C237">
        <v>237</v>
      </c>
      <c r="D237" s="7">
        <v>45779</v>
      </c>
      <c r="E237" s="7" t="s">
        <v>1183</v>
      </c>
      <c r="F237" s="10" t="s">
        <v>1182</v>
      </c>
      <c r="G237" s="36" t="s">
        <v>141</v>
      </c>
      <c r="H237" s="36" t="s">
        <v>141</v>
      </c>
      <c r="I237" s="36" t="s">
        <v>141</v>
      </c>
      <c r="J237" s="36" t="s">
        <v>141</v>
      </c>
      <c r="K237" s="36" t="s">
        <v>141</v>
      </c>
      <c r="L237" s="36" t="s">
        <v>141</v>
      </c>
      <c r="M237" s="36" t="s">
        <v>141</v>
      </c>
      <c r="N237" s="36"/>
      <c r="O237" s="117" t="s">
        <v>141</v>
      </c>
      <c r="P237" s="36"/>
      <c r="Q237" s="36"/>
      <c r="R237" s="36"/>
      <c r="S237" s="36" t="s">
        <v>141</v>
      </c>
      <c r="T237" s="36"/>
      <c r="U237" s="36"/>
      <c r="V237" s="36"/>
      <c r="W237" s="36"/>
      <c r="X237" s="36"/>
      <c r="Y237" s="36"/>
      <c r="Z237" s="36"/>
      <c r="AA237" s="117"/>
      <c r="AB237" s="36"/>
      <c r="AC237" s="117" t="s">
        <v>141</v>
      </c>
      <c r="AD237" s="36" t="s">
        <v>141</v>
      </c>
      <c r="AE237" s="36" t="s">
        <v>141</v>
      </c>
      <c r="AF237" s="117"/>
      <c r="AG237" s="36"/>
      <c r="AH237" s="36" t="s">
        <v>141</v>
      </c>
      <c r="AI237" s="117"/>
      <c r="AJ237" s="36"/>
      <c r="AK237" s="36"/>
      <c r="AL237" s="36" t="s">
        <v>141</v>
      </c>
      <c r="AM237" s="117" t="s">
        <v>141</v>
      </c>
      <c r="AN237" s="117" t="s">
        <v>141</v>
      </c>
      <c r="AO237" s="117"/>
      <c r="AP237" s="117"/>
      <c r="AQ237" s="117"/>
      <c r="AR237" s="117" t="s">
        <v>141</v>
      </c>
      <c r="AS237" s="117"/>
      <c r="AT237" s="117"/>
      <c r="AU237" s="117"/>
      <c r="AV237" s="119">
        <f t="shared" si="3"/>
        <v>17</v>
      </c>
      <c r="AW237" s="119"/>
      <c r="AX237" s="119" t="s">
        <v>2142</v>
      </c>
    </row>
    <row r="238" spans="1:50">
      <c r="A238">
        <v>221</v>
      </c>
      <c r="B238">
        <v>778</v>
      </c>
      <c r="C238">
        <v>238</v>
      </c>
      <c r="D238" s="7">
        <v>45779</v>
      </c>
      <c r="E238" s="7" t="s">
        <v>271</v>
      </c>
      <c r="F238" s="10" t="s">
        <v>1184</v>
      </c>
      <c r="G238" s="36" t="s">
        <v>141</v>
      </c>
      <c r="H238" s="36" t="s">
        <v>141</v>
      </c>
      <c r="I238" s="36" t="s">
        <v>141</v>
      </c>
      <c r="J238" s="36"/>
      <c r="K238" s="36"/>
      <c r="L238" s="36" t="s">
        <v>141</v>
      </c>
      <c r="M238" s="36" t="s">
        <v>141</v>
      </c>
      <c r="N238" s="36"/>
      <c r="O238" s="117"/>
      <c r="P238" s="36"/>
      <c r="Q238" s="36" t="s">
        <v>141</v>
      </c>
      <c r="R238" s="36"/>
      <c r="S238" s="36"/>
      <c r="T238" s="36"/>
      <c r="U238" s="36"/>
      <c r="V238" s="36"/>
      <c r="W238" s="36"/>
      <c r="X238" s="36"/>
      <c r="Y238" s="36" t="s">
        <v>141</v>
      </c>
      <c r="Z238" s="36"/>
      <c r="AA238" s="117" t="s">
        <v>141</v>
      </c>
      <c r="AB238" s="36"/>
      <c r="AC238" s="117"/>
      <c r="AD238" s="36" t="s">
        <v>141</v>
      </c>
      <c r="AE238" s="36" t="s">
        <v>141</v>
      </c>
      <c r="AF238" s="117"/>
      <c r="AG238" s="36"/>
      <c r="AH238" s="36"/>
      <c r="AI238" s="117"/>
      <c r="AJ238" s="36"/>
      <c r="AK238" s="36"/>
      <c r="AL238" s="36"/>
      <c r="AM238" s="117" t="s">
        <v>141</v>
      </c>
      <c r="AN238" s="117" t="s">
        <v>141</v>
      </c>
      <c r="AO238" s="117"/>
      <c r="AP238" s="117"/>
      <c r="AQ238" s="117"/>
      <c r="AR238" s="117"/>
      <c r="AS238" s="117"/>
      <c r="AT238" s="117"/>
      <c r="AU238" s="117"/>
      <c r="AV238" s="119">
        <f t="shared" si="3"/>
        <v>12</v>
      </c>
      <c r="AW238" s="119"/>
      <c r="AX238" s="119" t="s">
        <v>2142</v>
      </c>
    </row>
    <row r="239" spans="1:50">
      <c r="A239">
        <v>222</v>
      </c>
      <c r="B239">
        <v>779</v>
      </c>
      <c r="C239">
        <v>239</v>
      </c>
      <c r="D239" s="7">
        <v>45779</v>
      </c>
      <c r="E239" s="7" t="s">
        <v>1039</v>
      </c>
      <c r="F239" s="10" t="s">
        <v>1185</v>
      </c>
      <c r="G239" s="36" t="s">
        <v>141</v>
      </c>
      <c r="H239" s="36" t="s">
        <v>141</v>
      </c>
      <c r="I239" s="36"/>
      <c r="J239" s="36"/>
      <c r="K239" s="36"/>
      <c r="L239" s="36" t="s">
        <v>141</v>
      </c>
      <c r="M239" s="36"/>
      <c r="N239" s="36" t="s">
        <v>141</v>
      </c>
      <c r="O239" s="117"/>
      <c r="P239" s="36" t="s">
        <v>141</v>
      </c>
      <c r="Q239" s="36"/>
      <c r="R239" s="36"/>
      <c r="S239" s="36"/>
      <c r="T239" s="36"/>
      <c r="U239" s="36"/>
      <c r="V239" s="36"/>
      <c r="W239" s="36" t="s">
        <v>141</v>
      </c>
      <c r="X239" s="36"/>
      <c r="Y239" s="36"/>
      <c r="Z239" s="36"/>
      <c r="AA239" s="117"/>
      <c r="AB239" s="36"/>
      <c r="AC239" s="117"/>
      <c r="AD239" s="36" t="s">
        <v>141</v>
      </c>
      <c r="AE239" s="36"/>
      <c r="AF239" s="117"/>
      <c r="AG239" s="36"/>
      <c r="AH239" s="36" t="s">
        <v>141</v>
      </c>
      <c r="AI239" s="117" t="s">
        <v>141</v>
      </c>
      <c r="AJ239" s="36"/>
      <c r="AK239" s="36"/>
      <c r="AL239" s="36"/>
      <c r="AM239" s="117" t="s">
        <v>141</v>
      </c>
      <c r="AN239" s="117" t="s">
        <v>141</v>
      </c>
      <c r="AO239" s="117"/>
      <c r="AP239" s="117"/>
      <c r="AQ239" s="117"/>
      <c r="AR239" s="117"/>
      <c r="AS239" s="117"/>
      <c r="AT239" s="117"/>
      <c r="AU239" s="117"/>
      <c r="AV239" s="119">
        <f t="shared" si="3"/>
        <v>11</v>
      </c>
      <c r="AW239" s="119"/>
      <c r="AX239" s="119" t="s">
        <v>2142</v>
      </c>
    </row>
    <row r="240" spans="1:50">
      <c r="A240">
        <v>223</v>
      </c>
      <c r="B240">
        <v>780</v>
      </c>
      <c r="C240">
        <v>240</v>
      </c>
      <c r="D240" s="7">
        <v>45779</v>
      </c>
      <c r="E240" s="7" t="s">
        <v>1187</v>
      </c>
      <c r="F240" s="10" t="s">
        <v>1186</v>
      </c>
      <c r="G240" s="36" t="s">
        <v>141</v>
      </c>
      <c r="H240" s="36" t="s">
        <v>141</v>
      </c>
      <c r="I240" s="36" t="s">
        <v>141</v>
      </c>
      <c r="J240" s="36"/>
      <c r="K240" s="36" t="s">
        <v>141</v>
      </c>
      <c r="L240" s="36" t="s">
        <v>141</v>
      </c>
      <c r="M240" s="36" t="s">
        <v>141</v>
      </c>
      <c r="N240" s="36" t="s">
        <v>141</v>
      </c>
      <c r="O240" s="117"/>
      <c r="P240" s="36" t="s">
        <v>141</v>
      </c>
      <c r="Q240" s="36"/>
      <c r="R240" s="36" t="s">
        <v>141</v>
      </c>
      <c r="S240" s="36" t="s">
        <v>141</v>
      </c>
      <c r="T240" s="36"/>
      <c r="U240" s="36"/>
      <c r="V240" s="36"/>
      <c r="W240" s="36" t="s">
        <v>141</v>
      </c>
      <c r="X240" s="36" t="s">
        <v>141</v>
      </c>
      <c r="Y240" s="36" t="s">
        <v>141</v>
      </c>
      <c r="Z240" s="36"/>
      <c r="AA240" s="117"/>
      <c r="AB240" s="36"/>
      <c r="AC240" s="117" t="s">
        <v>141</v>
      </c>
      <c r="AD240" s="36"/>
      <c r="AE240" s="36"/>
      <c r="AF240" s="117"/>
      <c r="AG240" s="36"/>
      <c r="AH240" s="36" t="s">
        <v>141</v>
      </c>
      <c r="AI240" s="117"/>
      <c r="AJ240" s="36"/>
      <c r="AK240" s="36"/>
      <c r="AL240" s="36"/>
      <c r="AM240" s="117"/>
      <c r="AN240" s="117"/>
      <c r="AO240" s="117"/>
      <c r="AP240" s="117"/>
      <c r="AQ240" s="117"/>
      <c r="AR240" s="117" t="s">
        <v>141</v>
      </c>
      <c r="AS240" s="117"/>
      <c r="AT240" s="117"/>
      <c r="AU240" s="117"/>
      <c r="AV240" s="119">
        <f t="shared" si="3"/>
        <v>16</v>
      </c>
      <c r="AW240" s="119"/>
      <c r="AX240" s="119" t="s">
        <v>2142</v>
      </c>
    </row>
    <row r="241" spans="1:50">
      <c r="A241">
        <v>224</v>
      </c>
      <c r="B241">
        <v>781</v>
      </c>
      <c r="C241">
        <v>241</v>
      </c>
      <c r="D241" s="7">
        <v>45779</v>
      </c>
      <c r="E241" s="7" t="s">
        <v>1189</v>
      </c>
      <c r="F241" s="10" t="s">
        <v>1188</v>
      </c>
      <c r="G241" s="36"/>
      <c r="H241" s="36"/>
      <c r="I241" s="36" t="s">
        <v>141</v>
      </c>
      <c r="J241" s="36"/>
      <c r="K241" s="36" t="s">
        <v>141</v>
      </c>
      <c r="L241" s="36" t="s">
        <v>141</v>
      </c>
      <c r="M241" s="36"/>
      <c r="N241" s="36" t="s">
        <v>141</v>
      </c>
      <c r="O241" s="117" t="s">
        <v>141</v>
      </c>
      <c r="P241" s="36" t="s">
        <v>141</v>
      </c>
      <c r="Q241" s="36"/>
      <c r="R241" s="36"/>
      <c r="S241" s="36"/>
      <c r="T241" s="36"/>
      <c r="U241" s="36"/>
      <c r="V241" s="36"/>
      <c r="W241" s="36" t="s">
        <v>141</v>
      </c>
      <c r="X241" s="36" t="s">
        <v>141</v>
      </c>
      <c r="Y241" s="36"/>
      <c r="Z241" s="36"/>
      <c r="AA241" s="117"/>
      <c r="AB241" s="36"/>
      <c r="AC241" s="117"/>
      <c r="AD241" s="36"/>
      <c r="AE241" s="36"/>
      <c r="AF241" s="117"/>
      <c r="AG241" s="36"/>
      <c r="AH241" s="36"/>
      <c r="AI241" s="117" t="s">
        <v>141</v>
      </c>
      <c r="AJ241" s="36"/>
      <c r="AK241" s="36"/>
      <c r="AL241" s="36"/>
      <c r="AM241" s="117"/>
      <c r="AN241" s="117"/>
      <c r="AO241" s="117"/>
      <c r="AP241" s="117"/>
      <c r="AQ241" s="117"/>
      <c r="AR241" s="117"/>
      <c r="AS241" s="117"/>
      <c r="AT241" s="117"/>
      <c r="AU241" s="117"/>
      <c r="AV241" s="119">
        <f t="shared" si="3"/>
        <v>9</v>
      </c>
      <c r="AW241" s="119"/>
      <c r="AX241" s="119" t="s">
        <v>2142</v>
      </c>
    </row>
    <row r="242" spans="1:50">
      <c r="A242">
        <v>225</v>
      </c>
      <c r="B242">
        <v>782</v>
      </c>
      <c r="C242">
        <v>242</v>
      </c>
      <c r="D242" s="7">
        <v>45779</v>
      </c>
      <c r="E242" s="7" t="s">
        <v>1191</v>
      </c>
      <c r="F242" s="10" t="s">
        <v>1190</v>
      </c>
      <c r="G242" s="36"/>
      <c r="H242" s="36"/>
      <c r="I242" s="36" t="s">
        <v>141</v>
      </c>
      <c r="J242" s="36"/>
      <c r="K242" s="36" t="s">
        <v>141</v>
      </c>
      <c r="L242" s="36" t="s">
        <v>141</v>
      </c>
      <c r="M242" s="36"/>
      <c r="N242" s="36" t="s">
        <v>141</v>
      </c>
      <c r="O242" s="117" t="s">
        <v>141</v>
      </c>
      <c r="P242" s="36" t="s">
        <v>141</v>
      </c>
      <c r="Q242" s="36"/>
      <c r="R242" s="36"/>
      <c r="S242" s="36"/>
      <c r="T242" s="36"/>
      <c r="U242" s="36"/>
      <c r="V242" s="36"/>
      <c r="W242" s="36" t="s">
        <v>141</v>
      </c>
      <c r="X242" s="36" t="s">
        <v>141</v>
      </c>
      <c r="Y242" s="36"/>
      <c r="Z242" s="36"/>
      <c r="AA242" s="117"/>
      <c r="AB242" s="36"/>
      <c r="AC242" s="117"/>
      <c r="AD242" s="36"/>
      <c r="AE242" s="36"/>
      <c r="AF242" s="117"/>
      <c r="AG242" s="36"/>
      <c r="AH242" s="36"/>
      <c r="AI242" s="117"/>
      <c r="AJ242" s="36"/>
      <c r="AK242" s="36"/>
      <c r="AL242" s="36"/>
      <c r="AM242" s="117"/>
      <c r="AN242" s="117"/>
      <c r="AO242" s="117"/>
      <c r="AP242" s="117"/>
      <c r="AQ242" s="117"/>
      <c r="AR242" s="117"/>
      <c r="AS242" s="117"/>
      <c r="AT242" s="117"/>
      <c r="AU242" s="117"/>
      <c r="AV242" s="119">
        <f t="shared" si="3"/>
        <v>8</v>
      </c>
      <c r="AW242" s="119"/>
      <c r="AX242" s="119" t="s">
        <v>2142</v>
      </c>
    </row>
    <row r="243" spans="1:50">
      <c r="A243">
        <v>226</v>
      </c>
      <c r="B243">
        <v>783</v>
      </c>
      <c r="C243">
        <v>243</v>
      </c>
      <c r="D243" s="7">
        <v>45780</v>
      </c>
      <c r="E243" s="7" t="s">
        <v>1194</v>
      </c>
      <c r="F243" s="10" t="s">
        <v>1192</v>
      </c>
      <c r="G243" s="36"/>
      <c r="H243" s="36" t="s">
        <v>141</v>
      </c>
      <c r="I243" s="36"/>
      <c r="J243" s="36"/>
      <c r="K243" s="36"/>
      <c r="L243" s="36"/>
      <c r="M243" s="36"/>
      <c r="N243" s="36"/>
      <c r="O243" s="117"/>
      <c r="P243" s="36" t="s">
        <v>141</v>
      </c>
      <c r="Q243" s="36" t="s">
        <v>141</v>
      </c>
      <c r="R243" s="36"/>
      <c r="S243" s="36"/>
      <c r="T243" s="36"/>
      <c r="U243" s="36" t="s">
        <v>141</v>
      </c>
      <c r="V243" s="36"/>
      <c r="W243" s="36" t="s">
        <v>141</v>
      </c>
      <c r="X243" s="36"/>
      <c r="Y243" s="36" t="s">
        <v>141</v>
      </c>
      <c r="Z243" s="36"/>
      <c r="AA243" s="117"/>
      <c r="AB243" s="36" t="s">
        <v>141</v>
      </c>
      <c r="AC243" s="117"/>
      <c r="AD243" s="36"/>
      <c r="AE243" s="36"/>
      <c r="AF243" s="117"/>
      <c r="AG243" s="36"/>
      <c r="AH243" s="36"/>
      <c r="AI243" s="117"/>
      <c r="AJ243" s="36"/>
      <c r="AK243" s="36"/>
      <c r="AL243" s="36"/>
      <c r="AM243" s="117"/>
      <c r="AN243" s="117"/>
      <c r="AO243" s="117"/>
      <c r="AP243" s="117"/>
      <c r="AQ243" s="117"/>
      <c r="AR243" s="117"/>
      <c r="AS243" s="117"/>
      <c r="AT243" s="117"/>
      <c r="AU243" s="117"/>
      <c r="AV243" s="119">
        <f t="shared" si="3"/>
        <v>7</v>
      </c>
      <c r="AW243" s="119"/>
      <c r="AX243" s="119" t="s">
        <v>2142</v>
      </c>
    </row>
    <row r="244" spans="1:50">
      <c r="A244">
        <v>227</v>
      </c>
      <c r="B244">
        <v>784</v>
      </c>
      <c r="C244">
        <v>244</v>
      </c>
      <c r="D244" s="7">
        <v>45781</v>
      </c>
      <c r="E244" s="7" t="s">
        <v>168</v>
      </c>
      <c r="F244" s="10" t="s">
        <v>1195</v>
      </c>
      <c r="G244" s="36"/>
      <c r="H244" s="36"/>
      <c r="I244" s="36" t="s">
        <v>141</v>
      </c>
      <c r="J244" s="36" t="s">
        <v>141</v>
      </c>
      <c r="K244" s="36"/>
      <c r="L244" s="36"/>
      <c r="M244" s="36" t="s">
        <v>141</v>
      </c>
      <c r="N244" s="36" t="s">
        <v>141</v>
      </c>
      <c r="O244" s="117" t="s">
        <v>141</v>
      </c>
      <c r="P244" s="36"/>
      <c r="Q244" s="36"/>
      <c r="R244" s="36"/>
      <c r="S244" s="36" t="s">
        <v>141</v>
      </c>
      <c r="T244" s="36" t="s">
        <v>141</v>
      </c>
      <c r="U244" s="36"/>
      <c r="V244" s="36"/>
      <c r="W244" s="36" t="s">
        <v>141</v>
      </c>
      <c r="X244" s="36" t="s">
        <v>141</v>
      </c>
      <c r="Y244" s="36"/>
      <c r="Z244" s="36"/>
      <c r="AA244" s="117"/>
      <c r="AB244" s="36" t="s">
        <v>141</v>
      </c>
      <c r="AC244" s="117"/>
      <c r="AD244" s="36"/>
      <c r="AE244" s="36" t="s">
        <v>141</v>
      </c>
      <c r="AF244" s="117"/>
      <c r="AG244" s="36"/>
      <c r="AH244" s="36"/>
      <c r="AI244" s="117"/>
      <c r="AJ244" s="36"/>
      <c r="AK244" s="36"/>
      <c r="AL244" s="36"/>
      <c r="AM244" s="117" t="s">
        <v>141</v>
      </c>
      <c r="AN244" s="117" t="s">
        <v>141</v>
      </c>
      <c r="AO244" s="117"/>
      <c r="AP244" s="117"/>
      <c r="AQ244" s="117"/>
      <c r="AR244" s="117"/>
      <c r="AS244" s="117"/>
      <c r="AT244" s="117"/>
      <c r="AU244" s="117"/>
      <c r="AV244" s="119">
        <f t="shared" si="3"/>
        <v>13</v>
      </c>
      <c r="AW244" s="119"/>
      <c r="AX244" s="119" t="s">
        <v>2142</v>
      </c>
    </row>
    <row r="245" spans="1:50">
      <c r="A245">
        <v>228</v>
      </c>
      <c r="B245">
        <v>785</v>
      </c>
      <c r="C245">
        <v>245</v>
      </c>
      <c r="D245" s="7">
        <v>45781</v>
      </c>
      <c r="E245" s="7" t="s">
        <v>1197</v>
      </c>
      <c r="F245" s="10" t="s">
        <v>1196</v>
      </c>
      <c r="G245" s="36" t="s">
        <v>141</v>
      </c>
      <c r="H245" s="36" t="s">
        <v>141</v>
      </c>
      <c r="I245" s="36"/>
      <c r="J245" s="36" t="s">
        <v>141</v>
      </c>
      <c r="K245" s="36" t="s">
        <v>141</v>
      </c>
      <c r="L245" s="36"/>
      <c r="M245" s="36"/>
      <c r="N245" s="36"/>
      <c r="O245" s="117"/>
      <c r="P245" s="36" t="s">
        <v>141</v>
      </c>
      <c r="Q245" s="36" t="s">
        <v>141</v>
      </c>
      <c r="R245" s="36"/>
      <c r="S245" s="36"/>
      <c r="T245" s="36"/>
      <c r="U245" s="36" t="s">
        <v>141</v>
      </c>
      <c r="V245" s="36"/>
      <c r="W245" s="36"/>
      <c r="X245" s="36" t="s">
        <v>141</v>
      </c>
      <c r="Y245" s="36"/>
      <c r="Z245" s="36"/>
      <c r="AA245" s="117"/>
      <c r="AB245" s="36"/>
      <c r="AC245" s="117" t="s">
        <v>141</v>
      </c>
      <c r="AD245" s="36"/>
      <c r="AE245" s="36" t="s">
        <v>141</v>
      </c>
      <c r="AF245" s="117" t="s">
        <v>141</v>
      </c>
      <c r="AG245" s="36" t="s">
        <v>141</v>
      </c>
      <c r="AH245" s="36" t="s">
        <v>141</v>
      </c>
      <c r="AI245" s="117"/>
      <c r="AJ245" s="36"/>
      <c r="AK245" s="36"/>
      <c r="AL245" s="36"/>
      <c r="AM245" s="117" t="s">
        <v>141</v>
      </c>
      <c r="AN245" s="117" t="s">
        <v>141</v>
      </c>
      <c r="AO245" s="117"/>
      <c r="AP245" s="117"/>
      <c r="AQ245" s="117"/>
      <c r="AR245" s="117"/>
      <c r="AS245" s="117"/>
      <c r="AT245" s="117"/>
      <c r="AU245" s="117"/>
      <c r="AV245" s="119">
        <f t="shared" si="3"/>
        <v>15</v>
      </c>
      <c r="AW245" s="119"/>
      <c r="AX245" s="119" t="s">
        <v>2142</v>
      </c>
    </row>
    <row r="246" spans="1:50">
      <c r="A246">
        <v>229</v>
      </c>
      <c r="B246">
        <v>786</v>
      </c>
      <c r="C246">
        <v>246</v>
      </c>
      <c r="D246" s="7">
        <v>45781</v>
      </c>
      <c r="E246" s="7" t="s">
        <v>1163</v>
      </c>
      <c r="F246" s="10" t="s">
        <v>1198</v>
      </c>
      <c r="G246" s="36" t="s">
        <v>141</v>
      </c>
      <c r="H246" s="36" t="s">
        <v>141</v>
      </c>
      <c r="I246" s="36"/>
      <c r="J246" s="36" t="s">
        <v>141</v>
      </c>
      <c r="K246" s="36" t="s">
        <v>141</v>
      </c>
      <c r="L246" s="36" t="s">
        <v>141</v>
      </c>
      <c r="M246" s="36"/>
      <c r="N246" s="36" t="s">
        <v>141</v>
      </c>
      <c r="O246" s="117"/>
      <c r="P246" s="36" t="s">
        <v>141</v>
      </c>
      <c r="Q246" s="36" t="s">
        <v>141</v>
      </c>
      <c r="R246" s="36"/>
      <c r="S246" s="36"/>
      <c r="T246" s="36"/>
      <c r="U246" s="36" t="s">
        <v>141</v>
      </c>
      <c r="V246" s="36"/>
      <c r="W246" s="36"/>
      <c r="X246" s="36" t="s">
        <v>141</v>
      </c>
      <c r="Y246" s="36"/>
      <c r="Z246" s="36"/>
      <c r="AA246" s="117" t="s">
        <v>141</v>
      </c>
      <c r="AB246" s="36"/>
      <c r="AC246" s="117"/>
      <c r="AD246" s="36"/>
      <c r="AE246" s="36" t="s">
        <v>141</v>
      </c>
      <c r="AF246" s="117"/>
      <c r="AG246" s="36" t="s">
        <v>141</v>
      </c>
      <c r="AH246" s="36" t="s">
        <v>141</v>
      </c>
      <c r="AI246" s="117"/>
      <c r="AJ246" s="36"/>
      <c r="AK246" s="36"/>
      <c r="AL246" s="36"/>
      <c r="AM246" s="117"/>
      <c r="AN246" s="117"/>
      <c r="AO246" s="117"/>
      <c r="AP246" s="117"/>
      <c r="AQ246" s="117"/>
      <c r="AR246" s="117"/>
      <c r="AS246" s="117"/>
      <c r="AT246" s="117"/>
      <c r="AU246" s="117"/>
      <c r="AV246" s="119">
        <f t="shared" si="3"/>
        <v>14</v>
      </c>
      <c r="AW246" s="119"/>
      <c r="AX246" s="119" t="s">
        <v>2142</v>
      </c>
    </row>
    <row r="247" spans="1:50">
      <c r="A247">
        <v>230</v>
      </c>
      <c r="B247">
        <v>787</v>
      </c>
      <c r="C247">
        <v>247</v>
      </c>
      <c r="D247" s="7">
        <v>45782</v>
      </c>
      <c r="E247" s="7" t="s">
        <v>1200</v>
      </c>
      <c r="F247" s="10" t="s">
        <v>1199</v>
      </c>
      <c r="G247" s="36"/>
      <c r="H247" s="36" t="s">
        <v>141</v>
      </c>
      <c r="I247" s="36"/>
      <c r="J247" s="36" t="s">
        <v>141</v>
      </c>
      <c r="K247" s="36"/>
      <c r="L247" s="36" t="s">
        <v>141</v>
      </c>
      <c r="M247" s="36" t="s">
        <v>141</v>
      </c>
      <c r="N247" s="36" t="s">
        <v>141</v>
      </c>
      <c r="O247" s="117" t="s">
        <v>141</v>
      </c>
      <c r="P247" s="36" t="s">
        <v>141</v>
      </c>
      <c r="Q247" s="36"/>
      <c r="R247" s="36"/>
      <c r="S247" s="36" t="s">
        <v>141</v>
      </c>
      <c r="T247" s="36" t="s">
        <v>141</v>
      </c>
      <c r="U247" s="36"/>
      <c r="V247" s="36"/>
      <c r="W247" s="36"/>
      <c r="X247" s="36"/>
      <c r="Y247" s="36" t="s">
        <v>141</v>
      </c>
      <c r="Z247" s="36"/>
      <c r="AA247" s="117"/>
      <c r="AB247" s="36"/>
      <c r="AC247" s="117"/>
      <c r="AD247" s="36"/>
      <c r="AE247" s="36" t="s">
        <v>141</v>
      </c>
      <c r="AF247" s="117"/>
      <c r="AG247" s="36"/>
      <c r="AH247" s="36" t="s">
        <v>141</v>
      </c>
      <c r="AI247" s="117" t="s">
        <v>141</v>
      </c>
      <c r="AJ247" s="36"/>
      <c r="AK247" s="36"/>
      <c r="AL247" s="36"/>
      <c r="AM247" s="117" t="s">
        <v>141</v>
      </c>
      <c r="AN247" s="117" t="s">
        <v>141</v>
      </c>
      <c r="AO247" s="117" t="s">
        <v>141</v>
      </c>
      <c r="AP247" s="117"/>
      <c r="AQ247" s="117"/>
      <c r="AR247" s="117"/>
      <c r="AS247" s="117"/>
      <c r="AT247" s="117"/>
      <c r="AU247" s="117"/>
      <c r="AV247" s="119">
        <f t="shared" si="3"/>
        <v>16</v>
      </c>
      <c r="AW247" s="119"/>
      <c r="AX247" s="119" t="s">
        <v>2142</v>
      </c>
    </row>
    <row r="248" spans="1:50">
      <c r="A248">
        <v>231</v>
      </c>
      <c r="B248">
        <v>788</v>
      </c>
      <c r="C248">
        <v>248</v>
      </c>
      <c r="D248" s="7">
        <v>45782</v>
      </c>
      <c r="E248" s="7" t="s">
        <v>930</v>
      </c>
      <c r="F248" s="10" t="s">
        <v>1201</v>
      </c>
      <c r="G248" s="36"/>
      <c r="H248" s="36"/>
      <c r="I248" s="36"/>
      <c r="J248" s="36"/>
      <c r="K248" s="36"/>
      <c r="L248" s="36"/>
      <c r="M248" s="36" t="s">
        <v>141</v>
      </c>
      <c r="N248" s="36"/>
      <c r="O248" s="117" t="s">
        <v>141</v>
      </c>
      <c r="P248" s="36"/>
      <c r="Q248" s="36"/>
      <c r="R248" s="36"/>
      <c r="S248" s="36" t="s">
        <v>141</v>
      </c>
      <c r="T248" s="36"/>
      <c r="U248" s="36"/>
      <c r="V248" s="36"/>
      <c r="W248" s="36"/>
      <c r="X248" s="36"/>
      <c r="Y248" s="36" t="s">
        <v>141</v>
      </c>
      <c r="Z248" s="36"/>
      <c r="AA248" s="117"/>
      <c r="AB248" s="36"/>
      <c r="AC248" s="117"/>
      <c r="AD248" s="36"/>
      <c r="AE248" s="36" t="s">
        <v>141</v>
      </c>
      <c r="AF248" s="117"/>
      <c r="AG248" s="36"/>
      <c r="AH248" s="36" t="s">
        <v>141</v>
      </c>
      <c r="AI248" s="117" t="s">
        <v>141</v>
      </c>
      <c r="AJ248" s="36"/>
      <c r="AK248" s="36"/>
      <c r="AL248" s="36"/>
      <c r="AM248" s="117" t="s">
        <v>141</v>
      </c>
      <c r="AN248" s="117" t="s">
        <v>141</v>
      </c>
      <c r="AO248" s="117"/>
      <c r="AP248" s="117"/>
      <c r="AQ248" s="117"/>
      <c r="AR248" s="117"/>
      <c r="AS248" s="117"/>
      <c r="AT248" s="117"/>
      <c r="AU248" s="117"/>
      <c r="AV248" s="119">
        <f t="shared" si="3"/>
        <v>9</v>
      </c>
      <c r="AW248" s="119"/>
      <c r="AX248" s="119" t="s">
        <v>2142</v>
      </c>
    </row>
    <row r="249" spans="1:50">
      <c r="A249">
        <v>232</v>
      </c>
      <c r="B249">
        <v>789</v>
      </c>
      <c r="C249">
        <v>249</v>
      </c>
      <c r="D249" s="7">
        <v>45782</v>
      </c>
      <c r="E249" s="7" t="s">
        <v>1203</v>
      </c>
      <c r="F249" s="10" t="s">
        <v>1202</v>
      </c>
      <c r="G249" s="36"/>
      <c r="H249" s="36"/>
      <c r="I249" s="36"/>
      <c r="J249" s="36"/>
      <c r="K249" s="36"/>
      <c r="L249" s="36"/>
      <c r="M249" s="36" t="s">
        <v>141</v>
      </c>
      <c r="N249" s="36" t="s">
        <v>141</v>
      </c>
      <c r="O249" s="117" t="s">
        <v>141</v>
      </c>
      <c r="P249" s="36"/>
      <c r="Q249" s="36"/>
      <c r="R249" s="36"/>
      <c r="S249" s="36" t="s">
        <v>141</v>
      </c>
      <c r="T249" s="36"/>
      <c r="U249" s="36"/>
      <c r="V249" s="36"/>
      <c r="W249" s="36"/>
      <c r="X249" s="36"/>
      <c r="Y249" s="36" t="s">
        <v>141</v>
      </c>
      <c r="Z249" s="36"/>
      <c r="AA249" s="117"/>
      <c r="AB249" s="36" t="s">
        <v>141</v>
      </c>
      <c r="AC249" s="117"/>
      <c r="AD249" s="36"/>
      <c r="AE249" s="36"/>
      <c r="AF249" s="117" t="s">
        <v>141</v>
      </c>
      <c r="AG249" s="36"/>
      <c r="AH249" s="36" t="s">
        <v>141</v>
      </c>
      <c r="AI249" s="117" t="s">
        <v>141</v>
      </c>
      <c r="AJ249" s="36"/>
      <c r="AK249" s="36" t="s">
        <v>141</v>
      </c>
      <c r="AL249" s="36"/>
      <c r="AM249" s="117" t="s">
        <v>141</v>
      </c>
      <c r="AN249" s="117" t="s">
        <v>141</v>
      </c>
      <c r="AO249" s="117" t="s">
        <v>141</v>
      </c>
      <c r="AP249" s="117"/>
      <c r="AQ249" s="117"/>
      <c r="AR249" s="117"/>
      <c r="AS249" s="117"/>
      <c r="AT249" s="117"/>
      <c r="AU249" s="117"/>
      <c r="AV249" s="119">
        <f t="shared" si="3"/>
        <v>13</v>
      </c>
      <c r="AW249" s="119"/>
      <c r="AX249" s="119" t="s">
        <v>2142</v>
      </c>
    </row>
    <row r="250" spans="1:50">
      <c r="A250" t="s">
        <v>57</v>
      </c>
      <c r="B250" t="s">
        <v>57</v>
      </c>
      <c r="C250">
        <v>250</v>
      </c>
      <c r="D250" s="7">
        <v>45782</v>
      </c>
      <c r="E250" s="7" t="s">
        <v>2129</v>
      </c>
      <c r="F250" s="10" t="s">
        <v>2130</v>
      </c>
      <c r="G250" s="36" t="s">
        <v>141</v>
      </c>
      <c r="H250" s="36" t="s">
        <v>141</v>
      </c>
      <c r="I250" s="36" t="s">
        <v>2131</v>
      </c>
      <c r="J250" s="36" t="s">
        <v>141</v>
      </c>
      <c r="K250" s="36" t="s">
        <v>141</v>
      </c>
      <c r="L250" s="36" t="s">
        <v>2131</v>
      </c>
      <c r="M250" s="36" t="s">
        <v>141</v>
      </c>
      <c r="N250" s="36" t="s">
        <v>141</v>
      </c>
      <c r="O250" s="117" t="s">
        <v>2131</v>
      </c>
      <c r="P250" s="36" t="s">
        <v>141</v>
      </c>
      <c r="Q250" s="36" t="s">
        <v>141</v>
      </c>
      <c r="R250" s="36" t="s">
        <v>141</v>
      </c>
      <c r="S250" s="36" t="s">
        <v>141</v>
      </c>
      <c r="T250" s="36" t="s">
        <v>141</v>
      </c>
      <c r="U250" s="36" t="s">
        <v>2131</v>
      </c>
      <c r="V250" s="36" t="s">
        <v>141</v>
      </c>
      <c r="W250" s="36" t="s">
        <v>141</v>
      </c>
      <c r="X250" s="36" t="s">
        <v>141</v>
      </c>
      <c r="Y250" s="36" t="s">
        <v>141</v>
      </c>
      <c r="Z250" s="36" t="s">
        <v>2131</v>
      </c>
      <c r="AA250" s="117" t="s">
        <v>2131</v>
      </c>
      <c r="AB250" s="36" t="s">
        <v>141</v>
      </c>
      <c r="AC250" s="117" t="s">
        <v>141</v>
      </c>
      <c r="AD250" s="36" t="s">
        <v>141</v>
      </c>
      <c r="AE250" s="36" t="s">
        <v>141</v>
      </c>
      <c r="AF250" s="117" t="s">
        <v>2131</v>
      </c>
      <c r="AG250" s="36" t="s">
        <v>141</v>
      </c>
      <c r="AH250" s="36" t="s">
        <v>141</v>
      </c>
      <c r="AI250" s="117" t="s">
        <v>141</v>
      </c>
      <c r="AJ250" s="36" t="s">
        <v>2131</v>
      </c>
      <c r="AK250" s="36" t="s">
        <v>141</v>
      </c>
      <c r="AL250" s="36" t="s">
        <v>2131</v>
      </c>
      <c r="AM250" s="117" t="s">
        <v>2131</v>
      </c>
      <c r="AN250" s="117" t="s">
        <v>2131</v>
      </c>
      <c r="AO250" s="117" t="s">
        <v>2131</v>
      </c>
      <c r="AP250" s="117"/>
      <c r="AQ250" s="117"/>
      <c r="AR250" s="117" t="s">
        <v>141</v>
      </c>
      <c r="AS250" s="117"/>
      <c r="AT250" s="117"/>
      <c r="AU250" s="117"/>
      <c r="AV250" s="119">
        <f t="shared" si="3"/>
        <v>24</v>
      </c>
      <c r="AW250" s="119"/>
      <c r="AX250" s="119" t="s">
        <v>2142</v>
      </c>
    </row>
    <row r="251" spans="1:50">
      <c r="A251">
        <v>233</v>
      </c>
      <c r="B251">
        <v>790</v>
      </c>
      <c r="C251">
        <v>251</v>
      </c>
      <c r="D251" s="7">
        <v>45783</v>
      </c>
      <c r="E251" s="7" t="s">
        <v>1206</v>
      </c>
      <c r="F251" s="10" t="s">
        <v>1204</v>
      </c>
      <c r="G251" s="36"/>
      <c r="H251" s="36" t="s">
        <v>141</v>
      </c>
      <c r="I251" s="36"/>
      <c r="J251" s="36" t="s">
        <v>141</v>
      </c>
      <c r="K251" s="36"/>
      <c r="L251" s="36" t="s">
        <v>141</v>
      </c>
      <c r="M251" s="36" t="s">
        <v>141</v>
      </c>
      <c r="N251" s="36"/>
      <c r="O251" s="117" t="s">
        <v>141</v>
      </c>
      <c r="P251" s="36" t="s">
        <v>141</v>
      </c>
      <c r="Q251" s="36"/>
      <c r="R251" s="36"/>
      <c r="S251" s="36" t="s">
        <v>141</v>
      </c>
      <c r="T251" s="36" t="s">
        <v>141</v>
      </c>
      <c r="U251" s="36"/>
      <c r="V251" s="36"/>
      <c r="W251" s="36"/>
      <c r="X251" s="36"/>
      <c r="Y251" s="36" t="s">
        <v>141</v>
      </c>
      <c r="Z251" s="36"/>
      <c r="AA251" s="117"/>
      <c r="AB251" s="36" t="s">
        <v>141</v>
      </c>
      <c r="AC251" s="117"/>
      <c r="AD251" s="36"/>
      <c r="AE251" s="36" t="s">
        <v>141</v>
      </c>
      <c r="AF251" s="117"/>
      <c r="AG251" s="36" t="s">
        <v>141</v>
      </c>
      <c r="AH251" s="36" t="s">
        <v>141</v>
      </c>
      <c r="AI251" s="117" t="s">
        <v>141</v>
      </c>
      <c r="AJ251" s="36"/>
      <c r="AK251" s="36"/>
      <c r="AL251" s="36"/>
      <c r="AM251" s="117"/>
      <c r="AN251" s="117"/>
      <c r="AO251" s="117"/>
      <c r="AP251" s="117"/>
      <c r="AQ251" s="117"/>
      <c r="AR251" s="117"/>
      <c r="AS251" s="117"/>
      <c r="AT251" s="117"/>
      <c r="AU251" s="117"/>
      <c r="AV251" s="119">
        <f t="shared" si="3"/>
        <v>14</v>
      </c>
      <c r="AW251" s="119"/>
      <c r="AX251" s="119" t="s">
        <v>2142</v>
      </c>
    </row>
    <row r="252" spans="1:50">
      <c r="A252">
        <v>234</v>
      </c>
      <c r="B252">
        <v>791</v>
      </c>
      <c r="C252">
        <v>252</v>
      </c>
      <c r="D252" s="7">
        <v>45783</v>
      </c>
      <c r="E252" s="7" t="s">
        <v>1208</v>
      </c>
      <c r="F252" s="10" t="s">
        <v>1207</v>
      </c>
      <c r="G252" s="36"/>
      <c r="H252" s="36" t="s">
        <v>141</v>
      </c>
      <c r="I252" s="36"/>
      <c r="J252" s="36"/>
      <c r="K252" s="36"/>
      <c r="L252" s="36" t="s">
        <v>141</v>
      </c>
      <c r="M252" s="36" t="s">
        <v>141</v>
      </c>
      <c r="N252" s="36"/>
      <c r="O252" s="117" t="s">
        <v>141</v>
      </c>
      <c r="P252" s="36" t="s">
        <v>141</v>
      </c>
      <c r="Q252" s="36" t="s">
        <v>141</v>
      </c>
      <c r="R252" s="36"/>
      <c r="S252" s="36" t="s">
        <v>141</v>
      </c>
      <c r="T252" s="36" t="s">
        <v>141</v>
      </c>
      <c r="U252" s="36"/>
      <c r="V252" s="36"/>
      <c r="W252" s="36"/>
      <c r="X252" s="36"/>
      <c r="Y252" s="36" t="s">
        <v>141</v>
      </c>
      <c r="Z252" s="36"/>
      <c r="AA252" s="117"/>
      <c r="AB252" s="36"/>
      <c r="AC252" s="117"/>
      <c r="AD252" s="36"/>
      <c r="AE252" s="36" t="s">
        <v>141</v>
      </c>
      <c r="AF252" s="117"/>
      <c r="AG252" s="36" t="s">
        <v>141</v>
      </c>
      <c r="AH252" s="36"/>
      <c r="AI252" s="117" t="s">
        <v>141</v>
      </c>
      <c r="AJ252" s="36"/>
      <c r="AK252" s="36"/>
      <c r="AL252" s="36"/>
      <c r="AM252" s="117"/>
      <c r="AN252" s="117"/>
      <c r="AO252" s="117"/>
      <c r="AP252" s="117"/>
      <c r="AQ252" s="117"/>
      <c r="AR252" s="117"/>
      <c r="AS252" s="117"/>
      <c r="AT252" s="117"/>
      <c r="AU252" s="117"/>
      <c r="AV252" s="119">
        <f t="shared" si="3"/>
        <v>12</v>
      </c>
      <c r="AW252" s="119"/>
      <c r="AX252" s="119" t="s">
        <v>2142</v>
      </c>
    </row>
    <row r="253" spans="1:50">
      <c r="A253">
        <v>235</v>
      </c>
      <c r="B253">
        <v>792</v>
      </c>
      <c r="C253">
        <v>253</v>
      </c>
      <c r="D253" s="7">
        <v>45784</v>
      </c>
      <c r="E253" s="7" t="s">
        <v>1210</v>
      </c>
      <c r="F253" s="10" t="s">
        <v>1209</v>
      </c>
      <c r="G253" s="36" t="s">
        <v>141</v>
      </c>
      <c r="H253" s="36" t="s">
        <v>141</v>
      </c>
      <c r="I253" s="36"/>
      <c r="J253" s="36" t="s">
        <v>141</v>
      </c>
      <c r="K253" s="36"/>
      <c r="L253" s="36"/>
      <c r="M253" s="36"/>
      <c r="N253" s="36"/>
      <c r="O253" s="117" t="s">
        <v>141</v>
      </c>
      <c r="P253" s="36" t="s">
        <v>141</v>
      </c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117"/>
      <c r="AB253" s="36" t="s">
        <v>141</v>
      </c>
      <c r="AC253" s="117"/>
      <c r="AD253" s="36" t="s">
        <v>141</v>
      </c>
      <c r="AE253" s="36"/>
      <c r="AF253" s="117"/>
      <c r="AG253" s="36"/>
      <c r="AH253" s="36" t="s">
        <v>141</v>
      </c>
      <c r="AI253" s="117" t="s">
        <v>141</v>
      </c>
      <c r="AJ253" s="36"/>
      <c r="AK253" s="36" t="s">
        <v>141</v>
      </c>
      <c r="AL253" s="36"/>
      <c r="AM253" s="117"/>
      <c r="AN253" s="117"/>
      <c r="AO253" s="117"/>
      <c r="AP253" s="117"/>
      <c r="AQ253" s="117"/>
      <c r="AR253" s="117"/>
      <c r="AS253" s="117"/>
      <c r="AT253" s="117"/>
      <c r="AU253" s="117"/>
      <c r="AV253" s="119">
        <f t="shared" si="3"/>
        <v>10</v>
      </c>
      <c r="AW253" s="119"/>
      <c r="AX253" s="119" t="s">
        <v>2142</v>
      </c>
    </row>
    <row r="254" spans="1:50">
      <c r="A254">
        <v>236</v>
      </c>
      <c r="B254">
        <v>793</v>
      </c>
      <c r="C254">
        <v>254</v>
      </c>
      <c r="D254" s="7">
        <v>45785</v>
      </c>
      <c r="E254" s="7" t="s">
        <v>1212</v>
      </c>
      <c r="F254" s="10" t="s">
        <v>1211</v>
      </c>
      <c r="G254" s="36"/>
      <c r="H254" s="36"/>
      <c r="I254" s="36"/>
      <c r="J254" s="36" t="s">
        <v>141</v>
      </c>
      <c r="K254" s="36"/>
      <c r="L254" s="36" t="s">
        <v>141</v>
      </c>
      <c r="M254" s="36"/>
      <c r="N254" s="36"/>
      <c r="O254" s="117" t="s">
        <v>141</v>
      </c>
      <c r="P254" s="36" t="s">
        <v>141</v>
      </c>
      <c r="Q254" s="36"/>
      <c r="R254" s="36"/>
      <c r="S254" s="36"/>
      <c r="T254" s="36" t="s">
        <v>141</v>
      </c>
      <c r="U254" s="36"/>
      <c r="V254" s="36"/>
      <c r="W254" s="36" t="s">
        <v>141</v>
      </c>
      <c r="X254" s="36"/>
      <c r="Y254" s="36"/>
      <c r="Z254" s="36"/>
      <c r="AA254" s="117" t="s">
        <v>141</v>
      </c>
      <c r="AB254" s="36" t="s">
        <v>141</v>
      </c>
      <c r="AC254" s="117"/>
      <c r="AD254" s="36"/>
      <c r="AE254" s="36"/>
      <c r="AF254" s="117"/>
      <c r="AG254" s="36"/>
      <c r="AH254" s="36" t="s">
        <v>141</v>
      </c>
      <c r="AI254" s="117" t="s">
        <v>141</v>
      </c>
      <c r="AJ254" s="36"/>
      <c r="AK254" s="36"/>
      <c r="AL254" s="36"/>
      <c r="AM254" s="117"/>
      <c r="AN254" s="117"/>
      <c r="AO254" s="117"/>
      <c r="AP254" s="117"/>
      <c r="AQ254" s="117"/>
      <c r="AR254" s="117"/>
      <c r="AS254" s="117"/>
      <c r="AT254" s="117"/>
      <c r="AU254" s="117"/>
      <c r="AV254" s="119">
        <f t="shared" si="3"/>
        <v>10</v>
      </c>
      <c r="AW254" s="119"/>
      <c r="AX254" s="119" t="s">
        <v>2142</v>
      </c>
    </row>
    <row r="255" spans="1:50">
      <c r="A255">
        <v>237</v>
      </c>
      <c r="B255">
        <v>794</v>
      </c>
      <c r="C255">
        <v>255</v>
      </c>
      <c r="D255" s="7">
        <v>45785</v>
      </c>
      <c r="E255" s="7" t="s">
        <v>1214</v>
      </c>
      <c r="F255" s="10" t="s">
        <v>1213</v>
      </c>
      <c r="G255" s="36" t="s">
        <v>141</v>
      </c>
      <c r="H255" s="36" t="s">
        <v>141</v>
      </c>
      <c r="I255" s="36"/>
      <c r="J255" s="36" t="s">
        <v>141</v>
      </c>
      <c r="K255" s="36" t="s">
        <v>141</v>
      </c>
      <c r="L255" s="36" t="s">
        <v>141</v>
      </c>
      <c r="M255" s="36"/>
      <c r="N255" s="36" t="s">
        <v>141</v>
      </c>
      <c r="O255" s="117" t="s">
        <v>141</v>
      </c>
      <c r="P255" s="36"/>
      <c r="Q255" s="36"/>
      <c r="R255" s="36" t="s">
        <v>141</v>
      </c>
      <c r="S255" s="36"/>
      <c r="T255" s="36" t="s">
        <v>141</v>
      </c>
      <c r="U255" s="36"/>
      <c r="V255" s="36"/>
      <c r="W255" s="36" t="s">
        <v>141</v>
      </c>
      <c r="X255" s="36"/>
      <c r="Y255" s="36"/>
      <c r="Z255" s="36"/>
      <c r="AA255" s="117"/>
      <c r="AB255" s="36"/>
      <c r="AC255" s="117"/>
      <c r="AD255" s="36"/>
      <c r="AE255" s="36"/>
      <c r="AF255" s="117"/>
      <c r="AG255" s="36"/>
      <c r="AH255" s="36" t="s">
        <v>141</v>
      </c>
      <c r="AI255" s="117"/>
      <c r="AJ255" s="36"/>
      <c r="AK255" s="36"/>
      <c r="AL255" s="36"/>
      <c r="AM255" s="117" t="s">
        <v>141</v>
      </c>
      <c r="AN255" s="117" t="s">
        <v>141</v>
      </c>
      <c r="AO255" s="117"/>
      <c r="AP255" s="117"/>
      <c r="AQ255" s="117"/>
      <c r="AR255" s="117"/>
      <c r="AS255" s="117"/>
      <c r="AT255" s="117"/>
      <c r="AU255" s="117"/>
      <c r="AV255" s="119">
        <f t="shared" si="3"/>
        <v>13</v>
      </c>
      <c r="AW255" s="119"/>
      <c r="AX255" s="119" t="s">
        <v>2142</v>
      </c>
    </row>
    <row r="256" spans="1:50">
      <c r="A256">
        <v>238</v>
      </c>
      <c r="B256">
        <v>795</v>
      </c>
      <c r="C256">
        <v>256</v>
      </c>
      <c r="D256" s="7">
        <v>45783</v>
      </c>
      <c r="E256" s="7" t="s">
        <v>1216</v>
      </c>
      <c r="F256" s="10" t="s">
        <v>1215</v>
      </c>
      <c r="G256" s="36" t="s">
        <v>141</v>
      </c>
      <c r="H256" s="36" t="s">
        <v>141</v>
      </c>
      <c r="I256" s="36"/>
      <c r="J256" s="36" t="s">
        <v>141</v>
      </c>
      <c r="K256" s="36"/>
      <c r="L256" s="36" t="s">
        <v>141</v>
      </c>
      <c r="M256" s="36"/>
      <c r="N256" s="36" t="s">
        <v>141</v>
      </c>
      <c r="O256" s="117" t="s">
        <v>141</v>
      </c>
      <c r="P256" s="36"/>
      <c r="Q256" s="36"/>
      <c r="R256" s="36"/>
      <c r="S256" s="36"/>
      <c r="T256" s="36" t="s">
        <v>141</v>
      </c>
      <c r="U256" s="36"/>
      <c r="V256" s="36"/>
      <c r="W256" s="36"/>
      <c r="X256" s="36"/>
      <c r="Y256" s="36"/>
      <c r="Z256" s="36"/>
      <c r="AA256" s="117"/>
      <c r="AB256" s="36"/>
      <c r="AC256" s="117"/>
      <c r="AD256" s="36"/>
      <c r="AE256" s="36"/>
      <c r="AF256" s="117"/>
      <c r="AG256" s="36"/>
      <c r="AH256" s="36" t="s">
        <v>141</v>
      </c>
      <c r="AI256" s="117"/>
      <c r="AJ256" s="36"/>
      <c r="AK256" s="36"/>
      <c r="AL256" s="36"/>
      <c r="AM256" s="117"/>
      <c r="AN256" s="117"/>
      <c r="AO256" s="117"/>
      <c r="AP256" s="117"/>
      <c r="AQ256" s="117"/>
      <c r="AR256" s="117" t="s">
        <v>141</v>
      </c>
      <c r="AS256" s="117"/>
      <c r="AT256" s="117"/>
      <c r="AU256" s="117"/>
      <c r="AV256" s="119">
        <f t="shared" si="3"/>
        <v>9</v>
      </c>
      <c r="AW256" s="119"/>
      <c r="AX256" s="119" t="s">
        <v>2142</v>
      </c>
    </row>
    <row r="257" spans="1:50">
      <c r="A257">
        <v>239</v>
      </c>
      <c r="B257">
        <v>796</v>
      </c>
      <c r="C257">
        <v>257</v>
      </c>
      <c r="D257" s="7">
        <v>45783</v>
      </c>
      <c r="E257" s="7" t="s">
        <v>1219</v>
      </c>
      <c r="F257" s="10" t="s">
        <v>1217</v>
      </c>
      <c r="G257" s="36" t="s">
        <v>141</v>
      </c>
      <c r="H257" s="36" t="s">
        <v>141</v>
      </c>
      <c r="I257" s="36"/>
      <c r="J257" s="36" t="s">
        <v>141</v>
      </c>
      <c r="K257" s="36"/>
      <c r="L257" s="36" t="s">
        <v>141</v>
      </c>
      <c r="M257" s="36"/>
      <c r="N257" s="36"/>
      <c r="O257" s="117" t="s">
        <v>141</v>
      </c>
      <c r="P257" s="36"/>
      <c r="Q257" s="36"/>
      <c r="R257" s="36" t="s">
        <v>141</v>
      </c>
      <c r="S257" s="36"/>
      <c r="T257" s="36" t="s">
        <v>141</v>
      </c>
      <c r="U257" s="36"/>
      <c r="V257" s="36"/>
      <c r="W257" s="36"/>
      <c r="X257" s="36"/>
      <c r="Y257" s="36"/>
      <c r="Z257" s="36"/>
      <c r="AA257" s="117" t="s">
        <v>141</v>
      </c>
      <c r="AB257" s="36"/>
      <c r="AC257" s="117"/>
      <c r="AD257" s="36"/>
      <c r="AE257" s="36"/>
      <c r="AF257" s="117"/>
      <c r="AG257" s="36"/>
      <c r="AH257" s="36" t="s">
        <v>141</v>
      </c>
      <c r="AI257" s="117" t="s">
        <v>141</v>
      </c>
      <c r="AJ257" s="36"/>
      <c r="AK257" s="36"/>
      <c r="AL257" s="36"/>
      <c r="AM257" s="117" t="s">
        <v>141</v>
      </c>
      <c r="AN257" s="117" t="s">
        <v>141</v>
      </c>
      <c r="AO257" s="117"/>
      <c r="AP257" s="117"/>
      <c r="AQ257" s="117"/>
      <c r="AR257" s="117"/>
      <c r="AS257" s="117"/>
      <c r="AT257" s="117"/>
      <c r="AU257" s="117"/>
      <c r="AV257" s="119">
        <f t="shared" si="3"/>
        <v>12</v>
      </c>
      <c r="AW257" s="119"/>
      <c r="AX257" s="119" t="s">
        <v>2142</v>
      </c>
    </row>
    <row r="258" spans="1:50">
      <c r="A258">
        <v>240</v>
      </c>
      <c r="B258">
        <v>797</v>
      </c>
      <c r="C258">
        <v>258</v>
      </c>
      <c r="D258" s="7">
        <v>45783</v>
      </c>
      <c r="E258" s="7" t="s">
        <v>1221</v>
      </c>
      <c r="F258" s="10" t="s">
        <v>1220</v>
      </c>
      <c r="G258" s="36"/>
      <c r="H258" s="36" t="s">
        <v>141</v>
      </c>
      <c r="I258" s="36"/>
      <c r="J258" s="36" t="s">
        <v>141</v>
      </c>
      <c r="K258" s="36" t="s">
        <v>141</v>
      </c>
      <c r="L258" s="36" t="s">
        <v>141</v>
      </c>
      <c r="M258" s="36"/>
      <c r="N258" s="36"/>
      <c r="O258" s="117" t="s">
        <v>141</v>
      </c>
      <c r="P258" s="36"/>
      <c r="Q258" s="36"/>
      <c r="R258" s="36" t="s">
        <v>141</v>
      </c>
      <c r="S258" s="36"/>
      <c r="T258" s="36" t="s">
        <v>141</v>
      </c>
      <c r="U258" s="36"/>
      <c r="V258" s="36"/>
      <c r="W258" s="36"/>
      <c r="X258" s="36"/>
      <c r="Y258" s="36"/>
      <c r="Z258" s="36"/>
      <c r="AA258" s="117"/>
      <c r="AB258" s="36"/>
      <c r="AC258" s="117"/>
      <c r="AD258" s="36" t="s">
        <v>141</v>
      </c>
      <c r="AE258" s="36"/>
      <c r="AF258" s="117"/>
      <c r="AG258" s="36"/>
      <c r="AH258" s="36" t="s">
        <v>141</v>
      </c>
      <c r="AI258" s="117" t="s">
        <v>141</v>
      </c>
      <c r="AJ258" s="36"/>
      <c r="AK258" s="36"/>
      <c r="AL258" s="36"/>
      <c r="AM258" s="117" t="s">
        <v>141</v>
      </c>
      <c r="AN258" s="117" t="s">
        <v>141</v>
      </c>
      <c r="AO258" s="117"/>
      <c r="AP258" s="117"/>
      <c r="AQ258" s="117"/>
      <c r="AR258" s="117" t="s">
        <v>141</v>
      </c>
      <c r="AS258" s="117"/>
      <c r="AT258" s="117"/>
      <c r="AU258" s="117"/>
      <c r="AV258" s="119">
        <f t="shared" ref="AV258:AV321" si="4">COUNTIF($F258:$AS258, "I")</f>
        <v>13</v>
      </c>
      <c r="AW258" s="119"/>
      <c r="AX258" s="119" t="s">
        <v>2142</v>
      </c>
    </row>
    <row r="259" spans="1:50">
      <c r="A259">
        <v>241</v>
      </c>
      <c r="B259">
        <v>798</v>
      </c>
      <c r="C259">
        <v>259</v>
      </c>
      <c r="D259" s="7">
        <v>45786</v>
      </c>
      <c r="E259" s="7" t="s">
        <v>1223</v>
      </c>
      <c r="F259" s="10" t="s">
        <v>1222</v>
      </c>
      <c r="G259" s="36" t="s">
        <v>141</v>
      </c>
      <c r="H259" s="36" t="s">
        <v>141</v>
      </c>
      <c r="I259" s="36"/>
      <c r="J259" s="36"/>
      <c r="K259" s="36" t="s">
        <v>141</v>
      </c>
      <c r="L259" s="36" t="s">
        <v>141</v>
      </c>
      <c r="M259" s="36"/>
      <c r="N259" s="36"/>
      <c r="O259" s="117" t="s">
        <v>141</v>
      </c>
      <c r="P259" s="36"/>
      <c r="Q259" s="36" t="s">
        <v>141</v>
      </c>
      <c r="R259" s="36" t="s">
        <v>141</v>
      </c>
      <c r="S259" s="36"/>
      <c r="T259" s="36"/>
      <c r="U259" s="36"/>
      <c r="V259" s="36"/>
      <c r="W259" s="36"/>
      <c r="X259" s="36"/>
      <c r="Y259" s="36" t="s">
        <v>141</v>
      </c>
      <c r="Z259" s="36"/>
      <c r="AA259" s="117" t="s">
        <v>141</v>
      </c>
      <c r="AB259" s="36"/>
      <c r="AC259" s="117"/>
      <c r="AD259" s="36"/>
      <c r="AE259" s="36"/>
      <c r="AF259" s="117" t="s">
        <v>141</v>
      </c>
      <c r="AG259" s="36"/>
      <c r="AH259" s="36" t="s">
        <v>141</v>
      </c>
      <c r="AI259" s="117" t="s">
        <v>141</v>
      </c>
      <c r="AJ259" s="36"/>
      <c r="AK259" s="36"/>
      <c r="AL259" s="36"/>
      <c r="AM259" s="117" t="s">
        <v>141</v>
      </c>
      <c r="AN259" s="117" t="s">
        <v>141</v>
      </c>
      <c r="AO259" s="117"/>
      <c r="AP259" s="117"/>
      <c r="AQ259" s="117"/>
      <c r="AR259" s="117"/>
      <c r="AS259" s="117"/>
      <c r="AT259" s="117"/>
      <c r="AU259" s="117"/>
      <c r="AV259" s="119">
        <f t="shared" si="4"/>
        <v>14</v>
      </c>
      <c r="AW259" s="119"/>
      <c r="AX259" s="119" t="s">
        <v>2142</v>
      </c>
    </row>
    <row r="260" spans="1:50">
      <c r="A260">
        <v>242</v>
      </c>
      <c r="B260">
        <v>799</v>
      </c>
      <c r="C260">
        <v>260</v>
      </c>
      <c r="D260" s="7">
        <v>45786</v>
      </c>
      <c r="E260" s="7" t="s">
        <v>1225</v>
      </c>
      <c r="F260" s="10" t="s">
        <v>1224</v>
      </c>
      <c r="G260" s="36" t="s">
        <v>141</v>
      </c>
      <c r="H260" s="36" t="s">
        <v>141</v>
      </c>
      <c r="I260" s="36"/>
      <c r="J260" s="36"/>
      <c r="K260" s="36"/>
      <c r="L260" s="36" t="s">
        <v>141</v>
      </c>
      <c r="M260" s="36"/>
      <c r="N260" s="36"/>
      <c r="O260" s="117" t="s">
        <v>141</v>
      </c>
      <c r="P260" s="36" t="s">
        <v>141</v>
      </c>
      <c r="Q260" s="36" t="s">
        <v>141</v>
      </c>
      <c r="R260" s="36"/>
      <c r="S260" s="36" t="s">
        <v>141</v>
      </c>
      <c r="T260" s="36"/>
      <c r="U260" s="36"/>
      <c r="V260" s="36"/>
      <c r="W260" s="36"/>
      <c r="X260" s="36"/>
      <c r="Y260" s="36"/>
      <c r="Z260" s="36"/>
      <c r="AA260" s="117" t="s">
        <v>141</v>
      </c>
      <c r="AB260" s="36"/>
      <c r="AC260" s="117"/>
      <c r="AD260" s="36"/>
      <c r="AE260" s="36"/>
      <c r="AF260" s="117"/>
      <c r="AG260" s="36" t="s">
        <v>141</v>
      </c>
      <c r="AH260" s="36" t="s">
        <v>141</v>
      </c>
      <c r="AI260" s="117" t="s">
        <v>141</v>
      </c>
      <c r="AJ260" s="36"/>
      <c r="AK260" s="36"/>
      <c r="AL260" s="36"/>
      <c r="AM260" s="117" t="s">
        <v>141</v>
      </c>
      <c r="AN260" s="117" t="s">
        <v>141</v>
      </c>
      <c r="AO260" s="117" t="s">
        <v>141</v>
      </c>
      <c r="AP260" s="117"/>
      <c r="AQ260" s="117"/>
      <c r="AR260" s="117"/>
      <c r="AS260" s="117"/>
      <c r="AT260" s="117"/>
      <c r="AU260" s="117"/>
      <c r="AV260" s="119">
        <f t="shared" si="4"/>
        <v>14</v>
      </c>
      <c r="AW260" s="119"/>
      <c r="AX260" s="119" t="s">
        <v>2142</v>
      </c>
    </row>
    <row r="261" spans="1:50">
      <c r="A261">
        <v>243</v>
      </c>
      <c r="B261">
        <v>800</v>
      </c>
      <c r="C261">
        <v>261</v>
      </c>
      <c r="D261" s="7">
        <v>45786</v>
      </c>
      <c r="E261" s="7" t="s">
        <v>1227</v>
      </c>
      <c r="F261" s="10" t="s">
        <v>1226</v>
      </c>
      <c r="G261" s="36" t="s">
        <v>141</v>
      </c>
      <c r="H261" s="36" t="s">
        <v>141</v>
      </c>
      <c r="I261" s="36"/>
      <c r="J261" s="36" t="s">
        <v>141</v>
      </c>
      <c r="K261" s="36"/>
      <c r="L261" s="36" t="s">
        <v>141</v>
      </c>
      <c r="M261" s="36"/>
      <c r="N261" s="36"/>
      <c r="O261" s="117" t="s">
        <v>141</v>
      </c>
      <c r="P261" s="36" t="s">
        <v>141</v>
      </c>
      <c r="Q261" s="36" t="s">
        <v>141</v>
      </c>
      <c r="R261" s="36"/>
      <c r="S261" s="36"/>
      <c r="T261" s="36"/>
      <c r="U261" s="36"/>
      <c r="V261" s="36"/>
      <c r="W261" s="36" t="s">
        <v>141</v>
      </c>
      <c r="X261" s="36"/>
      <c r="Y261" s="36" t="s">
        <v>141</v>
      </c>
      <c r="Z261" s="36"/>
      <c r="AA261" s="117"/>
      <c r="AB261" s="36" t="s">
        <v>141</v>
      </c>
      <c r="AC261" s="117"/>
      <c r="AD261" s="36"/>
      <c r="AE261" s="36"/>
      <c r="AF261" s="117"/>
      <c r="AG261" s="36" t="s">
        <v>141</v>
      </c>
      <c r="AH261" s="36" t="s">
        <v>141</v>
      </c>
      <c r="AI261" s="117"/>
      <c r="AJ261" s="36"/>
      <c r="AK261" s="36"/>
      <c r="AL261" s="36"/>
      <c r="AM261" s="117" t="s">
        <v>141</v>
      </c>
      <c r="AN261" s="117" t="s">
        <v>141</v>
      </c>
      <c r="AO261" s="117"/>
      <c r="AP261" s="117"/>
      <c r="AQ261" s="117"/>
      <c r="AR261" s="117"/>
      <c r="AS261" s="117"/>
      <c r="AT261" s="117"/>
      <c r="AU261" s="117"/>
      <c r="AV261" s="119">
        <f t="shared" si="4"/>
        <v>14</v>
      </c>
      <c r="AW261" s="119"/>
      <c r="AX261" s="119" t="s">
        <v>2142</v>
      </c>
    </row>
    <row r="262" spans="1:50">
      <c r="A262">
        <v>244</v>
      </c>
      <c r="B262">
        <v>801</v>
      </c>
      <c r="C262">
        <v>262</v>
      </c>
      <c r="D262" s="7">
        <v>45787</v>
      </c>
      <c r="E262" s="7" t="s">
        <v>1229</v>
      </c>
      <c r="F262" s="10" t="s">
        <v>1228</v>
      </c>
      <c r="G262" s="36"/>
      <c r="H262" s="36" t="s">
        <v>141</v>
      </c>
      <c r="I262" s="36" t="s">
        <v>141</v>
      </c>
      <c r="J262" s="36"/>
      <c r="K262" s="36" t="s">
        <v>141</v>
      </c>
      <c r="L262" s="36" t="s">
        <v>141</v>
      </c>
      <c r="M262" s="36"/>
      <c r="N262" s="36"/>
      <c r="O262" s="117"/>
      <c r="P262" s="36" t="s">
        <v>141</v>
      </c>
      <c r="Q262" s="36"/>
      <c r="R262" s="36"/>
      <c r="S262" s="36"/>
      <c r="T262" s="36" t="s">
        <v>141</v>
      </c>
      <c r="U262" s="36"/>
      <c r="V262" s="36"/>
      <c r="W262" s="36"/>
      <c r="X262" s="36"/>
      <c r="Y262" s="36" t="s">
        <v>141</v>
      </c>
      <c r="Z262" s="36"/>
      <c r="AA262" s="117"/>
      <c r="AB262" s="36"/>
      <c r="AC262" s="117"/>
      <c r="AD262" s="36" t="s">
        <v>141</v>
      </c>
      <c r="AE262" s="36"/>
      <c r="AF262" s="117"/>
      <c r="AG262" s="36"/>
      <c r="AH262" s="36" t="s">
        <v>141</v>
      </c>
      <c r="AI262" s="117" t="s">
        <v>141</v>
      </c>
      <c r="AJ262" s="36"/>
      <c r="AK262" s="36"/>
      <c r="AL262" s="36"/>
      <c r="AM262" s="117"/>
      <c r="AN262" s="117"/>
      <c r="AO262" s="117"/>
      <c r="AP262" s="117"/>
      <c r="AQ262" s="117"/>
      <c r="AR262" s="117" t="s">
        <v>141</v>
      </c>
      <c r="AS262" s="117"/>
      <c r="AT262" s="117"/>
      <c r="AU262" s="117"/>
      <c r="AV262" s="119">
        <f t="shared" si="4"/>
        <v>11</v>
      </c>
      <c r="AW262" s="119"/>
      <c r="AX262" s="119" t="s">
        <v>2142</v>
      </c>
    </row>
    <row r="263" spans="1:50">
      <c r="A263">
        <v>245</v>
      </c>
      <c r="B263">
        <v>802</v>
      </c>
      <c r="C263">
        <v>263</v>
      </c>
      <c r="D263" s="7">
        <v>45787</v>
      </c>
      <c r="E263" s="7" t="s">
        <v>1231</v>
      </c>
      <c r="F263" s="10" t="s">
        <v>1230</v>
      </c>
      <c r="G263" s="36"/>
      <c r="H263" s="36"/>
      <c r="I263" s="36" t="s">
        <v>141</v>
      </c>
      <c r="J263" s="36" t="s">
        <v>141</v>
      </c>
      <c r="K263" s="36"/>
      <c r="L263" s="36" t="s">
        <v>141</v>
      </c>
      <c r="M263" s="36"/>
      <c r="N263" s="36"/>
      <c r="O263" s="117"/>
      <c r="P263" s="36"/>
      <c r="Q263" s="36"/>
      <c r="R263" s="36" t="s">
        <v>141</v>
      </c>
      <c r="S263" s="36" t="s">
        <v>141</v>
      </c>
      <c r="T263" s="36"/>
      <c r="U263" s="36"/>
      <c r="V263" s="36"/>
      <c r="W263" s="36"/>
      <c r="X263" s="36"/>
      <c r="Y263" s="36"/>
      <c r="Z263" s="36"/>
      <c r="AA263" s="117"/>
      <c r="AB263" s="36" t="s">
        <v>141</v>
      </c>
      <c r="AC263" s="117"/>
      <c r="AD263" s="36" t="s">
        <v>141</v>
      </c>
      <c r="AE263" s="36"/>
      <c r="AF263" s="117"/>
      <c r="AG263" s="36"/>
      <c r="AH263" s="36"/>
      <c r="AI263" s="117"/>
      <c r="AJ263" s="36"/>
      <c r="AK263" s="36"/>
      <c r="AL263" s="36"/>
      <c r="AM263" s="117" t="s">
        <v>141</v>
      </c>
      <c r="AN263" s="117" t="s">
        <v>141</v>
      </c>
      <c r="AO263" s="117"/>
      <c r="AP263" s="117"/>
      <c r="AQ263" s="117"/>
      <c r="AR263" s="117"/>
      <c r="AS263" s="117"/>
      <c r="AT263" s="117"/>
      <c r="AU263" s="117"/>
      <c r="AV263" s="119">
        <f t="shared" si="4"/>
        <v>9</v>
      </c>
      <c r="AW263" s="119"/>
      <c r="AX263" s="119" t="s">
        <v>2142</v>
      </c>
    </row>
    <row r="264" spans="1:50">
      <c r="A264">
        <v>246</v>
      </c>
      <c r="B264">
        <v>803</v>
      </c>
      <c r="C264">
        <v>264</v>
      </c>
      <c r="D264" s="7">
        <v>45787</v>
      </c>
      <c r="E264" s="7" t="s">
        <v>1233</v>
      </c>
      <c r="F264" s="10" t="s">
        <v>1232</v>
      </c>
      <c r="G264" s="36" t="s">
        <v>141</v>
      </c>
      <c r="H264" s="36"/>
      <c r="I264" s="36" t="s">
        <v>141</v>
      </c>
      <c r="J264" s="36" t="s">
        <v>141</v>
      </c>
      <c r="K264" s="36"/>
      <c r="L264" s="36" t="s">
        <v>141</v>
      </c>
      <c r="M264" s="36"/>
      <c r="N264" s="36"/>
      <c r="O264" s="117"/>
      <c r="P264" s="36"/>
      <c r="Q264" s="36"/>
      <c r="R264" s="36" t="s">
        <v>141</v>
      </c>
      <c r="S264" s="36" t="s">
        <v>141</v>
      </c>
      <c r="T264" s="36"/>
      <c r="U264" s="36"/>
      <c r="V264" s="36"/>
      <c r="W264" s="36" t="s">
        <v>141</v>
      </c>
      <c r="X264" s="36"/>
      <c r="Y264" s="36"/>
      <c r="Z264" s="36"/>
      <c r="AA264" s="117" t="s">
        <v>141</v>
      </c>
      <c r="AB264" s="36"/>
      <c r="AC264" s="117" t="s">
        <v>141</v>
      </c>
      <c r="AD264" s="36" t="s">
        <v>141</v>
      </c>
      <c r="AE264" s="36"/>
      <c r="AF264" s="117"/>
      <c r="AG264" s="36"/>
      <c r="AH264" s="36"/>
      <c r="AI264" s="117"/>
      <c r="AJ264" s="36"/>
      <c r="AK264" s="36"/>
      <c r="AL264" s="36"/>
      <c r="AM264" s="117"/>
      <c r="AN264" s="117"/>
      <c r="AO264" s="117"/>
      <c r="AP264" s="117"/>
      <c r="AQ264" s="117"/>
      <c r="AR264" s="117"/>
      <c r="AS264" s="117"/>
      <c r="AT264" s="117"/>
      <c r="AU264" s="117"/>
      <c r="AV264" s="119">
        <f t="shared" si="4"/>
        <v>10</v>
      </c>
      <c r="AW264" s="119"/>
      <c r="AX264" s="119" t="s">
        <v>2142</v>
      </c>
    </row>
    <row r="265" spans="1:50">
      <c r="A265">
        <v>247</v>
      </c>
      <c r="B265">
        <v>804</v>
      </c>
      <c r="C265">
        <v>265</v>
      </c>
      <c r="D265" s="7">
        <v>45788</v>
      </c>
      <c r="E265" s="7" t="s">
        <v>1235</v>
      </c>
      <c r="F265" s="10" t="s">
        <v>1234</v>
      </c>
      <c r="G265" s="36" t="s">
        <v>141</v>
      </c>
      <c r="H265" s="36"/>
      <c r="I265" s="36"/>
      <c r="J265" s="36" t="s">
        <v>141</v>
      </c>
      <c r="K265" s="36"/>
      <c r="L265" s="36" t="s">
        <v>141</v>
      </c>
      <c r="M265" s="36"/>
      <c r="N265" s="36"/>
      <c r="O265" s="117"/>
      <c r="P265" s="36"/>
      <c r="Q265" s="36"/>
      <c r="R265" s="36" t="s">
        <v>141</v>
      </c>
      <c r="S265" s="36"/>
      <c r="T265" s="36" t="s">
        <v>141</v>
      </c>
      <c r="U265" s="36"/>
      <c r="V265" s="36"/>
      <c r="W265" s="36" t="s">
        <v>141</v>
      </c>
      <c r="X265" s="36"/>
      <c r="Y265" s="36" t="s">
        <v>141</v>
      </c>
      <c r="Z265" s="36"/>
      <c r="AA265" s="117"/>
      <c r="AB265" s="36" t="s">
        <v>141</v>
      </c>
      <c r="AC265" s="117" t="s">
        <v>141</v>
      </c>
      <c r="AD265" s="36"/>
      <c r="AE265" s="36"/>
      <c r="AF265" s="117"/>
      <c r="AG265" s="36"/>
      <c r="AH265" s="36"/>
      <c r="AI265" s="117"/>
      <c r="AJ265" s="36"/>
      <c r="AK265" s="36"/>
      <c r="AL265" s="36"/>
      <c r="AM265" s="117" t="s">
        <v>141</v>
      </c>
      <c r="AN265" s="117" t="s">
        <v>141</v>
      </c>
      <c r="AO265" s="117"/>
      <c r="AP265" s="117"/>
      <c r="AQ265" s="117"/>
      <c r="AR265" s="117" t="s">
        <v>141</v>
      </c>
      <c r="AS265" s="117"/>
      <c r="AT265" s="117"/>
      <c r="AU265" s="117"/>
      <c r="AV265" s="119">
        <f t="shared" si="4"/>
        <v>12</v>
      </c>
      <c r="AW265" s="119"/>
      <c r="AX265" s="119" t="s">
        <v>2142</v>
      </c>
    </row>
    <row r="266" spans="1:50">
      <c r="A266">
        <v>248</v>
      </c>
      <c r="B266">
        <v>805</v>
      </c>
      <c r="C266">
        <v>266</v>
      </c>
      <c r="D266" s="7">
        <v>45788</v>
      </c>
      <c r="E266" s="7" t="s">
        <v>1237</v>
      </c>
      <c r="F266" s="10" t="s">
        <v>1236</v>
      </c>
      <c r="G266" s="36" t="s">
        <v>141</v>
      </c>
      <c r="H266" s="36"/>
      <c r="I266" s="36" t="s">
        <v>141</v>
      </c>
      <c r="J266" s="36" t="s">
        <v>141</v>
      </c>
      <c r="K266" s="36"/>
      <c r="L266" s="36" t="s">
        <v>141</v>
      </c>
      <c r="M266" s="36"/>
      <c r="N266" s="36"/>
      <c r="O266" s="117"/>
      <c r="P266" s="36"/>
      <c r="Q266" s="36"/>
      <c r="R266" s="36" t="s">
        <v>141</v>
      </c>
      <c r="S266" s="36"/>
      <c r="T266" s="36" t="s">
        <v>141</v>
      </c>
      <c r="U266" s="36"/>
      <c r="V266" s="36"/>
      <c r="W266" s="36" t="s">
        <v>141</v>
      </c>
      <c r="X266" s="36"/>
      <c r="Y266" s="36" t="s">
        <v>141</v>
      </c>
      <c r="Z266" s="36"/>
      <c r="AA266" s="117"/>
      <c r="AB266" s="36" t="s">
        <v>141</v>
      </c>
      <c r="AC266" s="117" t="s">
        <v>141</v>
      </c>
      <c r="AD266" s="36"/>
      <c r="AE266" s="36"/>
      <c r="AF266" s="117"/>
      <c r="AG266" s="36"/>
      <c r="AH266" s="36"/>
      <c r="AI266" s="117"/>
      <c r="AJ266" s="36"/>
      <c r="AK266" s="36"/>
      <c r="AL266" s="36"/>
      <c r="AM266" s="117" t="s">
        <v>141</v>
      </c>
      <c r="AN266" s="117" t="s">
        <v>141</v>
      </c>
      <c r="AO266" s="117"/>
      <c r="AP266" s="117"/>
      <c r="AQ266" s="117"/>
      <c r="AR266" s="117" t="s">
        <v>141</v>
      </c>
      <c r="AS266" s="117"/>
      <c r="AT266" s="117"/>
      <c r="AU266" s="117"/>
      <c r="AV266" s="119">
        <f t="shared" si="4"/>
        <v>13</v>
      </c>
      <c r="AW266" s="119"/>
      <c r="AX266" s="119" t="s">
        <v>2142</v>
      </c>
    </row>
    <row r="267" spans="1:50">
      <c r="A267">
        <v>249</v>
      </c>
      <c r="B267">
        <v>806</v>
      </c>
      <c r="C267">
        <v>267</v>
      </c>
      <c r="D267" s="7">
        <v>45789</v>
      </c>
      <c r="E267" s="7" t="s">
        <v>1239</v>
      </c>
      <c r="F267" s="10" t="s">
        <v>1238</v>
      </c>
      <c r="G267" s="36"/>
      <c r="H267" s="36" t="s">
        <v>141</v>
      </c>
      <c r="I267" s="36"/>
      <c r="J267" s="36"/>
      <c r="K267" s="36"/>
      <c r="L267" s="36" t="s">
        <v>141</v>
      </c>
      <c r="M267" s="36"/>
      <c r="N267" s="36"/>
      <c r="O267" s="117" t="s">
        <v>141</v>
      </c>
      <c r="P267" s="36" t="s">
        <v>141</v>
      </c>
      <c r="Q267" s="36"/>
      <c r="R267" s="36"/>
      <c r="S267" s="36" t="s">
        <v>141</v>
      </c>
      <c r="T267" s="36" t="s">
        <v>141</v>
      </c>
      <c r="U267" s="36"/>
      <c r="V267" s="36"/>
      <c r="W267" s="36" t="s">
        <v>141</v>
      </c>
      <c r="X267" s="36"/>
      <c r="Y267" s="36" t="s">
        <v>141</v>
      </c>
      <c r="Z267" s="36"/>
      <c r="AA267" s="117" t="s">
        <v>141</v>
      </c>
      <c r="AB267" s="36" t="s">
        <v>141</v>
      </c>
      <c r="AC267" s="117" t="s">
        <v>141</v>
      </c>
      <c r="AD267" s="36"/>
      <c r="AE267" s="36" t="s">
        <v>141</v>
      </c>
      <c r="AF267" s="117"/>
      <c r="AG267" s="36"/>
      <c r="AH267" s="36"/>
      <c r="AI267" s="117"/>
      <c r="AJ267" s="36"/>
      <c r="AK267" s="36"/>
      <c r="AL267" s="36"/>
      <c r="AM267" s="117" t="s">
        <v>141</v>
      </c>
      <c r="AN267" s="117" t="s">
        <v>141</v>
      </c>
      <c r="AO267" s="117"/>
      <c r="AP267" s="117"/>
      <c r="AQ267" s="117"/>
      <c r="AR267" s="117"/>
      <c r="AS267" s="117"/>
      <c r="AT267" s="117"/>
      <c r="AU267" s="117"/>
      <c r="AV267" s="119">
        <f t="shared" si="4"/>
        <v>14</v>
      </c>
      <c r="AW267" s="119"/>
      <c r="AX267" s="119" t="s">
        <v>2142</v>
      </c>
    </row>
    <row r="268" spans="1:50">
      <c r="A268" t="s">
        <v>57</v>
      </c>
      <c r="B268" t="s">
        <v>57</v>
      </c>
      <c r="C268">
        <v>268</v>
      </c>
      <c r="D268" s="7">
        <v>45789</v>
      </c>
      <c r="E268" s="7" t="s">
        <v>2129</v>
      </c>
      <c r="F268" s="10" t="s">
        <v>2130</v>
      </c>
      <c r="G268" s="36" t="s">
        <v>141</v>
      </c>
      <c r="H268" s="36" t="s">
        <v>141</v>
      </c>
      <c r="I268" s="36" t="s">
        <v>141</v>
      </c>
      <c r="J268" s="36" t="s">
        <v>141</v>
      </c>
      <c r="K268" s="36" t="s">
        <v>141</v>
      </c>
      <c r="L268" s="36" t="s">
        <v>2131</v>
      </c>
      <c r="M268" s="36" t="s">
        <v>2131</v>
      </c>
      <c r="N268" s="36" t="s">
        <v>141</v>
      </c>
      <c r="O268" s="117" t="s">
        <v>2131</v>
      </c>
      <c r="P268" s="36" t="s">
        <v>141</v>
      </c>
      <c r="Q268" s="36" t="s">
        <v>141</v>
      </c>
      <c r="R268" s="36" t="s">
        <v>141</v>
      </c>
      <c r="S268" s="36" t="s">
        <v>2131</v>
      </c>
      <c r="T268" s="36" t="s">
        <v>141</v>
      </c>
      <c r="U268" s="36" t="s">
        <v>2131</v>
      </c>
      <c r="V268" s="36" t="s">
        <v>2131</v>
      </c>
      <c r="W268" s="36" t="s">
        <v>141</v>
      </c>
      <c r="X268" s="36" t="s">
        <v>141</v>
      </c>
      <c r="Y268" s="36" t="s">
        <v>141</v>
      </c>
      <c r="Z268" s="36" t="s">
        <v>2131</v>
      </c>
      <c r="AA268" s="117" t="s">
        <v>141</v>
      </c>
      <c r="AB268" s="36" t="s">
        <v>141</v>
      </c>
      <c r="AC268" s="117" t="s">
        <v>141</v>
      </c>
      <c r="AD268" s="36" t="s">
        <v>2131</v>
      </c>
      <c r="AE268" s="36" t="s">
        <v>141</v>
      </c>
      <c r="AF268" s="117" t="s">
        <v>141</v>
      </c>
      <c r="AG268" s="36" t="s">
        <v>2131</v>
      </c>
      <c r="AH268" s="36" t="s">
        <v>141</v>
      </c>
      <c r="AI268" s="117" t="s">
        <v>141</v>
      </c>
      <c r="AJ268" s="36" t="s">
        <v>2131</v>
      </c>
      <c r="AK268" s="36" t="s">
        <v>141</v>
      </c>
      <c r="AL268" s="36" t="s">
        <v>141</v>
      </c>
      <c r="AM268" s="117" t="s">
        <v>141</v>
      </c>
      <c r="AN268" s="117" t="s">
        <v>141</v>
      </c>
      <c r="AO268" s="117" t="s">
        <v>141</v>
      </c>
      <c r="AP268" s="117"/>
      <c r="AQ268" s="117"/>
      <c r="AR268" s="117" t="s">
        <v>2131</v>
      </c>
      <c r="AS268" s="117" t="s">
        <v>141</v>
      </c>
      <c r="AT268" s="117"/>
      <c r="AU268" s="117"/>
      <c r="AV268" s="119">
        <f t="shared" si="4"/>
        <v>26</v>
      </c>
      <c r="AW268" s="119"/>
      <c r="AX268" s="119" t="s">
        <v>2142</v>
      </c>
    </row>
    <row r="269" spans="1:50">
      <c r="A269">
        <v>250</v>
      </c>
      <c r="B269">
        <v>807</v>
      </c>
      <c r="C269">
        <v>269</v>
      </c>
      <c r="D269" s="7">
        <v>45790</v>
      </c>
      <c r="E269" s="7" t="s">
        <v>1241</v>
      </c>
      <c r="F269" s="10" t="s">
        <v>1240</v>
      </c>
      <c r="G269" s="36" t="s">
        <v>141</v>
      </c>
      <c r="H269" s="36" t="s">
        <v>141</v>
      </c>
      <c r="I269" s="36" t="s">
        <v>141</v>
      </c>
      <c r="J269" s="36"/>
      <c r="K269" s="36" t="s">
        <v>141</v>
      </c>
      <c r="L269" s="36"/>
      <c r="M269" s="36" t="s">
        <v>141</v>
      </c>
      <c r="N269" s="36" t="s">
        <v>141</v>
      </c>
      <c r="O269" s="117"/>
      <c r="P269" s="36" t="s">
        <v>141</v>
      </c>
      <c r="Q269" s="36" t="s">
        <v>141</v>
      </c>
      <c r="R269" s="36" t="s">
        <v>141</v>
      </c>
      <c r="S269" s="36"/>
      <c r="T269" s="36"/>
      <c r="U269" s="36" t="s">
        <v>141</v>
      </c>
      <c r="V269" s="36" t="s">
        <v>141</v>
      </c>
      <c r="W269" s="36" t="s">
        <v>141</v>
      </c>
      <c r="X269" s="36" t="s">
        <v>141</v>
      </c>
      <c r="Y269" s="36" t="s">
        <v>141</v>
      </c>
      <c r="Z269" s="36"/>
      <c r="AA269" s="117" t="s">
        <v>141</v>
      </c>
      <c r="AB269" s="36" t="s">
        <v>141</v>
      </c>
      <c r="AC269" s="117" t="s">
        <v>141</v>
      </c>
      <c r="AD269" s="36"/>
      <c r="AE269" s="36"/>
      <c r="AF269" s="117" t="s">
        <v>141</v>
      </c>
      <c r="AG269" s="36"/>
      <c r="AH269" s="36" t="s">
        <v>141</v>
      </c>
      <c r="AI269" s="117" t="s">
        <v>141</v>
      </c>
      <c r="AJ269" s="36"/>
      <c r="AK269" s="36"/>
      <c r="AL269" s="36" t="s">
        <v>141</v>
      </c>
      <c r="AM269" s="117" t="s">
        <v>141</v>
      </c>
      <c r="AN269" s="117" t="s">
        <v>141</v>
      </c>
      <c r="AO269" s="117"/>
      <c r="AP269" s="117"/>
      <c r="AQ269" s="117"/>
      <c r="AR269" s="117" t="s">
        <v>141</v>
      </c>
      <c r="AS269" s="117"/>
      <c r="AT269" s="117"/>
      <c r="AU269" s="117"/>
      <c r="AV269" s="119">
        <f t="shared" si="4"/>
        <v>24</v>
      </c>
      <c r="AW269" s="119"/>
      <c r="AX269" s="119" t="s">
        <v>2142</v>
      </c>
    </row>
    <row r="270" spans="1:50">
      <c r="A270">
        <v>251</v>
      </c>
      <c r="B270">
        <v>808</v>
      </c>
      <c r="C270">
        <v>270</v>
      </c>
      <c r="D270" s="7">
        <v>45790</v>
      </c>
      <c r="E270" s="7" t="s">
        <v>1244</v>
      </c>
      <c r="F270" s="10" t="s">
        <v>1242</v>
      </c>
      <c r="G270" s="36" t="s">
        <v>141</v>
      </c>
      <c r="H270" s="36" t="s">
        <v>141</v>
      </c>
      <c r="I270" s="36" t="s">
        <v>141</v>
      </c>
      <c r="J270" s="36"/>
      <c r="K270" s="36" t="s">
        <v>141</v>
      </c>
      <c r="L270" s="36"/>
      <c r="M270" s="36" t="s">
        <v>141</v>
      </c>
      <c r="N270" s="36" t="s">
        <v>141</v>
      </c>
      <c r="O270" s="117"/>
      <c r="P270" s="36" t="s">
        <v>141</v>
      </c>
      <c r="Q270" s="36" t="s">
        <v>141</v>
      </c>
      <c r="R270" s="36" t="s">
        <v>141</v>
      </c>
      <c r="S270" s="36"/>
      <c r="T270" s="36"/>
      <c r="U270" s="36" t="s">
        <v>141</v>
      </c>
      <c r="V270" s="36" t="s">
        <v>141</v>
      </c>
      <c r="W270" s="36" t="s">
        <v>141</v>
      </c>
      <c r="X270" s="36" t="s">
        <v>141</v>
      </c>
      <c r="Y270" s="36" t="s">
        <v>141</v>
      </c>
      <c r="Z270" s="36"/>
      <c r="AA270" s="117" t="s">
        <v>141</v>
      </c>
      <c r="AB270" s="36" t="s">
        <v>141</v>
      </c>
      <c r="AC270" s="117" t="s">
        <v>141</v>
      </c>
      <c r="AD270" s="36"/>
      <c r="AE270" s="36"/>
      <c r="AF270" s="117" t="s">
        <v>141</v>
      </c>
      <c r="AG270" s="36"/>
      <c r="AH270" s="36" t="s">
        <v>141</v>
      </c>
      <c r="AI270" s="117" t="s">
        <v>141</v>
      </c>
      <c r="AJ270" s="36"/>
      <c r="AK270" s="36"/>
      <c r="AL270" s="36" t="s">
        <v>141</v>
      </c>
      <c r="AM270" s="117" t="s">
        <v>141</v>
      </c>
      <c r="AN270" s="117" t="s">
        <v>141</v>
      </c>
      <c r="AO270" s="117"/>
      <c r="AP270" s="117"/>
      <c r="AQ270" s="117"/>
      <c r="AR270" s="117" t="s">
        <v>141</v>
      </c>
      <c r="AS270" s="117"/>
      <c r="AT270" s="117"/>
      <c r="AU270" s="117"/>
      <c r="AV270" s="119">
        <f t="shared" si="4"/>
        <v>24</v>
      </c>
      <c r="AW270" s="119"/>
      <c r="AX270" s="119" t="s">
        <v>2142</v>
      </c>
    </row>
    <row r="271" spans="1:50">
      <c r="A271">
        <v>252</v>
      </c>
      <c r="B271">
        <v>809</v>
      </c>
      <c r="C271">
        <v>271</v>
      </c>
      <c r="D271" s="7">
        <v>45791</v>
      </c>
      <c r="E271" s="7" t="s">
        <v>1247</v>
      </c>
      <c r="F271" s="10" t="s">
        <v>1246</v>
      </c>
      <c r="G271" s="36"/>
      <c r="H271" s="36"/>
      <c r="I271" s="36"/>
      <c r="J271" s="36"/>
      <c r="K271" s="36"/>
      <c r="L271" s="36"/>
      <c r="M271" s="36" t="s">
        <v>141</v>
      </c>
      <c r="N271" s="36"/>
      <c r="O271" s="117" t="s">
        <v>141</v>
      </c>
      <c r="P271" s="36" t="s">
        <v>141</v>
      </c>
      <c r="Q271" s="36"/>
      <c r="R271" s="36"/>
      <c r="S271" s="36"/>
      <c r="T271" s="36" t="s">
        <v>141</v>
      </c>
      <c r="U271" s="36"/>
      <c r="V271" s="36"/>
      <c r="W271" s="36"/>
      <c r="X271" s="36"/>
      <c r="Y271" s="36"/>
      <c r="Z271" s="36"/>
      <c r="AA271" s="117" t="s">
        <v>141</v>
      </c>
      <c r="AB271" s="36"/>
      <c r="AC271" s="117"/>
      <c r="AD271" s="36"/>
      <c r="AE271" s="36" t="s">
        <v>141</v>
      </c>
      <c r="AF271" s="117"/>
      <c r="AG271" s="36"/>
      <c r="AH271" s="36" t="s">
        <v>141</v>
      </c>
      <c r="AI271" s="117"/>
      <c r="AJ271" s="36"/>
      <c r="AK271" s="36"/>
      <c r="AL271" s="36"/>
      <c r="AM271" s="117" t="s">
        <v>141</v>
      </c>
      <c r="AN271" s="117" t="s">
        <v>141</v>
      </c>
      <c r="AO271" s="117"/>
      <c r="AP271" s="117"/>
      <c r="AQ271" s="117"/>
      <c r="AR271" s="117"/>
      <c r="AS271" s="117"/>
      <c r="AT271" s="117"/>
      <c r="AU271" s="117"/>
      <c r="AV271" s="119">
        <f t="shared" si="4"/>
        <v>9</v>
      </c>
      <c r="AW271" s="119"/>
      <c r="AX271" s="119" t="s">
        <v>2142</v>
      </c>
    </row>
    <row r="272" spans="1:50">
      <c r="A272">
        <v>253</v>
      </c>
      <c r="B272">
        <v>810</v>
      </c>
      <c r="C272">
        <v>272</v>
      </c>
      <c r="D272" s="7">
        <v>45791</v>
      </c>
      <c r="E272" s="7" t="s">
        <v>1251</v>
      </c>
      <c r="F272" s="10" t="s">
        <v>1249</v>
      </c>
      <c r="G272" s="36"/>
      <c r="H272" s="36" t="s">
        <v>141</v>
      </c>
      <c r="I272" s="36"/>
      <c r="J272" s="36"/>
      <c r="K272" s="36" t="s">
        <v>141</v>
      </c>
      <c r="L272" s="36" t="s">
        <v>141</v>
      </c>
      <c r="M272" s="36" t="s">
        <v>141</v>
      </c>
      <c r="N272" s="36"/>
      <c r="O272" s="117" t="s">
        <v>141</v>
      </c>
      <c r="P272" s="36" t="s">
        <v>141</v>
      </c>
      <c r="Q272" s="36"/>
      <c r="R272" s="36" t="s">
        <v>141</v>
      </c>
      <c r="S272" s="36" t="s">
        <v>141</v>
      </c>
      <c r="T272" s="36" t="s">
        <v>141</v>
      </c>
      <c r="U272" s="36"/>
      <c r="V272" s="36"/>
      <c r="W272" s="36"/>
      <c r="X272" s="36"/>
      <c r="Y272" s="36"/>
      <c r="Z272" s="36"/>
      <c r="AA272" s="117" t="s">
        <v>141</v>
      </c>
      <c r="AB272" s="36" t="s">
        <v>141</v>
      </c>
      <c r="AC272" s="117"/>
      <c r="AD272" s="36" t="s">
        <v>141</v>
      </c>
      <c r="AE272" s="36" t="s">
        <v>141</v>
      </c>
      <c r="AF272" s="117"/>
      <c r="AG272" s="36"/>
      <c r="AH272" s="36"/>
      <c r="AI272" s="117" t="s">
        <v>141</v>
      </c>
      <c r="AJ272" s="36"/>
      <c r="AK272" s="36"/>
      <c r="AL272" s="36"/>
      <c r="AM272" s="117"/>
      <c r="AN272" s="117"/>
      <c r="AO272" s="117"/>
      <c r="AP272" s="117"/>
      <c r="AQ272" s="117"/>
      <c r="AR272" s="117" t="s">
        <v>141</v>
      </c>
      <c r="AS272" s="117"/>
      <c r="AT272" s="117"/>
      <c r="AU272" s="117"/>
      <c r="AV272" s="119">
        <f t="shared" si="4"/>
        <v>15</v>
      </c>
      <c r="AW272" s="119"/>
      <c r="AX272" s="119" t="s">
        <v>2142</v>
      </c>
    </row>
    <row r="273" spans="1:50">
      <c r="A273">
        <v>254</v>
      </c>
      <c r="B273">
        <v>811</v>
      </c>
      <c r="C273">
        <v>273</v>
      </c>
      <c r="D273" s="7">
        <v>45792</v>
      </c>
      <c r="E273" s="7" t="s">
        <v>1253</v>
      </c>
      <c r="F273" s="10" t="s">
        <v>1252</v>
      </c>
      <c r="G273" s="36"/>
      <c r="H273" s="36"/>
      <c r="I273" s="36"/>
      <c r="J273" s="36"/>
      <c r="K273" s="36"/>
      <c r="L273" s="36" t="s">
        <v>141</v>
      </c>
      <c r="M273" s="36" t="s">
        <v>141</v>
      </c>
      <c r="N273" s="36"/>
      <c r="O273" s="117"/>
      <c r="P273" s="36" t="s">
        <v>141</v>
      </c>
      <c r="Q273" s="36" t="s">
        <v>141</v>
      </c>
      <c r="R273" s="36" t="s">
        <v>141</v>
      </c>
      <c r="S273" s="36"/>
      <c r="T273" s="36" t="s">
        <v>141</v>
      </c>
      <c r="U273" s="36"/>
      <c r="V273" s="36"/>
      <c r="W273" s="36"/>
      <c r="X273" s="36"/>
      <c r="Y273" s="36" t="s">
        <v>141</v>
      </c>
      <c r="Z273" s="36"/>
      <c r="AA273" s="117"/>
      <c r="AB273" s="36"/>
      <c r="AC273" s="117"/>
      <c r="AD273" s="36" t="s">
        <v>141</v>
      </c>
      <c r="AE273" s="36" t="s">
        <v>141</v>
      </c>
      <c r="AF273" s="117"/>
      <c r="AG273" s="36"/>
      <c r="AH273" s="36" t="s">
        <v>141</v>
      </c>
      <c r="AI273" s="117" t="s">
        <v>141</v>
      </c>
      <c r="AJ273" s="36"/>
      <c r="AK273" s="36"/>
      <c r="AL273" s="36"/>
      <c r="AM273" s="117" t="s">
        <v>141</v>
      </c>
      <c r="AN273" s="117" t="s">
        <v>141</v>
      </c>
      <c r="AO273" s="117"/>
      <c r="AP273" s="117"/>
      <c r="AQ273" s="117"/>
      <c r="AR273" s="117"/>
      <c r="AS273" s="117"/>
      <c r="AT273" s="117"/>
      <c r="AU273" s="117"/>
      <c r="AV273" s="119">
        <f t="shared" si="4"/>
        <v>13</v>
      </c>
      <c r="AW273" s="119"/>
      <c r="AX273" s="119" t="s">
        <v>2142</v>
      </c>
    </row>
    <row r="274" spans="1:50">
      <c r="A274">
        <v>255</v>
      </c>
      <c r="B274">
        <v>812</v>
      </c>
      <c r="C274">
        <v>274</v>
      </c>
      <c r="D274" s="7">
        <v>45791</v>
      </c>
      <c r="E274" s="7" t="s">
        <v>1255</v>
      </c>
      <c r="F274" s="10" t="s">
        <v>1254</v>
      </c>
      <c r="G274" s="36"/>
      <c r="H274" s="36"/>
      <c r="I274" s="36"/>
      <c r="J274" s="36"/>
      <c r="K274" s="36"/>
      <c r="L274" s="36"/>
      <c r="M274" s="36" t="s">
        <v>141</v>
      </c>
      <c r="N274" s="36"/>
      <c r="O274" s="117" t="s">
        <v>141</v>
      </c>
      <c r="P274" s="36"/>
      <c r="Q274" s="36"/>
      <c r="R274" s="36"/>
      <c r="S274" s="36"/>
      <c r="T274" s="36" t="s">
        <v>141</v>
      </c>
      <c r="U274" s="36"/>
      <c r="V274" s="36"/>
      <c r="W274" s="36"/>
      <c r="X274" s="36"/>
      <c r="Y274" s="36" t="s">
        <v>141</v>
      </c>
      <c r="Z274" s="36"/>
      <c r="AA274" s="117"/>
      <c r="AB274" s="36"/>
      <c r="AC274" s="117"/>
      <c r="AD274" s="36" t="s">
        <v>141</v>
      </c>
      <c r="AE274" s="36" t="s">
        <v>141</v>
      </c>
      <c r="AF274" s="117"/>
      <c r="AG274" s="36"/>
      <c r="AH274" s="36" t="s">
        <v>141</v>
      </c>
      <c r="AI274" s="117"/>
      <c r="AJ274" s="36"/>
      <c r="AK274" s="36"/>
      <c r="AL274" s="36"/>
      <c r="AM274" s="117"/>
      <c r="AN274" s="117"/>
      <c r="AO274" s="117" t="s">
        <v>141</v>
      </c>
      <c r="AP274" s="117"/>
      <c r="AQ274" s="117"/>
      <c r="AR274" s="117" t="s">
        <v>141</v>
      </c>
      <c r="AS274" s="117"/>
      <c r="AT274" s="117"/>
      <c r="AU274" s="117"/>
      <c r="AV274" s="119">
        <f t="shared" si="4"/>
        <v>9</v>
      </c>
      <c r="AW274" s="119"/>
      <c r="AX274" s="119" t="s">
        <v>2142</v>
      </c>
    </row>
    <row r="275" spans="1:50">
      <c r="A275">
        <v>256</v>
      </c>
      <c r="B275">
        <v>813</v>
      </c>
      <c r="C275">
        <v>275</v>
      </c>
      <c r="D275" s="7">
        <v>45791</v>
      </c>
      <c r="E275" s="7" t="s">
        <v>1257</v>
      </c>
      <c r="F275" s="10" t="s">
        <v>1256</v>
      </c>
      <c r="G275" s="36" t="s">
        <v>141</v>
      </c>
      <c r="H275" s="36"/>
      <c r="I275" s="36"/>
      <c r="J275" s="36"/>
      <c r="K275" s="36"/>
      <c r="L275" s="36"/>
      <c r="M275" s="36"/>
      <c r="N275" s="36" t="s">
        <v>141</v>
      </c>
      <c r="O275" s="117"/>
      <c r="P275" s="36" t="s">
        <v>141</v>
      </c>
      <c r="Q275" s="36"/>
      <c r="R275" s="36"/>
      <c r="S275" s="36"/>
      <c r="T275" s="36"/>
      <c r="U275" s="36"/>
      <c r="V275" s="36"/>
      <c r="W275" s="36"/>
      <c r="X275" s="36" t="s">
        <v>141</v>
      </c>
      <c r="Y275" s="36"/>
      <c r="Z275" s="36"/>
      <c r="AA275" s="117"/>
      <c r="AB275" s="36"/>
      <c r="AC275" s="117"/>
      <c r="AD275" s="36" t="s">
        <v>141</v>
      </c>
      <c r="AE275" s="36" t="s">
        <v>141</v>
      </c>
      <c r="AF275" s="117" t="s">
        <v>141</v>
      </c>
      <c r="AG275" s="36"/>
      <c r="AH275" s="36"/>
      <c r="AI275" s="117"/>
      <c r="AJ275" s="36"/>
      <c r="AK275" s="36"/>
      <c r="AL275" s="36"/>
      <c r="AM275" s="117"/>
      <c r="AN275" s="117"/>
      <c r="AO275" s="117"/>
      <c r="AP275" s="117"/>
      <c r="AQ275" s="117"/>
      <c r="AR275" s="117" t="s">
        <v>141</v>
      </c>
      <c r="AS275" s="117"/>
      <c r="AT275" s="117"/>
      <c r="AU275" s="117"/>
      <c r="AV275" s="119">
        <f t="shared" si="4"/>
        <v>8</v>
      </c>
      <c r="AW275" s="119"/>
      <c r="AX275" s="119" t="s">
        <v>2142</v>
      </c>
    </row>
    <row r="276" spans="1:50">
      <c r="A276">
        <v>257</v>
      </c>
      <c r="B276">
        <v>814</v>
      </c>
      <c r="C276">
        <v>276</v>
      </c>
      <c r="D276" s="7">
        <v>45795</v>
      </c>
      <c r="E276" s="7" t="s">
        <v>1259</v>
      </c>
      <c r="F276" s="10" t="s">
        <v>1258</v>
      </c>
      <c r="G276" s="36" t="s">
        <v>141</v>
      </c>
      <c r="H276" s="36"/>
      <c r="I276" s="36"/>
      <c r="J276" s="36"/>
      <c r="K276" s="36"/>
      <c r="L276" s="36"/>
      <c r="M276" s="36"/>
      <c r="N276" s="36" t="s">
        <v>141</v>
      </c>
      <c r="O276" s="117"/>
      <c r="P276" s="36" t="s">
        <v>141</v>
      </c>
      <c r="Q276" s="36" t="s">
        <v>141</v>
      </c>
      <c r="R276" s="36"/>
      <c r="S276" s="36"/>
      <c r="T276" s="36"/>
      <c r="U276" s="36"/>
      <c r="V276" s="36"/>
      <c r="W276" s="36" t="s">
        <v>141</v>
      </c>
      <c r="X276" s="36" t="s">
        <v>141</v>
      </c>
      <c r="Y276" s="36" t="s">
        <v>141</v>
      </c>
      <c r="Z276" s="36"/>
      <c r="AA276" s="117"/>
      <c r="AB276" s="36" t="s">
        <v>141</v>
      </c>
      <c r="AC276" s="117"/>
      <c r="AD276" s="36" t="s">
        <v>141</v>
      </c>
      <c r="AE276" s="36"/>
      <c r="AF276" s="117"/>
      <c r="AG276" s="36"/>
      <c r="AH276" s="36"/>
      <c r="AI276" s="117"/>
      <c r="AJ276" s="36"/>
      <c r="AK276" s="36"/>
      <c r="AL276" s="36"/>
      <c r="AM276" s="117"/>
      <c r="AN276" s="117"/>
      <c r="AO276" s="117"/>
      <c r="AP276" s="117"/>
      <c r="AQ276" s="117"/>
      <c r="AR276" s="117"/>
      <c r="AS276" s="117"/>
      <c r="AT276" s="117"/>
      <c r="AU276" s="117"/>
      <c r="AV276" s="119">
        <f t="shared" si="4"/>
        <v>9</v>
      </c>
      <c r="AW276" s="119"/>
      <c r="AX276" s="119" t="s">
        <v>2142</v>
      </c>
    </row>
    <row r="277" spans="1:50">
      <c r="A277">
        <v>258</v>
      </c>
      <c r="B277">
        <v>815</v>
      </c>
      <c r="C277">
        <v>277</v>
      </c>
      <c r="D277" s="7">
        <v>45795</v>
      </c>
      <c r="E277" s="7" t="s">
        <v>1261</v>
      </c>
      <c r="F277" s="10" t="s">
        <v>1260</v>
      </c>
      <c r="G277" s="36"/>
      <c r="H277" s="36"/>
      <c r="I277" s="36" t="s">
        <v>141</v>
      </c>
      <c r="J277" s="36"/>
      <c r="K277" s="36" t="s">
        <v>141</v>
      </c>
      <c r="L277" s="36"/>
      <c r="M277" s="36"/>
      <c r="N277" s="36" t="s">
        <v>141</v>
      </c>
      <c r="O277" s="117"/>
      <c r="P277" s="36"/>
      <c r="Q277" s="36" t="s">
        <v>141</v>
      </c>
      <c r="R277" s="36" t="s">
        <v>141</v>
      </c>
      <c r="S277" s="36"/>
      <c r="T277" s="36"/>
      <c r="U277" s="36"/>
      <c r="V277" s="36" t="s">
        <v>141</v>
      </c>
      <c r="W277" s="36"/>
      <c r="X277" s="36" t="s">
        <v>141</v>
      </c>
      <c r="Y277" s="36"/>
      <c r="Z277" s="36"/>
      <c r="AA277" s="117"/>
      <c r="AB277" s="36"/>
      <c r="AC277" s="117" t="s">
        <v>141</v>
      </c>
      <c r="AD277" s="36"/>
      <c r="AE277" s="36"/>
      <c r="AF277" s="117"/>
      <c r="AG277" s="36"/>
      <c r="AH277" s="36"/>
      <c r="AI277" s="117" t="s">
        <v>141</v>
      </c>
      <c r="AJ277" s="36"/>
      <c r="AK277" s="36"/>
      <c r="AL277" s="36"/>
      <c r="AM277" s="117" t="s">
        <v>141</v>
      </c>
      <c r="AN277" s="117" t="s">
        <v>141</v>
      </c>
      <c r="AO277" s="117"/>
      <c r="AP277" s="117"/>
      <c r="AQ277" s="117"/>
      <c r="AR277" s="117"/>
      <c r="AS277" s="117"/>
      <c r="AT277" s="117"/>
      <c r="AU277" s="117"/>
      <c r="AV277" s="119">
        <f t="shared" si="4"/>
        <v>11</v>
      </c>
      <c r="AW277" s="119"/>
      <c r="AX277" s="119" t="s">
        <v>2142</v>
      </c>
    </row>
    <row r="278" spans="1:50">
      <c r="A278">
        <v>259</v>
      </c>
      <c r="B278">
        <v>816</v>
      </c>
      <c r="C278">
        <v>278</v>
      </c>
      <c r="D278" s="7">
        <v>45796</v>
      </c>
      <c r="E278" s="7" t="s">
        <v>1264</v>
      </c>
      <c r="F278" s="10" t="s">
        <v>1263</v>
      </c>
      <c r="G278" s="36"/>
      <c r="H278" s="36"/>
      <c r="I278" s="36"/>
      <c r="J278" s="36"/>
      <c r="K278" s="36"/>
      <c r="L278" s="36"/>
      <c r="M278" s="36" t="s">
        <v>141</v>
      </c>
      <c r="N278" s="36" t="s">
        <v>141</v>
      </c>
      <c r="O278" s="117"/>
      <c r="P278" s="36" t="s">
        <v>141</v>
      </c>
      <c r="Q278" s="36"/>
      <c r="R278" s="36"/>
      <c r="S278" s="36"/>
      <c r="T278" s="36" t="s">
        <v>141</v>
      </c>
      <c r="U278" s="36"/>
      <c r="V278" s="36"/>
      <c r="W278" s="36"/>
      <c r="X278" s="36"/>
      <c r="Y278" s="36"/>
      <c r="Z278" s="36"/>
      <c r="AA278" s="117" t="s">
        <v>141</v>
      </c>
      <c r="AB278" s="36"/>
      <c r="AC278" s="117" t="s">
        <v>141</v>
      </c>
      <c r="AD278" s="36" t="s">
        <v>141</v>
      </c>
      <c r="AE278" s="36"/>
      <c r="AF278" s="117" t="s">
        <v>141</v>
      </c>
      <c r="AG278" s="36"/>
      <c r="AH278" s="36"/>
      <c r="AI278" s="117"/>
      <c r="AJ278" s="36"/>
      <c r="AK278" s="36" t="s">
        <v>141</v>
      </c>
      <c r="AL278" s="36"/>
      <c r="AM278" s="117" t="s">
        <v>141</v>
      </c>
      <c r="AN278" s="117" t="s">
        <v>141</v>
      </c>
      <c r="AO278" s="117"/>
      <c r="AP278" s="117"/>
      <c r="AQ278" s="117"/>
      <c r="AR278" s="117"/>
      <c r="AS278" s="117"/>
      <c r="AT278" s="117"/>
      <c r="AU278" s="117"/>
      <c r="AV278" s="119">
        <f t="shared" si="4"/>
        <v>11</v>
      </c>
      <c r="AW278" s="119"/>
      <c r="AX278" s="119" t="s">
        <v>2142</v>
      </c>
    </row>
    <row r="279" spans="1:50">
      <c r="A279">
        <v>260</v>
      </c>
      <c r="B279">
        <v>817</v>
      </c>
      <c r="C279">
        <v>279</v>
      </c>
      <c r="D279" s="7">
        <v>45796</v>
      </c>
      <c r="E279" s="7" t="s">
        <v>1266</v>
      </c>
      <c r="F279" s="10" t="s">
        <v>1265</v>
      </c>
      <c r="G279" s="36"/>
      <c r="H279" s="36"/>
      <c r="I279" s="36"/>
      <c r="J279" s="36"/>
      <c r="K279" s="36"/>
      <c r="L279" s="36"/>
      <c r="M279" s="36" t="s">
        <v>141</v>
      </c>
      <c r="N279" s="36" t="s">
        <v>141</v>
      </c>
      <c r="O279" s="117"/>
      <c r="P279" s="36" t="s">
        <v>141</v>
      </c>
      <c r="Q279" s="36"/>
      <c r="R279" s="36"/>
      <c r="S279" s="36"/>
      <c r="T279" s="36" t="s">
        <v>141</v>
      </c>
      <c r="U279" s="36"/>
      <c r="V279" s="36"/>
      <c r="W279" s="36"/>
      <c r="X279" s="36"/>
      <c r="Y279" s="36"/>
      <c r="Z279" s="36"/>
      <c r="AA279" s="117" t="s">
        <v>141</v>
      </c>
      <c r="AB279" s="36"/>
      <c r="AC279" s="117"/>
      <c r="AD279" s="36" t="s">
        <v>141</v>
      </c>
      <c r="AE279" s="36"/>
      <c r="AF279" s="117" t="s">
        <v>141</v>
      </c>
      <c r="AG279" s="36" t="s">
        <v>141</v>
      </c>
      <c r="AH279" s="36"/>
      <c r="AI279" s="117"/>
      <c r="AJ279" s="36"/>
      <c r="AK279" s="36"/>
      <c r="AL279" s="36"/>
      <c r="AM279" s="117"/>
      <c r="AN279" s="117"/>
      <c r="AO279" s="117"/>
      <c r="AP279" s="117"/>
      <c r="AQ279" s="117"/>
      <c r="AR279" s="117"/>
      <c r="AS279" s="117"/>
      <c r="AT279" s="117"/>
      <c r="AU279" s="117"/>
      <c r="AV279" s="119">
        <f t="shared" si="4"/>
        <v>8</v>
      </c>
      <c r="AW279" s="119"/>
      <c r="AX279" s="119" t="s">
        <v>2142</v>
      </c>
    </row>
    <row r="280" spans="1:50">
      <c r="A280">
        <v>261</v>
      </c>
      <c r="B280">
        <v>818</v>
      </c>
      <c r="C280">
        <v>280</v>
      </c>
      <c r="D280" s="7">
        <v>45796</v>
      </c>
      <c r="E280" s="7" t="s">
        <v>1268</v>
      </c>
      <c r="F280" s="10" t="s">
        <v>1267</v>
      </c>
      <c r="G280" s="36"/>
      <c r="H280" s="36" t="s">
        <v>141</v>
      </c>
      <c r="I280" s="36"/>
      <c r="J280" s="36"/>
      <c r="K280" s="36" t="s">
        <v>141</v>
      </c>
      <c r="L280" s="36"/>
      <c r="M280" s="36" t="s">
        <v>141</v>
      </c>
      <c r="N280" s="36" t="s">
        <v>141</v>
      </c>
      <c r="O280" s="117"/>
      <c r="P280" s="36" t="s">
        <v>141</v>
      </c>
      <c r="Q280" s="36"/>
      <c r="R280" s="36"/>
      <c r="S280" s="36"/>
      <c r="T280" s="36" t="s">
        <v>141</v>
      </c>
      <c r="U280" s="36"/>
      <c r="V280" s="36"/>
      <c r="W280" s="36"/>
      <c r="X280" s="36"/>
      <c r="Y280" s="36"/>
      <c r="Z280" s="36"/>
      <c r="AA280" s="117"/>
      <c r="AB280" s="36"/>
      <c r="AC280" s="117"/>
      <c r="AD280" s="36" t="s">
        <v>141</v>
      </c>
      <c r="AE280" s="36" t="s">
        <v>141</v>
      </c>
      <c r="AF280" s="117" t="s">
        <v>141</v>
      </c>
      <c r="AG280" s="36"/>
      <c r="AH280" s="36"/>
      <c r="AI280" s="117" t="s">
        <v>141</v>
      </c>
      <c r="AJ280" s="36"/>
      <c r="AK280" s="36"/>
      <c r="AL280" s="36"/>
      <c r="AM280" s="117"/>
      <c r="AN280" s="117"/>
      <c r="AO280" s="117"/>
      <c r="AP280" s="117"/>
      <c r="AQ280" s="117"/>
      <c r="AR280" s="117"/>
      <c r="AS280" s="117"/>
      <c r="AT280" s="117"/>
      <c r="AU280" s="117"/>
      <c r="AV280" s="119">
        <f t="shared" si="4"/>
        <v>10</v>
      </c>
      <c r="AW280" s="119"/>
      <c r="AX280" s="119" t="s">
        <v>2142</v>
      </c>
    </row>
    <row r="281" spans="1:50">
      <c r="A281" t="s">
        <v>57</v>
      </c>
      <c r="B281" t="s">
        <v>57</v>
      </c>
      <c r="C281">
        <v>281</v>
      </c>
      <c r="D281" s="7">
        <v>45796</v>
      </c>
      <c r="E281" s="7" t="s">
        <v>2129</v>
      </c>
      <c r="F281" s="10" t="s">
        <v>2130</v>
      </c>
      <c r="G281" s="36" t="s">
        <v>141</v>
      </c>
      <c r="H281" s="36" t="s">
        <v>141</v>
      </c>
      <c r="I281" s="36" t="s">
        <v>141</v>
      </c>
      <c r="J281" s="36" t="s">
        <v>141</v>
      </c>
      <c r="K281" s="36" t="s">
        <v>141</v>
      </c>
      <c r="L281" s="36" t="s">
        <v>2131</v>
      </c>
      <c r="M281" s="36" t="s">
        <v>141</v>
      </c>
      <c r="N281" s="36" t="s">
        <v>141</v>
      </c>
      <c r="O281" s="117" t="s">
        <v>2131</v>
      </c>
      <c r="P281" s="36" t="s">
        <v>141</v>
      </c>
      <c r="Q281" s="36" t="s">
        <v>2131</v>
      </c>
      <c r="R281" s="36" t="s">
        <v>141</v>
      </c>
      <c r="S281" s="36" t="s">
        <v>141</v>
      </c>
      <c r="T281" s="36" t="s">
        <v>141</v>
      </c>
      <c r="U281" s="36" t="s">
        <v>141</v>
      </c>
      <c r="V281" s="36" t="s">
        <v>141</v>
      </c>
      <c r="W281" s="36" t="s">
        <v>141</v>
      </c>
      <c r="X281" s="36" t="s">
        <v>2131</v>
      </c>
      <c r="Y281" s="36" t="s">
        <v>2131</v>
      </c>
      <c r="Z281" s="36" t="s">
        <v>2131</v>
      </c>
      <c r="AA281" s="117" t="s">
        <v>141</v>
      </c>
      <c r="AB281" s="36" t="s">
        <v>141</v>
      </c>
      <c r="AC281" s="117" t="s">
        <v>141</v>
      </c>
      <c r="AD281" s="36" t="s">
        <v>2131</v>
      </c>
      <c r="AE281" s="36" t="s">
        <v>2131</v>
      </c>
      <c r="AF281" s="117" t="s">
        <v>2131</v>
      </c>
      <c r="AG281" s="36" t="s">
        <v>141</v>
      </c>
      <c r="AH281" s="36" t="s">
        <v>141</v>
      </c>
      <c r="AI281" s="117" t="s">
        <v>2131</v>
      </c>
      <c r="AJ281" s="36" t="s">
        <v>2131</v>
      </c>
      <c r="AK281" s="36" t="s">
        <v>2131</v>
      </c>
      <c r="AL281" s="36" t="s">
        <v>141</v>
      </c>
      <c r="AM281" s="117" t="s">
        <v>141</v>
      </c>
      <c r="AN281" s="117" t="s">
        <v>141</v>
      </c>
      <c r="AO281" s="117"/>
      <c r="AP281" s="117"/>
      <c r="AQ281" s="117"/>
      <c r="AR281" s="117" t="s">
        <v>141</v>
      </c>
      <c r="AS281" s="117" t="s">
        <v>141</v>
      </c>
      <c r="AT281" s="117"/>
      <c r="AU281" s="117"/>
      <c r="AV281" s="119">
        <f t="shared" si="4"/>
        <v>24</v>
      </c>
      <c r="AW281" s="119"/>
      <c r="AX281" s="119" t="s">
        <v>2142</v>
      </c>
    </row>
    <row r="282" spans="1:50">
      <c r="A282">
        <v>262</v>
      </c>
      <c r="B282">
        <v>819</v>
      </c>
      <c r="C282">
        <v>282</v>
      </c>
      <c r="D282" s="7">
        <v>45797</v>
      </c>
      <c r="E282" s="7" t="s">
        <v>1270</v>
      </c>
      <c r="F282" s="10" t="s">
        <v>1269</v>
      </c>
      <c r="G282" s="36" t="s">
        <v>141</v>
      </c>
      <c r="H282" s="36" t="s">
        <v>141</v>
      </c>
      <c r="I282" s="36"/>
      <c r="J282" s="36"/>
      <c r="K282" s="36"/>
      <c r="L282" s="36"/>
      <c r="M282" s="36" t="s">
        <v>141</v>
      </c>
      <c r="N282" s="36" t="s">
        <v>141</v>
      </c>
      <c r="O282" s="117" t="s">
        <v>141</v>
      </c>
      <c r="P282" s="36" t="s">
        <v>141</v>
      </c>
      <c r="Q282" s="36"/>
      <c r="R282" s="36"/>
      <c r="S282" s="36"/>
      <c r="T282" s="36" t="s">
        <v>141</v>
      </c>
      <c r="U282" s="36"/>
      <c r="V282" s="36"/>
      <c r="W282" s="36" t="s">
        <v>141</v>
      </c>
      <c r="X282" s="36"/>
      <c r="Y282" s="36"/>
      <c r="Z282" s="36"/>
      <c r="AA282" s="117"/>
      <c r="AB282" s="36"/>
      <c r="AC282" s="117"/>
      <c r="AD282" s="36"/>
      <c r="AE282" s="36"/>
      <c r="AF282" s="117"/>
      <c r="AG282" s="36"/>
      <c r="AH282" s="36" t="s">
        <v>141</v>
      </c>
      <c r="AI282" s="117"/>
      <c r="AJ282" s="36"/>
      <c r="AK282" s="36"/>
      <c r="AL282" s="36"/>
      <c r="AM282" s="117" t="s">
        <v>141</v>
      </c>
      <c r="AN282" s="117" t="s">
        <v>141</v>
      </c>
      <c r="AO282" s="117"/>
      <c r="AP282" s="117"/>
      <c r="AQ282" s="117"/>
      <c r="AR282" s="117"/>
      <c r="AS282" s="117"/>
      <c r="AT282" s="117"/>
      <c r="AU282" s="117"/>
      <c r="AV282" s="119">
        <f t="shared" si="4"/>
        <v>11</v>
      </c>
      <c r="AW282" s="119"/>
      <c r="AX282" s="119" t="s">
        <v>2142</v>
      </c>
    </row>
    <row r="283" spans="1:50">
      <c r="A283">
        <v>263</v>
      </c>
      <c r="B283">
        <v>820</v>
      </c>
      <c r="C283">
        <v>283</v>
      </c>
      <c r="D283" s="7">
        <v>45798</v>
      </c>
      <c r="E283" s="7" t="s">
        <v>1273</v>
      </c>
      <c r="F283" s="10" t="s">
        <v>1271</v>
      </c>
      <c r="G283" s="36"/>
      <c r="H283" s="36" t="s">
        <v>141</v>
      </c>
      <c r="I283" s="36"/>
      <c r="J283" s="36"/>
      <c r="K283" s="36"/>
      <c r="L283" s="36"/>
      <c r="M283" s="36" t="s">
        <v>141</v>
      </c>
      <c r="N283" s="36"/>
      <c r="O283" s="117" t="s">
        <v>141</v>
      </c>
      <c r="P283" s="36" t="s">
        <v>141</v>
      </c>
      <c r="Q283" s="36"/>
      <c r="R283" s="36"/>
      <c r="S283" s="36"/>
      <c r="T283" s="36" t="s">
        <v>141</v>
      </c>
      <c r="U283" s="36"/>
      <c r="V283" s="36"/>
      <c r="W283" s="36" t="s">
        <v>141</v>
      </c>
      <c r="X283" s="36"/>
      <c r="Y283" s="36"/>
      <c r="Z283" s="36"/>
      <c r="AA283" s="117"/>
      <c r="AB283" s="36"/>
      <c r="AC283" s="117"/>
      <c r="AD283" s="36"/>
      <c r="AE283" s="36"/>
      <c r="AF283" s="117"/>
      <c r="AG283" s="36"/>
      <c r="AH283" s="36"/>
      <c r="AI283" s="117"/>
      <c r="AJ283" s="36"/>
      <c r="AK283" s="36"/>
      <c r="AL283" s="36"/>
      <c r="AM283" s="117"/>
      <c r="AN283" s="117"/>
      <c r="AO283" s="117"/>
      <c r="AP283" s="117"/>
      <c r="AQ283" s="117"/>
      <c r="AR283" s="117"/>
      <c r="AS283" s="117"/>
      <c r="AT283" s="117"/>
      <c r="AU283" s="117"/>
      <c r="AV283" s="119">
        <f t="shared" si="4"/>
        <v>6</v>
      </c>
      <c r="AW283" s="119"/>
      <c r="AX283" s="119" t="s">
        <v>2142</v>
      </c>
    </row>
    <row r="284" spans="1:50">
      <c r="A284">
        <v>264</v>
      </c>
      <c r="B284">
        <v>821</v>
      </c>
      <c r="C284">
        <v>284</v>
      </c>
      <c r="D284" s="7">
        <v>45797</v>
      </c>
      <c r="E284" s="7" t="s">
        <v>1275</v>
      </c>
      <c r="F284" s="10" t="s">
        <v>1274</v>
      </c>
      <c r="G284" s="36"/>
      <c r="H284" s="36" t="s">
        <v>141</v>
      </c>
      <c r="I284" s="36"/>
      <c r="J284" s="36"/>
      <c r="K284" s="36"/>
      <c r="L284" s="36"/>
      <c r="M284" s="36"/>
      <c r="N284" s="36" t="s">
        <v>141</v>
      </c>
      <c r="O284" s="117" t="s">
        <v>141</v>
      </c>
      <c r="P284" s="36" t="s">
        <v>141</v>
      </c>
      <c r="Q284" s="36"/>
      <c r="R284" s="36"/>
      <c r="S284" s="36"/>
      <c r="T284" s="36"/>
      <c r="U284" s="36"/>
      <c r="V284" s="36"/>
      <c r="W284" s="36" t="s">
        <v>141</v>
      </c>
      <c r="X284" s="36"/>
      <c r="Y284" s="36"/>
      <c r="Z284" s="36"/>
      <c r="AA284" s="117"/>
      <c r="AB284" s="36"/>
      <c r="AC284" s="117"/>
      <c r="AD284" s="36" t="s">
        <v>141</v>
      </c>
      <c r="AE284" s="36" t="s">
        <v>141</v>
      </c>
      <c r="AF284" s="117"/>
      <c r="AG284" s="36"/>
      <c r="AH284" s="36" t="s">
        <v>141</v>
      </c>
      <c r="AI284" s="117"/>
      <c r="AJ284" s="36"/>
      <c r="AK284" s="36"/>
      <c r="AL284" s="36"/>
      <c r="AM284" s="117"/>
      <c r="AN284" s="117"/>
      <c r="AO284" s="117"/>
      <c r="AP284" s="117"/>
      <c r="AQ284" s="117"/>
      <c r="AR284" s="117"/>
      <c r="AS284" s="117"/>
      <c r="AT284" s="117"/>
      <c r="AU284" s="117"/>
      <c r="AV284" s="119">
        <f t="shared" si="4"/>
        <v>8</v>
      </c>
      <c r="AW284" s="119"/>
      <c r="AX284" s="119" t="s">
        <v>2142</v>
      </c>
    </row>
    <row r="285" spans="1:50">
      <c r="A285">
        <v>265</v>
      </c>
      <c r="B285">
        <v>822</v>
      </c>
      <c r="C285">
        <v>285</v>
      </c>
      <c r="D285" s="7">
        <v>45799</v>
      </c>
      <c r="E285" s="7" t="s">
        <v>1278</v>
      </c>
      <c r="F285" s="10" t="s">
        <v>1276</v>
      </c>
      <c r="G285" s="36"/>
      <c r="H285" s="36"/>
      <c r="I285" s="36" t="s">
        <v>141</v>
      </c>
      <c r="J285" s="36"/>
      <c r="K285" s="36"/>
      <c r="L285" s="36"/>
      <c r="M285" s="36"/>
      <c r="N285" s="36"/>
      <c r="O285" s="117"/>
      <c r="P285" s="36" t="s">
        <v>141</v>
      </c>
      <c r="Q285" s="36" t="s">
        <v>141</v>
      </c>
      <c r="R285" s="36"/>
      <c r="S285" s="36"/>
      <c r="T285" s="36" t="s">
        <v>141</v>
      </c>
      <c r="U285" s="36"/>
      <c r="V285" s="36"/>
      <c r="W285" s="36" t="s">
        <v>141</v>
      </c>
      <c r="X285" s="36"/>
      <c r="Y285" s="36"/>
      <c r="Z285" s="36"/>
      <c r="AA285" s="117" t="s">
        <v>141</v>
      </c>
      <c r="AB285" s="36" t="s">
        <v>141</v>
      </c>
      <c r="AC285" s="117"/>
      <c r="AD285" s="36"/>
      <c r="AE285" s="36"/>
      <c r="AF285" s="117"/>
      <c r="AG285" s="36"/>
      <c r="AH285" s="36"/>
      <c r="AI285" s="117"/>
      <c r="AJ285" s="36"/>
      <c r="AK285" s="36"/>
      <c r="AL285" s="36"/>
      <c r="AM285" s="117" t="s">
        <v>141</v>
      </c>
      <c r="AN285" s="117" t="s">
        <v>141</v>
      </c>
      <c r="AO285" s="117"/>
      <c r="AP285" s="117"/>
      <c r="AQ285" s="117"/>
      <c r="AR285" s="117"/>
      <c r="AS285" s="117"/>
      <c r="AT285" s="117"/>
      <c r="AU285" s="117"/>
      <c r="AV285" s="119">
        <f t="shared" si="4"/>
        <v>9</v>
      </c>
      <c r="AW285" s="119"/>
      <c r="AX285" s="119" t="s">
        <v>2142</v>
      </c>
    </row>
    <row r="286" spans="1:50">
      <c r="A286">
        <v>266</v>
      </c>
      <c r="B286">
        <v>823</v>
      </c>
      <c r="C286">
        <v>286</v>
      </c>
      <c r="D286" s="7">
        <v>45799</v>
      </c>
      <c r="E286" s="7" t="s">
        <v>1281</v>
      </c>
      <c r="F286" s="10" t="s">
        <v>1280</v>
      </c>
      <c r="G286" s="36"/>
      <c r="H286" s="36"/>
      <c r="I286" s="36" t="s">
        <v>141</v>
      </c>
      <c r="J286" s="36"/>
      <c r="K286" s="36"/>
      <c r="L286" s="36" t="s">
        <v>141</v>
      </c>
      <c r="M286" s="36"/>
      <c r="N286" s="36"/>
      <c r="O286" s="117"/>
      <c r="P286" s="36" t="s">
        <v>141</v>
      </c>
      <c r="Q286" s="36" t="s">
        <v>141</v>
      </c>
      <c r="R286" s="36"/>
      <c r="S286" s="36"/>
      <c r="T286" s="36" t="s">
        <v>141</v>
      </c>
      <c r="U286" s="36"/>
      <c r="V286" s="36"/>
      <c r="W286" s="36"/>
      <c r="X286" s="36"/>
      <c r="Y286" s="36" t="s">
        <v>141</v>
      </c>
      <c r="Z286" s="36"/>
      <c r="AA286" s="117" t="s">
        <v>141</v>
      </c>
      <c r="AB286" s="36" t="s">
        <v>141</v>
      </c>
      <c r="AC286" s="117"/>
      <c r="AD286" s="36" t="s">
        <v>141</v>
      </c>
      <c r="AE286" s="36" t="s">
        <v>141</v>
      </c>
      <c r="AF286" s="117"/>
      <c r="AG286" s="36"/>
      <c r="AH286" s="36"/>
      <c r="AI286" s="117" t="s">
        <v>141</v>
      </c>
      <c r="AJ286" s="36"/>
      <c r="AK286" s="36"/>
      <c r="AL286" s="36"/>
      <c r="AM286" s="117" t="s">
        <v>141</v>
      </c>
      <c r="AN286" s="117" t="s">
        <v>141</v>
      </c>
      <c r="AO286" s="117"/>
      <c r="AP286" s="117"/>
      <c r="AQ286" s="117"/>
      <c r="AR286" s="117"/>
      <c r="AS286" s="117"/>
      <c r="AT286" s="117"/>
      <c r="AU286" s="117"/>
      <c r="AV286" s="119">
        <f t="shared" si="4"/>
        <v>13</v>
      </c>
      <c r="AW286" s="119"/>
      <c r="AX286" s="119" t="s">
        <v>2142</v>
      </c>
    </row>
    <row r="287" spans="1:50">
      <c r="A287">
        <v>267</v>
      </c>
      <c r="B287">
        <v>824</v>
      </c>
      <c r="C287">
        <v>287</v>
      </c>
      <c r="D287" s="7">
        <v>45799</v>
      </c>
      <c r="E287" s="7" t="s">
        <v>1283</v>
      </c>
      <c r="F287" s="10" t="s">
        <v>1282</v>
      </c>
      <c r="G287" s="36"/>
      <c r="H287" s="36"/>
      <c r="I287" s="36"/>
      <c r="J287" s="36"/>
      <c r="K287" s="36"/>
      <c r="L287" s="36"/>
      <c r="M287" s="36"/>
      <c r="N287" s="36" t="s">
        <v>141</v>
      </c>
      <c r="O287" s="117" t="s">
        <v>141</v>
      </c>
      <c r="P287" s="36" t="s">
        <v>141</v>
      </c>
      <c r="Q287" s="36"/>
      <c r="R287" s="36"/>
      <c r="S287" s="36"/>
      <c r="T287" s="36" t="s">
        <v>141</v>
      </c>
      <c r="U287" s="36"/>
      <c r="V287" s="36" t="s">
        <v>141</v>
      </c>
      <c r="W287" s="36"/>
      <c r="X287" s="36"/>
      <c r="Y287" s="36" t="s">
        <v>141</v>
      </c>
      <c r="Z287" s="36"/>
      <c r="AA287" s="117" t="s">
        <v>141</v>
      </c>
      <c r="AB287" s="36"/>
      <c r="AC287" s="117"/>
      <c r="AD287" s="36" t="s">
        <v>141</v>
      </c>
      <c r="AE287" s="36" t="s">
        <v>141</v>
      </c>
      <c r="AF287" s="117" t="s">
        <v>141</v>
      </c>
      <c r="AG287" s="36"/>
      <c r="AH287" s="36"/>
      <c r="AI287" s="117" t="s">
        <v>141</v>
      </c>
      <c r="AJ287" s="36"/>
      <c r="AK287" s="36"/>
      <c r="AL287" s="36"/>
      <c r="AM287" s="117" t="s">
        <v>141</v>
      </c>
      <c r="AN287" s="117" t="s">
        <v>141</v>
      </c>
      <c r="AO287" s="117"/>
      <c r="AP287" s="117"/>
      <c r="AQ287" s="117"/>
      <c r="AR287" s="117"/>
      <c r="AS287" s="117"/>
      <c r="AT287" s="117"/>
      <c r="AU287" s="117"/>
      <c r="AV287" s="119">
        <f t="shared" si="4"/>
        <v>13</v>
      </c>
      <c r="AW287" s="119"/>
      <c r="AX287" s="119" t="s">
        <v>2142</v>
      </c>
    </row>
    <row r="288" spans="1:50">
      <c r="A288">
        <v>268</v>
      </c>
      <c r="B288">
        <v>825</v>
      </c>
      <c r="C288">
        <v>288</v>
      </c>
      <c r="D288" s="7">
        <v>45799</v>
      </c>
      <c r="E288" s="7" t="s">
        <v>1285</v>
      </c>
      <c r="F288" s="10" t="s">
        <v>1284</v>
      </c>
      <c r="G288" s="36"/>
      <c r="H288" s="36"/>
      <c r="I288" s="36" t="s">
        <v>141</v>
      </c>
      <c r="J288" s="36"/>
      <c r="K288" s="36"/>
      <c r="L288" s="36"/>
      <c r="M288" s="36"/>
      <c r="N288" s="36" t="s">
        <v>141</v>
      </c>
      <c r="O288" s="117" t="s">
        <v>141</v>
      </c>
      <c r="P288" s="36"/>
      <c r="Q288" s="36"/>
      <c r="R288" s="36"/>
      <c r="S288" s="36" t="s">
        <v>141</v>
      </c>
      <c r="T288" s="36" t="s">
        <v>141</v>
      </c>
      <c r="U288" s="36"/>
      <c r="V288" s="36"/>
      <c r="W288" s="36"/>
      <c r="X288" s="36"/>
      <c r="Y288" s="36" t="s">
        <v>141</v>
      </c>
      <c r="Z288" s="36"/>
      <c r="AA288" s="117"/>
      <c r="AB288" s="36"/>
      <c r="AC288" s="117"/>
      <c r="AD288" s="36"/>
      <c r="AE288" s="36" t="s">
        <v>141</v>
      </c>
      <c r="AF288" s="117"/>
      <c r="AG288" s="36"/>
      <c r="AH288" s="36" t="s">
        <v>141</v>
      </c>
      <c r="AI288" s="117"/>
      <c r="AJ288" s="36"/>
      <c r="AK288" s="36"/>
      <c r="AL288" s="36"/>
      <c r="AM288" s="117" t="s">
        <v>141</v>
      </c>
      <c r="AN288" s="117" t="s">
        <v>141</v>
      </c>
      <c r="AO288" s="117"/>
      <c r="AP288" s="117"/>
      <c r="AQ288" s="117"/>
      <c r="AR288" s="117"/>
      <c r="AS288" s="117"/>
      <c r="AT288" s="117"/>
      <c r="AU288" s="117"/>
      <c r="AV288" s="119">
        <f t="shared" si="4"/>
        <v>10</v>
      </c>
      <c r="AW288" s="119"/>
      <c r="AX288" s="119" t="s">
        <v>2142</v>
      </c>
    </row>
    <row r="289" spans="1:50">
      <c r="A289">
        <v>269</v>
      </c>
      <c r="B289">
        <v>826</v>
      </c>
      <c r="C289">
        <v>289</v>
      </c>
      <c r="D289" s="7">
        <v>45799</v>
      </c>
      <c r="E289" s="7" t="s">
        <v>1287</v>
      </c>
      <c r="F289" s="10" t="s">
        <v>1286</v>
      </c>
      <c r="G289" s="36"/>
      <c r="H289" s="36" t="s">
        <v>141</v>
      </c>
      <c r="I289" s="36"/>
      <c r="J289" s="36"/>
      <c r="K289" s="36"/>
      <c r="L289" s="36" t="s">
        <v>141</v>
      </c>
      <c r="M289" s="36"/>
      <c r="N289" s="36" t="s">
        <v>141</v>
      </c>
      <c r="O289" s="117" t="s">
        <v>141</v>
      </c>
      <c r="P289" s="36" t="s">
        <v>141</v>
      </c>
      <c r="Q289" s="36"/>
      <c r="R289" s="36"/>
      <c r="S289" s="36"/>
      <c r="T289" s="36"/>
      <c r="U289" s="36"/>
      <c r="V289" s="36" t="s">
        <v>141</v>
      </c>
      <c r="W289" s="36"/>
      <c r="X289" s="36"/>
      <c r="Y289" s="36" t="s">
        <v>141</v>
      </c>
      <c r="Z289" s="36"/>
      <c r="AA289" s="117" t="s">
        <v>141</v>
      </c>
      <c r="AB289" s="36" t="s">
        <v>141</v>
      </c>
      <c r="AC289" s="117"/>
      <c r="AD289" s="36" t="s">
        <v>141</v>
      </c>
      <c r="AE289" s="36" t="s">
        <v>141</v>
      </c>
      <c r="AF289" s="117"/>
      <c r="AG289" s="36"/>
      <c r="AH289" s="36"/>
      <c r="AI289" s="117"/>
      <c r="AJ289" s="36"/>
      <c r="AK289" s="36"/>
      <c r="AL289" s="36"/>
      <c r="AM289" s="117"/>
      <c r="AN289" s="117"/>
      <c r="AO289" s="117"/>
      <c r="AP289" s="117"/>
      <c r="AQ289" s="117"/>
      <c r="AR289" s="117"/>
      <c r="AS289" s="117"/>
      <c r="AT289" s="117"/>
      <c r="AU289" s="117"/>
      <c r="AV289" s="119">
        <f t="shared" si="4"/>
        <v>11</v>
      </c>
      <c r="AW289" s="119"/>
      <c r="AX289" s="119" t="s">
        <v>2142</v>
      </c>
    </row>
    <row r="290" spans="1:50">
      <c r="A290">
        <v>270</v>
      </c>
      <c r="B290">
        <v>827</v>
      </c>
      <c r="C290">
        <v>290</v>
      </c>
      <c r="D290" s="7">
        <v>45799</v>
      </c>
      <c r="E290" s="7" t="s">
        <v>1289</v>
      </c>
      <c r="F290" s="10" t="s">
        <v>1288</v>
      </c>
      <c r="G290" s="36"/>
      <c r="H290" s="36"/>
      <c r="I290" s="36"/>
      <c r="J290" s="36"/>
      <c r="K290" s="36"/>
      <c r="L290" s="36"/>
      <c r="M290" s="36"/>
      <c r="N290" s="36" t="s">
        <v>141</v>
      </c>
      <c r="O290" s="117" t="s">
        <v>141</v>
      </c>
      <c r="P290" s="36" t="s">
        <v>141</v>
      </c>
      <c r="Q290" s="36"/>
      <c r="R290" s="36"/>
      <c r="S290" s="36" t="s">
        <v>141</v>
      </c>
      <c r="T290" s="36"/>
      <c r="U290" s="36"/>
      <c r="V290" s="36"/>
      <c r="W290" s="36"/>
      <c r="X290" s="36"/>
      <c r="Y290" s="36" t="s">
        <v>141</v>
      </c>
      <c r="Z290" s="36"/>
      <c r="AA290" s="117"/>
      <c r="AB290" s="36"/>
      <c r="AC290" s="117"/>
      <c r="AD290" s="36" t="s">
        <v>141</v>
      </c>
      <c r="AE290" s="36" t="s">
        <v>141</v>
      </c>
      <c r="AF290" s="117"/>
      <c r="AG290" s="36"/>
      <c r="AH290" s="36" t="s">
        <v>141</v>
      </c>
      <c r="AI290" s="117" t="s">
        <v>141</v>
      </c>
      <c r="AJ290" s="36"/>
      <c r="AK290" s="36"/>
      <c r="AL290" s="36"/>
      <c r="AM290" s="117" t="s">
        <v>141</v>
      </c>
      <c r="AN290" s="117" t="s">
        <v>141</v>
      </c>
      <c r="AO290" s="117"/>
      <c r="AP290" s="117"/>
      <c r="AQ290" s="117"/>
      <c r="AR290" s="117"/>
      <c r="AS290" s="117"/>
      <c r="AT290" s="117"/>
      <c r="AU290" s="117"/>
      <c r="AV290" s="119">
        <f t="shared" si="4"/>
        <v>11</v>
      </c>
      <c r="AW290" s="119"/>
      <c r="AX290" s="119" t="s">
        <v>2142</v>
      </c>
    </row>
    <row r="291" spans="1:50">
      <c r="A291">
        <v>271</v>
      </c>
      <c r="B291">
        <v>828</v>
      </c>
      <c r="C291">
        <v>291</v>
      </c>
      <c r="D291" s="7">
        <v>45800</v>
      </c>
      <c r="E291" s="7" t="s">
        <v>1291</v>
      </c>
      <c r="F291" s="10" t="s">
        <v>1290</v>
      </c>
      <c r="G291" s="36"/>
      <c r="H291" s="36"/>
      <c r="I291" s="36"/>
      <c r="J291" s="36"/>
      <c r="K291" s="36" t="s">
        <v>141</v>
      </c>
      <c r="L291" s="36" t="s">
        <v>141</v>
      </c>
      <c r="M291" s="36"/>
      <c r="N291" s="36"/>
      <c r="O291" s="117"/>
      <c r="P291" s="36"/>
      <c r="Q291" s="36"/>
      <c r="R291" s="36"/>
      <c r="S291" s="36" t="s">
        <v>141</v>
      </c>
      <c r="T291" s="36" t="s">
        <v>141</v>
      </c>
      <c r="U291" s="36"/>
      <c r="V291" s="36"/>
      <c r="W291" s="36" t="s">
        <v>141</v>
      </c>
      <c r="X291" s="36"/>
      <c r="Y291" s="36" t="s">
        <v>141</v>
      </c>
      <c r="Z291" s="36"/>
      <c r="AA291" s="117"/>
      <c r="AB291" s="36" t="s">
        <v>141</v>
      </c>
      <c r="AC291" s="117"/>
      <c r="AD291" s="36"/>
      <c r="AE291" s="36"/>
      <c r="AF291" s="117"/>
      <c r="AG291" s="36"/>
      <c r="AH291" s="36"/>
      <c r="AI291" s="117"/>
      <c r="AJ291" s="36"/>
      <c r="AK291" s="36"/>
      <c r="AL291" s="36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9">
        <f t="shared" si="4"/>
        <v>7</v>
      </c>
      <c r="AW291" s="119"/>
      <c r="AX291" s="119" t="s">
        <v>2142</v>
      </c>
    </row>
    <row r="292" spans="1:50">
      <c r="A292">
        <v>272</v>
      </c>
      <c r="B292">
        <v>829</v>
      </c>
      <c r="C292">
        <v>292</v>
      </c>
      <c r="D292" s="7">
        <v>45801</v>
      </c>
      <c r="E292" s="7" t="s">
        <v>1293</v>
      </c>
      <c r="F292" s="10" t="s">
        <v>1292</v>
      </c>
      <c r="G292" s="36" t="s">
        <v>141</v>
      </c>
      <c r="H292" s="36" t="s">
        <v>141</v>
      </c>
      <c r="I292" s="36"/>
      <c r="J292" s="36"/>
      <c r="K292" s="36"/>
      <c r="L292" s="36"/>
      <c r="M292" s="36"/>
      <c r="N292" s="36"/>
      <c r="O292" s="117"/>
      <c r="P292" s="36" t="s">
        <v>141</v>
      </c>
      <c r="Q292" s="36"/>
      <c r="R292" s="36"/>
      <c r="S292" s="36" t="s">
        <v>141</v>
      </c>
      <c r="T292" s="36"/>
      <c r="U292" s="36"/>
      <c r="V292" s="36"/>
      <c r="W292" s="36"/>
      <c r="X292" s="36"/>
      <c r="Y292" s="36"/>
      <c r="Z292" s="36"/>
      <c r="AA292" s="117"/>
      <c r="AB292" s="36"/>
      <c r="AC292" s="117" t="s">
        <v>141</v>
      </c>
      <c r="AD292" s="36"/>
      <c r="AE292" s="36"/>
      <c r="AF292" s="117"/>
      <c r="AG292" s="36"/>
      <c r="AH292" s="36"/>
      <c r="AI292" s="117"/>
      <c r="AJ292" s="36"/>
      <c r="AK292" s="36"/>
      <c r="AL292" s="36"/>
      <c r="AM292" s="117"/>
      <c r="AN292" s="117"/>
      <c r="AO292" s="117"/>
      <c r="AP292" s="117"/>
      <c r="AQ292" s="117"/>
      <c r="AR292" s="117"/>
      <c r="AS292" s="117"/>
      <c r="AT292" s="117"/>
      <c r="AU292" s="117"/>
      <c r="AV292" s="119">
        <f t="shared" si="4"/>
        <v>5</v>
      </c>
      <c r="AW292" s="119"/>
      <c r="AX292" s="119" t="s">
        <v>2142</v>
      </c>
    </row>
    <row r="293" spans="1:50">
      <c r="A293">
        <v>273</v>
      </c>
      <c r="B293">
        <v>830</v>
      </c>
      <c r="C293">
        <v>293</v>
      </c>
      <c r="D293" s="7">
        <v>45802</v>
      </c>
      <c r="E293" s="7" t="s">
        <v>1295</v>
      </c>
      <c r="F293" s="10" t="s">
        <v>1294</v>
      </c>
      <c r="G293" s="36"/>
      <c r="H293" s="36" t="s">
        <v>141</v>
      </c>
      <c r="I293" s="36"/>
      <c r="J293" s="36"/>
      <c r="K293" s="36"/>
      <c r="L293" s="36"/>
      <c r="M293" s="36"/>
      <c r="N293" s="36" t="s">
        <v>141</v>
      </c>
      <c r="O293" s="117"/>
      <c r="P293" s="36"/>
      <c r="Q293" s="36" t="s">
        <v>141</v>
      </c>
      <c r="R293" s="36"/>
      <c r="S293" s="36"/>
      <c r="T293" s="36" t="s">
        <v>141</v>
      </c>
      <c r="U293" s="36" t="s">
        <v>141</v>
      </c>
      <c r="V293" s="36" t="s">
        <v>141</v>
      </c>
      <c r="W293" s="36" t="s">
        <v>141</v>
      </c>
      <c r="X293" s="36"/>
      <c r="Y293" s="36" t="s">
        <v>141</v>
      </c>
      <c r="Z293" s="36"/>
      <c r="AA293" s="117"/>
      <c r="AB293" s="36" t="s">
        <v>141</v>
      </c>
      <c r="AC293" s="117" t="s">
        <v>141</v>
      </c>
      <c r="AD293" s="36"/>
      <c r="AE293" s="36"/>
      <c r="AF293" s="117"/>
      <c r="AG293" s="36"/>
      <c r="AH293" s="36"/>
      <c r="AI293" s="117"/>
      <c r="AJ293" s="36"/>
      <c r="AK293" s="36"/>
      <c r="AL293" s="36"/>
      <c r="AM293" s="117" t="s">
        <v>141</v>
      </c>
      <c r="AN293" s="117" t="s">
        <v>141</v>
      </c>
      <c r="AO293" s="117"/>
      <c r="AP293" s="117"/>
      <c r="AQ293" s="117"/>
      <c r="AR293" s="117" t="s">
        <v>141</v>
      </c>
      <c r="AS293" s="117"/>
      <c r="AT293" s="117"/>
      <c r="AU293" s="117"/>
      <c r="AV293" s="119">
        <f t="shared" si="4"/>
        <v>13</v>
      </c>
      <c r="AW293" s="119"/>
      <c r="AX293" s="119" t="s">
        <v>2142</v>
      </c>
    </row>
    <row r="294" spans="1:50" s="155" customFormat="1">
      <c r="A294" s="155">
        <v>274</v>
      </c>
      <c r="B294" s="155">
        <v>831</v>
      </c>
      <c r="C294" s="155">
        <v>294</v>
      </c>
      <c r="D294" s="156">
        <v>45803</v>
      </c>
      <c r="E294" s="156" t="s">
        <v>1297</v>
      </c>
      <c r="F294" s="157" t="s">
        <v>1296</v>
      </c>
      <c r="G294" s="158"/>
      <c r="H294" s="158" t="s">
        <v>141</v>
      </c>
      <c r="I294" s="158"/>
      <c r="J294" s="158"/>
      <c r="K294" s="158"/>
      <c r="L294" s="158" t="s">
        <v>141</v>
      </c>
      <c r="M294" s="158" t="s">
        <v>141</v>
      </c>
      <c r="N294" s="158"/>
      <c r="O294" s="159"/>
      <c r="P294" s="158" t="s">
        <v>141</v>
      </c>
      <c r="Q294" s="158"/>
      <c r="R294" s="158"/>
      <c r="S294" s="158" t="s">
        <v>141</v>
      </c>
      <c r="T294" s="158"/>
      <c r="U294" s="158"/>
      <c r="V294" s="158"/>
      <c r="W294" s="158" t="s">
        <v>141</v>
      </c>
      <c r="X294" s="158"/>
      <c r="Y294" s="158" t="s">
        <v>141</v>
      </c>
      <c r="Z294" s="158"/>
      <c r="AA294" s="159"/>
      <c r="AB294" s="158" t="s">
        <v>141</v>
      </c>
      <c r="AC294" s="159"/>
      <c r="AD294" s="158" t="s">
        <v>141</v>
      </c>
      <c r="AE294" s="158"/>
      <c r="AF294" s="159"/>
      <c r="AG294" s="158" t="s">
        <v>141</v>
      </c>
      <c r="AH294" s="158" t="s">
        <v>141</v>
      </c>
      <c r="AI294" s="159" t="s">
        <v>141</v>
      </c>
      <c r="AJ294" s="158"/>
      <c r="AK294" s="158"/>
      <c r="AL294" s="158"/>
      <c r="AM294" s="159"/>
      <c r="AN294" s="159"/>
      <c r="AO294" s="159"/>
      <c r="AP294" s="159"/>
      <c r="AQ294" s="159"/>
      <c r="AR294" s="159"/>
      <c r="AS294" s="159"/>
      <c r="AT294" s="159"/>
      <c r="AU294" s="159"/>
      <c r="AV294" s="119">
        <f t="shared" si="4"/>
        <v>12</v>
      </c>
      <c r="AW294" s="160"/>
      <c r="AX294" s="119" t="s">
        <v>2142</v>
      </c>
    </row>
    <row r="295" spans="1:50" s="155" customFormat="1">
      <c r="A295" s="155">
        <v>275</v>
      </c>
      <c r="B295" s="155">
        <v>832</v>
      </c>
      <c r="C295" s="155">
        <v>295</v>
      </c>
      <c r="D295" s="156">
        <v>45803</v>
      </c>
      <c r="E295" s="156" t="s">
        <v>1299</v>
      </c>
      <c r="F295" s="157" t="s">
        <v>1298</v>
      </c>
      <c r="G295" s="158"/>
      <c r="H295" s="158" t="s">
        <v>141</v>
      </c>
      <c r="I295" s="158"/>
      <c r="J295" s="158"/>
      <c r="K295" s="158"/>
      <c r="L295" s="158" t="s">
        <v>141</v>
      </c>
      <c r="M295" s="158" t="s">
        <v>141</v>
      </c>
      <c r="N295" s="158"/>
      <c r="O295" s="159"/>
      <c r="P295" s="158" t="s">
        <v>141</v>
      </c>
      <c r="Q295" s="158"/>
      <c r="R295" s="158"/>
      <c r="S295" s="158" t="s">
        <v>141</v>
      </c>
      <c r="T295" s="158"/>
      <c r="U295" s="158"/>
      <c r="V295" s="158"/>
      <c r="W295" s="158" t="s">
        <v>141</v>
      </c>
      <c r="X295" s="158"/>
      <c r="Y295" s="158" t="s">
        <v>141</v>
      </c>
      <c r="Z295" s="158"/>
      <c r="AA295" s="159"/>
      <c r="AB295" s="158" t="s">
        <v>141</v>
      </c>
      <c r="AC295" s="159"/>
      <c r="AD295" s="158" t="s">
        <v>141</v>
      </c>
      <c r="AE295" s="158"/>
      <c r="AF295" s="159"/>
      <c r="AG295" s="158" t="s">
        <v>141</v>
      </c>
      <c r="AH295" s="158" t="s">
        <v>141</v>
      </c>
      <c r="AI295" s="159" t="s">
        <v>141</v>
      </c>
      <c r="AJ295" s="158"/>
      <c r="AK295" s="158"/>
      <c r="AL295" s="158"/>
      <c r="AM295" s="159"/>
      <c r="AN295" s="159"/>
      <c r="AO295" s="159"/>
      <c r="AP295" s="159"/>
      <c r="AQ295" s="159"/>
      <c r="AR295" s="159"/>
      <c r="AS295" s="159"/>
      <c r="AT295" s="159"/>
      <c r="AU295" s="159"/>
      <c r="AV295" s="119">
        <f t="shared" si="4"/>
        <v>12</v>
      </c>
      <c r="AW295" s="160"/>
      <c r="AX295" s="119" t="s">
        <v>2142</v>
      </c>
    </row>
    <row r="296" spans="1:50">
      <c r="A296">
        <v>276</v>
      </c>
      <c r="B296">
        <v>833</v>
      </c>
      <c r="C296">
        <v>296</v>
      </c>
      <c r="D296" s="7">
        <v>45803</v>
      </c>
      <c r="E296" s="7" t="s">
        <v>1301</v>
      </c>
      <c r="F296" s="10" t="s">
        <v>1300</v>
      </c>
      <c r="G296" s="36" t="s">
        <v>141</v>
      </c>
      <c r="H296" s="36" t="s">
        <v>141</v>
      </c>
      <c r="I296" s="36"/>
      <c r="J296" s="36" t="s">
        <v>141</v>
      </c>
      <c r="K296" s="36"/>
      <c r="L296" s="36" t="s">
        <v>141</v>
      </c>
      <c r="M296" s="36"/>
      <c r="N296" s="36"/>
      <c r="O296" s="117"/>
      <c r="P296" s="36" t="s">
        <v>141</v>
      </c>
      <c r="Q296" s="36"/>
      <c r="R296" s="36"/>
      <c r="S296" s="36"/>
      <c r="T296" s="36"/>
      <c r="U296" s="36" t="s">
        <v>141</v>
      </c>
      <c r="V296" s="36"/>
      <c r="W296" s="36" t="s">
        <v>141</v>
      </c>
      <c r="X296" s="36"/>
      <c r="Y296" s="36" t="s">
        <v>141</v>
      </c>
      <c r="Z296" s="36"/>
      <c r="AA296" s="117"/>
      <c r="AB296" s="36"/>
      <c r="AC296" s="117"/>
      <c r="AD296" s="36"/>
      <c r="AE296" s="36"/>
      <c r="AF296" s="117" t="s">
        <v>141</v>
      </c>
      <c r="AG296" s="36"/>
      <c r="AH296" s="36" t="s">
        <v>141</v>
      </c>
      <c r="AI296" s="117" t="s">
        <v>141</v>
      </c>
      <c r="AJ296" s="36"/>
      <c r="AK296" s="36"/>
      <c r="AL296" s="36"/>
      <c r="AM296" s="117" t="s">
        <v>141</v>
      </c>
      <c r="AN296" s="117" t="s">
        <v>141</v>
      </c>
      <c r="AO296" s="117"/>
      <c r="AP296" s="117"/>
      <c r="AQ296" s="117"/>
      <c r="AR296" s="117"/>
      <c r="AS296" s="117"/>
      <c r="AT296" s="117"/>
      <c r="AU296" s="117"/>
      <c r="AV296" s="119">
        <f t="shared" si="4"/>
        <v>13</v>
      </c>
      <c r="AW296" s="119"/>
      <c r="AX296" s="119" t="s">
        <v>2142</v>
      </c>
    </row>
    <row r="297" spans="1:50">
      <c r="A297" t="s">
        <v>57</v>
      </c>
      <c r="B297" t="s">
        <v>57</v>
      </c>
      <c r="C297">
        <v>297</v>
      </c>
      <c r="D297" s="7">
        <v>45803</v>
      </c>
      <c r="E297" s="7" t="s">
        <v>2129</v>
      </c>
      <c r="F297" s="10" t="s">
        <v>2130</v>
      </c>
      <c r="G297" s="36" t="s">
        <v>141</v>
      </c>
      <c r="H297" s="36" t="s">
        <v>141</v>
      </c>
      <c r="I297" s="36" t="s">
        <v>2131</v>
      </c>
      <c r="J297" s="36" t="s">
        <v>141</v>
      </c>
      <c r="K297" s="36" t="s">
        <v>141</v>
      </c>
      <c r="L297" s="36" t="s">
        <v>141</v>
      </c>
      <c r="M297" s="36" t="s">
        <v>141</v>
      </c>
      <c r="N297" s="36" t="s">
        <v>141</v>
      </c>
      <c r="O297" s="117" t="s">
        <v>141</v>
      </c>
      <c r="P297" s="36" t="s">
        <v>141</v>
      </c>
      <c r="Q297" s="36" t="s">
        <v>141</v>
      </c>
      <c r="R297" s="36" t="s">
        <v>141</v>
      </c>
      <c r="S297" s="36" t="s">
        <v>2131</v>
      </c>
      <c r="T297" s="36" t="s">
        <v>2131</v>
      </c>
      <c r="U297" s="36" t="s">
        <v>141</v>
      </c>
      <c r="V297" s="36" t="s">
        <v>2131</v>
      </c>
      <c r="W297" s="36" t="s">
        <v>141</v>
      </c>
      <c r="X297" s="36" t="s">
        <v>141</v>
      </c>
      <c r="Y297" s="36" t="s">
        <v>141</v>
      </c>
      <c r="Z297" s="36" t="s">
        <v>2131</v>
      </c>
      <c r="AA297" s="117" t="s">
        <v>2131</v>
      </c>
      <c r="AB297" s="36" t="s">
        <v>141</v>
      </c>
      <c r="AC297" s="117" t="s">
        <v>2131</v>
      </c>
      <c r="AD297" s="36" t="s">
        <v>2131</v>
      </c>
      <c r="AE297" s="36" t="s">
        <v>2131</v>
      </c>
      <c r="AF297" s="117" t="s">
        <v>141</v>
      </c>
      <c r="AG297" s="36" t="s">
        <v>2131</v>
      </c>
      <c r="AH297" s="36" t="s">
        <v>141</v>
      </c>
      <c r="AI297" s="117" t="s">
        <v>141</v>
      </c>
      <c r="AJ297" s="36" t="s">
        <v>2131</v>
      </c>
      <c r="AK297" s="36" t="s">
        <v>141</v>
      </c>
      <c r="AL297" s="36" t="s">
        <v>2131</v>
      </c>
      <c r="AM297" s="117" t="s">
        <v>141</v>
      </c>
      <c r="AN297" s="117" t="s">
        <v>141</v>
      </c>
      <c r="AO297" s="117" t="s">
        <v>141</v>
      </c>
      <c r="AP297" s="117"/>
      <c r="AQ297" s="117"/>
      <c r="AR297" s="117" t="s">
        <v>141</v>
      </c>
      <c r="AS297" s="117" t="s">
        <v>141</v>
      </c>
      <c r="AT297" s="117"/>
      <c r="AU297" s="117"/>
      <c r="AV297" s="119">
        <f t="shared" si="4"/>
        <v>25</v>
      </c>
      <c r="AW297" s="119"/>
      <c r="AX297" s="119" t="s">
        <v>2142</v>
      </c>
    </row>
    <row r="298" spans="1:50">
      <c r="A298">
        <v>277</v>
      </c>
      <c r="B298">
        <v>834</v>
      </c>
      <c r="C298">
        <v>298</v>
      </c>
      <c r="D298" s="7">
        <v>45804</v>
      </c>
      <c r="E298" s="7" t="s">
        <v>1303</v>
      </c>
      <c r="F298" s="10" t="s">
        <v>1302</v>
      </c>
      <c r="G298" s="36"/>
      <c r="H298" s="36"/>
      <c r="I298" s="36"/>
      <c r="J298" s="36" t="s">
        <v>141</v>
      </c>
      <c r="K298" s="36"/>
      <c r="L298" s="36" t="s">
        <v>141</v>
      </c>
      <c r="M298" s="36"/>
      <c r="N298" s="36"/>
      <c r="O298" s="117"/>
      <c r="P298" s="36" t="s">
        <v>141</v>
      </c>
      <c r="Q298" s="36"/>
      <c r="R298" s="36"/>
      <c r="S298" s="36" t="s">
        <v>141</v>
      </c>
      <c r="T298" s="36"/>
      <c r="U298" s="36"/>
      <c r="V298" s="36"/>
      <c r="W298" s="36" t="s">
        <v>141</v>
      </c>
      <c r="X298" s="36"/>
      <c r="Y298" s="36"/>
      <c r="Z298" s="36"/>
      <c r="AA298" s="117" t="s">
        <v>141</v>
      </c>
      <c r="AB298" s="36"/>
      <c r="AC298" s="117"/>
      <c r="AD298" s="36" t="s">
        <v>141</v>
      </c>
      <c r="AE298" s="36"/>
      <c r="AF298" s="117"/>
      <c r="AG298" s="36" t="s">
        <v>141</v>
      </c>
      <c r="AH298" s="36"/>
      <c r="AI298" s="117" t="s">
        <v>141</v>
      </c>
      <c r="AJ298" s="36"/>
      <c r="AK298" s="36"/>
      <c r="AL298" s="36"/>
      <c r="AM298" s="117"/>
      <c r="AN298" s="117"/>
      <c r="AO298" s="117"/>
      <c r="AP298" s="117"/>
      <c r="AQ298" s="117"/>
      <c r="AR298" s="117"/>
      <c r="AS298" s="117"/>
      <c r="AT298" s="117"/>
      <c r="AU298" s="117"/>
      <c r="AV298" s="119">
        <f t="shared" si="4"/>
        <v>9</v>
      </c>
      <c r="AW298" s="119"/>
      <c r="AX298" s="119" t="s">
        <v>2142</v>
      </c>
    </row>
    <row r="299" spans="1:50">
      <c r="A299">
        <v>278</v>
      </c>
      <c r="B299">
        <v>835</v>
      </c>
      <c r="C299">
        <v>299</v>
      </c>
      <c r="D299" s="7">
        <v>45804</v>
      </c>
      <c r="E299" s="7" t="s">
        <v>796</v>
      </c>
      <c r="F299" s="10" t="s">
        <v>1304</v>
      </c>
      <c r="G299" s="36"/>
      <c r="H299" s="36"/>
      <c r="I299" s="36" t="s">
        <v>141</v>
      </c>
      <c r="J299" s="36"/>
      <c r="K299" s="36"/>
      <c r="L299" s="36" t="s">
        <v>141</v>
      </c>
      <c r="M299" s="36" t="s">
        <v>141</v>
      </c>
      <c r="N299" s="36"/>
      <c r="O299" s="117"/>
      <c r="P299" s="36"/>
      <c r="Q299" s="36"/>
      <c r="R299" s="36"/>
      <c r="S299" s="36"/>
      <c r="T299" s="36"/>
      <c r="U299" s="36"/>
      <c r="V299" s="36"/>
      <c r="W299" s="36" t="s">
        <v>141</v>
      </c>
      <c r="X299" s="36"/>
      <c r="Y299" s="36"/>
      <c r="Z299" s="36"/>
      <c r="AA299" s="117" t="s">
        <v>141</v>
      </c>
      <c r="AB299" s="36" t="s">
        <v>141</v>
      </c>
      <c r="AC299" s="117"/>
      <c r="AD299" s="36" t="s">
        <v>141</v>
      </c>
      <c r="AE299" s="36" t="s">
        <v>141</v>
      </c>
      <c r="AF299" s="117"/>
      <c r="AG299" s="36" t="s">
        <v>141</v>
      </c>
      <c r="AH299" s="36" t="s">
        <v>141</v>
      </c>
      <c r="AI299" s="117" t="s">
        <v>141</v>
      </c>
      <c r="AJ299" s="36"/>
      <c r="AK299" s="36"/>
      <c r="AL299" s="36"/>
      <c r="AM299" s="117" t="s">
        <v>141</v>
      </c>
      <c r="AN299" s="117" t="s">
        <v>141</v>
      </c>
      <c r="AO299" s="117"/>
      <c r="AP299" s="117"/>
      <c r="AQ299" s="117"/>
      <c r="AR299" s="117"/>
      <c r="AS299" s="117"/>
      <c r="AT299" s="117"/>
      <c r="AU299" s="117"/>
      <c r="AV299" s="119">
        <f t="shared" si="4"/>
        <v>13</v>
      </c>
      <c r="AW299" s="119"/>
      <c r="AX299" s="119" t="s">
        <v>2142</v>
      </c>
    </row>
    <row r="300" spans="1:50">
      <c r="A300">
        <v>279</v>
      </c>
      <c r="B300">
        <v>836</v>
      </c>
      <c r="C300">
        <v>300</v>
      </c>
      <c r="D300" s="7">
        <v>45804</v>
      </c>
      <c r="E300" s="7" t="s">
        <v>1306</v>
      </c>
      <c r="F300" s="10" t="s">
        <v>1305</v>
      </c>
      <c r="G300" s="36" t="s">
        <v>141</v>
      </c>
      <c r="H300" s="36" t="s">
        <v>141</v>
      </c>
      <c r="I300" s="36" t="s">
        <v>141</v>
      </c>
      <c r="J300" s="36"/>
      <c r="K300" s="36"/>
      <c r="L300" s="36" t="s">
        <v>141</v>
      </c>
      <c r="M300" s="36"/>
      <c r="N300" s="36" t="s">
        <v>141</v>
      </c>
      <c r="O300" s="117"/>
      <c r="P300" s="36" t="s">
        <v>141</v>
      </c>
      <c r="Q300" s="36"/>
      <c r="R300" s="36"/>
      <c r="S300" s="36"/>
      <c r="T300" s="36"/>
      <c r="U300" s="36"/>
      <c r="V300" s="36"/>
      <c r="W300" s="36" t="s">
        <v>141</v>
      </c>
      <c r="X300" s="36"/>
      <c r="Y300" s="36"/>
      <c r="Z300" s="36"/>
      <c r="AA300" s="117"/>
      <c r="AB300" s="36"/>
      <c r="AC300" s="117" t="s">
        <v>141</v>
      </c>
      <c r="AD300" s="36" t="s">
        <v>141</v>
      </c>
      <c r="AE300" s="36"/>
      <c r="AF300" s="117"/>
      <c r="AG300" s="36"/>
      <c r="AH300" s="36"/>
      <c r="AI300" s="117" t="s">
        <v>141</v>
      </c>
      <c r="AJ300" s="36"/>
      <c r="AK300" s="36"/>
      <c r="AL300" s="36"/>
      <c r="AM300" s="117" t="s">
        <v>141</v>
      </c>
      <c r="AN300" s="117" t="s">
        <v>141</v>
      </c>
      <c r="AO300" s="117"/>
      <c r="AP300" s="117"/>
      <c r="AQ300" s="117"/>
      <c r="AR300" s="117"/>
      <c r="AS300" s="117"/>
      <c r="AT300" s="117"/>
      <c r="AU300" s="117"/>
      <c r="AV300" s="119">
        <f t="shared" si="4"/>
        <v>12</v>
      </c>
      <c r="AW300" s="119"/>
      <c r="AX300" s="119" t="s">
        <v>2142</v>
      </c>
    </row>
    <row r="301" spans="1:50">
      <c r="A301">
        <v>280</v>
      </c>
      <c r="B301">
        <v>837</v>
      </c>
      <c r="C301">
        <v>301</v>
      </c>
      <c r="D301" s="7">
        <v>45804</v>
      </c>
      <c r="E301" s="7" t="s">
        <v>1308</v>
      </c>
      <c r="F301" s="10" t="s">
        <v>1307</v>
      </c>
      <c r="G301" s="36" t="s">
        <v>141</v>
      </c>
      <c r="H301" s="36"/>
      <c r="I301" s="36" t="s">
        <v>141</v>
      </c>
      <c r="J301" s="36"/>
      <c r="K301" s="36" t="s">
        <v>141</v>
      </c>
      <c r="L301" s="36"/>
      <c r="M301" s="36"/>
      <c r="N301" s="36" t="s">
        <v>141</v>
      </c>
      <c r="O301" s="117"/>
      <c r="P301" s="36"/>
      <c r="Q301" s="36"/>
      <c r="R301" s="36"/>
      <c r="S301" s="36"/>
      <c r="T301" s="36"/>
      <c r="U301" s="36"/>
      <c r="V301" s="36"/>
      <c r="W301" s="36" t="s">
        <v>141</v>
      </c>
      <c r="X301" s="36"/>
      <c r="Y301" s="36"/>
      <c r="Z301" s="36"/>
      <c r="AA301" s="117" t="s">
        <v>141</v>
      </c>
      <c r="AB301" s="36" t="s">
        <v>141</v>
      </c>
      <c r="AC301" s="117" t="s">
        <v>141</v>
      </c>
      <c r="AD301" s="36"/>
      <c r="AE301" s="36" t="s">
        <v>141</v>
      </c>
      <c r="AF301" s="117"/>
      <c r="AG301" s="36" t="s">
        <v>141</v>
      </c>
      <c r="AH301" s="36"/>
      <c r="AI301" s="117"/>
      <c r="AJ301" s="36"/>
      <c r="AK301" s="36"/>
      <c r="AL301" s="36"/>
      <c r="AM301" s="117" t="s">
        <v>141</v>
      </c>
      <c r="AN301" s="117" t="s">
        <v>141</v>
      </c>
      <c r="AO301" s="117"/>
      <c r="AP301" s="117"/>
      <c r="AQ301" s="117"/>
      <c r="AR301" s="117"/>
      <c r="AS301" s="117"/>
      <c r="AT301" s="117"/>
      <c r="AU301" s="117"/>
      <c r="AV301" s="119">
        <f t="shared" si="4"/>
        <v>12</v>
      </c>
      <c r="AW301" s="119"/>
      <c r="AX301" s="119" t="s">
        <v>2142</v>
      </c>
    </row>
    <row r="302" spans="1:50">
      <c r="A302">
        <v>281</v>
      </c>
      <c r="B302">
        <v>838</v>
      </c>
      <c r="C302">
        <v>302</v>
      </c>
      <c r="D302" s="7">
        <v>45806</v>
      </c>
      <c r="E302" s="7" t="s">
        <v>1310</v>
      </c>
      <c r="F302" s="10" t="s">
        <v>1309</v>
      </c>
      <c r="G302" s="36" t="s">
        <v>141</v>
      </c>
      <c r="H302" s="36"/>
      <c r="I302" s="36"/>
      <c r="J302" s="36"/>
      <c r="K302" s="36" t="s">
        <v>141</v>
      </c>
      <c r="L302" s="36" t="s">
        <v>141</v>
      </c>
      <c r="M302" s="36"/>
      <c r="N302" s="36"/>
      <c r="O302" s="117"/>
      <c r="P302" s="36"/>
      <c r="Q302" s="36" t="s">
        <v>141</v>
      </c>
      <c r="R302" s="36"/>
      <c r="S302" s="36"/>
      <c r="T302" s="36"/>
      <c r="U302" s="36"/>
      <c r="V302" s="36"/>
      <c r="W302" s="36" t="s">
        <v>141</v>
      </c>
      <c r="X302" s="36"/>
      <c r="Y302" s="36"/>
      <c r="Z302" s="36"/>
      <c r="AA302" s="117" t="s">
        <v>141</v>
      </c>
      <c r="AB302" s="36"/>
      <c r="AC302" s="117" t="s">
        <v>141</v>
      </c>
      <c r="AD302" s="36"/>
      <c r="AE302" s="36"/>
      <c r="AF302" s="117"/>
      <c r="AG302" s="36"/>
      <c r="AH302" s="36"/>
      <c r="AI302" s="117" t="s">
        <v>141</v>
      </c>
      <c r="AJ302" s="36"/>
      <c r="AK302" s="36"/>
      <c r="AL302" s="36"/>
      <c r="AM302" s="117"/>
      <c r="AN302" s="117"/>
      <c r="AO302" s="117"/>
      <c r="AP302" s="117"/>
      <c r="AQ302" s="117"/>
      <c r="AR302" s="117"/>
      <c r="AS302" s="117"/>
      <c r="AT302" s="117"/>
      <c r="AU302" s="117"/>
      <c r="AV302" s="119">
        <f t="shared" si="4"/>
        <v>8</v>
      </c>
      <c r="AW302" s="119"/>
      <c r="AX302" s="119" t="s">
        <v>2142</v>
      </c>
    </row>
    <row r="303" spans="1:50">
      <c r="A303">
        <v>282</v>
      </c>
      <c r="B303">
        <v>839</v>
      </c>
      <c r="C303">
        <v>303</v>
      </c>
      <c r="D303" s="7">
        <v>45807</v>
      </c>
      <c r="E303" s="7" t="s">
        <v>1312</v>
      </c>
      <c r="F303" s="10" t="s">
        <v>1311</v>
      </c>
      <c r="G303" s="36" t="s">
        <v>141</v>
      </c>
      <c r="H303" s="36"/>
      <c r="I303" s="36" t="s">
        <v>141</v>
      </c>
      <c r="J303" s="36"/>
      <c r="K303" s="36"/>
      <c r="L303" s="36"/>
      <c r="M303" s="36"/>
      <c r="N303" s="36" t="s">
        <v>141</v>
      </c>
      <c r="O303" s="117" t="s">
        <v>141</v>
      </c>
      <c r="P303" s="36"/>
      <c r="Q303" s="36"/>
      <c r="R303" s="36"/>
      <c r="S303" s="36"/>
      <c r="T303" s="36"/>
      <c r="U303" s="36"/>
      <c r="V303" s="36"/>
      <c r="W303" s="36"/>
      <c r="X303" s="36" t="s">
        <v>141</v>
      </c>
      <c r="Y303" s="36" t="s">
        <v>141</v>
      </c>
      <c r="Z303" s="36"/>
      <c r="AA303" s="117" t="s">
        <v>141</v>
      </c>
      <c r="AB303" s="36"/>
      <c r="AC303" s="117" t="s">
        <v>141</v>
      </c>
      <c r="AD303" s="36" t="s">
        <v>141</v>
      </c>
      <c r="AE303" s="36" t="s">
        <v>141</v>
      </c>
      <c r="AF303" s="117" t="s">
        <v>141</v>
      </c>
      <c r="AG303" s="36"/>
      <c r="AH303" s="36"/>
      <c r="AI303" s="117"/>
      <c r="AJ303" s="36"/>
      <c r="AK303" s="36"/>
      <c r="AL303" s="36"/>
      <c r="AM303" s="117" t="s">
        <v>141</v>
      </c>
      <c r="AN303" s="117" t="s">
        <v>141</v>
      </c>
      <c r="AO303" s="117"/>
      <c r="AP303" s="117"/>
      <c r="AQ303" s="117"/>
      <c r="AR303" s="117" t="s">
        <v>141</v>
      </c>
      <c r="AS303" s="117"/>
      <c r="AT303" s="117"/>
      <c r="AU303" s="117"/>
      <c r="AV303" s="119">
        <f t="shared" si="4"/>
        <v>14</v>
      </c>
      <c r="AW303" s="119"/>
      <c r="AX303" s="119" t="s">
        <v>2142</v>
      </c>
    </row>
    <row r="304" spans="1:50">
      <c r="A304">
        <v>283</v>
      </c>
      <c r="B304">
        <v>840</v>
      </c>
      <c r="C304">
        <v>304</v>
      </c>
      <c r="D304" s="7">
        <v>45808</v>
      </c>
      <c r="E304" s="7" t="s">
        <v>1314</v>
      </c>
      <c r="F304" s="10" t="s">
        <v>1313</v>
      </c>
      <c r="G304" s="36"/>
      <c r="H304" s="36"/>
      <c r="I304" s="36" t="s">
        <v>141</v>
      </c>
      <c r="J304" s="36"/>
      <c r="K304" s="36"/>
      <c r="L304" s="36"/>
      <c r="M304" s="36"/>
      <c r="N304" s="36"/>
      <c r="O304" s="117"/>
      <c r="P304" s="36"/>
      <c r="Q304" s="36" t="s">
        <v>141</v>
      </c>
      <c r="R304" s="36" t="s">
        <v>141</v>
      </c>
      <c r="S304" s="36" t="s">
        <v>141</v>
      </c>
      <c r="T304" s="36"/>
      <c r="U304" s="36"/>
      <c r="V304" s="36"/>
      <c r="W304" s="36"/>
      <c r="X304" s="36" t="s">
        <v>141</v>
      </c>
      <c r="Y304" s="36"/>
      <c r="Z304" s="36"/>
      <c r="AA304" s="117"/>
      <c r="AB304" s="36"/>
      <c r="AC304" s="117"/>
      <c r="AD304" s="36" t="s">
        <v>141</v>
      </c>
      <c r="AE304" s="36"/>
      <c r="AF304" s="117"/>
      <c r="AG304" s="36" t="s">
        <v>141</v>
      </c>
      <c r="AH304" s="36"/>
      <c r="AI304" s="117"/>
      <c r="AJ304" s="36"/>
      <c r="AK304" s="36"/>
      <c r="AL304" s="36"/>
      <c r="AM304" s="117" t="s">
        <v>141</v>
      </c>
      <c r="AN304" s="117" t="s">
        <v>141</v>
      </c>
      <c r="AO304" s="117" t="s">
        <v>141</v>
      </c>
      <c r="AP304" s="117"/>
      <c r="AQ304" s="117"/>
      <c r="AR304" s="117" t="s">
        <v>141</v>
      </c>
      <c r="AS304" s="117"/>
      <c r="AT304" s="117"/>
      <c r="AU304" s="117"/>
      <c r="AV304" s="119">
        <f t="shared" si="4"/>
        <v>11</v>
      </c>
      <c r="AW304" s="119"/>
      <c r="AX304" s="119" t="s">
        <v>2142</v>
      </c>
    </row>
    <row r="305" spans="1:50">
      <c r="A305">
        <v>284</v>
      </c>
      <c r="B305">
        <v>841</v>
      </c>
      <c r="C305">
        <v>305</v>
      </c>
      <c r="D305" s="7">
        <v>45804</v>
      </c>
      <c r="E305" s="7" t="s">
        <v>1317</v>
      </c>
      <c r="F305" s="10" t="s">
        <v>1316</v>
      </c>
      <c r="G305" s="36"/>
      <c r="H305" s="36"/>
      <c r="I305" s="36" t="s">
        <v>141</v>
      </c>
      <c r="J305" s="36" t="s">
        <v>141</v>
      </c>
      <c r="K305" s="36"/>
      <c r="L305" s="36"/>
      <c r="M305" s="36"/>
      <c r="N305" s="36"/>
      <c r="O305" s="117" t="s">
        <v>141</v>
      </c>
      <c r="P305" s="36"/>
      <c r="Q305" s="36"/>
      <c r="R305" s="36"/>
      <c r="S305" s="36" t="s">
        <v>141</v>
      </c>
      <c r="T305" s="36"/>
      <c r="U305" s="36"/>
      <c r="V305" s="36" t="s">
        <v>141</v>
      </c>
      <c r="W305" s="36"/>
      <c r="X305" s="36"/>
      <c r="Y305" s="36"/>
      <c r="Z305" s="36"/>
      <c r="AA305" s="117"/>
      <c r="AB305" s="36"/>
      <c r="AC305" s="117" t="s">
        <v>141</v>
      </c>
      <c r="AD305" s="36" t="s">
        <v>141</v>
      </c>
      <c r="AE305" s="36" t="s">
        <v>141</v>
      </c>
      <c r="AF305" s="117" t="s">
        <v>141</v>
      </c>
      <c r="AG305" s="36"/>
      <c r="AH305" s="36"/>
      <c r="AI305" s="117"/>
      <c r="AJ305" s="36"/>
      <c r="AK305" s="36"/>
      <c r="AL305" s="36"/>
      <c r="AM305" s="117"/>
      <c r="AN305" s="117"/>
      <c r="AO305" s="117"/>
      <c r="AP305" s="117"/>
      <c r="AQ305" s="117"/>
      <c r="AR305" s="117" t="s">
        <v>141</v>
      </c>
      <c r="AS305" s="117"/>
      <c r="AT305" s="117"/>
      <c r="AU305" s="117"/>
      <c r="AV305" s="119">
        <f t="shared" si="4"/>
        <v>10</v>
      </c>
      <c r="AW305" s="119"/>
      <c r="AX305" s="119" t="s">
        <v>2142</v>
      </c>
    </row>
    <row r="306" spans="1:50">
      <c r="A306">
        <v>285</v>
      </c>
      <c r="B306">
        <v>842</v>
      </c>
      <c r="C306">
        <v>306</v>
      </c>
      <c r="D306" s="7">
        <v>45809</v>
      </c>
      <c r="E306" s="7" t="s">
        <v>1319</v>
      </c>
      <c r="F306" s="10" t="s">
        <v>1318</v>
      </c>
      <c r="G306" s="36" t="s">
        <v>141</v>
      </c>
      <c r="H306" s="36"/>
      <c r="I306" s="36" t="s">
        <v>141</v>
      </c>
      <c r="J306" s="36"/>
      <c r="K306" s="36"/>
      <c r="L306" s="36"/>
      <c r="M306" s="36"/>
      <c r="N306" s="36"/>
      <c r="O306" s="117"/>
      <c r="P306" s="36"/>
      <c r="Q306" s="36" t="s">
        <v>141</v>
      </c>
      <c r="R306" s="36" t="s">
        <v>141</v>
      </c>
      <c r="S306" s="36" t="s">
        <v>141</v>
      </c>
      <c r="T306" s="36"/>
      <c r="U306" s="36"/>
      <c r="V306" s="36"/>
      <c r="W306" s="36"/>
      <c r="X306" s="36" t="s">
        <v>141</v>
      </c>
      <c r="Y306" s="36" t="s">
        <v>141</v>
      </c>
      <c r="Z306" s="36"/>
      <c r="AA306" s="117"/>
      <c r="AB306" s="36" t="s">
        <v>141</v>
      </c>
      <c r="AC306" s="117"/>
      <c r="AD306" s="36"/>
      <c r="AE306" s="36"/>
      <c r="AF306" s="117" t="s">
        <v>141</v>
      </c>
      <c r="AG306" s="36"/>
      <c r="AH306" s="36"/>
      <c r="AI306" s="117"/>
      <c r="AJ306" s="36"/>
      <c r="AK306" s="36"/>
      <c r="AL306" s="36"/>
      <c r="AM306" s="117"/>
      <c r="AN306" s="117"/>
      <c r="AO306" s="117"/>
      <c r="AP306" s="117"/>
      <c r="AQ306" s="117"/>
      <c r="AR306" s="117"/>
      <c r="AS306" s="117"/>
      <c r="AT306" s="117"/>
      <c r="AU306" s="117"/>
      <c r="AV306" s="119">
        <f t="shared" si="4"/>
        <v>9</v>
      </c>
      <c r="AW306" s="119"/>
      <c r="AX306" s="119" t="s">
        <v>2142</v>
      </c>
    </row>
    <row r="307" spans="1:50">
      <c r="A307">
        <v>286</v>
      </c>
      <c r="B307">
        <v>843</v>
      </c>
      <c r="C307">
        <v>307</v>
      </c>
      <c r="D307" s="7">
        <v>45810</v>
      </c>
      <c r="E307" s="7" t="s">
        <v>1322</v>
      </c>
      <c r="F307" s="10" t="s">
        <v>1321</v>
      </c>
      <c r="G307" s="36" t="s">
        <v>141</v>
      </c>
      <c r="H307" s="36" t="s">
        <v>141</v>
      </c>
      <c r="I307" s="36"/>
      <c r="J307" s="36" t="s">
        <v>141</v>
      </c>
      <c r="K307" s="36" t="s">
        <v>141</v>
      </c>
      <c r="L307" s="36"/>
      <c r="M307" s="36"/>
      <c r="N307" s="36"/>
      <c r="O307" s="117" t="s">
        <v>141</v>
      </c>
      <c r="P307" s="36"/>
      <c r="Q307" s="36"/>
      <c r="R307" s="36"/>
      <c r="S307" s="36" t="s">
        <v>141</v>
      </c>
      <c r="T307" s="36"/>
      <c r="U307" s="36" t="s">
        <v>141</v>
      </c>
      <c r="V307" s="36"/>
      <c r="W307" s="36"/>
      <c r="X307" s="36" t="s">
        <v>141</v>
      </c>
      <c r="Y307" s="36"/>
      <c r="Z307" s="36"/>
      <c r="AA307" s="117"/>
      <c r="AB307" s="36" t="s">
        <v>141</v>
      </c>
      <c r="AC307" s="117"/>
      <c r="AD307" s="36"/>
      <c r="AE307" s="36" t="s">
        <v>141</v>
      </c>
      <c r="AF307" s="117" t="s">
        <v>141</v>
      </c>
      <c r="AG307" s="36"/>
      <c r="AH307" s="36"/>
      <c r="AI307" s="117" t="s">
        <v>141</v>
      </c>
      <c r="AJ307" s="36"/>
      <c r="AK307" s="36"/>
      <c r="AL307" s="36"/>
      <c r="AM307" s="117" t="s">
        <v>141</v>
      </c>
      <c r="AN307" s="117" t="s">
        <v>141</v>
      </c>
      <c r="AO307" s="117"/>
      <c r="AP307" s="117"/>
      <c r="AQ307" s="117"/>
      <c r="AR307" s="117" t="s">
        <v>141</v>
      </c>
      <c r="AS307" s="117"/>
      <c r="AT307" s="117"/>
      <c r="AU307" s="117"/>
      <c r="AV307" s="119">
        <f t="shared" si="4"/>
        <v>15</v>
      </c>
      <c r="AW307" s="119"/>
      <c r="AX307" s="119" t="s">
        <v>2142</v>
      </c>
    </row>
    <row r="308" spans="1:50">
      <c r="A308">
        <v>287</v>
      </c>
      <c r="B308">
        <v>844</v>
      </c>
      <c r="C308">
        <v>308</v>
      </c>
      <c r="D308" s="7">
        <v>45811</v>
      </c>
      <c r="E308" s="7" t="s">
        <v>1325</v>
      </c>
      <c r="F308" s="10" t="s">
        <v>1324</v>
      </c>
      <c r="G308" s="36"/>
      <c r="H308" s="36" t="s">
        <v>141</v>
      </c>
      <c r="I308" s="36"/>
      <c r="J308" s="36"/>
      <c r="K308" s="36"/>
      <c r="L308" s="36" t="s">
        <v>141</v>
      </c>
      <c r="M308" s="36" t="s">
        <v>141</v>
      </c>
      <c r="N308" s="36"/>
      <c r="O308" s="117"/>
      <c r="P308" s="36" t="s">
        <v>141</v>
      </c>
      <c r="Q308" s="36"/>
      <c r="R308" s="36"/>
      <c r="S308" s="36"/>
      <c r="T308" s="36"/>
      <c r="U308" s="36"/>
      <c r="V308" s="36"/>
      <c r="W308" s="36" t="s">
        <v>141</v>
      </c>
      <c r="X308" s="36"/>
      <c r="Y308" s="36" t="s">
        <v>141</v>
      </c>
      <c r="Z308" s="36"/>
      <c r="AA308" s="117" t="s">
        <v>141</v>
      </c>
      <c r="AB308" s="36" t="s">
        <v>141</v>
      </c>
      <c r="AC308" s="117"/>
      <c r="AD308" s="36"/>
      <c r="AE308" s="36" t="s">
        <v>141</v>
      </c>
      <c r="AF308" s="117"/>
      <c r="AG308" s="36"/>
      <c r="AH308" s="36"/>
      <c r="AI308" s="117" t="s">
        <v>141</v>
      </c>
      <c r="AJ308" s="36"/>
      <c r="AK308" s="36" t="s">
        <v>141</v>
      </c>
      <c r="AL308" s="36"/>
      <c r="AM308" s="117" t="s">
        <v>141</v>
      </c>
      <c r="AN308" s="117" t="s">
        <v>141</v>
      </c>
      <c r="AO308" s="117"/>
      <c r="AP308" s="117"/>
      <c r="AQ308" s="117"/>
      <c r="AR308" s="117"/>
      <c r="AS308" s="117"/>
      <c r="AT308" s="117"/>
      <c r="AU308" s="117"/>
      <c r="AV308" s="119">
        <f t="shared" si="4"/>
        <v>13</v>
      </c>
      <c r="AW308" s="119"/>
      <c r="AX308" s="119" t="s">
        <v>2142</v>
      </c>
    </row>
    <row r="309" spans="1:50">
      <c r="A309">
        <v>288</v>
      </c>
      <c r="B309">
        <v>845</v>
      </c>
      <c r="C309">
        <v>309</v>
      </c>
      <c r="D309" s="7">
        <v>45811</v>
      </c>
      <c r="E309" s="7" t="s">
        <v>1327</v>
      </c>
      <c r="F309" s="10" t="s">
        <v>1326</v>
      </c>
      <c r="G309" s="36" t="s">
        <v>141</v>
      </c>
      <c r="H309" s="36"/>
      <c r="I309" s="36"/>
      <c r="J309" s="36" t="s">
        <v>141</v>
      </c>
      <c r="K309" s="36"/>
      <c r="L309" s="36" t="s">
        <v>141</v>
      </c>
      <c r="M309" s="36" t="s">
        <v>141</v>
      </c>
      <c r="N309" s="36"/>
      <c r="O309" s="117"/>
      <c r="P309" s="36" t="s">
        <v>141</v>
      </c>
      <c r="Q309" s="36"/>
      <c r="R309" s="36"/>
      <c r="S309" s="36"/>
      <c r="T309" s="36"/>
      <c r="U309" s="36"/>
      <c r="V309" s="36"/>
      <c r="W309" s="36" t="s">
        <v>141</v>
      </c>
      <c r="X309" s="36"/>
      <c r="Y309" s="36" t="s">
        <v>141</v>
      </c>
      <c r="Z309" s="36"/>
      <c r="AA309" s="117" t="s">
        <v>141</v>
      </c>
      <c r="AB309" s="36"/>
      <c r="AC309" s="117"/>
      <c r="AD309" s="36"/>
      <c r="AE309" s="36"/>
      <c r="AF309" s="117"/>
      <c r="AG309" s="36"/>
      <c r="AH309" s="36"/>
      <c r="AI309" s="117"/>
      <c r="AJ309" s="36"/>
      <c r="AK309" s="36"/>
      <c r="AL309" s="36"/>
      <c r="AM309" s="117" t="s">
        <v>141</v>
      </c>
      <c r="AN309" s="117" t="s">
        <v>141</v>
      </c>
      <c r="AO309" s="117"/>
      <c r="AP309" s="117"/>
      <c r="AQ309" s="117"/>
      <c r="AR309" s="117"/>
      <c r="AS309" s="117"/>
      <c r="AT309" s="117"/>
      <c r="AU309" s="117"/>
      <c r="AV309" s="119">
        <f t="shared" si="4"/>
        <v>10</v>
      </c>
      <c r="AW309" s="119"/>
      <c r="AX309" s="119" t="s">
        <v>2142</v>
      </c>
    </row>
    <row r="310" spans="1:50">
      <c r="A310" t="s">
        <v>57</v>
      </c>
      <c r="B310" t="s">
        <v>57</v>
      </c>
      <c r="C310">
        <v>310</v>
      </c>
      <c r="D310" s="7">
        <v>45811</v>
      </c>
      <c r="E310" s="7" t="s">
        <v>2129</v>
      </c>
      <c r="F310" s="10" t="s">
        <v>2130</v>
      </c>
      <c r="G310" s="36" t="s">
        <v>141</v>
      </c>
      <c r="H310" s="36" t="s">
        <v>141</v>
      </c>
      <c r="I310" s="36" t="s">
        <v>2131</v>
      </c>
      <c r="J310" s="36" t="s">
        <v>141</v>
      </c>
      <c r="K310" s="36" t="s">
        <v>2131</v>
      </c>
      <c r="L310" s="36" t="s">
        <v>141</v>
      </c>
      <c r="M310" s="36" t="s">
        <v>141</v>
      </c>
      <c r="N310" s="36" t="s">
        <v>2131</v>
      </c>
      <c r="O310" s="117" t="s">
        <v>141</v>
      </c>
      <c r="P310" s="36" t="s">
        <v>141</v>
      </c>
      <c r="Q310" s="36" t="s">
        <v>2131</v>
      </c>
      <c r="R310" s="36" t="s">
        <v>141</v>
      </c>
      <c r="S310" s="36" t="s">
        <v>141</v>
      </c>
      <c r="T310" s="36" t="s">
        <v>2131</v>
      </c>
      <c r="U310" s="36" t="s">
        <v>2131</v>
      </c>
      <c r="V310" s="36" t="s">
        <v>141</v>
      </c>
      <c r="W310" s="36" t="s">
        <v>141</v>
      </c>
      <c r="X310" s="36" t="s">
        <v>2131</v>
      </c>
      <c r="Y310" s="36" t="s">
        <v>141</v>
      </c>
      <c r="Z310" s="36" t="s">
        <v>141</v>
      </c>
      <c r="AA310" s="117" t="s">
        <v>2131</v>
      </c>
      <c r="AB310" s="36" t="s">
        <v>141</v>
      </c>
      <c r="AC310" s="117" t="s">
        <v>2131</v>
      </c>
      <c r="AD310" s="36" t="s">
        <v>141</v>
      </c>
      <c r="AE310" s="36" t="s">
        <v>2131</v>
      </c>
      <c r="AF310" s="117" t="s">
        <v>141</v>
      </c>
      <c r="AG310" s="36" t="s">
        <v>141</v>
      </c>
      <c r="AH310" s="36" t="s">
        <v>2131</v>
      </c>
      <c r="AI310" s="117" t="s">
        <v>141</v>
      </c>
      <c r="AJ310" s="36" t="s">
        <v>141</v>
      </c>
      <c r="AK310" s="36" t="s">
        <v>141</v>
      </c>
      <c r="AL310" s="36" t="s">
        <v>141</v>
      </c>
      <c r="AM310" s="117" t="s">
        <v>141</v>
      </c>
      <c r="AN310" s="117" t="s">
        <v>141</v>
      </c>
      <c r="AO310" s="117" t="s">
        <v>2131</v>
      </c>
      <c r="AP310" s="117"/>
      <c r="AQ310" s="117"/>
      <c r="AR310" s="117" t="s">
        <v>2131</v>
      </c>
      <c r="AS310" s="117" t="s">
        <v>141</v>
      </c>
      <c r="AT310" s="117"/>
      <c r="AU310" s="117"/>
      <c r="AV310" s="119">
        <f t="shared" si="4"/>
        <v>24</v>
      </c>
      <c r="AW310" s="119"/>
      <c r="AX310" s="119" t="s">
        <v>2142</v>
      </c>
    </row>
    <row r="311" spans="1:50">
      <c r="A311">
        <v>289</v>
      </c>
      <c r="B311">
        <v>846</v>
      </c>
      <c r="C311">
        <v>311</v>
      </c>
      <c r="D311" s="7">
        <v>45812</v>
      </c>
      <c r="E311" s="7" t="s">
        <v>1329</v>
      </c>
      <c r="F311" s="10" t="s">
        <v>1328</v>
      </c>
      <c r="G311" s="36"/>
      <c r="H311" s="36" t="s">
        <v>141</v>
      </c>
      <c r="I311" s="36"/>
      <c r="J311" s="36"/>
      <c r="K311" s="36"/>
      <c r="L311" s="36" t="s">
        <v>141</v>
      </c>
      <c r="M311" s="36" t="s">
        <v>141</v>
      </c>
      <c r="N311" s="36" t="s">
        <v>141</v>
      </c>
      <c r="O311" s="117"/>
      <c r="P311" s="36" t="s">
        <v>141</v>
      </c>
      <c r="Q311" s="36"/>
      <c r="R311" s="36"/>
      <c r="S311" s="36"/>
      <c r="T311" s="36"/>
      <c r="U311" s="36"/>
      <c r="V311" s="36" t="s">
        <v>141</v>
      </c>
      <c r="W311" s="36" t="s">
        <v>141</v>
      </c>
      <c r="X311" s="36"/>
      <c r="Y311" s="36" t="s">
        <v>141</v>
      </c>
      <c r="Z311" s="36"/>
      <c r="AA311" s="117"/>
      <c r="AB311" s="36"/>
      <c r="AC311" s="117"/>
      <c r="AD311" s="36" t="s">
        <v>141</v>
      </c>
      <c r="AE311" s="36"/>
      <c r="AF311" s="117"/>
      <c r="AG311" s="36" t="s">
        <v>141</v>
      </c>
      <c r="AH311" s="36"/>
      <c r="AI311" s="117"/>
      <c r="AJ311" s="36"/>
      <c r="AK311" s="36"/>
      <c r="AL311" s="36"/>
      <c r="AM311" s="117"/>
      <c r="AN311" s="117"/>
      <c r="AO311" s="117"/>
      <c r="AP311" s="117"/>
      <c r="AQ311" s="117"/>
      <c r="AR311" s="117"/>
      <c r="AS311" s="117"/>
      <c r="AT311" s="117"/>
      <c r="AU311" s="117"/>
      <c r="AV311" s="119">
        <f t="shared" si="4"/>
        <v>10</v>
      </c>
      <c r="AW311" s="119"/>
      <c r="AX311" s="119" t="s">
        <v>2142</v>
      </c>
    </row>
    <row r="312" spans="1:50">
      <c r="A312">
        <v>290</v>
      </c>
      <c r="B312">
        <v>847</v>
      </c>
      <c r="C312">
        <v>312</v>
      </c>
      <c r="D312" s="7">
        <v>45812</v>
      </c>
      <c r="E312" s="7" t="s">
        <v>1331</v>
      </c>
      <c r="F312" s="10" t="s">
        <v>1330</v>
      </c>
      <c r="G312" s="36"/>
      <c r="H312" s="36" t="s">
        <v>141</v>
      </c>
      <c r="I312" s="36"/>
      <c r="J312" s="36"/>
      <c r="K312" s="36" t="s">
        <v>141</v>
      </c>
      <c r="L312" s="36" t="s">
        <v>141</v>
      </c>
      <c r="M312" s="36" t="s">
        <v>141</v>
      </c>
      <c r="N312" s="36"/>
      <c r="O312" s="117" t="s">
        <v>141</v>
      </c>
      <c r="P312" s="36" t="s">
        <v>141</v>
      </c>
      <c r="Q312" s="36"/>
      <c r="R312" s="36" t="s">
        <v>141</v>
      </c>
      <c r="S312" s="36"/>
      <c r="T312" s="36"/>
      <c r="U312" s="36"/>
      <c r="V312" s="36"/>
      <c r="W312" s="36" t="s">
        <v>141</v>
      </c>
      <c r="X312" s="36"/>
      <c r="Y312" s="36" t="s">
        <v>141</v>
      </c>
      <c r="Z312" s="36"/>
      <c r="AA312" s="117"/>
      <c r="AB312" s="36" t="s">
        <v>141</v>
      </c>
      <c r="AC312" s="117"/>
      <c r="AD312" s="36" t="s">
        <v>141</v>
      </c>
      <c r="AE312" s="36"/>
      <c r="AF312" s="117" t="s">
        <v>141</v>
      </c>
      <c r="AG312" s="36" t="s">
        <v>141</v>
      </c>
      <c r="AH312" s="36"/>
      <c r="AI312" s="117"/>
      <c r="AJ312" s="36" t="s">
        <v>141</v>
      </c>
      <c r="AK312" s="36"/>
      <c r="AL312" s="36"/>
      <c r="AM312" s="117" t="s">
        <v>141</v>
      </c>
      <c r="AN312" s="117" t="s">
        <v>141</v>
      </c>
      <c r="AO312" s="117"/>
      <c r="AP312" s="117"/>
      <c r="AQ312" s="117"/>
      <c r="AR312" s="117" t="s">
        <v>141</v>
      </c>
      <c r="AS312" s="117"/>
      <c r="AT312" s="117"/>
      <c r="AU312" s="117"/>
      <c r="AV312" s="119">
        <f t="shared" si="4"/>
        <v>17</v>
      </c>
      <c r="AW312" s="119"/>
      <c r="AX312" s="119" t="s">
        <v>2142</v>
      </c>
    </row>
    <row r="313" spans="1:50">
      <c r="A313">
        <v>291</v>
      </c>
      <c r="B313">
        <v>848</v>
      </c>
      <c r="C313">
        <v>313</v>
      </c>
      <c r="D313" s="7">
        <v>45812</v>
      </c>
      <c r="E313" s="7" t="s">
        <v>1334</v>
      </c>
      <c r="F313" s="10" t="s">
        <v>1333</v>
      </c>
      <c r="G313" s="36"/>
      <c r="H313" s="36"/>
      <c r="I313" s="36"/>
      <c r="J313" s="36"/>
      <c r="K313" s="36" t="s">
        <v>141</v>
      </c>
      <c r="L313" s="36" t="s">
        <v>141</v>
      </c>
      <c r="M313" s="36" t="s">
        <v>141</v>
      </c>
      <c r="N313" s="36"/>
      <c r="O313" s="117" t="s">
        <v>141</v>
      </c>
      <c r="P313" s="36" t="s">
        <v>141</v>
      </c>
      <c r="Q313" s="36"/>
      <c r="R313" s="36" t="s">
        <v>141</v>
      </c>
      <c r="S313" s="36"/>
      <c r="T313" s="36"/>
      <c r="U313" s="36"/>
      <c r="V313" s="36"/>
      <c r="W313" s="36"/>
      <c r="X313" s="36"/>
      <c r="Y313" s="36" t="s">
        <v>141</v>
      </c>
      <c r="Z313" s="36"/>
      <c r="AA313" s="117" t="s">
        <v>141</v>
      </c>
      <c r="AB313" s="36"/>
      <c r="AC313" s="117"/>
      <c r="AD313" s="36" t="s">
        <v>141</v>
      </c>
      <c r="AE313" s="36"/>
      <c r="AF313" s="117" t="s">
        <v>141</v>
      </c>
      <c r="AG313" s="36"/>
      <c r="AH313" s="36"/>
      <c r="AI313" s="117" t="s">
        <v>141</v>
      </c>
      <c r="AJ313" s="36" t="s">
        <v>141</v>
      </c>
      <c r="AK313" s="36"/>
      <c r="AL313" s="36"/>
      <c r="AM313" s="117" t="s">
        <v>141</v>
      </c>
      <c r="AN313" s="117" t="s">
        <v>141</v>
      </c>
      <c r="AO313" s="117"/>
      <c r="AP313" s="117"/>
      <c r="AQ313" s="117"/>
      <c r="AR313" s="117" t="s">
        <v>141</v>
      </c>
      <c r="AS313" s="117"/>
      <c r="AT313" s="117"/>
      <c r="AU313" s="117"/>
      <c r="AV313" s="119">
        <f t="shared" si="4"/>
        <v>15</v>
      </c>
      <c r="AW313" s="119"/>
      <c r="AX313" s="119" t="s">
        <v>2142</v>
      </c>
    </row>
    <row r="314" spans="1:50">
      <c r="A314">
        <v>292</v>
      </c>
      <c r="B314">
        <v>849</v>
      </c>
      <c r="C314">
        <v>314</v>
      </c>
      <c r="D314" s="7">
        <v>45812</v>
      </c>
      <c r="E314" s="7" t="s">
        <v>1336</v>
      </c>
      <c r="F314" s="10" t="s">
        <v>1335</v>
      </c>
      <c r="G314" s="36"/>
      <c r="H314" s="36"/>
      <c r="I314" s="36"/>
      <c r="J314" s="36"/>
      <c r="K314" s="36" t="s">
        <v>141</v>
      </c>
      <c r="L314" s="36" t="s">
        <v>141</v>
      </c>
      <c r="M314" s="36"/>
      <c r="N314" s="36" t="s">
        <v>141</v>
      </c>
      <c r="O314" s="117" t="s">
        <v>141</v>
      </c>
      <c r="P314" s="36" t="s">
        <v>141</v>
      </c>
      <c r="Q314" s="36"/>
      <c r="R314" s="36"/>
      <c r="S314" s="36"/>
      <c r="T314" s="36"/>
      <c r="U314" s="36"/>
      <c r="V314" s="36" t="s">
        <v>141</v>
      </c>
      <c r="W314" s="36"/>
      <c r="X314" s="36"/>
      <c r="Y314" s="36"/>
      <c r="Z314" s="36"/>
      <c r="AA314" s="117"/>
      <c r="AB314" s="36" t="s">
        <v>141</v>
      </c>
      <c r="AC314" s="117"/>
      <c r="AD314" s="36"/>
      <c r="AE314" s="36"/>
      <c r="AF314" s="117"/>
      <c r="AG314" s="36"/>
      <c r="AH314" s="36"/>
      <c r="AI314" s="117"/>
      <c r="AJ314" s="36"/>
      <c r="AK314" s="36" t="s">
        <v>141</v>
      </c>
      <c r="AL314" s="36"/>
      <c r="AM314" s="117"/>
      <c r="AN314" s="117"/>
      <c r="AO314" s="117"/>
      <c r="AP314" s="117"/>
      <c r="AQ314" s="117"/>
      <c r="AR314" s="117"/>
      <c r="AS314" s="117"/>
      <c r="AT314" s="117"/>
      <c r="AU314" s="117"/>
      <c r="AV314" s="119">
        <f t="shared" si="4"/>
        <v>8</v>
      </c>
      <c r="AW314" s="119"/>
      <c r="AX314" s="119" t="s">
        <v>2142</v>
      </c>
    </row>
    <row r="315" spans="1:50">
      <c r="A315">
        <v>293</v>
      </c>
      <c r="B315">
        <v>850</v>
      </c>
      <c r="C315">
        <v>315</v>
      </c>
      <c r="D315" s="7">
        <v>45813</v>
      </c>
      <c r="E315" s="7" t="s">
        <v>1334</v>
      </c>
      <c r="F315" s="10" t="s">
        <v>1337</v>
      </c>
      <c r="G315" s="36" t="s">
        <v>141</v>
      </c>
      <c r="H315" s="36" t="s">
        <v>141</v>
      </c>
      <c r="I315" s="36"/>
      <c r="J315" s="36" t="s">
        <v>141</v>
      </c>
      <c r="K315" s="36" t="s">
        <v>141</v>
      </c>
      <c r="L315" s="36" t="s">
        <v>141</v>
      </c>
      <c r="M315" s="36" t="s">
        <v>141</v>
      </c>
      <c r="N315" s="36" t="s">
        <v>141</v>
      </c>
      <c r="O315" s="117"/>
      <c r="P315" s="36"/>
      <c r="Q315" s="36" t="s">
        <v>141</v>
      </c>
      <c r="R315" s="36" t="s">
        <v>141</v>
      </c>
      <c r="S315" s="36" t="s">
        <v>141</v>
      </c>
      <c r="T315" s="36"/>
      <c r="U315" s="36"/>
      <c r="V315" s="36"/>
      <c r="W315" s="36" t="s">
        <v>141</v>
      </c>
      <c r="X315" s="36"/>
      <c r="Y315" s="36" t="s">
        <v>141</v>
      </c>
      <c r="Z315" s="36"/>
      <c r="AA315" s="117" t="s">
        <v>141</v>
      </c>
      <c r="AB315" s="36"/>
      <c r="AC315" s="117"/>
      <c r="AD315" s="36"/>
      <c r="AE315" s="36" t="s">
        <v>141</v>
      </c>
      <c r="AF315" s="117"/>
      <c r="AG315" s="36"/>
      <c r="AH315" s="36"/>
      <c r="AI315" s="117" t="s">
        <v>141</v>
      </c>
      <c r="AJ315" s="36" t="s">
        <v>141</v>
      </c>
      <c r="AK315" s="36"/>
      <c r="AL315" s="36"/>
      <c r="AM315" s="117"/>
      <c r="AN315" s="117"/>
      <c r="AO315" s="117"/>
      <c r="AP315" s="117"/>
      <c r="AQ315" s="117"/>
      <c r="AR315" s="117"/>
      <c r="AS315" s="117"/>
      <c r="AT315" s="117"/>
      <c r="AU315" s="117"/>
      <c r="AV315" s="119">
        <f t="shared" si="4"/>
        <v>16</v>
      </c>
      <c r="AW315" s="119"/>
      <c r="AX315" s="119" t="s">
        <v>2142</v>
      </c>
    </row>
    <row r="316" spans="1:50">
      <c r="A316">
        <v>294</v>
      </c>
      <c r="B316">
        <v>851</v>
      </c>
      <c r="C316">
        <v>316</v>
      </c>
      <c r="D316" s="7">
        <v>45814</v>
      </c>
      <c r="E316" s="7" t="s">
        <v>1339</v>
      </c>
      <c r="F316" s="10" t="s">
        <v>1338</v>
      </c>
      <c r="G316" s="36" t="s">
        <v>141</v>
      </c>
      <c r="H316" s="36"/>
      <c r="I316" s="36"/>
      <c r="J316" s="36"/>
      <c r="K316" s="36" t="s">
        <v>141</v>
      </c>
      <c r="L316" s="36"/>
      <c r="M316" s="36"/>
      <c r="N316" s="36" t="s">
        <v>141</v>
      </c>
      <c r="O316" s="117"/>
      <c r="P316" s="36"/>
      <c r="Q316" s="36" t="s">
        <v>141</v>
      </c>
      <c r="R316" s="36"/>
      <c r="S316" s="36" t="s">
        <v>141</v>
      </c>
      <c r="T316" s="36"/>
      <c r="U316" s="36"/>
      <c r="V316" s="36"/>
      <c r="W316" s="36" t="s">
        <v>141</v>
      </c>
      <c r="X316" s="36"/>
      <c r="Y316" s="36" t="s">
        <v>141</v>
      </c>
      <c r="Z316" s="36"/>
      <c r="AA316" s="117" t="s">
        <v>141</v>
      </c>
      <c r="AB316" s="36" t="s">
        <v>141</v>
      </c>
      <c r="AC316" s="117"/>
      <c r="AD316" s="36" t="s">
        <v>141</v>
      </c>
      <c r="AE316" s="36" t="s">
        <v>141</v>
      </c>
      <c r="AF316" s="117"/>
      <c r="AG316" s="36"/>
      <c r="AH316" s="36"/>
      <c r="AI316" s="117"/>
      <c r="AJ316" s="36" t="s">
        <v>141</v>
      </c>
      <c r="AK316" s="36"/>
      <c r="AL316" s="36"/>
      <c r="AM316" s="117"/>
      <c r="AN316" s="117"/>
      <c r="AO316" s="117"/>
      <c r="AP316" s="117"/>
      <c r="AQ316" s="117"/>
      <c r="AR316" s="117"/>
      <c r="AS316" s="117"/>
      <c r="AT316" s="117"/>
      <c r="AU316" s="117"/>
      <c r="AV316" s="119">
        <f t="shared" si="4"/>
        <v>12</v>
      </c>
      <c r="AW316" s="119"/>
      <c r="AX316" s="119" t="s">
        <v>2142</v>
      </c>
    </row>
    <row r="317" spans="1:50">
      <c r="A317">
        <v>295</v>
      </c>
      <c r="B317">
        <v>852</v>
      </c>
      <c r="C317">
        <v>317</v>
      </c>
      <c r="D317" s="7">
        <v>45814</v>
      </c>
      <c r="E317" s="7" t="s">
        <v>1341</v>
      </c>
      <c r="F317" s="10" t="s">
        <v>1340</v>
      </c>
      <c r="G317" s="36" t="s">
        <v>141</v>
      </c>
      <c r="H317" s="36" t="s">
        <v>141</v>
      </c>
      <c r="I317" s="36"/>
      <c r="J317" s="36"/>
      <c r="K317" s="36"/>
      <c r="L317" s="36" t="s">
        <v>141</v>
      </c>
      <c r="M317" s="36"/>
      <c r="N317" s="36" t="s">
        <v>141</v>
      </c>
      <c r="O317" s="117" t="s">
        <v>141</v>
      </c>
      <c r="P317" s="36" t="s">
        <v>141</v>
      </c>
      <c r="Q317" s="36"/>
      <c r="R317" s="36"/>
      <c r="S317" s="36"/>
      <c r="T317" s="36"/>
      <c r="U317" s="36"/>
      <c r="V317" s="36"/>
      <c r="W317" s="36" t="s">
        <v>141</v>
      </c>
      <c r="X317" s="36"/>
      <c r="Y317" s="36" t="s">
        <v>141</v>
      </c>
      <c r="Z317" s="36"/>
      <c r="AA317" s="117"/>
      <c r="AB317" s="36" t="s">
        <v>141</v>
      </c>
      <c r="AC317" s="117"/>
      <c r="AD317" s="36" t="s">
        <v>141</v>
      </c>
      <c r="AE317" s="36"/>
      <c r="AF317" s="117"/>
      <c r="AG317" s="36"/>
      <c r="AH317" s="36" t="s">
        <v>141</v>
      </c>
      <c r="AI317" s="117"/>
      <c r="AJ317" s="36"/>
      <c r="AK317" s="36"/>
      <c r="AL317" s="36"/>
      <c r="AM317" s="117" t="s">
        <v>141</v>
      </c>
      <c r="AN317" s="117" t="s">
        <v>141</v>
      </c>
      <c r="AO317" s="117"/>
      <c r="AP317" s="117"/>
      <c r="AQ317" s="117"/>
      <c r="AR317" s="117" t="s">
        <v>141</v>
      </c>
      <c r="AS317" s="117"/>
      <c r="AT317" s="117"/>
      <c r="AU317" s="117"/>
      <c r="AV317" s="119">
        <f t="shared" si="4"/>
        <v>14</v>
      </c>
      <c r="AW317" s="119"/>
      <c r="AX317" s="119" t="s">
        <v>2142</v>
      </c>
    </row>
    <row r="318" spans="1:50">
      <c r="A318">
        <v>296</v>
      </c>
      <c r="B318">
        <v>853</v>
      </c>
      <c r="C318">
        <v>318</v>
      </c>
      <c r="D318" s="7">
        <v>45815</v>
      </c>
      <c r="E318" s="7" t="s">
        <v>1343</v>
      </c>
      <c r="F318" s="10" t="s">
        <v>1342</v>
      </c>
      <c r="G318" s="36" t="s">
        <v>141</v>
      </c>
      <c r="H318" s="36" t="s">
        <v>141</v>
      </c>
      <c r="I318" s="36"/>
      <c r="J318" s="36" t="s">
        <v>141</v>
      </c>
      <c r="K318" s="36"/>
      <c r="L318" s="36"/>
      <c r="M318" s="36" t="s">
        <v>141</v>
      </c>
      <c r="N318" s="36"/>
      <c r="O318" s="117" t="s">
        <v>141</v>
      </c>
      <c r="P318" s="36" t="s">
        <v>141</v>
      </c>
      <c r="Q318" s="36" t="s">
        <v>141</v>
      </c>
      <c r="R318" s="36"/>
      <c r="S318" s="36"/>
      <c r="T318" s="36"/>
      <c r="U318" s="36"/>
      <c r="V318" s="36"/>
      <c r="W318" s="36"/>
      <c r="X318" s="36"/>
      <c r="Y318" s="36"/>
      <c r="Z318" s="36"/>
      <c r="AA318" s="117"/>
      <c r="AB318" s="36"/>
      <c r="AC318" s="117"/>
      <c r="AD318" s="36"/>
      <c r="AE318" s="36"/>
      <c r="AF318" s="117"/>
      <c r="AG318" s="36"/>
      <c r="AH318" s="36"/>
      <c r="AI318" s="117" t="s">
        <v>141</v>
      </c>
      <c r="AJ318" s="36" t="s">
        <v>141</v>
      </c>
      <c r="AK318" s="36"/>
      <c r="AL318" s="36"/>
      <c r="AM318" s="117" t="s">
        <v>141</v>
      </c>
      <c r="AN318" s="117" t="s">
        <v>141</v>
      </c>
      <c r="AO318" s="117"/>
      <c r="AP318" s="117"/>
      <c r="AQ318" s="117"/>
      <c r="AR318" s="117"/>
      <c r="AS318" s="117"/>
      <c r="AT318" s="117"/>
      <c r="AU318" s="117"/>
      <c r="AV318" s="119">
        <f t="shared" si="4"/>
        <v>11</v>
      </c>
      <c r="AW318" s="119"/>
      <c r="AX318" s="119" t="s">
        <v>2142</v>
      </c>
    </row>
    <row r="319" spans="1:50">
      <c r="A319">
        <v>297</v>
      </c>
      <c r="B319">
        <v>854</v>
      </c>
      <c r="C319">
        <v>319</v>
      </c>
      <c r="D319" s="7">
        <v>45815</v>
      </c>
      <c r="E319" s="7" t="s">
        <v>1345</v>
      </c>
      <c r="F319" s="10" t="s">
        <v>1344</v>
      </c>
      <c r="G319" s="36" t="s">
        <v>141</v>
      </c>
      <c r="H319" s="36" t="s">
        <v>141</v>
      </c>
      <c r="I319" s="36"/>
      <c r="J319" s="36" t="s">
        <v>141</v>
      </c>
      <c r="K319" s="36"/>
      <c r="L319" s="36"/>
      <c r="M319" s="36" t="s">
        <v>141</v>
      </c>
      <c r="N319" s="36"/>
      <c r="O319" s="117"/>
      <c r="P319" s="36" t="s">
        <v>141</v>
      </c>
      <c r="Q319" s="36"/>
      <c r="R319" s="36" t="s">
        <v>141</v>
      </c>
      <c r="S319" s="36"/>
      <c r="T319" s="36"/>
      <c r="U319" s="36"/>
      <c r="V319" s="36"/>
      <c r="W319" s="36"/>
      <c r="X319" s="36"/>
      <c r="Y319" s="36"/>
      <c r="Z319" s="36"/>
      <c r="AA319" s="117" t="s">
        <v>141</v>
      </c>
      <c r="AB319" s="36" t="s">
        <v>141</v>
      </c>
      <c r="AC319" s="117"/>
      <c r="AD319" s="36"/>
      <c r="AE319" s="36"/>
      <c r="AF319" s="117"/>
      <c r="AG319" s="36"/>
      <c r="AH319" s="36"/>
      <c r="AI319" s="117"/>
      <c r="AJ319" s="36" t="s">
        <v>141</v>
      </c>
      <c r="AK319" s="36" t="s">
        <v>141</v>
      </c>
      <c r="AL319" s="36" t="s">
        <v>141</v>
      </c>
      <c r="AM319" s="117" t="s">
        <v>141</v>
      </c>
      <c r="AN319" s="117" t="s">
        <v>141</v>
      </c>
      <c r="AO319" s="117"/>
      <c r="AP319" s="117"/>
      <c r="AQ319" s="117"/>
      <c r="AR319" s="117"/>
      <c r="AS319" s="117"/>
      <c r="AT319" s="117"/>
      <c r="AU319" s="117"/>
      <c r="AV319" s="119">
        <f t="shared" si="4"/>
        <v>13</v>
      </c>
      <c r="AW319" s="119"/>
      <c r="AX319" s="119" t="s">
        <v>2142</v>
      </c>
    </row>
    <row r="320" spans="1:50">
      <c r="A320">
        <v>298</v>
      </c>
      <c r="B320">
        <v>855</v>
      </c>
      <c r="C320">
        <v>320</v>
      </c>
      <c r="D320" s="7">
        <v>45815</v>
      </c>
      <c r="E320" s="7" t="s">
        <v>1347</v>
      </c>
      <c r="F320" s="10" t="s">
        <v>1346</v>
      </c>
      <c r="G320" s="36"/>
      <c r="H320" s="36" t="s">
        <v>141</v>
      </c>
      <c r="I320" s="36"/>
      <c r="J320" s="36" t="s">
        <v>141</v>
      </c>
      <c r="K320" s="36" t="s">
        <v>141</v>
      </c>
      <c r="L320" s="36" t="s">
        <v>141</v>
      </c>
      <c r="M320" s="36" t="s">
        <v>141</v>
      </c>
      <c r="N320" s="36"/>
      <c r="O320" s="117"/>
      <c r="P320" s="36" t="s">
        <v>141</v>
      </c>
      <c r="Q320" s="36"/>
      <c r="R320" s="36"/>
      <c r="S320" s="36"/>
      <c r="T320" s="36"/>
      <c r="U320" s="36"/>
      <c r="V320" s="36"/>
      <c r="W320" s="36" t="s">
        <v>141</v>
      </c>
      <c r="X320" s="36"/>
      <c r="Y320" s="36"/>
      <c r="Z320" s="36"/>
      <c r="AA320" s="117"/>
      <c r="AB320" s="36"/>
      <c r="AC320" s="117" t="s">
        <v>141</v>
      </c>
      <c r="AD320" s="36" t="s">
        <v>141</v>
      </c>
      <c r="AE320" s="36"/>
      <c r="AF320" s="117"/>
      <c r="AG320" s="36"/>
      <c r="AH320" s="36"/>
      <c r="AI320" s="117" t="s">
        <v>141</v>
      </c>
      <c r="AJ320" s="36"/>
      <c r="AK320" s="36"/>
      <c r="AL320" s="36"/>
      <c r="AM320" s="117"/>
      <c r="AN320" s="117"/>
      <c r="AO320" s="117"/>
      <c r="AP320" s="117"/>
      <c r="AQ320" s="117"/>
      <c r="AR320" s="117"/>
      <c r="AS320" s="117"/>
      <c r="AT320" s="117"/>
      <c r="AU320" s="117"/>
      <c r="AV320" s="119">
        <f t="shared" si="4"/>
        <v>10</v>
      </c>
      <c r="AW320" s="119"/>
      <c r="AX320" s="119" t="s">
        <v>2142</v>
      </c>
    </row>
    <row r="321" spans="1:50">
      <c r="A321">
        <v>299</v>
      </c>
      <c r="B321">
        <v>856</v>
      </c>
      <c r="C321">
        <v>321</v>
      </c>
      <c r="D321" s="7">
        <v>45817</v>
      </c>
      <c r="E321" s="7" t="s">
        <v>1349</v>
      </c>
      <c r="F321" s="10" t="s">
        <v>1348</v>
      </c>
      <c r="G321" s="36"/>
      <c r="H321" s="36"/>
      <c r="I321" s="36"/>
      <c r="J321" s="36" t="s">
        <v>141</v>
      </c>
      <c r="K321" s="36" t="s">
        <v>141</v>
      </c>
      <c r="L321" s="36"/>
      <c r="M321" s="36" t="s">
        <v>141</v>
      </c>
      <c r="N321" s="36" t="s">
        <v>141</v>
      </c>
      <c r="O321" s="117"/>
      <c r="P321" s="36" t="s">
        <v>141</v>
      </c>
      <c r="Q321" s="36"/>
      <c r="R321" s="36"/>
      <c r="S321" s="36" t="s">
        <v>141</v>
      </c>
      <c r="T321" s="36"/>
      <c r="U321" s="36"/>
      <c r="V321" s="36"/>
      <c r="W321" s="36" t="s">
        <v>141</v>
      </c>
      <c r="X321" s="36"/>
      <c r="Y321" s="36" t="s">
        <v>141</v>
      </c>
      <c r="Z321" s="36"/>
      <c r="AA321" s="117"/>
      <c r="AB321" s="36"/>
      <c r="AC321" s="117"/>
      <c r="AD321" s="36"/>
      <c r="AE321" s="36"/>
      <c r="AF321" s="117" t="s">
        <v>141</v>
      </c>
      <c r="AG321" s="36"/>
      <c r="AH321" s="36"/>
      <c r="AI321" s="117"/>
      <c r="AJ321" s="36"/>
      <c r="AK321" s="36" t="s">
        <v>141</v>
      </c>
      <c r="AL321" s="36"/>
      <c r="AM321" s="117" t="s">
        <v>141</v>
      </c>
      <c r="AN321" s="117" t="s">
        <v>141</v>
      </c>
      <c r="AO321" s="117"/>
      <c r="AP321" s="117"/>
      <c r="AQ321" s="117"/>
      <c r="AR321" s="117"/>
      <c r="AS321" s="117"/>
      <c r="AT321" s="117"/>
      <c r="AU321" s="117"/>
      <c r="AV321" s="119">
        <f t="shared" si="4"/>
        <v>12</v>
      </c>
      <c r="AW321" s="119"/>
      <c r="AX321" s="119" t="s">
        <v>2142</v>
      </c>
    </row>
    <row r="322" spans="1:50">
      <c r="A322" t="s">
        <v>57</v>
      </c>
      <c r="B322" t="s">
        <v>57</v>
      </c>
      <c r="C322">
        <v>322</v>
      </c>
      <c r="D322" s="7">
        <v>45817</v>
      </c>
      <c r="E322" s="7" t="s">
        <v>2134</v>
      </c>
      <c r="F322" s="10" t="s">
        <v>2130</v>
      </c>
      <c r="G322" s="36" t="s">
        <v>141</v>
      </c>
      <c r="H322" s="36" t="s">
        <v>141</v>
      </c>
      <c r="I322" s="36" t="s">
        <v>2131</v>
      </c>
      <c r="J322" s="36" t="s">
        <v>141</v>
      </c>
      <c r="K322" s="36" t="s">
        <v>2131</v>
      </c>
      <c r="L322" s="36" t="s">
        <v>141</v>
      </c>
      <c r="M322" s="36" t="s">
        <v>141</v>
      </c>
      <c r="N322" s="36" t="s">
        <v>141</v>
      </c>
      <c r="O322" s="117" t="s">
        <v>2131</v>
      </c>
      <c r="P322" s="36" t="s">
        <v>141</v>
      </c>
      <c r="Q322" s="36" t="s">
        <v>141</v>
      </c>
      <c r="R322" s="36" t="s">
        <v>141</v>
      </c>
      <c r="S322" s="36" t="s">
        <v>141</v>
      </c>
      <c r="T322" s="36" t="s">
        <v>2131</v>
      </c>
      <c r="U322" s="36" t="s">
        <v>2131</v>
      </c>
      <c r="V322" s="36" t="s">
        <v>141</v>
      </c>
      <c r="W322" s="36" t="s">
        <v>2131</v>
      </c>
      <c r="X322" s="36" t="s">
        <v>141</v>
      </c>
      <c r="Y322" s="36" t="s">
        <v>141</v>
      </c>
      <c r="Z322" s="36" t="s">
        <v>141</v>
      </c>
      <c r="AA322" s="117" t="s">
        <v>2131</v>
      </c>
      <c r="AB322" s="36" t="s">
        <v>141</v>
      </c>
      <c r="AC322" s="117" t="s">
        <v>141</v>
      </c>
      <c r="AD322" s="36" t="s">
        <v>141</v>
      </c>
      <c r="AE322" s="36" t="s">
        <v>2131</v>
      </c>
      <c r="AF322" s="117" t="s">
        <v>141</v>
      </c>
      <c r="AG322" s="36" t="s">
        <v>2131</v>
      </c>
      <c r="AH322" s="36" t="s">
        <v>2131</v>
      </c>
      <c r="AI322" s="117" t="s">
        <v>2131</v>
      </c>
      <c r="AJ322" s="36" t="s">
        <v>141</v>
      </c>
      <c r="AK322" s="36" t="s">
        <v>141</v>
      </c>
      <c r="AL322" s="36" t="s">
        <v>141</v>
      </c>
      <c r="AM322" s="117" t="s">
        <v>141</v>
      </c>
      <c r="AN322" s="117" t="s">
        <v>141</v>
      </c>
      <c r="AO322" s="117" t="s">
        <v>141</v>
      </c>
      <c r="AP322" s="117"/>
      <c r="AQ322" s="117"/>
      <c r="AR322" s="117" t="s">
        <v>141</v>
      </c>
      <c r="AS322" s="117" t="s">
        <v>141</v>
      </c>
      <c r="AT322" s="117"/>
      <c r="AU322" s="117"/>
      <c r="AV322" s="119">
        <f t="shared" ref="AV322:AV385" si="5">COUNTIF($F322:$AS322, "I")</f>
        <v>26</v>
      </c>
      <c r="AW322" s="119"/>
      <c r="AX322" s="119" t="s">
        <v>2142</v>
      </c>
    </row>
    <row r="323" spans="1:50">
      <c r="A323">
        <v>300</v>
      </c>
      <c r="B323">
        <v>857</v>
      </c>
      <c r="C323">
        <v>323</v>
      </c>
      <c r="D323" s="7">
        <v>45818</v>
      </c>
      <c r="E323" s="7" t="s">
        <v>271</v>
      </c>
      <c r="F323" s="10" t="s">
        <v>1350</v>
      </c>
      <c r="G323" s="36" t="s">
        <v>141</v>
      </c>
      <c r="H323" s="36" t="s">
        <v>141</v>
      </c>
      <c r="I323" s="36"/>
      <c r="J323" s="36" t="s">
        <v>141</v>
      </c>
      <c r="K323" s="36"/>
      <c r="L323" s="36"/>
      <c r="M323" s="36" t="s">
        <v>141</v>
      </c>
      <c r="N323" s="36" t="s">
        <v>141</v>
      </c>
      <c r="O323" s="117"/>
      <c r="P323" s="36" t="s">
        <v>141</v>
      </c>
      <c r="Q323" s="36" t="s">
        <v>141</v>
      </c>
      <c r="R323" s="36"/>
      <c r="S323" s="36"/>
      <c r="T323" s="36"/>
      <c r="U323" s="36"/>
      <c r="V323" s="36"/>
      <c r="W323" s="36" t="s">
        <v>141</v>
      </c>
      <c r="X323" s="36" t="s">
        <v>141</v>
      </c>
      <c r="Y323" s="36"/>
      <c r="Z323" s="36"/>
      <c r="AA323" s="117"/>
      <c r="AB323" s="36" t="s">
        <v>141</v>
      </c>
      <c r="AC323" s="117"/>
      <c r="AD323" s="36"/>
      <c r="AE323" s="36"/>
      <c r="AF323" s="117" t="s">
        <v>141</v>
      </c>
      <c r="AG323" s="36"/>
      <c r="AH323" s="36"/>
      <c r="AI323" s="117"/>
      <c r="AJ323" s="36"/>
      <c r="AK323" s="36"/>
      <c r="AL323" s="36"/>
      <c r="AM323" s="117"/>
      <c r="AN323" s="117"/>
      <c r="AO323" s="117" t="s">
        <v>141</v>
      </c>
      <c r="AP323" s="117"/>
      <c r="AQ323" s="117"/>
      <c r="AR323" s="117"/>
      <c r="AS323" s="117"/>
      <c r="AT323" s="117"/>
      <c r="AU323" s="117"/>
      <c r="AV323" s="119">
        <f t="shared" si="5"/>
        <v>12</v>
      </c>
      <c r="AW323" s="119"/>
      <c r="AX323" s="119" t="s">
        <v>2142</v>
      </c>
    </row>
    <row r="324" spans="1:50">
      <c r="A324">
        <v>301</v>
      </c>
      <c r="B324">
        <v>858</v>
      </c>
      <c r="C324">
        <v>324</v>
      </c>
      <c r="D324" s="7">
        <v>45818</v>
      </c>
      <c r="E324" s="7" t="s">
        <v>1352</v>
      </c>
      <c r="F324" s="10" t="s">
        <v>1351</v>
      </c>
      <c r="G324" s="36"/>
      <c r="H324" s="36" t="s">
        <v>141</v>
      </c>
      <c r="I324" s="36"/>
      <c r="J324" s="36"/>
      <c r="K324" s="36"/>
      <c r="L324" s="36" t="s">
        <v>141</v>
      </c>
      <c r="M324" s="36"/>
      <c r="N324" s="36" t="s">
        <v>141</v>
      </c>
      <c r="O324" s="117"/>
      <c r="P324" s="36" t="s">
        <v>141</v>
      </c>
      <c r="Q324" s="36"/>
      <c r="R324" s="36"/>
      <c r="S324" s="36"/>
      <c r="T324" s="36"/>
      <c r="U324" s="36"/>
      <c r="V324" s="36"/>
      <c r="W324" s="36"/>
      <c r="X324" s="36" t="s">
        <v>141</v>
      </c>
      <c r="Y324" s="36" t="s">
        <v>141</v>
      </c>
      <c r="Z324" s="36"/>
      <c r="AA324" s="117"/>
      <c r="AB324" s="36" t="s">
        <v>141</v>
      </c>
      <c r="AC324" s="117"/>
      <c r="AD324" s="36" t="s">
        <v>141</v>
      </c>
      <c r="AE324" s="36"/>
      <c r="AF324" s="117"/>
      <c r="AG324" s="36"/>
      <c r="AH324" s="36"/>
      <c r="AI324" s="117" t="s">
        <v>141</v>
      </c>
      <c r="AJ324" s="36" t="s">
        <v>141</v>
      </c>
      <c r="AK324" s="36"/>
      <c r="AL324" s="36"/>
      <c r="AM324" s="117" t="s">
        <v>141</v>
      </c>
      <c r="AN324" s="117" t="s">
        <v>141</v>
      </c>
      <c r="AO324" s="117"/>
      <c r="AP324" s="117"/>
      <c r="AQ324" s="117"/>
      <c r="AR324" s="117"/>
      <c r="AS324" s="117"/>
      <c r="AT324" s="117"/>
      <c r="AU324" s="117"/>
      <c r="AV324" s="119">
        <f t="shared" si="5"/>
        <v>12</v>
      </c>
      <c r="AW324" s="119"/>
      <c r="AX324" s="119" t="s">
        <v>2142</v>
      </c>
    </row>
    <row r="325" spans="1:50">
      <c r="A325">
        <v>302</v>
      </c>
      <c r="B325">
        <v>859</v>
      </c>
      <c r="C325">
        <v>325</v>
      </c>
      <c r="D325" s="7">
        <v>45819</v>
      </c>
      <c r="E325" s="7" t="s">
        <v>1354</v>
      </c>
      <c r="F325" s="10" t="s">
        <v>1353</v>
      </c>
      <c r="G325" s="36"/>
      <c r="H325" s="36" t="s">
        <v>141</v>
      </c>
      <c r="I325" s="36"/>
      <c r="J325" s="36"/>
      <c r="K325" s="36"/>
      <c r="L325" s="36" t="s">
        <v>141</v>
      </c>
      <c r="M325" s="36" t="s">
        <v>141</v>
      </c>
      <c r="N325" s="36"/>
      <c r="O325" s="117"/>
      <c r="P325" s="36" t="s">
        <v>141</v>
      </c>
      <c r="Q325" s="36"/>
      <c r="R325" s="36"/>
      <c r="S325" s="36" t="s">
        <v>141</v>
      </c>
      <c r="T325" s="36"/>
      <c r="U325" s="36"/>
      <c r="V325" s="36"/>
      <c r="W325" s="36" t="s">
        <v>141</v>
      </c>
      <c r="X325" s="36"/>
      <c r="Y325" s="36"/>
      <c r="Z325" s="36"/>
      <c r="AA325" s="117" t="s">
        <v>141</v>
      </c>
      <c r="AB325" s="36" t="s">
        <v>141</v>
      </c>
      <c r="AC325" s="117" t="s">
        <v>141</v>
      </c>
      <c r="AD325" s="36"/>
      <c r="AE325" s="36"/>
      <c r="AF325" s="117"/>
      <c r="AG325" s="36"/>
      <c r="AH325" s="36"/>
      <c r="AI325" s="117"/>
      <c r="AJ325" s="36"/>
      <c r="AK325" s="36"/>
      <c r="AL325" s="36"/>
      <c r="AM325" s="117"/>
      <c r="AN325" s="117"/>
      <c r="AO325" s="117"/>
      <c r="AP325" s="117"/>
      <c r="AQ325" s="117"/>
      <c r="AR325" s="117"/>
      <c r="AS325" s="117"/>
      <c r="AT325" s="117"/>
      <c r="AU325" s="117"/>
      <c r="AV325" s="119">
        <f t="shared" si="5"/>
        <v>9</v>
      </c>
      <c r="AW325" s="119"/>
      <c r="AX325" s="119" t="s">
        <v>2142</v>
      </c>
    </row>
    <row r="326" spans="1:50">
      <c r="A326">
        <v>303</v>
      </c>
      <c r="B326">
        <v>860</v>
      </c>
      <c r="C326">
        <v>326</v>
      </c>
      <c r="D326" s="7">
        <v>45820</v>
      </c>
      <c r="E326" s="7" t="s">
        <v>1356</v>
      </c>
      <c r="F326" s="10" t="s">
        <v>1355</v>
      </c>
      <c r="G326" s="36"/>
      <c r="H326" s="36" t="s">
        <v>141</v>
      </c>
      <c r="I326" s="36"/>
      <c r="J326" s="36" t="s">
        <v>141</v>
      </c>
      <c r="K326" s="36" t="s">
        <v>141</v>
      </c>
      <c r="L326" s="36" t="s">
        <v>141</v>
      </c>
      <c r="M326" s="36" t="s">
        <v>141</v>
      </c>
      <c r="N326" s="36"/>
      <c r="O326" s="117"/>
      <c r="P326" s="36"/>
      <c r="Q326" s="36" t="s">
        <v>141</v>
      </c>
      <c r="R326" s="36"/>
      <c r="S326" s="36"/>
      <c r="T326" s="36"/>
      <c r="U326" s="36"/>
      <c r="V326" s="36"/>
      <c r="W326" s="36"/>
      <c r="X326" s="36"/>
      <c r="Y326" s="36"/>
      <c r="Z326" s="36"/>
      <c r="AA326" s="117" t="s">
        <v>141</v>
      </c>
      <c r="AB326" s="36" t="s">
        <v>141</v>
      </c>
      <c r="AC326" s="117"/>
      <c r="AD326" s="36" t="s">
        <v>141</v>
      </c>
      <c r="AE326" s="36"/>
      <c r="AF326" s="117"/>
      <c r="AG326" s="36"/>
      <c r="AH326" s="36"/>
      <c r="AI326" s="117"/>
      <c r="AJ326" s="36"/>
      <c r="AK326" s="36"/>
      <c r="AL326" s="36"/>
      <c r="AM326" s="117" t="s">
        <v>141</v>
      </c>
      <c r="AN326" s="117" t="s">
        <v>141</v>
      </c>
      <c r="AO326" s="117"/>
      <c r="AP326" s="117"/>
      <c r="AQ326" s="117"/>
      <c r="AR326" s="117"/>
      <c r="AS326" s="117"/>
      <c r="AT326" s="117"/>
      <c r="AU326" s="117"/>
      <c r="AV326" s="119">
        <f t="shared" si="5"/>
        <v>11</v>
      </c>
      <c r="AW326" s="119"/>
      <c r="AX326" s="119" t="s">
        <v>2142</v>
      </c>
    </row>
    <row r="327" spans="1:50">
      <c r="A327">
        <v>304</v>
      </c>
      <c r="B327">
        <v>861</v>
      </c>
      <c r="C327">
        <v>327</v>
      </c>
      <c r="D327" s="7">
        <v>45823</v>
      </c>
      <c r="E327" s="7" t="s">
        <v>1359</v>
      </c>
      <c r="F327" s="10" t="s">
        <v>1357</v>
      </c>
      <c r="G327" s="36" t="s">
        <v>141</v>
      </c>
      <c r="H327" s="36"/>
      <c r="I327" s="36"/>
      <c r="J327" s="36" t="s">
        <v>141</v>
      </c>
      <c r="K327" s="36"/>
      <c r="L327" s="36" t="s">
        <v>141</v>
      </c>
      <c r="M327" s="36" t="s">
        <v>141</v>
      </c>
      <c r="N327" s="36" t="s">
        <v>141</v>
      </c>
      <c r="O327" s="117" t="s">
        <v>141</v>
      </c>
      <c r="P327" s="36"/>
      <c r="Q327" s="36" t="s">
        <v>141</v>
      </c>
      <c r="R327" s="36"/>
      <c r="S327" s="36"/>
      <c r="T327" s="36" t="s">
        <v>141</v>
      </c>
      <c r="U327" s="36" t="s">
        <v>141</v>
      </c>
      <c r="V327" s="36"/>
      <c r="W327" s="36"/>
      <c r="X327" s="36" t="s">
        <v>141</v>
      </c>
      <c r="Y327" s="36"/>
      <c r="Z327" s="36"/>
      <c r="AA327" s="117"/>
      <c r="AB327" s="36" t="s">
        <v>141</v>
      </c>
      <c r="AC327" s="117"/>
      <c r="AD327" s="36"/>
      <c r="AE327" s="36" t="s">
        <v>141</v>
      </c>
      <c r="AF327" s="117"/>
      <c r="AG327" s="36" t="s">
        <v>141</v>
      </c>
      <c r="AH327" s="36" t="s">
        <v>141</v>
      </c>
      <c r="AI327" s="117"/>
      <c r="AJ327" s="36"/>
      <c r="AK327" s="36"/>
      <c r="AL327" s="36"/>
      <c r="AM327" s="117" t="s">
        <v>141</v>
      </c>
      <c r="AN327" s="117" t="s">
        <v>141</v>
      </c>
      <c r="AO327" s="117"/>
      <c r="AP327" s="117"/>
      <c r="AQ327" s="117"/>
      <c r="AR327" s="117"/>
      <c r="AS327" s="117"/>
      <c r="AT327" s="117"/>
      <c r="AU327" s="117"/>
      <c r="AV327" s="119">
        <f t="shared" si="5"/>
        <v>16</v>
      </c>
      <c r="AW327" s="119"/>
      <c r="AX327" s="119" t="s">
        <v>2142</v>
      </c>
    </row>
    <row r="328" spans="1:50">
      <c r="A328" t="s">
        <v>57</v>
      </c>
      <c r="B328" t="s">
        <v>57</v>
      </c>
      <c r="C328">
        <v>328</v>
      </c>
      <c r="D328" s="7">
        <v>45824</v>
      </c>
      <c r="E328" s="7" t="s">
        <v>2134</v>
      </c>
      <c r="F328" s="10" t="s">
        <v>2130</v>
      </c>
      <c r="G328" s="36" t="s">
        <v>141</v>
      </c>
      <c r="H328" s="36" t="s">
        <v>141</v>
      </c>
      <c r="I328" s="36" t="s">
        <v>141</v>
      </c>
      <c r="J328" s="36" t="s">
        <v>141</v>
      </c>
      <c r="K328" s="36" t="s">
        <v>141</v>
      </c>
      <c r="L328" s="36" t="s">
        <v>141</v>
      </c>
      <c r="M328" s="36" t="s">
        <v>141</v>
      </c>
      <c r="N328" s="36" t="s">
        <v>141</v>
      </c>
      <c r="O328" s="117" t="s">
        <v>141</v>
      </c>
      <c r="P328" s="36" t="s">
        <v>141</v>
      </c>
      <c r="Q328" s="36" t="s">
        <v>141</v>
      </c>
      <c r="R328" s="36" t="s">
        <v>141</v>
      </c>
      <c r="S328" s="36" t="s">
        <v>2131</v>
      </c>
      <c r="T328" s="36" t="s">
        <v>141</v>
      </c>
      <c r="U328" s="36" t="s">
        <v>141</v>
      </c>
      <c r="V328" s="36" t="s">
        <v>141</v>
      </c>
      <c r="W328" s="36" t="s">
        <v>141</v>
      </c>
      <c r="X328" s="36" t="s">
        <v>2131</v>
      </c>
      <c r="Y328" s="36" t="s">
        <v>141</v>
      </c>
      <c r="Z328" s="36" t="s">
        <v>141</v>
      </c>
      <c r="AA328" s="117" t="s">
        <v>2131</v>
      </c>
      <c r="AB328" s="36" t="s">
        <v>2131</v>
      </c>
      <c r="AC328" s="117" t="s">
        <v>2131</v>
      </c>
      <c r="AD328" s="36" t="s">
        <v>141</v>
      </c>
      <c r="AE328" s="36" t="s">
        <v>141</v>
      </c>
      <c r="AF328" s="117" t="s">
        <v>141</v>
      </c>
      <c r="AG328" s="36" t="s">
        <v>2131</v>
      </c>
      <c r="AH328" s="36" t="s">
        <v>141</v>
      </c>
      <c r="AI328" s="117" t="s">
        <v>141</v>
      </c>
      <c r="AJ328" s="36" t="s">
        <v>141</v>
      </c>
      <c r="AK328" s="36" t="s">
        <v>141</v>
      </c>
      <c r="AL328" s="36" t="s">
        <v>141</v>
      </c>
      <c r="AM328" s="117" t="s">
        <v>141</v>
      </c>
      <c r="AN328" s="117" t="s">
        <v>141</v>
      </c>
      <c r="AO328" s="117" t="s">
        <v>141</v>
      </c>
      <c r="AP328" s="117"/>
      <c r="AQ328" s="117"/>
      <c r="AR328" s="117" t="s">
        <v>141</v>
      </c>
      <c r="AS328" s="117" t="s">
        <v>141</v>
      </c>
      <c r="AT328" s="117"/>
      <c r="AU328" s="117"/>
      <c r="AV328" s="119">
        <f t="shared" si="5"/>
        <v>31</v>
      </c>
      <c r="AW328" s="119"/>
      <c r="AX328" s="119" t="s">
        <v>2142</v>
      </c>
    </row>
    <row r="329" spans="1:50">
      <c r="A329">
        <v>305</v>
      </c>
      <c r="B329">
        <v>862</v>
      </c>
      <c r="C329">
        <v>329</v>
      </c>
      <c r="D329" s="7">
        <v>45824</v>
      </c>
      <c r="E329" s="7" t="s">
        <v>1362</v>
      </c>
      <c r="F329" s="10" t="s">
        <v>1360</v>
      </c>
      <c r="G329" s="36"/>
      <c r="H329" s="36"/>
      <c r="I329" s="36"/>
      <c r="J329" s="36" t="s">
        <v>141</v>
      </c>
      <c r="K329" s="36" t="s">
        <v>141</v>
      </c>
      <c r="L329" s="36" t="s">
        <v>141</v>
      </c>
      <c r="M329" s="36" t="s">
        <v>141</v>
      </c>
      <c r="N329" s="36"/>
      <c r="O329" s="117" t="s">
        <v>141</v>
      </c>
      <c r="P329" s="36"/>
      <c r="Q329" s="36" t="s">
        <v>141</v>
      </c>
      <c r="R329" s="36"/>
      <c r="S329" s="36"/>
      <c r="T329" s="36" t="s">
        <v>141</v>
      </c>
      <c r="U329" s="36"/>
      <c r="V329" s="36"/>
      <c r="W329" s="36"/>
      <c r="X329" s="36"/>
      <c r="Y329" s="36" t="s">
        <v>141</v>
      </c>
      <c r="Z329" s="36"/>
      <c r="AA329" s="117"/>
      <c r="AB329" s="36"/>
      <c r="AC329" s="117"/>
      <c r="AD329" s="36" t="s">
        <v>141</v>
      </c>
      <c r="AE329" s="36"/>
      <c r="AF329" s="117"/>
      <c r="AG329" s="36"/>
      <c r="AH329" s="36"/>
      <c r="AI329" s="117"/>
      <c r="AJ329" s="36" t="s">
        <v>141</v>
      </c>
      <c r="AK329" s="36"/>
      <c r="AL329" s="36"/>
      <c r="AM329" s="117" t="s">
        <v>141</v>
      </c>
      <c r="AN329" s="117" t="s">
        <v>141</v>
      </c>
      <c r="AO329" s="117"/>
      <c r="AP329" s="117"/>
      <c r="AQ329" s="117"/>
      <c r="AR329" s="117"/>
      <c r="AS329" s="117"/>
      <c r="AT329" s="117"/>
      <c r="AU329" s="117"/>
      <c r="AV329" s="119">
        <f t="shared" si="5"/>
        <v>12</v>
      </c>
      <c r="AW329" s="119"/>
      <c r="AX329" s="119" t="s">
        <v>2142</v>
      </c>
    </row>
    <row r="330" spans="1:50">
      <c r="A330">
        <v>306</v>
      </c>
      <c r="B330">
        <v>863</v>
      </c>
      <c r="C330">
        <v>330</v>
      </c>
      <c r="D330" s="7">
        <v>45825</v>
      </c>
      <c r="E330" s="7" t="s">
        <v>1364</v>
      </c>
      <c r="F330" s="10" t="s">
        <v>1363</v>
      </c>
      <c r="G330" s="36" t="s">
        <v>141</v>
      </c>
      <c r="H330" s="36"/>
      <c r="I330" s="36"/>
      <c r="J330" s="36" t="s">
        <v>141</v>
      </c>
      <c r="K330" s="36"/>
      <c r="L330" s="36"/>
      <c r="M330" s="36" t="s">
        <v>141</v>
      </c>
      <c r="N330" s="36" t="s">
        <v>141</v>
      </c>
      <c r="O330" s="117"/>
      <c r="P330" s="36" t="s">
        <v>141</v>
      </c>
      <c r="Q330" s="36"/>
      <c r="R330" s="36"/>
      <c r="S330" s="36"/>
      <c r="T330" s="36" t="s">
        <v>141</v>
      </c>
      <c r="U330" s="36"/>
      <c r="V330" s="36"/>
      <c r="W330" s="36"/>
      <c r="X330" s="36"/>
      <c r="Y330" s="36"/>
      <c r="Z330" s="36"/>
      <c r="AA330" s="117"/>
      <c r="AB330" s="36"/>
      <c r="AC330" s="117" t="s">
        <v>141</v>
      </c>
      <c r="AD330" s="36"/>
      <c r="AE330" s="36"/>
      <c r="AF330" s="117"/>
      <c r="AG330" s="36"/>
      <c r="AH330" s="36"/>
      <c r="AI330" s="117"/>
      <c r="AJ330" s="36"/>
      <c r="AK330" s="36"/>
      <c r="AL330" s="36"/>
      <c r="AM330" s="117"/>
      <c r="AN330" s="117"/>
      <c r="AO330" s="117" t="s">
        <v>141</v>
      </c>
      <c r="AP330" s="117"/>
      <c r="AQ330" s="117"/>
      <c r="AR330" s="117"/>
      <c r="AS330" s="117"/>
      <c r="AT330" s="117"/>
      <c r="AU330" s="117"/>
      <c r="AV330" s="119">
        <f t="shared" si="5"/>
        <v>8</v>
      </c>
      <c r="AW330" s="119"/>
      <c r="AX330" s="119" t="s">
        <v>2142</v>
      </c>
    </row>
    <row r="331" spans="1:50">
      <c r="A331">
        <v>307</v>
      </c>
      <c r="B331">
        <v>864</v>
      </c>
      <c r="C331">
        <v>331</v>
      </c>
      <c r="D331" s="7">
        <v>45826</v>
      </c>
      <c r="E331" s="7" t="s">
        <v>1367</v>
      </c>
      <c r="F331" s="10" t="s">
        <v>1366</v>
      </c>
      <c r="G331" s="36"/>
      <c r="H331" s="36" t="s">
        <v>141</v>
      </c>
      <c r="I331" s="36"/>
      <c r="J331" s="36"/>
      <c r="K331" s="36"/>
      <c r="L331" s="36" t="s">
        <v>141</v>
      </c>
      <c r="M331" s="36" t="s">
        <v>141</v>
      </c>
      <c r="N331" s="36" t="s">
        <v>141</v>
      </c>
      <c r="O331" s="117" t="s">
        <v>141</v>
      </c>
      <c r="P331" s="36" t="s">
        <v>141</v>
      </c>
      <c r="Q331" s="36" t="s">
        <v>141</v>
      </c>
      <c r="R331" s="36"/>
      <c r="S331" s="36"/>
      <c r="T331" s="36" t="s">
        <v>141</v>
      </c>
      <c r="U331" s="36"/>
      <c r="V331" s="36"/>
      <c r="W331" s="36"/>
      <c r="X331" s="36"/>
      <c r="Y331" s="36" t="s">
        <v>141</v>
      </c>
      <c r="Z331" s="36"/>
      <c r="AA331" s="117"/>
      <c r="AB331" s="36" t="s">
        <v>141</v>
      </c>
      <c r="AC331" s="117"/>
      <c r="AD331" s="36"/>
      <c r="AE331" s="36"/>
      <c r="AF331" s="117"/>
      <c r="AG331" s="36"/>
      <c r="AH331" s="36"/>
      <c r="AI331" s="117" t="s">
        <v>141</v>
      </c>
      <c r="AJ331" s="36"/>
      <c r="AK331" s="36"/>
      <c r="AL331" s="36"/>
      <c r="AM331" s="117"/>
      <c r="AN331" s="117"/>
      <c r="AO331" s="117"/>
      <c r="AP331" s="117"/>
      <c r="AQ331" s="117"/>
      <c r="AR331" s="117"/>
      <c r="AS331" s="117"/>
      <c r="AT331" s="117"/>
      <c r="AU331" s="117"/>
      <c r="AV331" s="119">
        <f t="shared" si="5"/>
        <v>11</v>
      </c>
      <c r="AW331" s="119"/>
      <c r="AX331" s="119" t="s">
        <v>2142</v>
      </c>
    </row>
    <row r="332" spans="1:50">
      <c r="A332">
        <v>308</v>
      </c>
      <c r="B332">
        <v>865</v>
      </c>
      <c r="C332">
        <v>332</v>
      </c>
      <c r="D332" s="7">
        <v>45826</v>
      </c>
      <c r="E332" s="7" t="s">
        <v>1369</v>
      </c>
      <c r="F332" s="10" t="s">
        <v>1368</v>
      </c>
      <c r="G332" s="36" t="s">
        <v>141</v>
      </c>
      <c r="H332" s="36"/>
      <c r="I332" s="36" t="s">
        <v>141</v>
      </c>
      <c r="J332" s="36" t="s">
        <v>141</v>
      </c>
      <c r="K332" s="36"/>
      <c r="L332" s="36" t="s">
        <v>141</v>
      </c>
      <c r="M332" s="36"/>
      <c r="N332" s="36"/>
      <c r="O332" s="117" t="s">
        <v>141</v>
      </c>
      <c r="P332" s="36" t="s">
        <v>141</v>
      </c>
      <c r="Q332" s="36"/>
      <c r="R332" s="36" t="s">
        <v>141</v>
      </c>
      <c r="S332" s="36"/>
      <c r="T332" s="36" t="s">
        <v>141</v>
      </c>
      <c r="U332" s="36"/>
      <c r="V332" s="36"/>
      <c r="W332" s="36"/>
      <c r="X332" s="36"/>
      <c r="Y332" s="36"/>
      <c r="Z332" s="36"/>
      <c r="AA332" s="117"/>
      <c r="AB332" s="36"/>
      <c r="AC332" s="117"/>
      <c r="AD332" s="36"/>
      <c r="AE332" s="36"/>
      <c r="AF332" s="117"/>
      <c r="AG332" s="36"/>
      <c r="AH332" s="36"/>
      <c r="AI332" s="117"/>
      <c r="AJ332" s="36"/>
      <c r="AK332" s="36"/>
      <c r="AL332" s="36"/>
      <c r="AM332" s="117" t="s">
        <v>141</v>
      </c>
      <c r="AN332" s="117" t="s">
        <v>141</v>
      </c>
      <c r="AO332" s="117"/>
      <c r="AP332" s="117"/>
      <c r="AQ332" s="117"/>
      <c r="AR332" s="117"/>
      <c r="AS332" s="117"/>
      <c r="AT332" s="117"/>
      <c r="AU332" s="117"/>
      <c r="AV332" s="119">
        <f t="shared" si="5"/>
        <v>10</v>
      </c>
      <c r="AW332" s="119"/>
      <c r="AX332" s="119" t="s">
        <v>2142</v>
      </c>
    </row>
    <row r="333" spans="1:50">
      <c r="A333">
        <v>309</v>
      </c>
      <c r="B333">
        <v>866</v>
      </c>
      <c r="C333">
        <v>333</v>
      </c>
      <c r="D333" s="7">
        <v>45826</v>
      </c>
      <c r="E333" s="7" t="s">
        <v>1371</v>
      </c>
      <c r="F333" s="10" t="s">
        <v>1370</v>
      </c>
      <c r="G333" s="36" t="s">
        <v>141</v>
      </c>
      <c r="H333" s="36"/>
      <c r="I333" s="36" t="s">
        <v>141</v>
      </c>
      <c r="J333" s="36" t="s">
        <v>141</v>
      </c>
      <c r="K333" s="36"/>
      <c r="L333" s="36" t="s">
        <v>141</v>
      </c>
      <c r="M333" s="36"/>
      <c r="N333" s="36"/>
      <c r="O333" s="117" t="s">
        <v>141</v>
      </c>
      <c r="P333" s="36" t="s">
        <v>141</v>
      </c>
      <c r="Q333" s="36"/>
      <c r="R333" s="36" t="s">
        <v>141</v>
      </c>
      <c r="S333" s="36"/>
      <c r="T333" s="36" t="s">
        <v>141</v>
      </c>
      <c r="U333" s="36"/>
      <c r="V333" s="36"/>
      <c r="W333" s="36"/>
      <c r="X333" s="36"/>
      <c r="Y333" s="36" t="s">
        <v>141</v>
      </c>
      <c r="Z333" s="36"/>
      <c r="AA333" s="117"/>
      <c r="AB333" s="36"/>
      <c r="AC333" s="117"/>
      <c r="AD333" s="36"/>
      <c r="AE333" s="36" t="s">
        <v>141</v>
      </c>
      <c r="AF333" s="117"/>
      <c r="AG333" s="36"/>
      <c r="AH333" s="36"/>
      <c r="AI333" s="117"/>
      <c r="AJ333" s="36"/>
      <c r="AK333" s="36"/>
      <c r="AL333" s="36"/>
      <c r="AM333" s="117" t="s">
        <v>141</v>
      </c>
      <c r="AN333" s="117" t="s">
        <v>141</v>
      </c>
      <c r="AO333" s="117"/>
      <c r="AP333" s="117"/>
      <c r="AQ333" s="117"/>
      <c r="AR333" s="117"/>
      <c r="AS333" s="117" t="s">
        <v>141</v>
      </c>
      <c r="AT333" s="117"/>
      <c r="AU333" s="117"/>
      <c r="AV333" s="119">
        <f t="shared" si="5"/>
        <v>13</v>
      </c>
      <c r="AW333" s="119"/>
      <c r="AX333" s="119" t="s">
        <v>2142</v>
      </c>
    </row>
    <row r="334" spans="1:50">
      <c r="A334">
        <v>310</v>
      </c>
      <c r="B334">
        <v>867</v>
      </c>
      <c r="C334">
        <v>334</v>
      </c>
      <c r="D334" s="7">
        <v>45826</v>
      </c>
      <c r="E334" s="7" t="s">
        <v>1373</v>
      </c>
      <c r="F334" s="10" t="s">
        <v>1372</v>
      </c>
      <c r="G334" s="36" t="s">
        <v>141</v>
      </c>
      <c r="H334" s="36" t="s">
        <v>141</v>
      </c>
      <c r="I334" s="36"/>
      <c r="J334" s="36"/>
      <c r="K334" s="36"/>
      <c r="L334" s="36"/>
      <c r="M334" s="36"/>
      <c r="N334" s="36" t="s">
        <v>141</v>
      </c>
      <c r="O334" s="117"/>
      <c r="P334" s="36"/>
      <c r="Q334" s="36"/>
      <c r="R334" s="36"/>
      <c r="S334" s="36"/>
      <c r="T334" s="36" t="s">
        <v>141</v>
      </c>
      <c r="U334" s="36"/>
      <c r="V334" s="36"/>
      <c r="W334" s="36" t="s">
        <v>141</v>
      </c>
      <c r="X334" s="36"/>
      <c r="Y334" s="36"/>
      <c r="Z334" s="36"/>
      <c r="AA334" s="117" t="s">
        <v>141</v>
      </c>
      <c r="AB334" s="36" t="s">
        <v>141</v>
      </c>
      <c r="AC334" s="117"/>
      <c r="AD334" s="36"/>
      <c r="AE334" s="36"/>
      <c r="AF334" s="117"/>
      <c r="AG334" s="36"/>
      <c r="AH334" s="36" t="s">
        <v>141</v>
      </c>
      <c r="AI334" s="117"/>
      <c r="AJ334" s="36"/>
      <c r="AK334" s="36"/>
      <c r="AL334" s="36"/>
      <c r="AM334" s="117" t="s">
        <v>141</v>
      </c>
      <c r="AN334" s="117" t="s">
        <v>141</v>
      </c>
      <c r="AO334" s="117"/>
      <c r="AP334" s="117"/>
      <c r="AQ334" s="117"/>
      <c r="AR334" s="117" t="s">
        <v>141</v>
      </c>
      <c r="AS334" s="117"/>
      <c r="AT334" s="117"/>
      <c r="AU334" s="117"/>
      <c r="AV334" s="119">
        <f t="shared" si="5"/>
        <v>11</v>
      </c>
      <c r="AW334" s="119"/>
      <c r="AX334" s="119" t="s">
        <v>2142</v>
      </c>
    </row>
    <row r="335" spans="1:50">
      <c r="A335" t="s">
        <v>57</v>
      </c>
      <c r="B335" t="s">
        <v>57</v>
      </c>
      <c r="C335">
        <v>335</v>
      </c>
      <c r="D335" s="7">
        <v>45831</v>
      </c>
      <c r="E335" s="7" t="s">
        <v>2129</v>
      </c>
      <c r="F335" s="10" t="s">
        <v>2130</v>
      </c>
      <c r="G335" s="36" t="s">
        <v>141</v>
      </c>
      <c r="H335" s="36" t="s">
        <v>141</v>
      </c>
      <c r="I335" s="36" t="s">
        <v>141</v>
      </c>
      <c r="J335" s="36" t="s">
        <v>141</v>
      </c>
      <c r="K335" s="36" t="s">
        <v>141</v>
      </c>
      <c r="L335" s="36" t="s">
        <v>141</v>
      </c>
      <c r="M335" s="36" t="s">
        <v>141</v>
      </c>
      <c r="N335" s="36" t="s">
        <v>141</v>
      </c>
      <c r="O335" s="117" t="s">
        <v>141</v>
      </c>
      <c r="P335" s="36" t="s">
        <v>141</v>
      </c>
      <c r="Q335" s="36" t="s">
        <v>141</v>
      </c>
      <c r="R335" s="36" t="s">
        <v>141</v>
      </c>
      <c r="S335" s="36" t="s">
        <v>141</v>
      </c>
      <c r="T335" s="36" t="s">
        <v>141</v>
      </c>
      <c r="U335" s="36" t="s">
        <v>141</v>
      </c>
      <c r="V335" s="36" t="s">
        <v>141</v>
      </c>
      <c r="W335" s="36" t="s">
        <v>141</v>
      </c>
      <c r="X335" s="36" t="s">
        <v>141</v>
      </c>
      <c r="Y335" s="36" t="s">
        <v>141</v>
      </c>
      <c r="Z335" s="36" t="s">
        <v>141</v>
      </c>
      <c r="AA335" s="117" t="s">
        <v>141</v>
      </c>
      <c r="AB335" s="36" t="s">
        <v>141</v>
      </c>
      <c r="AC335" s="117" t="s">
        <v>2132</v>
      </c>
      <c r="AD335" s="36" t="s">
        <v>141</v>
      </c>
      <c r="AE335" s="36" t="s">
        <v>141</v>
      </c>
      <c r="AF335" s="117" t="s">
        <v>2131</v>
      </c>
      <c r="AG335" s="36" t="s">
        <v>2131</v>
      </c>
      <c r="AH335" s="36" t="s">
        <v>141</v>
      </c>
      <c r="AI335" s="117" t="s">
        <v>141</v>
      </c>
      <c r="AJ335" s="36" t="s">
        <v>141</v>
      </c>
      <c r="AK335" s="36" t="s">
        <v>141</v>
      </c>
      <c r="AL335" s="36" t="s">
        <v>141</v>
      </c>
      <c r="AM335" s="117" t="s">
        <v>2131</v>
      </c>
      <c r="AN335" s="117" t="s">
        <v>2131</v>
      </c>
      <c r="AO335" s="117" t="s">
        <v>141</v>
      </c>
      <c r="AP335" s="117"/>
      <c r="AQ335" s="117"/>
      <c r="AR335" s="117" t="s">
        <v>141</v>
      </c>
      <c r="AS335" s="117" t="s">
        <v>141</v>
      </c>
      <c r="AT335" s="117"/>
      <c r="AU335" s="117"/>
      <c r="AV335" s="119">
        <f t="shared" si="5"/>
        <v>32</v>
      </c>
      <c r="AW335" s="119"/>
      <c r="AX335" s="119" t="s">
        <v>2142</v>
      </c>
    </row>
    <row r="336" spans="1:50">
      <c r="A336">
        <v>311</v>
      </c>
      <c r="B336">
        <v>868</v>
      </c>
      <c r="C336">
        <v>336</v>
      </c>
      <c r="D336" s="7">
        <v>45833</v>
      </c>
      <c r="E336" s="7" t="s">
        <v>1375</v>
      </c>
      <c r="F336" s="10" t="s">
        <v>1374</v>
      </c>
      <c r="G336" s="36"/>
      <c r="H336" s="36" t="s">
        <v>141</v>
      </c>
      <c r="I336" s="36"/>
      <c r="J336" s="36" t="s">
        <v>141</v>
      </c>
      <c r="K336" s="36" t="s">
        <v>141</v>
      </c>
      <c r="L336" s="36"/>
      <c r="M336" s="36"/>
      <c r="N336" s="36"/>
      <c r="O336" s="117"/>
      <c r="P336" s="36" t="s">
        <v>141</v>
      </c>
      <c r="Q336" s="36"/>
      <c r="R336" s="36"/>
      <c r="S336" s="36"/>
      <c r="T336" s="36" t="s">
        <v>141</v>
      </c>
      <c r="U336" s="36"/>
      <c r="V336" s="36"/>
      <c r="W336" s="36" t="s">
        <v>141</v>
      </c>
      <c r="X336" s="36"/>
      <c r="Y336" s="36" t="s">
        <v>141</v>
      </c>
      <c r="Z336" s="36"/>
      <c r="AA336" s="117"/>
      <c r="AB336" s="36"/>
      <c r="AC336" s="117"/>
      <c r="AD336" s="36"/>
      <c r="AE336" s="36"/>
      <c r="AF336" s="117"/>
      <c r="AG336" s="36"/>
      <c r="AH336" s="36" t="s">
        <v>141</v>
      </c>
      <c r="AI336" s="117" t="s">
        <v>141</v>
      </c>
      <c r="AJ336" s="36"/>
      <c r="AK336" s="36" t="s">
        <v>141</v>
      </c>
      <c r="AL336" s="36"/>
      <c r="AM336" s="117"/>
      <c r="AN336" s="117"/>
      <c r="AO336" s="117"/>
      <c r="AP336" s="117"/>
      <c r="AQ336" s="117"/>
      <c r="AR336" s="117"/>
      <c r="AS336" s="117"/>
      <c r="AT336" s="117"/>
      <c r="AU336" s="117"/>
      <c r="AV336" s="119">
        <f t="shared" si="5"/>
        <v>10</v>
      </c>
      <c r="AW336" s="119"/>
      <c r="AX336" s="119" t="s">
        <v>2142</v>
      </c>
    </row>
    <row r="337" spans="1:50">
      <c r="A337">
        <v>312</v>
      </c>
      <c r="B337">
        <v>869</v>
      </c>
      <c r="C337">
        <v>337</v>
      </c>
      <c r="D337" s="7">
        <v>45833</v>
      </c>
      <c r="E337" s="7" t="s">
        <v>1378</v>
      </c>
      <c r="F337" s="10" t="s">
        <v>1376</v>
      </c>
      <c r="G337" s="36"/>
      <c r="H337" s="36"/>
      <c r="I337" s="36"/>
      <c r="J337" s="36" t="s">
        <v>141</v>
      </c>
      <c r="K337" s="36"/>
      <c r="L337" s="36"/>
      <c r="M337" s="36"/>
      <c r="N337" s="36"/>
      <c r="O337" s="117"/>
      <c r="P337" s="36" t="s">
        <v>141</v>
      </c>
      <c r="Q337" s="36"/>
      <c r="R337" s="36"/>
      <c r="S337" s="36"/>
      <c r="T337" s="36" t="s">
        <v>141</v>
      </c>
      <c r="U337" s="36"/>
      <c r="V337" s="36"/>
      <c r="W337" s="36" t="s">
        <v>141</v>
      </c>
      <c r="X337" s="36"/>
      <c r="Y337" s="36" t="s">
        <v>141</v>
      </c>
      <c r="Z337" s="36"/>
      <c r="AA337" s="117"/>
      <c r="AB337" s="36"/>
      <c r="AC337" s="117"/>
      <c r="AD337" s="36"/>
      <c r="AE337" s="36"/>
      <c r="AF337" s="117"/>
      <c r="AG337" s="36"/>
      <c r="AH337" s="36" t="s">
        <v>141</v>
      </c>
      <c r="AI337" s="117" t="s">
        <v>141</v>
      </c>
      <c r="AJ337" s="36"/>
      <c r="AK337" s="36"/>
      <c r="AL337" s="36"/>
      <c r="AM337" s="117"/>
      <c r="AN337" s="117"/>
      <c r="AO337" s="117"/>
      <c r="AP337" s="117"/>
      <c r="AQ337" s="117"/>
      <c r="AR337" s="117"/>
      <c r="AS337" s="117"/>
      <c r="AT337" s="117"/>
      <c r="AU337" s="117"/>
      <c r="AV337" s="119">
        <f t="shared" si="5"/>
        <v>7</v>
      </c>
      <c r="AW337" s="119"/>
      <c r="AX337" s="119" t="s">
        <v>2142</v>
      </c>
    </row>
    <row r="338" spans="1:50">
      <c r="A338">
        <v>313</v>
      </c>
      <c r="B338">
        <v>870</v>
      </c>
      <c r="C338">
        <v>338</v>
      </c>
      <c r="D338" s="7">
        <v>45834</v>
      </c>
      <c r="E338" s="7" t="s">
        <v>1380</v>
      </c>
      <c r="F338" s="10" t="s">
        <v>1379</v>
      </c>
      <c r="G338" s="36"/>
      <c r="H338" s="36" t="s">
        <v>141</v>
      </c>
      <c r="I338" s="36"/>
      <c r="J338" s="36" t="s">
        <v>141</v>
      </c>
      <c r="K338" s="36"/>
      <c r="L338" s="36"/>
      <c r="M338" s="36" t="s">
        <v>141</v>
      </c>
      <c r="N338" s="36"/>
      <c r="O338" s="117"/>
      <c r="P338" s="36"/>
      <c r="Q338" s="36" t="s">
        <v>141</v>
      </c>
      <c r="R338" s="36"/>
      <c r="S338" s="36"/>
      <c r="T338" s="36" t="s">
        <v>141</v>
      </c>
      <c r="U338" s="36"/>
      <c r="V338" s="36"/>
      <c r="W338" s="36" t="s">
        <v>141</v>
      </c>
      <c r="X338" s="36"/>
      <c r="Y338" s="36"/>
      <c r="Z338" s="36"/>
      <c r="AA338" s="117"/>
      <c r="AB338" s="36"/>
      <c r="AC338" s="117"/>
      <c r="AD338" s="36"/>
      <c r="AE338" s="36"/>
      <c r="AF338" s="117"/>
      <c r="AG338" s="36" t="s">
        <v>141</v>
      </c>
      <c r="AH338" s="36" t="s">
        <v>141</v>
      </c>
      <c r="AI338" s="117"/>
      <c r="AJ338" s="36"/>
      <c r="AK338" s="36"/>
      <c r="AL338" s="36"/>
      <c r="AM338" s="117"/>
      <c r="AN338" s="117"/>
      <c r="AO338" s="117"/>
      <c r="AP338" s="117"/>
      <c r="AQ338" s="117"/>
      <c r="AR338" s="117"/>
      <c r="AS338" s="117"/>
      <c r="AT338" s="117"/>
      <c r="AU338" s="117"/>
      <c r="AV338" s="119">
        <f t="shared" si="5"/>
        <v>8</v>
      </c>
      <c r="AW338" s="119"/>
      <c r="AX338" s="119" t="s">
        <v>2142</v>
      </c>
    </row>
    <row r="339" spans="1:50">
      <c r="A339">
        <v>314</v>
      </c>
      <c r="B339">
        <v>871</v>
      </c>
      <c r="C339">
        <v>339</v>
      </c>
      <c r="D339" s="7">
        <v>45834</v>
      </c>
      <c r="E339" s="7" t="s">
        <v>1382</v>
      </c>
      <c r="F339" s="10" t="s">
        <v>1381</v>
      </c>
      <c r="G339" s="36"/>
      <c r="H339" s="36"/>
      <c r="I339" s="36"/>
      <c r="J339" s="36" t="s">
        <v>141</v>
      </c>
      <c r="K339" s="36"/>
      <c r="L339" s="36"/>
      <c r="M339" s="36" t="s">
        <v>141</v>
      </c>
      <c r="N339" s="36"/>
      <c r="O339" s="117"/>
      <c r="P339" s="36" t="s">
        <v>141</v>
      </c>
      <c r="Q339" s="36" t="s">
        <v>141</v>
      </c>
      <c r="R339" s="36"/>
      <c r="S339" s="36"/>
      <c r="T339" s="36" t="s">
        <v>141</v>
      </c>
      <c r="U339" s="36"/>
      <c r="V339" s="36" t="s">
        <v>141</v>
      </c>
      <c r="W339" s="36" t="s">
        <v>141</v>
      </c>
      <c r="X339" s="36"/>
      <c r="Y339" s="36" t="s">
        <v>141</v>
      </c>
      <c r="Z339" s="36"/>
      <c r="AA339" s="117"/>
      <c r="AB339" s="36"/>
      <c r="AC339" s="117"/>
      <c r="AD339" s="36"/>
      <c r="AE339" s="36"/>
      <c r="AF339" s="117" t="s">
        <v>141</v>
      </c>
      <c r="AG339" s="36"/>
      <c r="AH339" s="36" t="s">
        <v>141</v>
      </c>
      <c r="AI339" s="117" t="s">
        <v>141</v>
      </c>
      <c r="AJ339" s="36"/>
      <c r="AK339" s="36" t="s">
        <v>141</v>
      </c>
      <c r="AL339" s="36"/>
      <c r="AM339" s="117"/>
      <c r="AN339" s="117"/>
      <c r="AO339" s="117"/>
      <c r="AP339" s="117"/>
      <c r="AQ339" s="117"/>
      <c r="AR339" s="117"/>
      <c r="AS339" s="117"/>
      <c r="AT339" s="117"/>
      <c r="AU339" s="117"/>
      <c r="AV339" s="119">
        <f t="shared" si="5"/>
        <v>12</v>
      </c>
      <c r="AW339" s="119"/>
      <c r="AX339" s="119" t="s">
        <v>2142</v>
      </c>
    </row>
    <row r="340" spans="1:50">
      <c r="A340">
        <v>315</v>
      </c>
      <c r="B340">
        <v>872</v>
      </c>
      <c r="C340">
        <v>340</v>
      </c>
      <c r="D340" s="7">
        <v>45836</v>
      </c>
      <c r="E340" s="7" t="s">
        <v>1384</v>
      </c>
      <c r="F340" s="10" t="s">
        <v>1383</v>
      </c>
      <c r="G340" s="36"/>
      <c r="H340" s="36"/>
      <c r="I340" s="36" t="s">
        <v>141</v>
      </c>
      <c r="J340" s="36"/>
      <c r="K340" s="36" t="s">
        <v>141</v>
      </c>
      <c r="L340" s="36"/>
      <c r="M340" s="36"/>
      <c r="N340" s="36" t="s">
        <v>141</v>
      </c>
      <c r="O340" s="117"/>
      <c r="P340" s="36" t="s">
        <v>141</v>
      </c>
      <c r="Q340" s="36" t="s">
        <v>141</v>
      </c>
      <c r="R340" s="36" t="s">
        <v>141</v>
      </c>
      <c r="S340" s="36"/>
      <c r="T340" s="36"/>
      <c r="U340" s="36"/>
      <c r="V340" s="36"/>
      <c r="W340" s="36"/>
      <c r="X340" s="36" t="s">
        <v>141</v>
      </c>
      <c r="Y340" s="36" t="s">
        <v>141</v>
      </c>
      <c r="Z340" s="36"/>
      <c r="AA340" s="117"/>
      <c r="AB340" s="36" t="s">
        <v>141</v>
      </c>
      <c r="AC340" s="117" t="s">
        <v>141</v>
      </c>
      <c r="AD340" s="36"/>
      <c r="AE340" s="36"/>
      <c r="AF340" s="117"/>
      <c r="AG340" s="36"/>
      <c r="AH340" s="36"/>
      <c r="AI340" s="117"/>
      <c r="AJ340" s="36" t="s">
        <v>141</v>
      </c>
      <c r="AK340" s="36"/>
      <c r="AL340" s="36"/>
      <c r="AM340" s="117"/>
      <c r="AN340" s="117"/>
      <c r="AO340" s="117"/>
      <c r="AP340" s="117"/>
      <c r="AQ340" s="117"/>
      <c r="AR340" s="117"/>
      <c r="AS340" s="117"/>
      <c r="AT340" s="117"/>
      <c r="AU340" s="117"/>
      <c r="AV340" s="119">
        <f t="shared" si="5"/>
        <v>11</v>
      </c>
      <c r="AW340" s="119"/>
      <c r="AX340" s="119" t="s">
        <v>2142</v>
      </c>
    </row>
    <row r="341" spans="1:50">
      <c r="A341">
        <v>316</v>
      </c>
      <c r="B341">
        <v>873</v>
      </c>
      <c r="C341">
        <v>341</v>
      </c>
      <c r="D341" s="7">
        <v>45837</v>
      </c>
      <c r="E341" s="7" t="s">
        <v>1386</v>
      </c>
      <c r="F341" s="10" t="s">
        <v>1385</v>
      </c>
      <c r="G341" s="36" t="s">
        <v>141</v>
      </c>
      <c r="H341" s="36"/>
      <c r="I341" s="36"/>
      <c r="J341" s="36" t="s">
        <v>141</v>
      </c>
      <c r="K341" s="36"/>
      <c r="L341" s="36" t="s">
        <v>141</v>
      </c>
      <c r="M341" s="36"/>
      <c r="N341" s="36" t="s">
        <v>141</v>
      </c>
      <c r="O341" s="117"/>
      <c r="P341" s="36" t="s">
        <v>141</v>
      </c>
      <c r="Q341" s="36"/>
      <c r="R341" s="36" t="s">
        <v>141</v>
      </c>
      <c r="S341" s="36" t="s">
        <v>141</v>
      </c>
      <c r="T341" s="36"/>
      <c r="U341" s="36" t="s">
        <v>141</v>
      </c>
      <c r="V341" s="36"/>
      <c r="W341" s="36" t="s">
        <v>141</v>
      </c>
      <c r="X341" s="36"/>
      <c r="Y341" s="36"/>
      <c r="Z341" s="36"/>
      <c r="AA341" s="117" t="s">
        <v>141</v>
      </c>
      <c r="AB341" s="36" t="s">
        <v>141</v>
      </c>
      <c r="AC341" s="117"/>
      <c r="AD341" s="36"/>
      <c r="AE341" s="36"/>
      <c r="AF341" s="117"/>
      <c r="AG341" s="36"/>
      <c r="AH341" s="36"/>
      <c r="AI341" s="117"/>
      <c r="AJ341" s="36" t="s">
        <v>141</v>
      </c>
      <c r="AK341" s="36"/>
      <c r="AL341" s="36" t="s">
        <v>141</v>
      </c>
      <c r="AM341" s="117"/>
      <c r="AN341" s="117"/>
      <c r="AO341" s="117"/>
      <c r="AP341" s="117"/>
      <c r="AQ341" s="117"/>
      <c r="AR341" s="117"/>
      <c r="AS341" s="117"/>
      <c r="AT341" s="117"/>
      <c r="AU341" s="117"/>
      <c r="AV341" s="119">
        <f t="shared" si="5"/>
        <v>13</v>
      </c>
      <c r="AW341" s="119"/>
      <c r="AX341" s="119" t="s">
        <v>2142</v>
      </c>
    </row>
    <row r="342" spans="1:50">
      <c r="A342">
        <v>317</v>
      </c>
      <c r="B342">
        <v>874</v>
      </c>
      <c r="C342">
        <v>342</v>
      </c>
      <c r="D342" s="7">
        <v>45837</v>
      </c>
      <c r="E342" s="7" t="s">
        <v>1388</v>
      </c>
      <c r="F342" s="10" t="s">
        <v>1387</v>
      </c>
      <c r="G342" s="36" t="s">
        <v>141</v>
      </c>
      <c r="H342" s="36"/>
      <c r="I342" s="36"/>
      <c r="J342" s="36" t="s">
        <v>141</v>
      </c>
      <c r="K342" s="36"/>
      <c r="L342" s="36"/>
      <c r="M342" s="36"/>
      <c r="N342" s="36"/>
      <c r="O342" s="117"/>
      <c r="P342" s="36" t="s">
        <v>141</v>
      </c>
      <c r="Q342" s="36" t="s">
        <v>141</v>
      </c>
      <c r="R342" s="36" t="s">
        <v>141</v>
      </c>
      <c r="S342" s="36" t="s">
        <v>141</v>
      </c>
      <c r="T342" s="36"/>
      <c r="U342" s="36"/>
      <c r="V342" s="36"/>
      <c r="W342" s="36" t="s">
        <v>141</v>
      </c>
      <c r="X342" s="36"/>
      <c r="Y342" s="36" t="s">
        <v>141</v>
      </c>
      <c r="Z342" s="36"/>
      <c r="AA342" s="117"/>
      <c r="AB342" s="36" t="s">
        <v>141</v>
      </c>
      <c r="AC342" s="117"/>
      <c r="AD342" s="36"/>
      <c r="AE342" s="36"/>
      <c r="AF342" s="117"/>
      <c r="AG342" s="36"/>
      <c r="AH342" s="36"/>
      <c r="AI342" s="117"/>
      <c r="AJ342" s="36" t="s">
        <v>141</v>
      </c>
      <c r="AK342" s="36"/>
      <c r="AL342" s="36"/>
      <c r="AM342" s="117"/>
      <c r="AN342" s="117"/>
      <c r="AO342" s="117"/>
      <c r="AP342" s="117"/>
      <c r="AQ342" s="117"/>
      <c r="AR342" s="117"/>
      <c r="AS342" s="117"/>
      <c r="AT342" s="117"/>
      <c r="AU342" s="117"/>
      <c r="AV342" s="119">
        <f t="shared" si="5"/>
        <v>10</v>
      </c>
      <c r="AW342" s="119"/>
      <c r="AX342" s="119" t="s">
        <v>2142</v>
      </c>
    </row>
    <row r="343" spans="1:50">
      <c r="A343">
        <v>318</v>
      </c>
      <c r="B343">
        <v>875</v>
      </c>
      <c r="C343">
        <v>343</v>
      </c>
      <c r="D343" s="7">
        <v>45838</v>
      </c>
      <c r="E343" s="7" t="s">
        <v>1390</v>
      </c>
      <c r="F343" s="10" t="s">
        <v>1389</v>
      </c>
      <c r="G343" s="36"/>
      <c r="H343" s="36" t="s">
        <v>141</v>
      </c>
      <c r="I343" s="36" t="s">
        <v>141</v>
      </c>
      <c r="J343" s="36"/>
      <c r="K343" s="36"/>
      <c r="L343" s="36"/>
      <c r="M343" s="36"/>
      <c r="N343" s="36"/>
      <c r="O343" s="117" t="s">
        <v>141</v>
      </c>
      <c r="P343" s="36" t="s">
        <v>141</v>
      </c>
      <c r="Q343" s="36"/>
      <c r="R343" s="36"/>
      <c r="S343" s="36"/>
      <c r="T343" s="36" t="s">
        <v>141</v>
      </c>
      <c r="U343" s="36"/>
      <c r="V343" s="36"/>
      <c r="W343" s="36" t="s">
        <v>141</v>
      </c>
      <c r="X343" s="36"/>
      <c r="Y343" s="36"/>
      <c r="Z343" s="36"/>
      <c r="AA343" s="117"/>
      <c r="AB343" s="36" t="s">
        <v>141</v>
      </c>
      <c r="AC343" s="117"/>
      <c r="AD343" s="36"/>
      <c r="AE343" s="36"/>
      <c r="AF343" s="117"/>
      <c r="AG343" s="36"/>
      <c r="AH343" s="36"/>
      <c r="AI343" s="117"/>
      <c r="AJ343" s="36"/>
      <c r="AK343" s="36"/>
      <c r="AL343" s="36"/>
      <c r="AM343" s="117"/>
      <c r="AN343" s="117"/>
      <c r="AO343" s="117"/>
      <c r="AP343" s="117"/>
      <c r="AQ343" s="117"/>
      <c r="AR343" s="117"/>
      <c r="AS343" s="117"/>
      <c r="AT343" s="117"/>
      <c r="AU343" s="117"/>
      <c r="AV343" s="119">
        <f t="shared" si="5"/>
        <v>7</v>
      </c>
      <c r="AW343" s="119"/>
      <c r="AX343" s="119" t="s">
        <v>2142</v>
      </c>
    </row>
    <row r="344" spans="1:50">
      <c r="A344" t="s">
        <v>57</v>
      </c>
      <c r="B344" t="s">
        <v>57</v>
      </c>
      <c r="C344">
        <v>344</v>
      </c>
      <c r="D344" s="7">
        <v>45838</v>
      </c>
      <c r="E344" s="7" t="s">
        <v>2129</v>
      </c>
      <c r="F344" s="10" t="s">
        <v>2130</v>
      </c>
      <c r="G344" s="36" t="s">
        <v>141</v>
      </c>
      <c r="H344" s="36" t="s">
        <v>2131</v>
      </c>
      <c r="I344" s="36" t="s">
        <v>141</v>
      </c>
      <c r="J344" s="36" t="s">
        <v>141</v>
      </c>
      <c r="K344" s="36" t="s">
        <v>2131</v>
      </c>
      <c r="L344" s="36" t="s">
        <v>141</v>
      </c>
      <c r="M344" s="36" t="s">
        <v>141</v>
      </c>
      <c r="N344" s="36" t="s">
        <v>141</v>
      </c>
      <c r="O344" s="117" t="s">
        <v>2131</v>
      </c>
      <c r="P344" s="36" t="s">
        <v>141</v>
      </c>
      <c r="Q344" s="36" t="s">
        <v>2131</v>
      </c>
      <c r="R344" s="36" t="s">
        <v>2131</v>
      </c>
      <c r="S344" s="36" t="s">
        <v>2131</v>
      </c>
      <c r="T344" s="36" t="s">
        <v>141</v>
      </c>
      <c r="U344" s="36" t="s">
        <v>141</v>
      </c>
      <c r="V344" s="36" t="s">
        <v>2131</v>
      </c>
      <c r="W344" s="36" t="s">
        <v>141</v>
      </c>
      <c r="X344" s="36" t="s">
        <v>141</v>
      </c>
      <c r="Y344" s="36" t="s">
        <v>141</v>
      </c>
      <c r="Z344" s="36" t="s">
        <v>2131</v>
      </c>
      <c r="AA344" s="117" t="s">
        <v>141</v>
      </c>
      <c r="AB344" s="36" t="s">
        <v>141</v>
      </c>
      <c r="AC344" s="117" t="s">
        <v>141</v>
      </c>
      <c r="AD344" s="36" t="s">
        <v>2131</v>
      </c>
      <c r="AE344" s="36" t="s">
        <v>141</v>
      </c>
      <c r="AF344" s="117" t="s">
        <v>141</v>
      </c>
      <c r="AG344" s="36" t="s">
        <v>141</v>
      </c>
      <c r="AH344" s="36" t="s">
        <v>141</v>
      </c>
      <c r="AI344" s="117" t="s">
        <v>2131</v>
      </c>
      <c r="AJ344" s="36" t="s">
        <v>141</v>
      </c>
      <c r="AK344" s="36" t="s">
        <v>141</v>
      </c>
      <c r="AL344" s="36" t="s">
        <v>141</v>
      </c>
      <c r="AM344" s="117" t="s">
        <v>2131</v>
      </c>
      <c r="AN344" s="117" t="s">
        <v>2131</v>
      </c>
      <c r="AO344" s="117" t="s">
        <v>141</v>
      </c>
      <c r="AP344" s="117"/>
      <c r="AQ344" s="117"/>
      <c r="AR344" s="117" t="s">
        <v>141</v>
      </c>
      <c r="AS344" s="117" t="s">
        <v>141</v>
      </c>
      <c r="AT344" s="117"/>
      <c r="AU344" s="117"/>
      <c r="AV344" s="119">
        <f t="shared" si="5"/>
        <v>25</v>
      </c>
      <c r="AW344" s="119"/>
      <c r="AX344" s="119" t="s">
        <v>2142</v>
      </c>
    </row>
    <row r="345" spans="1:50">
      <c r="A345">
        <v>319</v>
      </c>
      <c r="B345">
        <v>876</v>
      </c>
      <c r="C345">
        <v>345</v>
      </c>
      <c r="D345" s="7">
        <v>45839</v>
      </c>
      <c r="E345" s="7" t="s">
        <v>1392</v>
      </c>
      <c r="F345" s="10" t="s">
        <v>1391</v>
      </c>
      <c r="G345" s="36" t="s">
        <v>141</v>
      </c>
      <c r="H345" s="36"/>
      <c r="I345" s="36"/>
      <c r="J345" s="36"/>
      <c r="K345" s="36"/>
      <c r="L345" s="36" t="s">
        <v>141</v>
      </c>
      <c r="M345" s="36"/>
      <c r="N345" s="36"/>
      <c r="O345" s="117"/>
      <c r="P345" s="36"/>
      <c r="Q345" s="36" t="s">
        <v>141</v>
      </c>
      <c r="R345" s="36"/>
      <c r="S345" s="36"/>
      <c r="T345" s="36" t="s">
        <v>141</v>
      </c>
      <c r="U345" s="36"/>
      <c r="V345" s="36"/>
      <c r="W345" s="36"/>
      <c r="X345" s="36"/>
      <c r="Y345" s="36" t="s">
        <v>141</v>
      </c>
      <c r="Z345" s="36"/>
      <c r="AA345" s="117"/>
      <c r="AB345" s="36" t="s">
        <v>141</v>
      </c>
      <c r="AC345" s="117"/>
      <c r="AD345" s="36"/>
      <c r="AE345" s="36" t="s">
        <v>141</v>
      </c>
      <c r="AF345" s="117"/>
      <c r="AG345" s="36"/>
      <c r="AH345" s="36"/>
      <c r="AI345" s="117"/>
      <c r="AJ345" s="36"/>
      <c r="AK345" s="36"/>
      <c r="AL345" s="36"/>
      <c r="AM345" s="117"/>
      <c r="AN345" s="117"/>
      <c r="AO345" s="117" t="s">
        <v>141</v>
      </c>
      <c r="AP345" s="117"/>
      <c r="AQ345" s="117"/>
      <c r="AR345" s="117"/>
      <c r="AS345" s="117"/>
      <c r="AT345" s="117"/>
      <c r="AU345" s="117"/>
      <c r="AV345" s="119">
        <f t="shared" si="5"/>
        <v>8</v>
      </c>
      <c r="AW345" s="119"/>
      <c r="AX345" s="119" t="s">
        <v>2142</v>
      </c>
    </row>
    <row r="346" spans="1:50">
      <c r="A346">
        <v>320</v>
      </c>
      <c r="B346">
        <v>877</v>
      </c>
      <c r="C346">
        <v>346</v>
      </c>
      <c r="D346" s="7">
        <v>45839</v>
      </c>
      <c r="E346" s="7" t="s">
        <v>1394</v>
      </c>
      <c r="F346" s="10" t="s">
        <v>1393</v>
      </c>
      <c r="G346" s="36"/>
      <c r="H346" s="36"/>
      <c r="I346" s="36"/>
      <c r="J346" s="36"/>
      <c r="K346" s="36"/>
      <c r="L346" s="36" t="s">
        <v>141</v>
      </c>
      <c r="M346" s="36" t="s">
        <v>141</v>
      </c>
      <c r="N346" s="36" t="s">
        <v>141</v>
      </c>
      <c r="O346" s="117" t="s">
        <v>141</v>
      </c>
      <c r="P346" s="36" t="s">
        <v>141</v>
      </c>
      <c r="Q346" s="36"/>
      <c r="R346" s="36"/>
      <c r="S346" s="36" t="s">
        <v>141</v>
      </c>
      <c r="T346" s="36" t="s">
        <v>141</v>
      </c>
      <c r="U346" s="36"/>
      <c r="V346" s="36"/>
      <c r="W346" s="36"/>
      <c r="X346" s="36"/>
      <c r="Y346" s="36"/>
      <c r="Z346" s="36"/>
      <c r="AA346" s="117"/>
      <c r="AB346" s="36"/>
      <c r="AC346" s="117"/>
      <c r="AD346" s="36"/>
      <c r="AE346" s="36" t="s">
        <v>141</v>
      </c>
      <c r="AF346" s="117"/>
      <c r="AG346" s="36" t="s">
        <v>141</v>
      </c>
      <c r="AH346" s="36"/>
      <c r="AI346" s="117" t="s">
        <v>141</v>
      </c>
      <c r="AJ346" s="36"/>
      <c r="AK346" s="36"/>
      <c r="AL346" s="36"/>
      <c r="AM346" s="117"/>
      <c r="AN346" s="117"/>
      <c r="AO346" s="117"/>
      <c r="AP346" s="117"/>
      <c r="AQ346" s="117"/>
      <c r="AR346" s="117"/>
      <c r="AS346" s="117"/>
      <c r="AT346" s="117"/>
      <c r="AU346" s="117"/>
      <c r="AV346" s="119">
        <f t="shared" si="5"/>
        <v>10</v>
      </c>
      <c r="AW346" s="119"/>
      <c r="AX346" s="119" t="s">
        <v>2142</v>
      </c>
    </row>
    <row r="347" spans="1:50">
      <c r="A347">
        <v>321</v>
      </c>
      <c r="B347">
        <v>878</v>
      </c>
      <c r="C347">
        <v>347</v>
      </c>
      <c r="D347" s="7">
        <v>45839</v>
      </c>
      <c r="E347" s="7" t="s">
        <v>1396</v>
      </c>
      <c r="F347" s="10" t="s">
        <v>1395</v>
      </c>
      <c r="G347" s="36" t="s">
        <v>141</v>
      </c>
      <c r="H347" s="36"/>
      <c r="I347" s="36"/>
      <c r="J347" s="36"/>
      <c r="K347" s="36"/>
      <c r="L347" s="36" t="s">
        <v>141</v>
      </c>
      <c r="M347" s="36" t="s">
        <v>141</v>
      </c>
      <c r="N347" s="36" t="s">
        <v>141</v>
      </c>
      <c r="O347" s="117"/>
      <c r="P347" s="36" t="s">
        <v>141</v>
      </c>
      <c r="Q347" s="36" t="s">
        <v>141</v>
      </c>
      <c r="R347" s="36" t="s">
        <v>141</v>
      </c>
      <c r="S347" s="36"/>
      <c r="T347" s="36" t="s">
        <v>141</v>
      </c>
      <c r="U347" s="36"/>
      <c r="V347" s="36"/>
      <c r="W347" s="36"/>
      <c r="X347" s="36"/>
      <c r="Y347" s="36" t="s">
        <v>141</v>
      </c>
      <c r="Z347" s="36"/>
      <c r="AA347" s="117"/>
      <c r="AB347" s="36"/>
      <c r="AC347" s="117"/>
      <c r="AD347" s="36"/>
      <c r="AE347" s="36" t="s">
        <v>141</v>
      </c>
      <c r="AF347" s="117"/>
      <c r="AG347" s="36" t="s">
        <v>141</v>
      </c>
      <c r="AH347" s="36"/>
      <c r="AI347" s="117" t="s">
        <v>141</v>
      </c>
      <c r="AJ347" s="36"/>
      <c r="AK347" s="36"/>
      <c r="AL347" s="36"/>
      <c r="AM347" s="117"/>
      <c r="AN347" s="117"/>
      <c r="AO347" s="117"/>
      <c r="AP347" s="117"/>
      <c r="AQ347" s="117"/>
      <c r="AR347" s="117"/>
      <c r="AS347" s="117"/>
      <c r="AT347" s="117"/>
      <c r="AU347" s="117"/>
      <c r="AV347" s="119">
        <f t="shared" si="5"/>
        <v>12</v>
      </c>
      <c r="AW347" s="119"/>
      <c r="AX347" s="119" t="s">
        <v>2142</v>
      </c>
    </row>
    <row r="348" spans="1:50">
      <c r="A348">
        <v>322</v>
      </c>
      <c r="B348">
        <v>879</v>
      </c>
      <c r="C348">
        <v>348</v>
      </c>
      <c r="D348" s="7">
        <v>45841</v>
      </c>
      <c r="E348" s="7" t="s">
        <v>1400</v>
      </c>
      <c r="F348" s="10" t="s">
        <v>1398</v>
      </c>
      <c r="G348" s="36"/>
      <c r="H348" s="36" t="s">
        <v>141</v>
      </c>
      <c r="I348" s="36"/>
      <c r="J348" s="36" t="s">
        <v>141</v>
      </c>
      <c r="K348" s="36"/>
      <c r="L348" s="36" t="s">
        <v>141</v>
      </c>
      <c r="M348" s="36"/>
      <c r="N348" s="36"/>
      <c r="O348" s="117"/>
      <c r="P348" s="36"/>
      <c r="Q348" s="36"/>
      <c r="R348" s="36"/>
      <c r="S348" s="36" t="s">
        <v>141</v>
      </c>
      <c r="T348" s="36" t="s">
        <v>141</v>
      </c>
      <c r="U348" s="36"/>
      <c r="V348" s="36"/>
      <c r="W348" s="36" t="s">
        <v>141</v>
      </c>
      <c r="X348" s="36"/>
      <c r="Y348" s="36"/>
      <c r="Z348" s="36"/>
      <c r="AA348" s="117"/>
      <c r="AB348" s="36"/>
      <c r="AC348" s="117"/>
      <c r="AD348" s="36"/>
      <c r="AE348" s="36"/>
      <c r="AF348" s="117"/>
      <c r="AG348" s="36"/>
      <c r="AH348" s="36" t="s">
        <v>141</v>
      </c>
      <c r="AI348" s="117"/>
      <c r="AJ348" s="36"/>
      <c r="AK348" s="36"/>
      <c r="AL348" s="36"/>
      <c r="AM348" s="117"/>
      <c r="AN348" s="117"/>
      <c r="AO348" s="117" t="s">
        <v>141</v>
      </c>
      <c r="AP348" s="117"/>
      <c r="AQ348" s="117"/>
      <c r="AR348" s="117"/>
      <c r="AS348" s="117"/>
      <c r="AT348" s="117"/>
      <c r="AU348" s="117"/>
      <c r="AV348" s="119">
        <f t="shared" si="5"/>
        <v>8</v>
      </c>
      <c r="AW348" s="119"/>
      <c r="AX348" s="119" t="s">
        <v>2142</v>
      </c>
    </row>
    <row r="349" spans="1:50">
      <c r="A349">
        <v>323</v>
      </c>
      <c r="B349">
        <v>880</v>
      </c>
      <c r="C349">
        <v>349</v>
      </c>
      <c r="D349" s="7">
        <v>45841</v>
      </c>
      <c r="E349" s="7" t="s">
        <v>1402</v>
      </c>
      <c r="F349" s="10" t="s">
        <v>1401</v>
      </c>
      <c r="G349" s="36"/>
      <c r="H349" s="36" t="s">
        <v>141</v>
      </c>
      <c r="I349" s="36" t="s">
        <v>141</v>
      </c>
      <c r="J349" s="36" t="s">
        <v>141</v>
      </c>
      <c r="K349" s="36" t="s">
        <v>141</v>
      </c>
      <c r="L349" s="36" t="s">
        <v>141</v>
      </c>
      <c r="M349" s="36"/>
      <c r="N349" s="36"/>
      <c r="O349" s="117" t="s">
        <v>141</v>
      </c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117" t="s">
        <v>141</v>
      </c>
      <c r="AB349" s="36"/>
      <c r="AC349" s="117"/>
      <c r="AD349" s="36" t="s">
        <v>141</v>
      </c>
      <c r="AE349" s="36"/>
      <c r="AF349" s="117"/>
      <c r="AG349" s="36"/>
      <c r="AH349" s="36"/>
      <c r="AI349" s="117"/>
      <c r="AJ349" s="36" t="s">
        <v>141</v>
      </c>
      <c r="AK349" s="36"/>
      <c r="AL349" s="36" t="s">
        <v>141</v>
      </c>
      <c r="AM349" s="117"/>
      <c r="AN349" s="117"/>
      <c r="AO349" s="117"/>
      <c r="AP349" s="117"/>
      <c r="AQ349" s="117"/>
      <c r="AR349" s="117" t="s">
        <v>141</v>
      </c>
      <c r="AS349" s="117"/>
      <c r="AT349" s="117"/>
      <c r="AU349" s="117"/>
      <c r="AV349" s="119">
        <f t="shared" si="5"/>
        <v>11</v>
      </c>
      <c r="AW349" s="119"/>
      <c r="AX349" s="119" t="s">
        <v>2142</v>
      </c>
    </row>
    <row r="350" spans="1:50">
      <c r="A350">
        <v>324</v>
      </c>
      <c r="B350">
        <v>881</v>
      </c>
      <c r="C350">
        <v>350</v>
      </c>
      <c r="D350" s="7">
        <v>45842</v>
      </c>
      <c r="E350" s="7" t="s">
        <v>1404</v>
      </c>
      <c r="F350" s="10" t="s">
        <v>1403</v>
      </c>
      <c r="G350" s="36"/>
      <c r="H350" s="36" t="s">
        <v>141</v>
      </c>
      <c r="I350" s="36"/>
      <c r="J350" s="36"/>
      <c r="K350" s="36"/>
      <c r="L350" s="36" t="s">
        <v>141</v>
      </c>
      <c r="M350" s="36" t="s">
        <v>141</v>
      </c>
      <c r="N350" s="36"/>
      <c r="O350" s="117" t="s">
        <v>141</v>
      </c>
      <c r="P350" s="36"/>
      <c r="Q350" s="36" t="s">
        <v>141</v>
      </c>
      <c r="R350" s="36"/>
      <c r="S350" s="36"/>
      <c r="T350" s="36" t="s">
        <v>141</v>
      </c>
      <c r="U350" s="36"/>
      <c r="V350" s="36"/>
      <c r="W350" s="36"/>
      <c r="X350" s="36"/>
      <c r="Y350" s="36"/>
      <c r="Z350" s="36"/>
      <c r="AA350" s="117"/>
      <c r="AB350" s="36" t="s">
        <v>141</v>
      </c>
      <c r="AC350" s="117"/>
      <c r="AD350" s="36" t="s">
        <v>141</v>
      </c>
      <c r="AE350" s="36"/>
      <c r="AF350" s="117"/>
      <c r="AG350" s="36"/>
      <c r="AH350" s="36"/>
      <c r="AI350" s="117"/>
      <c r="AJ350" s="36" t="s">
        <v>141</v>
      </c>
      <c r="AK350" s="36"/>
      <c r="AL350" s="36"/>
      <c r="AM350" s="117"/>
      <c r="AN350" s="117"/>
      <c r="AO350" s="117"/>
      <c r="AP350" s="117"/>
      <c r="AQ350" s="117"/>
      <c r="AR350" s="117"/>
      <c r="AS350" s="117"/>
      <c r="AT350" s="117"/>
      <c r="AU350" s="117"/>
      <c r="AV350" s="119">
        <f t="shared" si="5"/>
        <v>9</v>
      </c>
      <c r="AW350" s="119"/>
      <c r="AX350" s="119" t="s">
        <v>2142</v>
      </c>
    </row>
    <row r="351" spans="1:50">
      <c r="A351">
        <v>325</v>
      </c>
      <c r="B351">
        <v>882</v>
      </c>
      <c r="C351">
        <v>351</v>
      </c>
      <c r="D351" s="7">
        <v>45842</v>
      </c>
      <c r="E351" s="7" t="s">
        <v>1406</v>
      </c>
      <c r="F351" s="10" t="s">
        <v>1405</v>
      </c>
      <c r="G351" s="36" t="s">
        <v>141</v>
      </c>
      <c r="H351" s="36" t="s">
        <v>141</v>
      </c>
      <c r="I351" s="36"/>
      <c r="J351" s="36"/>
      <c r="K351" s="36"/>
      <c r="L351" s="36"/>
      <c r="M351" s="36" t="s">
        <v>141</v>
      </c>
      <c r="N351" s="36" t="s">
        <v>141</v>
      </c>
      <c r="O351" s="117"/>
      <c r="P351" s="36" t="s">
        <v>141</v>
      </c>
      <c r="Q351" s="36"/>
      <c r="R351" s="36"/>
      <c r="S351" s="36"/>
      <c r="T351" s="36" t="s">
        <v>141</v>
      </c>
      <c r="U351" s="36"/>
      <c r="V351" s="36"/>
      <c r="W351" s="36"/>
      <c r="X351" s="36"/>
      <c r="Y351" s="36"/>
      <c r="Z351" s="36"/>
      <c r="AA351" s="117"/>
      <c r="AB351" s="36"/>
      <c r="AC351" s="117"/>
      <c r="AD351" s="36"/>
      <c r="AE351" s="36"/>
      <c r="AF351" s="117"/>
      <c r="AG351" s="36"/>
      <c r="AH351" s="36"/>
      <c r="AI351" s="117"/>
      <c r="AJ351" s="36"/>
      <c r="AK351" s="36"/>
      <c r="AL351" s="36"/>
      <c r="AM351" s="117"/>
      <c r="AN351" s="117"/>
      <c r="AO351" s="117"/>
      <c r="AP351" s="117"/>
      <c r="AQ351" s="117"/>
      <c r="AR351" s="117"/>
      <c r="AS351" s="117"/>
      <c r="AT351" s="117"/>
      <c r="AU351" s="117"/>
      <c r="AV351" s="119">
        <f t="shared" si="5"/>
        <v>6</v>
      </c>
      <c r="AW351" s="119"/>
      <c r="AX351" s="119" t="s">
        <v>2142</v>
      </c>
    </row>
    <row r="352" spans="1:50">
      <c r="A352">
        <v>326</v>
      </c>
      <c r="B352">
        <v>883</v>
      </c>
      <c r="C352">
        <v>352</v>
      </c>
      <c r="D352" s="7">
        <v>45842</v>
      </c>
      <c r="E352" s="7" t="s">
        <v>1408</v>
      </c>
      <c r="F352" s="10" t="s">
        <v>1407</v>
      </c>
      <c r="G352" s="36"/>
      <c r="H352" s="36" t="s">
        <v>141</v>
      </c>
      <c r="I352" s="36" t="s">
        <v>141</v>
      </c>
      <c r="J352" s="36" t="s">
        <v>141</v>
      </c>
      <c r="K352" s="36" t="s">
        <v>141</v>
      </c>
      <c r="L352" s="36" t="s">
        <v>141</v>
      </c>
      <c r="M352" s="36"/>
      <c r="N352" s="36"/>
      <c r="O352" s="117" t="s">
        <v>141</v>
      </c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117"/>
      <c r="AB352" s="36"/>
      <c r="AC352" s="117"/>
      <c r="AD352" s="36" t="s">
        <v>141</v>
      </c>
      <c r="AE352" s="36"/>
      <c r="AF352" s="117"/>
      <c r="AG352" s="36" t="s">
        <v>141</v>
      </c>
      <c r="AH352" s="36"/>
      <c r="AI352" s="117"/>
      <c r="AJ352" s="36"/>
      <c r="AK352" s="36" t="s">
        <v>141</v>
      </c>
      <c r="AL352" s="36"/>
      <c r="AM352" s="117"/>
      <c r="AN352" s="117"/>
      <c r="AO352" s="117"/>
      <c r="AP352" s="117"/>
      <c r="AQ352" s="117"/>
      <c r="AR352" s="117"/>
      <c r="AS352" s="117"/>
      <c r="AT352" s="117"/>
      <c r="AU352" s="117"/>
      <c r="AV352" s="119">
        <f t="shared" si="5"/>
        <v>9</v>
      </c>
      <c r="AW352" s="119"/>
      <c r="AX352" s="119" t="s">
        <v>2142</v>
      </c>
    </row>
    <row r="353" spans="1:50">
      <c r="A353">
        <v>327</v>
      </c>
      <c r="B353">
        <v>884</v>
      </c>
      <c r="C353">
        <v>353</v>
      </c>
      <c r="D353" s="7">
        <v>45842</v>
      </c>
      <c r="E353" s="7" t="s">
        <v>1410</v>
      </c>
      <c r="F353" s="10" t="s">
        <v>1409</v>
      </c>
      <c r="G353" s="36"/>
      <c r="H353" s="36" t="s">
        <v>141</v>
      </c>
      <c r="I353" s="36" t="s">
        <v>141</v>
      </c>
      <c r="J353" s="36" t="s">
        <v>141</v>
      </c>
      <c r="K353" s="36" t="s">
        <v>141</v>
      </c>
      <c r="L353" s="36" t="s">
        <v>141</v>
      </c>
      <c r="M353" s="36"/>
      <c r="N353" s="36"/>
      <c r="O353" s="117" t="s">
        <v>141</v>
      </c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117"/>
      <c r="AB353" s="36"/>
      <c r="AC353" s="117"/>
      <c r="AD353" s="36" t="s">
        <v>141</v>
      </c>
      <c r="AE353" s="36"/>
      <c r="AF353" s="117"/>
      <c r="AG353" s="36" t="s">
        <v>141</v>
      </c>
      <c r="AH353" s="36"/>
      <c r="AI353" s="117"/>
      <c r="AJ353" s="36"/>
      <c r="AK353" s="36" t="s">
        <v>141</v>
      </c>
      <c r="AL353" s="36"/>
      <c r="AM353" s="117"/>
      <c r="AN353" s="117"/>
      <c r="AO353" s="117"/>
      <c r="AP353" s="117"/>
      <c r="AQ353" s="117"/>
      <c r="AR353" s="117"/>
      <c r="AS353" s="117"/>
      <c r="AT353" s="117"/>
      <c r="AU353" s="117"/>
      <c r="AV353" s="119">
        <f t="shared" si="5"/>
        <v>9</v>
      </c>
      <c r="AW353" s="119"/>
      <c r="AX353" s="119" t="s">
        <v>2142</v>
      </c>
    </row>
    <row r="354" spans="1:50">
      <c r="A354">
        <v>328</v>
      </c>
      <c r="B354">
        <v>885</v>
      </c>
      <c r="C354">
        <v>354</v>
      </c>
      <c r="D354" s="7">
        <v>45842</v>
      </c>
      <c r="E354" s="7" t="s">
        <v>1413</v>
      </c>
      <c r="F354" s="10" t="s">
        <v>1411</v>
      </c>
      <c r="G354" s="36" t="s">
        <v>141</v>
      </c>
      <c r="H354" s="36" t="s">
        <v>141</v>
      </c>
      <c r="I354" s="36" t="s">
        <v>141</v>
      </c>
      <c r="J354" s="36"/>
      <c r="K354" s="36" t="s">
        <v>141</v>
      </c>
      <c r="L354" s="36"/>
      <c r="M354" s="36"/>
      <c r="N354" s="36"/>
      <c r="O354" s="117"/>
      <c r="P354" s="36"/>
      <c r="Q354" s="36"/>
      <c r="R354" s="36"/>
      <c r="S354" s="36"/>
      <c r="T354" s="36" t="s">
        <v>141</v>
      </c>
      <c r="U354" s="36"/>
      <c r="V354" s="36"/>
      <c r="W354" s="36" t="s">
        <v>141</v>
      </c>
      <c r="X354" s="36"/>
      <c r="Y354" s="36" t="s">
        <v>141</v>
      </c>
      <c r="Z354" s="36"/>
      <c r="AA354" s="117"/>
      <c r="AB354" s="36" t="s">
        <v>141</v>
      </c>
      <c r="AC354" s="117"/>
      <c r="AD354" s="36"/>
      <c r="AE354" s="36"/>
      <c r="AF354" s="117"/>
      <c r="AG354" s="36"/>
      <c r="AH354" s="36"/>
      <c r="AI354" s="117"/>
      <c r="AJ354" s="36"/>
      <c r="AK354" s="36" t="s">
        <v>141</v>
      </c>
      <c r="AL354" s="36"/>
      <c r="AM354" s="117"/>
      <c r="AN354" s="117"/>
      <c r="AO354" s="117"/>
      <c r="AP354" s="117"/>
      <c r="AQ354" s="117"/>
      <c r="AR354" s="117" t="s">
        <v>141</v>
      </c>
      <c r="AS354" s="117"/>
      <c r="AT354" s="117"/>
      <c r="AU354" s="117"/>
      <c r="AV354" s="119">
        <f t="shared" si="5"/>
        <v>10</v>
      </c>
      <c r="AW354" s="119"/>
      <c r="AX354" s="119" t="s">
        <v>2142</v>
      </c>
    </row>
    <row r="355" spans="1:50">
      <c r="A355">
        <v>329</v>
      </c>
      <c r="B355">
        <v>886</v>
      </c>
      <c r="C355">
        <v>355</v>
      </c>
      <c r="D355" s="7">
        <v>45843</v>
      </c>
      <c r="E355" s="7" t="s">
        <v>1415</v>
      </c>
      <c r="F355" s="10" t="s">
        <v>1414</v>
      </c>
      <c r="G355" s="36" t="s">
        <v>141</v>
      </c>
      <c r="H355" s="36"/>
      <c r="I355" s="36" t="s">
        <v>141</v>
      </c>
      <c r="J355" s="36" t="s">
        <v>141</v>
      </c>
      <c r="K355" s="36"/>
      <c r="L355" s="36"/>
      <c r="M355" s="36" t="s">
        <v>141</v>
      </c>
      <c r="N355" s="36"/>
      <c r="O355" s="117"/>
      <c r="P355" s="36"/>
      <c r="Q355" s="36"/>
      <c r="R355" s="36"/>
      <c r="S355" s="36" t="s">
        <v>141</v>
      </c>
      <c r="T355" s="36" t="s">
        <v>141</v>
      </c>
      <c r="U355" s="36"/>
      <c r="V355" s="36"/>
      <c r="W355" s="36" t="s">
        <v>141</v>
      </c>
      <c r="X355" s="36"/>
      <c r="Y355" s="36" t="s">
        <v>141</v>
      </c>
      <c r="Z355" s="36"/>
      <c r="AA355" s="117"/>
      <c r="AB355" s="36" t="s">
        <v>141</v>
      </c>
      <c r="AC355" s="117" t="s">
        <v>141</v>
      </c>
      <c r="AD355" s="36" t="s">
        <v>141</v>
      </c>
      <c r="AE355" s="36"/>
      <c r="AF355" s="117"/>
      <c r="AG355" s="36"/>
      <c r="AH355" s="36"/>
      <c r="AI355" s="117" t="s">
        <v>141</v>
      </c>
      <c r="AJ355" s="36"/>
      <c r="AK355" s="36" t="s">
        <v>141</v>
      </c>
      <c r="AL355" s="36"/>
      <c r="AM355" s="117"/>
      <c r="AN355" s="117"/>
      <c r="AO355" s="117"/>
      <c r="AP355" s="117"/>
      <c r="AQ355" s="117"/>
      <c r="AR355" s="117" t="s">
        <v>141</v>
      </c>
      <c r="AS355" s="117"/>
      <c r="AT355" s="117"/>
      <c r="AU355" s="117"/>
      <c r="AV355" s="119">
        <f t="shared" si="5"/>
        <v>14</v>
      </c>
      <c r="AW355" s="119"/>
      <c r="AX355" s="119" t="s">
        <v>2142</v>
      </c>
    </row>
    <row r="356" spans="1:50">
      <c r="A356">
        <v>330</v>
      </c>
      <c r="B356">
        <v>887</v>
      </c>
      <c r="C356">
        <v>356</v>
      </c>
      <c r="D356" s="7">
        <v>45844</v>
      </c>
      <c r="E356" s="7" t="s">
        <v>1417</v>
      </c>
      <c r="F356" s="10" t="s">
        <v>1416</v>
      </c>
      <c r="G356" s="36" t="s">
        <v>141</v>
      </c>
      <c r="H356" s="36"/>
      <c r="I356" s="36" t="s">
        <v>141</v>
      </c>
      <c r="J356" s="36" t="s">
        <v>141</v>
      </c>
      <c r="K356" s="36"/>
      <c r="L356" s="36"/>
      <c r="M356" s="36" t="s">
        <v>141</v>
      </c>
      <c r="N356" s="36"/>
      <c r="O356" s="117"/>
      <c r="P356" s="36"/>
      <c r="Q356" s="36" t="s">
        <v>141</v>
      </c>
      <c r="R356" s="36"/>
      <c r="S356" s="36" t="s">
        <v>141</v>
      </c>
      <c r="T356" s="36" t="s">
        <v>141</v>
      </c>
      <c r="U356" s="36"/>
      <c r="V356" s="36"/>
      <c r="W356" s="36" t="s">
        <v>141</v>
      </c>
      <c r="X356" s="36"/>
      <c r="Y356" s="36"/>
      <c r="Z356" s="36"/>
      <c r="AA356" s="117"/>
      <c r="AB356" s="36" t="s">
        <v>141</v>
      </c>
      <c r="AC356" s="117"/>
      <c r="AD356" s="36" t="s">
        <v>141</v>
      </c>
      <c r="AE356" s="36"/>
      <c r="AF356" s="117"/>
      <c r="AG356" s="36"/>
      <c r="AH356" s="36"/>
      <c r="AI356" s="117" t="s">
        <v>141</v>
      </c>
      <c r="AJ356" s="36"/>
      <c r="AK356" s="36" t="s">
        <v>141</v>
      </c>
      <c r="AL356" s="36"/>
      <c r="AM356" s="117"/>
      <c r="AN356" s="117"/>
      <c r="AO356" s="117"/>
      <c r="AP356" s="117"/>
      <c r="AQ356" s="117"/>
      <c r="AR356" s="117" t="s">
        <v>141</v>
      </c>
      <c r="AS356" s="117"/>
      <c r="AT356" s="117"/>
      <c r="AU356" s="117"/>
      <c r="AV356" s="119">
        <f t="shared" si="5"/>
        <v>13</v>
      </c>
      <c r="AW356" s="119"/>
      <c r="AX356" s="119" t="s">
        <v>2142</v>
      </c>
    </row>
    <row r="357" spans="1:50">
      <c r="D357" s="7">
        <v>45844</v>
      </c>
      <c r="E357" s="7" t="s">
        <v>1420</v>
      </c>
      <c r="F357" s="10" t="s">
        <v>1418</v>
      </c>
      <c r="G357" s="36" t="s">
        <v>141</v>
      </c>
      <c r="H357" s="36"/>
      <c r="I357" s="36" t="s">
        <v>141</v>
      </c>
      <c r="J357" s="36" t="s">
        <v>141</v>
      </c>
      <c r="K357" s="36"/>
      <c r="L357" s="36"/>
      <c r="M357" s="36" t="s">
        <v>141</v>
      </c>
      <c r="N357" s="36"/>
      <c r="O357" s="117"/>
      <c r="P357" s="36"/>
      <c r="Q357" s="36" t="s">
        <v>141</v>
      </c>
      <c r="R357" s="36"/>
      <c r="S357" s="36" t="s">
        <v>141</v>
      </c>
      <c r="T357" s="36" t="s">
        <v>141</v>
      </c>
      <c r="U357" s="36"/>
      <c r="V357" s="36"/>
      <c r="W357" s="36" t="s">
        <v>141</v>
      </c>
      <c r="X357" s="36"/>
      <c r="Y357" s="36"/>
      <c r="Z357" s="36"/>
      <c r="AA357" s="117"/>
      <c r="AB357" s="36" t="s">
        <v>141</v>
      </c>
      <c r="AC357" s="117"/>
      <c r="AD357" s="36" t="s">
        <v>141</v>
      </c>
      <c r="AE357" s="36"/>
      <c r="AF357" s="117"/>
      <c r="AG357" s="36"/>
      <c r="AH357" s="36"/>
      <c r="AI357" s="117" t="s">
        <v>141</v>
      </c>
      <c r="AJ357" s="36"/>
      <c r="AK357" s="36" t="s">
        <v>141</v>
      </c>
      <c r="AL357" s="36"/>
      <c r="AM357" s="117"/>
      <c r="AN357" s="117"/>
      <c r="AO357" s="117"/>
      <c r="AP357" s="117"/>
      <c r="AQ357" s="117"/>
      <c r="AR357" s="117" t="s">
        <v>141</v>
      </c>
      <c r="AS357" s="117"/>
      <c r="AT357" s="117"/>
      <c r="AU357" s="117"/>
      <c r="AV357" s="119">
        <f t="shared" si="5"/>
        <v>13</v>
      </c>
      <c r="AW357" s="119"/>
      <c r="AX357" s="119" t="s">
        <v>2142</v>
      </c>
    </row>
    <row r="358" spans="1:50">
      <c r="D358" s="7">
        <v>45844</v>
      </c>
      <c r="E358" s="7" t="s">
        <v>1422</v>
      </c>
      <c r="F358" s="10" t="s">
        <v>1421</v>
      </c>
      <c r="G358" s="36" t="s">
        <v>141</v>
      </c>
      <c r="H358" s="36"/>
      <c r="I358" s="36" t="s">
        <v>141</v>
      </c>
      <c r="J358" s="36" t="s">
        <v>141</v>
      </c>
      <c r="K358" s="36"/>
      <c r="L358" s="36"/>
      <c r="M358" s="36" t="s">
        <v>141</v>
      </c>
      <c r="N358" s="36"/>
      <c r="O358" s="117"/>
      <c r="P358" s="36"/>
      <c r="Q358" s="36" t="s">
        <v>141</v>
      </c>
      <c r="R358" s="36"/>
      <c r="S358" s="36" t="s">
        <v>141</v>
      </c>
      <c r="T358" s="36" t="s">
        <v>141</v>
      </c>
      <c r="U358" s="36"/>
      <c r="V358" s="36"/>
      <c r="W358" s="36" t="s">
        <v>141</v>
      </c>
      <c r="X358" s="36"/>
      <c r="Y358" s="36"/>
      <c r="Z358" s="36"/>
      <c r="AA358" s="117"/>
      <c r="AB358" s="36" t="s">
        <v>141</v>
      </c>
      <c r="AC358" s="117"/>
      <c r="AD358" s="36" t="s">
        <v>141</v>
      </c>
      <c r="AE358" s="36"/>
      <c r="AF358" s="117"/>
      <c r="AG358" s="36"/>
      <c r="AH358" s="36"/>
      <c r="AI358" s="117" t="s">
        <v>141</v>
      </c>
      <c r="AJ358" s="36"/>
      <c r="AK358" s="36" t="s">
        <v>141</v>
      </c>
      <c r="AL358" s="36"/>
      <c r="AM358" s="117"/>
      <c r="AN358" s="117"/>
      <c r="AO358" s="117"/>
      <c r="AP358" s="117"/>
      <c r="AQ358" s="117"/>
      <c r="AR358" s="117" t="s">
        <v>141</v>
      </c>
      <c r="AS358" s="117"/>
      <c r="AT358" s="117"/>
      <c r="AU358" s="117"/>
      <c r="AV358" s="119">
        <f t="shared" si="5"/>
        <v>13</v>
      </c>
      <c r="AW358" s="119"/>
      <c r="AX358" s="119" t="s">
        <v>2142</v>
      </c>
    </row>
    <row r="359" spans="1:50">
      <c r="A359">
        <v>331</v>
      </c>
      <c r="B359">
        <v>888</v>
      </c>
      <c r="C359">
        <v>357</v>
      </c>
      <c r="D359" s="7">
        <v>45845</v>
      </c>
      <c r="E359" s="7" t="s">
        <v>1424</v>
      </c>
      <c r="F359" s="10" t="s">
        <v>1423</v>
      </c>
      <c r="G359" s="36"/>
      <c r="H359" s="36" t="s">
        <v>141</v>
      </c>
      <c r="I359" s="36"/>
      <c r="J359" s="36" t="s">
        <v>141</v>
      </c>
      <c r="K359" s="36" t="s">
        <v>141</v>
      </c>
      <c r="L359" s="36" t="s">
        <v>141</v>
      </c>
      <c r="M359" s="36" t="s">
        <v>141</v>
      </c>
      <c r="N359" s="36"/>
      <c r="O359" s="117" t="s">
        <v>141</v>
      </c>
      <c r="P359" s="36" t="s">
        <v>141</v>
      </c>
      <c r="Q359" s="36"/>
      <c r="R359" s="36"/>
      <c r="S359" s="36" t="s">
        <v>141</v>
      </c>
      <c r="T359" s="36" t="s">
        <v>141</v>
      </c>
      <c r="U359" s="36"/>
      <c r="V359" s="36"/>
      <c r="W359" s="36" t="s">
        <v>141</v>
      </c>
      <c r="X359" s="36"/>
      <c r="Y359" s="36"/>
      <c r="Z359" s="36"/>
      <c r="AA359" s="117"/>
      <c r="AB359" s="36"/>
      <c r="AC359" s="117"/>
      <c r="AD359" s="36"/>
      <c r="AE359" s="36"/>
      <c r="AF359" s="117"/>
      <c r="AG359" s="36"/>
      <c r="AH359" s="36"/>
      <c r="AI359" s="117"/>
      <c r="AJ359" s="36"/>
      <c r="AK359" s="36"/>
      <c r="AL359" s="36"/>
      <c r="AM359" s="117"/>
      <c r="AN359" s="117"/>
      <c r="AO359" s="117"/>
      <c r="AP359" s="117"/>
      <c r="AQ359" s="117"/>
      <c r="AR359" s="117" t="s">
        <v>141</v>
      </c>
      <c r="AS359" s="117"/>
      <c r="AT359" s="117"/>
      <c r="AU359" s="117"/>
      <c r="AV359" s="119">
        <f t="shared" si="5"/>
        <v>11</v>
      </c>
      <c r="AW359" s="119"/>
      <c r="AX359" s="119" t="s">
        <v>2142</v>
      </c>
    </row>
    <row r="360" spans="1:50">
      <c r="A360">
        <v>332</v>
      </c>
      <c r="B360">
        <v>889</v>
      </c>
      <c r="C360">
        <v>358</v>
      </c>
      <c r="D360" s="7">
        <v>45845</v>
      </c>
      <c r="E360" s="7" t="s">
        <v>1426</v>
      </c>
      <c r="F360" s="10" t="s">
        <v>1425</v>
      </c>
      <c r="G360" s="36"/>
      <c r="H360" s="36" t="s">
        <v>141</v>
      </c>
      <c r="I360" s="36"/>
      <c r="J360" s="36" t="s">
        <v>141</v>
      </c>
      <c r="K360" s="36" t="s">
        <v>141</v>
      </c>
      <c r="L360" s="36" t="s">
        <v>141</v>
      </c>
      <c r="M360" s="36" t="s">
        <v>141</v>
      </c>
      <c r="N360" s="36"/>
      <c r="O360" s="117"/>
      <c r="P360" s="36" t="s">
        <v>141</v>
      </c>
      <c r="Q360" s="36"/>
      <c r="R360" s="36"/>
      <c r="S360" s="36" t="s">
        <v>141</v>
      </c>
      <c r="T360" s="36" t="s">
        <v>141</v>
      </c>
      <c r="U360" s="36"/>
      <c r="V360" s="36"/>
      <c r="W360" s="36" t="s">
        <v>141</v>
      </c>
      <c r="X360" s="36"/>
      <c r="Y360" s="36"/>
      <c r="Z360" s="36"/>
      <c r="AA360" s="117"/>
      <c r="AB360" s="36"/>
      <c r="AC360" s="117"/>
      <c r="AD360" s="36"/>
      <c r="AE360" s="36"/>
      <c r="AF360" s="117"/>
      <c r="AG360" s="36"/>
      <c r="AH360" s="36"/>
      <c r="AI360" s="117"/>
      <c r="AJ360" s="36"/>
      <c r="AK360" s="36"/>
      <c r="AL360" s="36"/>
      <c r="AM360" s="117"/>
      <c r="AN360" s="117"/>
      <c r="AO360" s="117"/>
      <c r="AP360" s="117"/>
      <c r="AQ360" s="117"/>
      <c r="AR360" s="117" t="s">
        <v>141</v>
      </c>
      <c r="AS360" s="117"/>
      <c r="AT360" s="117"/>
      <c r="AU360" s="117"/>
      <c r="AV360" s="119">
        <f t="shared" si="5"/>
        <v>10</v>
      </c>
      <c r="AW360" s="119"/>
      <c r="AX360" s="119" t="s">
        <v>2142</v>
      </c>
    </row>
    <row r="361" spans="1:50">
      <c r="A361" t="s">
        <v>57</v>
      </c>
      <c r="B361" t="s">
        <v>57</v>
      </c>
      <c r="C361">
        <v>361</v>
      </c>
      <c r="D361" s="7">
        <v>45845</v>
      </c>
      <c r="E361" s="7" t="s">
        <v>2129</v>
      </c>
      <c r="F361" s="10" t="s">
        <v>2130</v>
      </c>
      <c r="G361" s="36" t="s">
        <v>141</v>
      </c>
      <c r="H361" s="36" t="s">
        <v>141</v>
      </c>
      <c r="I361" s="36" t="s">
        <v>141</v>
      </c>
      <c r="J361" s="36" t="s">
        <v>141</v>
      </c>
      <c r="K361" s="36" t="s">
        <v>141</v>
      </c>
      <c r="L361" s="36" t="s">
        <v>141</v>
      </c>
      <c r="M361" s="36" t="s">
        <v>141</v>
      </c>
      <c r="N361" s="36" t="s">
        <v>141</v>
      </c>
      <c r="O361" s="117" t="s">
        <v>2131</v>
      </c>
      <c r="P361" s="36" t="s">
        <v>141</v>
      </c>
      <c r="Q361" s="36" t="s">
        <v>141</v>
      </c>
      <c r="R361" s="36" t="s">
        <v>141</v>
      </c>
      <c r="S361" s="36" t="s">
        <v>141</v>
      </c>
      <c r="T361" s="36" t="s">
        <v>141</v>
      </c>
      <c r="U361" s="36" t="s">
        <v>141</v>
      </c>
      <c r="V361" s="36" t="s">
        <v>2131</v>
      </c>
      <c r="W361" s="36" t="s">
        <v>141</v>
      </c>
      <c r="X361" s="36" t="s">
        <v>2131</v>
      </c>
      <c r="Y361" s="36" t="s">
        <v>2131</v>
      </c>
      <c r="Z361" s="36" t="s">
        <v>141</v>
      </c>
      <c r="AA361" s="117" t="s">
        <v>141</v>
      </c>
      <c r="AB361" s="36" t="s">
        <v>141</v>
      </c>
      <c r="AC361" s="117" t="s">
        <v>2131</v>
      </c>
      <c r="AD361" s="36" t="s">
        <v>141</v>
      </c>
      <c r="AE361" s="36" t="s">
        <v>141</v>
      </c>
      <c r="AF361" s="117" t="s">
        <v>2131</v>
      </c>
      <c r="AG361" s="36" t="s">
        <v>2131</v>
      </c>
      <c r="AH361" s="36" t="s">
        <v>141</v>
      </c>
      <c r="AI361" s="117" t="s">
        <v>141</v>
      </c>
      <c r="AJ361" s="36" t="s">
        <v>2131</v>
      </c>
      <c r="AK361" s="36" t="s">
        <v>141</v>
      </c>
      <c r="AL361" s="36" t="s">
        <v>2131</v>
      </c>
      <c r="AM361" s="117" t="s">
        <v>2131</v>
      </c>
      <c r="AN361" s="117" t="s">
        <v>2131</v>
      </c>
      <c r="AO361" s="117" t="s">
        <v>2131</v>
      </c>
      <c r="AP361" s="117"/>
      <c r="AQ361" s="117"/>
      <c r="AR361" s="117" t="s">
        <v>2131</v>
      </c>
      <c r="AS361" s="117" t="s">
        <v>141</v>
      </c>
      <c r="AT361" s="117"/>
      <c r="AU361" s="117"/>
      <c r="AV361" s="119">
        <f t="shared" si="5"/>
        <v>24</v>
      </c>
      <c r="AW361" s="119"/>
      <c r="AX361" s="119" t="s">
        <v>2142</v>
      </c>
    </row>
    <row r="362" spans="1:50">
      <c r="A362">
        <v>335</v>
      </c>
      <c r="B362">
        <v>892</v>
      </c>
      <c r="C362">
        <v>362</v>
      </c>
      <c r="D362" s="7">
        <v>45846</v>
      </c>
      <c r="E362" s="7" t="s">
        <v>1428</v>
      </c>
      <c r="F362" s="10" t="s">
        <v>1427</v>
      </c>
      <c r="G362" s="36"/>
      <c r="H362" s="36"/>
      <c r="I362" s="36"/>
      <c r="J362" s="36" t="s">
        <v>141</v>
      </c>
      <c r="K362" s="36" t="s">
        <v>141</v>
      </c>
      <c r="L362" s="36"/>
      <c r="M362" s="36" t="s">
        <v>141</v>
      </c>
      <c r="N362" s="36" t="s">
        <v>141</v>
      </c>
      <c r="O362" s="117" t="s">
        <v>141</v>
      </c>
      <c r="P362" s="36" t="s">
        <v>141</v>
      </c>
      <c r="Q362" s="36" t="s">
        <v>141</v>
      </c>
      <c r="R362" s="36"/>
      <c r="S362" s="36"/>
      <c r="T362" s="36" t="s">
        <v>141</v>
      </c>
      <c r="U362" s="36"/>
      <c r="V362" s="36"/>
      <c r="W362" s="36"/>
      <c r="X362" s="36"/>
      <c r="Y362" s="36"/>
      <c r="Z362" s="36"/>
      <c r="AA362" s="117"/>
      <c r="AB362" s="36"/>
      <c r="AC362" s="117" t="s">
        <v>141</v>
      </c>
      <c r="AD362" s="36" t="s">
        <v>141</v>
      </c>
      <c r="AE362" s="36"/>
      <c r="AF362" s="117"/>
      <c r="AG362" s="36"/>
      <c r="AH362" s="36" t="s">
        <v>141</v>
      </c>
      <c r="AI362" s="117"/>
      <c r="AJ362" s="36"/>
      <c r="AK362" s="36"/>
      <c r="AL362" s="36"/>
      <c r="AM362" s="117"/>
      <c r="AN362" s="117"/>
      <c r="AO362" s="117"/>
      <c r="AP362" s="117"/>
      <c r="AQ362" s="117"/>
      <c r="AR362" s="117"/>
      <c r="AS362" s="117"/>
      <c r="AT362" s="117"/>
      <c r="AU362" s="117"/>
      <c r="AV362" s="119">
        <f t="shared" si="5"/>
        <v>11</v>
      </c>
      <c r="AW362" s="119"/>
      <c r="AX362" s="119" t="s">
        <v>2142</v>
      </c>
    </row>
    <row r="363" spans="1:50">
      <c r="A363">
        <v>336</v>
      </c>
      <c r="B363">
        <v>893</v>
      </c>
      <c r="C363">
        <v>363</v>
      </c>
      <c r="D363" s="7">
        <v>45846</v>
      </c>
      <c r="E363" s="7" t="s">
        <v>1430</v>
      </c>
      <c r="F363" s="10" t="s">
        <v>1429</v>
      </c>
      <c r="G363" s="36" t="s">
        <v>141</v>
      </c>
      <c r="H363" s="36" t="s">
        <v>141</v>
      </c>
      <c r="I363" s="36"/>
      <c r="J363" s="36" t="s">
        <v>141</v>
      </c>
      <c r="K363" s="36"/>
      <c r="L363" s="36"/>
      <c r="M363" s="36"/>
      <c r="N363" s="36" t="s">
        <v>141</v>
      </c>
      <c r="O363" s="117"/>
      <c r="P363" s="36" t="s">
        <v>141</v>
      </c>
      <c r="Q363" s="36" t="s">
        <v>141</v>
      </c>
      <c r="R363" s="36" t="s">
        <v>141</v>
      </c>
      <c r="S363" s="36"/>
      <c r="T363" s="36"/>
      <c r="U363" s="36" t="s">
        <v>141</v>
      </c>
      <c r="V363" s="36"/>
      <c r="W363" s="36" t="s">
        <v>141</v>
      </c>
      <c r="X363" s="36"/>
      <c r="Y363" s="36"/>
      <c r="Z363" s="36"/>
      <c r="AA363" s="117" t="s">
        <v>141</v>
      </c>
      <c r="AB363" s="36"/>
      <c r="AC363" s="117"/>
      <c r="AD363" s="36"/>
      <c r="AE363" s="36"/>
      <c r="AF363" s="117"/>
      <c r="AG363" s="36"/>
      <c r="AH363" s="36"/>
      <c r="AI363" s="117" t="s">
        <v>141</v>
      </c>
      <c r="AJ363" s="36" t="s">
        <v>141</v>
      </c>
      <c r="AK363" s="36"/>
      <c r="AL363" s="36"/>
      <c r="AM363" s="117"/>
      <c r="AN363" s="117"/>
      <c r="AO363" s="117"/>
      <c r="AP363" s="117"/>
      <c r="AQ363" s="117"/>
      <c r="AR363" s="117"/>
      <c r="AS363" s="117"/>
      <c r="AT363" s="117"/>
      <c r="AU363" s="117"/>
      <c r="AV363" s="119">
        <f t="shared" si="5"/>
        <v>12</v>
      </c>
      <c r="AW363" s="119"/>
      <c r="AX363" s="119" t="s">
        <v>2142</v>
      </c>
    </row>
    <row r="364" spans="1:50">
      <c r="A364">
        <v>337</v>
      </c>
      <c r="B364">
        <v>894</v>
      </c>
      <c r="C364">
        <v>364</v>
      </c>
      <c r="D364" s="7">
        <v>45847</v>
      </c>
      <c r="E364" s="7" t="s">
        <v>1432</v>
      </c>
      <c r="F364" s="10" t="s">
        <v>1431</v>
      </c>
      <c r="G364" s="36"/>
      <c r="H364" s="36"/>
      <c r="I364" s="36"/>
      <c r="J364" s="36" t="s">
        <v>141</v>
      </c>
      <c r="K364" s="36"/>
      <c r="L364" s="36"/>
      <c r="M364" s="36"/>
      <c r="N364" s="36" t="s">
        <v>141</v>
      </c>
      <c r="O364" s="117" t="s">
        <v>141</v>
      </c>
      <c r="P364" s="36"/>
      <c r="Q364" s="36"/>
      <c r="R364" s="36"/>
      <c r="S364" s="36"/>
      <c r="T364" s="36" t="s">
        <v>141</v>
      </c>
      <c r="U364" s="36"/>
      <c r="V364" s="36"/>
      <c r="W364" s="36"/>
      <c r="X364" s="36"/>
      <c r="Y364" s="36" t="s">
        <v>141</v>
      </c>
      <c r="Z364" s="36"/>
      <c r="AA364" s="117"/>
      <c r="AB364" s="36" t="s">
        <v>141</v>
      </c>
      <c r="AC364" s="117"/>
      <c r="AD364" s="36"/>
      <c r="AE364" s="36"/>
      <c r="AF364" s="117" t="s">
        <v>141</v>
      </c>
      <c r="AG364" s="36"/>
      <c r="AH364" s="36" t="s">
        <v>141</v>
      </c>
      <c r="AI364" s="117" t="s">
        <v>141</v>
      </c>
      <c r="AJ364" s="36"/>
      <c r="AK364" s="36"/>
      <c r="AL364" s="36" t="s">
        <v>141</v>
      </c>
      <c r="AM364" s="117"/>
      <c r="AN364" s="117"/>
      <c r="AO364" s="117" t="s">
        <v>141</v>
      </c>
      <c r="AP364" s="117"/>
      <c r="AQ364" s="117"/>
      <c r="AR364" s="117"/>
      <c r="AS364" s="117"/>
      <c r="AT364" s="117"/>
      <c r="AU364" s="117"/>
      <c r="AV364" s="119">
        <f t="shared" si="5"/>
        <v>11</v>
      </c>
      <c r="AW364" s="119"/>
      <c r="AX364" s="119" t="s">
        <v>2142</v>
      </c>
    </row>
    <row r="365" spans="1:50">
      <c r="A365">
        <v>338</v>
      </c>
      <c r="B365">
        <v>895</v>
      </c>
      <c r="C365">
        <v>365</v>
      </c>
      <c r="D365" s="7">
        <v>45847</v>
      </c>
      <c r="E365" s="7" t="s">
        <v>1118</v>
      </c>
      <c r="F365" s="10" t="s">
        <v>1433</v>
      </c>
      <c r="G365" s="36"/>
      <c r="H365" s="36"/>
      <c r="I365" s="36"/>
      <c r="J365" s="36" t="s">
        <v>141</v>
      </c>
      <c r="K365" s="36"/>
      <c r="L365" s="36"/>
      <c r="M365" s="36"/>
      <c r="N365" s="36" t="s">
        <v>141</v>
      </c>
      <c r="O365" s="117" t="s">
        <v>141</v>
      </c>
      <c r="P365" s="36"/>
      <c r="Q365" s="36"/>
      <c r="R365" s="36"/>
      <c r="S365" s="36"/>
      <c r="T365" s="36" t="s">
        <v>141</v>
      </c>
      <c r="U365" s="36"/>
      <c r="V365" s="36"/>
      <c r="W365" s="36"/>
      <c r="X365" s="36"/>
      <c r="Y365" s="36" t="s">
        <v>141</v>
      </c>
      <c r="Z365" s="36"/>
      <c r="AA365" s="117"/>
      <c r="AB365" s="36" t="s">
        <v>141</v>
      </c>
      <c r="AC365" s="117"/>
      <c r="AD365" s="36" t="s">
        <v>141</v>
      </c>
      <c r="AE365" s="36"/>
      <c r="AF365" s="117" t="s">
        <v>141</v>
      </c>
      <c r="AG365" s="36"/>
      <c r="AH365" s="36" t="s">
        <v>141</v>
      </c>
      <c r="AI365" s="117" t="s">
        <v>141</v>
      </c>
      <c r="AJ365" s="36"/>
      <c r="AK365" s="36"/>
      <c r="AL365" s="36" t="s">
        <v>141</v>
      </c>
      <c r="AM365" s="117"/>
      <c r="AN365" s="117"/>
      <c r="AO365" s="117" t="s">
        <v>141</v>
      </c>
      <c r="AP365" s="117"/>
      <c r="AQ365" s="117"/>
      <c r="AR365" s="117"/>
      <c r="AS365" s="117"/>
      <c r="AT365" s="117"/>
      <c r="AU365" s="117"/>
      <c r="AV365" s="119">
        <f t="shared" si="5"/>
        <v>12</v>
      </c>
      <c r="AW365" s="119"/>
      <c r="AX365" s="119" t="s">
        <v>2142</v>
      </c>
    </row>
    <row r="366" spans="1:50">
      <c r="A366">
        <v>339</v>
      </c>
      <c r="B366">
        <v>896</v>
      </c>
      <c r="C366">
        <v>366</v>
      </c>
      <c r="D366" s="7">
        <v>45847</v>
      </c>
      <c r="E366" s="7" t="s">
        <v>1435</v>
      </c>
      <c r="F366" s="10" t="s">
        <v>1434</v>
      </c>
      <c r="G366" s="36"/>
      <c r="H366" s="36" t="s">
        <v>141</v>
      </c>
      <c r="I366" s="36"/>
      <c r="J366" s="36" t="s">
        <v>141</v>
      </c>
      <c r="K366" s="36"/>
      <c r="L366" s="36"/>
      <c r="M366" s="36" t="s">
        <v>141</v>
      </c>
      <c r="N366" s="36"/>
      <c r="O366" s="117"/>
      <c r="P366" s="36"/>
      <c r="Q366" s="36"/>
      <c r="R366" s="36" t="s">
        <v>141</v>
      </c>
      <c r="S366" s="36"/>
      <c r="T366" s="36"/>
      <c r="U366" s="36"/>
      <c r="V366" s="36"/>
      <c r="W366" s="36" t="s">
        <v>141</v>
      </c>
      <c r="X366" s="36"/>
      <c r="Y366" s="36"/>
      <c r="Z366" s="36"/>
      <c r="AA366" s="117" t="s">
        <v>141</v>
      </c>
      <c r="AB366" s="36" t="s">
        <v>141</v>
      </c>
      <c r="AC366" s="117"/>
      <c r="AD366" s="36" t="s">
        <v>141</v>
      </c>
      <c r="AE366" s="36" t="s">
        <v>141</v>
      </c>
      <c r="AF366" s="117"/>
      <c r="AG366" s="36"/>
      <c r="AH366" s="36" t="s">
        <v>141</v>
      </c>
      <c r="AI366" s="117"/>
      <c r="AJ366" s="36"/>
      <c r="AK366" s="36"/>
      <c r="AL366" s="36" t="s">
        <v>141</v>
      </c>
      <c r="AM366" s="117"/>
      <c r="AN366" s="117"/>
      <c r="AO366" s="117"/>
      <c r="AP366" s="117"/>
      <c r="AQ366" s="117"/>
      <c r="AR366" s="117"/>
      <c r="AS366" s="117"/>
      <c r="AT366" s="117"/>
      <c r="AU366" s="117"/>
      <c r="AV366" s="119">
        <f t="shared" si="5"/>
        <v>11</v>
      </c>
      <c r="AW366" s="119"/>
      <c r="AX366" s="119" t="s">
        <v>2142</v>
      </c>
    </row>
    <row r="367" spans="1:50">
      <c r="A367">
        <v>340</v>
      </c>
      <c r="B367">
        <v>897</v>
      </c>
      <c r="C367">
        <v>367</v>
      </c>
      <c r="D367" s="7">
        <v>45848</v>
      </c>
      <c r="E367" s="7" t="s">
        <v>1437</v>
      </c>
      <c r="F367" s="10" t="s">
        <v>1436</v>
      </c>
      <c r="G367" s="36"/>
      <c r="H367" s="36" t="s">
        <v>141</v>
      </c>
      <c r="I367" s="36"/>
      <c r="J367" s="36" t="s">
        <v>141</v>
      </c>
      <c r="K367" s="36"/>
      <c r="L367" s="36"/>
      <c r="M367" s="36" t="s">
        <v>141</v>
      </c>
      <c r="N367" s="36"/>
      <c r="O367" s="117" t="s">
        <v>141</v>
      </c>
      <c r="P367" s="36" t="s">
        <v>141</v>
      </c>
      <c r="Q367" s="36"/>
      <c r="R367" s="36"/>
      <c r="S367" s="36"/>
      <c r="T367" s="36" t="s">
        <v>141</v>
      </c>
      <c r="U367" s="36"/>
      <c r="V367" s="36"/>
      <c r="W367" s="36"/>
      <c r="X367" s="36"/>
      <c r="Y367" s="36"/>
      <c r="Z367" s="36"/>
      <c r="AA367" s="117"/>
      <c r="AB367" s="36" t="s">
        <v>141</v>
      </c>
      <c r="AC367" s="117"/>
      <c r="AD367" s="36"/>
      <c r="AE367" s="36" t="s">
        <v>141</v>
      </c>
      <c r="AF367" s="117" t="s">
        <v>141</v>
      </c>
      <c r="AG367" s="36"/>
      <c r="AH367" s="36" t="s">
        <v>141</v>
      </c>
      <c r="AI367" s="117" t="s">
        <v>141</v>
      </c>
      <c r="AJ367" s="36"/>
      <c r="AK367" s="36" t="s">
        <v>141</v>
      </c>
      <c r="AL367" s="36"/>
      <c r="AM367" s="117"/>
      <c r="AN367" s="117"/>
      <c r="AO367" s="117" t="s">
        <v>141</v>
      </c>
      <c r="AP367" s="117"/>
      <c r="AQ367" s="117"/>
      <c r="AR367" s="117"/>
      <c r="AS367" s="117"/>
      <c r="AT367" s="117"/>
      <c r="AU367" s="117"/>
      <c r="AV367" s="119">
        <f t="shared" si="5"/>
        <v>13</v>
      </c>
      <c r="AW367" s="119"/>
      <c r="AX367" s="119" t="s">
        <v>2142</v>
      </c>
    </row>
    <row r="368" spans="1:50">
      <c r="A368">
        <v>341</v>
      </c>
      <c r="B368">
        <v>898</v>
      </c>
      <c r="C368">
        <v>368</v>
      </c>
      <c r="D368" s="7">
        <v>45849</v>
      </c>
      <c r="E368" s="7" t="s">
        <v>1439</v>
      </c>
      <c r="F368" s="10" t="s">
        <v>1438</v>
      </c>
      <c r="G368" s="36"/>
      <c r="H368" s="36" t="s">
        <v>141</v>
      </c>
      <c r="I368" s="36" t="s">
        <v>141</v>
      </c>
      <c r="J368" s="36" t="s">
        <v>141</v>
      </c>
      <c r="K368" s="36"/>
      <c r="L368" s="36" t="s">
        <v>141</v>
      </c>
      <c r="M368" s="36" t="s">
        <v>141</v>
      </c>
      <c r="N368" s="36" t="s">
        <v>141</v>
      </c>
      <c r="O368" s="117"/>
      <c r="P368" s="36" t="s">
        <v>141</v>
      </c>
      <c r="Q368" s="36"/>
      <c r="R368" s="36" t="s">
        <v>141</v>
      </c>
      <c r="S368" s="36"/>
      <c r="T368" s="36" t="s">
        <v>141</v>
      </c>
      <c r="U368" s="36"/>
      <c r="V368" s="36"/>
      <c r="W368" s="36" t="s">
        <v>141</v>
      </c>
      <c r="X368" s="36"/>
      <c r="Y368" s="36" t="s">
        <v>141</v>
      </c>
      <c r="Z368" s="36"/>
      <c r="AA368" s="117" t="s">
        <v>141</v>
      </c>
      <c r="AB368" s="36"/>
      <c r="AC368" s="117"/>
      <c r="AD368" s="36"/>
      <c r="AE368" s="36"/>
      <c r="AF368" s="117"/>
      <c r="AG368" s="36"/>
      <c r="AH368" s="36"/>
      <c r="AI368" s="117"/>
      <c r="AJ368" s="36"/>
      <c r="AK368" s="36"/>
      <c r="AL368" s="36"/>
      <c r="AM368" s="117"/>
      <c r="AN368" s="117"/>
      <c r="AO368" s="117" t="s">
        <v>141</v>
      </c>
      <c r="AP368" s="117"/>
      <c r="AQ368" s="117"/>
      <c r="AR368" s="117"/>
      <c r="AS368" s="117"/>
      <c r="AT368" s="117"/>
      <c r="AU368" s="117"/>
      <c r="AV368" s="119">
        <f t="shared" si="5"/>
        <v>13</v>
      </c>
      <c r="AW368" s="119"/>
      <c r="AX368" s="119" t="s">
        <v>2142</v>
      </c>
    </row>
    <row r="369" spans="1:50">
      <c r="A369">
        <v>342</v>
      </c>
      <c r="B369">
        <v>899</v>
      </c>
      <c r="C369">
        <v>369</v>
      </c>
      <c r="D369" s="7">
        <v>45849</v>
      </c>
      <c r="E369" s="7" t="s">
        <v>1441</v>
      </c>
      <c r="F369" s="10" t="s">
        <v>1440</v>
      </c>
      <c r="G369" s="36" t="s">
        <v>141</v>
      </c>
      <c r="H369" s="36" t="s">
        <v>141</v>
      </c>
      <c r="I369" s="36" t="s">
        <v>141</v>
      </c>
      <c r="J369" s="36" t="s">
        <v>141</v>
      </c>
      <c r="K369" s="36"/>
      <c r="L369" s="36" t="s">
        <v>141</v>
      </c>
      <c r="M369" s="36" t="s">
        <v>141</v>
      </c>
      <c r="N369" s="36" t="s">
        <v>141</v>
      </c>
      <c r="O369" s="117"/>
      <c r="P369" s="36" t="s">
        <v>141</v>
      </c>
      <c r="Q369" s="36"/>
      <c r="R369" s="36"/>
      <c r="S369" s="36"/>
      <c r="T369" s="36" t="s">
        <v>141</v>
      </c>
      <c r="U369" s="36"/>
      <c r="V369" s="36"/>
      <c r="W369" s="36" t="s">
        <v>141</v>
      </c>
      <c r="X369" s="36"/>
      <c r="Y369" s="36"/>
      <c r="Z369" s="36"/>
      <c r="AA369" s="117"/>
      <c r="AB369" s="36" t="s">
        <v>141</v>
      </c>
      <c r="AC369" s="117"/>
      <c r="AD369" s="36"/>
      <c r="AE369" s="36"/>
      <c r="AF369" s="117"/>
      <c r="AG369" s="36"/>
      <c r="AH369" s="36"/>
      <c r="AI369" s="117"/>
      <c r="AJ369" s="36" t="s">
        <v>141</v>
      </c>
      <c r="AK369" s="36"/>
      <c r="AL369" s="36"/>
      <c r="AM369" s="117"/>
      <c r="AN369" s="117"/>
      <c r="AO369" s="117"/>
      <c r="AP369" s="117"/>
      <c r="AQ369" s="117"/>
      <c r="AR369" s="117"/>
      <c r="AS369" s="117"/>
      <c r="AT369" s="117"/>
      <c r="AU369" s="117"/>
      <c r="AV369" s="119">
        <f t="shared" si="5"/>
        <v>12</v>
      </c>
      <c r="AW369" s="119"/>
      <c r="AX369" s="119" t="s">
        <v>2142</v>
      </c>
    </row>
    <row r="370" spans="1:50">
      <c r="A370">
        <v>343</v>
      </c>
      <c r="B370">
        <v>900</v>
      </c>
      <c r="C370">
        <v>370</v>
      </c>
      <c r="D370" s="7">
        <v>45849</v>
      </c>
      <c r="E370" s="7" t="s">
        <v>1444</v>
      </c>
      <c r="F370" s="10" t="s">
        <v>1442</v>
      </c>
      <c r="G370" s="36" t="s">
        <v>141</v>
      </c>
      <c r="H370" s="36" t="s">
        <v>141</v>
      </c>
      <c r="I370" s="36"/>
      <c r="J370" s="36" t="s">
        <v>141</v>
      </c>
      <c r="K370" s="36" t="s">
        <v>141</v>
      </c>
      <c r="L370" s="36" t="s">
        <v>141</v>
      </c>
      <c r="M370" s="36"/>
      <c r="N370" s="36"/>
      <c r="O370" s="117"/>
      <c r="P370" s="36" t="s">
        <v>141</v>
      </c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117"/>
      <c r="AB370" s="36"/>
      <c r="AC370" s="117" t="s">
        <v>141</v>
      </c>
      <c r="AD370" s="36"/>
      <c r="AE370" s="36"/>
      <c r="AF370" s="117"/>
      <c r="AG370" s="36"/>
      <c r="AH370" s="36"/>
      <c r="AI370" s="117"/>
      <c r="AJ370" s="36" t="s">
        <v>141</v>
      </c>
      <c r="AK370" s="36" t="s">
        <v>141</v>
      </c>
      <c r="AL370" s="36" t="s">
        <v>141</v>
      </c>
      <c r="AM370" s="117"/>
      <c r="AN370" s="117"/>
      <c r="AO370" s="117"/>
      <c r="AP370" s="117"/>
      <c r="AQ370" s="117"/>
      <c r="AR370" s="117"/>
      <c r="AS370" s="117"/>
      <c r="AT370" s="117"/>
      <c r="AU370" s="117"/>
      <c r="AV370" s="119">
        <f t="shared" si="5"/>
        <v>10</v>
      </c>
      <c r="AW370" s="119"/>
      <c r="AX370" s="119" t="s">
        <v>2142</v>
      </c>
    </row>
    <row r="371" spans="1:50">
      <c r="A371">
        <v>344</v>
      </c>
      <c r="B371">
        <v>901</v>
      </c>
      <c r="C371">
        <v>371</v>
      </c>
      <c r="D371" s="7">
        <v>45849</v>
      </c>
      <c r="E371" s="7" t="s">
        <v>1446</v>
      </c>
      <c r="F371" s="10" t="s">
        <v>1445</v>
      </c>
      <c r="G371" s="36"/>
      <c r="H371" s="36" t="s">
        <v>141</v>
      </c>
      <c r="I371" s="36"/>
      <c r="J371" s="36" t="s">
        <v>141</v>
      </c>
      <c r="K371" s="36" t="s">
        <v>141</v>
      </c>
      <c r="L371" s="36" t="s">
        <v>141</v>
      </c>
      <c r="M371" s="36"/>
      <c r="N371" s="36"/>
      <c r="O371" s="117"/>
      <c r="P371" s="36" t="s">
        <v>141</v>
      </c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117"/>
      <c r="AB371" s="36"/>
      <c r="AC371" s="117" t="s">
        <v>141</v>
      </c>
      <c r="AD371" s="36"/>
      <c r="AE371" s="36"/>
      <c r="AF371" s="117"/>
      <c r="AG371" s="36"/>
      <c r="AH371" s="36"/>
      <c r="AI371" s="117"/>
      <c r="AJ371" s="36" t="s">
        <v>141</v>
      </c>
      <c r="AK371" s="36" t="s">
        <v>141</v>
      </c>
      <c r="AL371" s="36" t="s">
        <v>141</v>
      </c>
      <c r="AM371" s="117"/>
      <c r="AN371" s="117"/>
      <c r="AO371" s="117"/>
      <c r="AP371" s="117"/>
      <c r="AQ371" s="117"/>
      <c r="AR371" s="117"/>
      <c r="AS371" s="117"/>
      <c r="AT371" s="117"/>
      <c r="AU371" s="117"/>
      <c r="AV371" s="119">
        <f t="shared" si="5"/>
        <v>9</v>
      </c>
      <c r="AW371" s="119"/>
      <c r="AX371" s="119" t="s">
        <v>2142</v>
      </c>
    </row>
    <row r="372" spans="1:50">
      <c r="A372">
        <v>345</v>
      </c>
      <c r="B372">
        <v>902</v>
      </c>
      <c r="C372">
        <v>372</v>
      </c>
      <c r="D372" s="7">
        <v>45850</v>
      </c>
      <c r="E372" s="7" t="s">
        <v>1448</v>
      </c>
      <c r="F372" s="10" t="s">
        <v>1447</v>
      </c>
      <c r="G372" s="36"/>
      <c r="H372" s="36" t="s">
        <v>141</v>
      </c>
      <c r="I372" s="36" t="s">
        <v>141</v>
      </c>
      <c r="J372" s="36" t="s">
        <v>141</v>
      </c>
      <c r="K372" s="36"/>
      <c r="L372" s="36" t="s">
        <v>141</v>
      </c>
      <c r="M372" s="36" t="s">
        <v>141</v>
      </c>
      <c r="N372" s="36" t="s">
        <v>141</v>
      </c>
      <c r="O372" s="117"/>
      <c r="P372" s="36" t="s">
        <v>141</v>
      </c>
      <c r="Q372" s="36"/>
      <c r="R372" s="36"/>
      <c r="S372" s="36"/>
      <c r="T372" s="36" t="s">
        <v>141</v>
      </c>
      <c r="U372" s="36"/>
      <c r="V372" s="36"/>
      <c r="W372" s="36" t="s">
        <v>141</v>
      </c>
      <c r="X372" s="36"/>
      <c r="Y372" s="36"/>
      <c r="Z372" s="36"/>
      <c r="AA372" s="117"/>
      <c r="AB372" s="36" t="s">
        <v>141</v>
      </c>
      <c r="AC372" s="117" t="s">
        <v>141</v>
      </c>
      <c r="AD372" s="36"/>
      <c r="AE372" s="36"/>
      <c r="AF372" s="117"/>
      <c r="AG372" s="36"/>
      <c r="AH372" s="36"/>
      <c r="AI372" s="117"/>
      <c r="AJ372" s="36" t="s">
        <v>141</v>
      </c>
      <c r="AK372" s="36"/>
      <c r="AL372" s="36" t="s">
        <v>141</v>
      </c>
      <c r="AM372" s="117"/>
      <c r="AN372" s="117"/>
      <c r="AO372" s="117"/>
      <c r="AP372" s="117"/>
      <c r="AQ372" s="117"/>
      <c r="AR372" s="117"/>
      <c r="AS372" s="117"/>
      <c r="AT372" s="117"/>
      <c r="AU372" s="117"/>
      <c r="AV372" s="119">
        <f t="shared" si="5"/>
        <v>13</v>
      </c>
      <c r="AW372" s="119"/>
      <c r="AX372" s="119" t="s">
        <v>2142</v>
      </c>
    </row>
    <row r="373" spans="1:50">
      <c r="A373">
        <v>346</v>
      </c>
      <c r="B373">
        <v>903</v>
      </c>
      <c r="C373">
        <v>373</v>
      </c>
      <c r="D373" s="7">
        <v>45850</v>
      </c>
      <c r="E373" s="7" t="s">
        <v>1451</v>
      </c>
      <c r="F373" s="10" t="s">
        <v>1449</v>
      </c>
      <c r="G373" s="36"/>
      <c r="H373" s="36"/>
      <c r="I373" s="36" t="s">
        <v>141</v>
      </c>
      <c r="J373" s="36" t="s">
        <v>141</v>
      </c>
      <c r="K373" s="36"/>
      <c r="L373" s="36"/>
      <c r="M373" s="36" t="s">
        <v>141</v>
      </c>
      <c r="N373" s="36"/>
      <c r="O373" s="117"/>
      <c r="P373" s="36" t="s">
        <v>141</v>
      </c>
      <c r="Q373" s="36"/>
      <c r="R373" s="36"/>
      <c r="S373" s="36"/>
      <c r="T373" s="36"/>
      <c r="U373" s="36" t="s">
        <v>141</v>
      </c>
      <c r="V373" s="36"/>
      <c r="W373" s="36"/>
      <c r="X373" s="36"/>
      <c r="Y373" s="36" t="s">
        <v>141</v>
      </c>
      <c r="Z373" s="36"/>
      <c r="AA373" s="117"/>
      <c r="AB373" s="36" t="s">
        <v>141</v>
      </c>
      <c r="AC373" s="117"/>
      <c r="AD373" s="36"/>
      <c r="AE373" s="36"/>
      <c r="AF373" s="117"/>
      <c r="AG373" s="36"/>
      <c r="AH373" s="36"/>
      <c r="AI373" s="117"/>
      <c r="AJ373" s="36" t="s">
        <v>141</v>
      </c>
      <c r="AK373" s="36"/>
      <c r="AL373" s="36"/>
      <c r="AM373" s="117"/>
      <c r="AN373" s="117"/>
      <c r="AO373" s="117"/>
      <c r="AP373" s="117"/>
      <c r="AQ373" s="117"/>
      <c r="AR373" s="117"/>
      <c r="AS373" s="117"/>
      <c r="AT373" s="117"/>
      <c r="AU373" s="117"/>
      <c r="AV373" s="119">
        <f t="shared" si="5"/>
        <v>8</v>
      </c>
      <c r="AW373" s="119"/>
      <c r="AX373" s="119" t="s">
        <v>2145</v>
      </c>
    </row>
    <row r="374" spans="1:50">
      <c r="A374">
        <v>347</v>
      </c>
      <c r="B374">
        <v>904</v>
      </c>
      <c r="C374">
        <v>374</v>
      </c>
      <c r="D374" s="7">
        <v>45849</v>
      </c>
      <c r="E374" s="7" t="s">
        <v>1453</v>
      </c>
      <c r="F374" s="10" t="s">
        <v>1452</v>
      </c>
      <c r="G374" s="36"/>
      <c r="H374" s="36" t="s">
        <v>141</v>
      </c>
      <c r="I374" s="36"/>
      <c r="J374" s="36" t="s">
        <v>141</v>
      </c>
      <c r="K374" s="36" t="s">
        <v>141</v>
      </c>
      <c r="L374" s="36"/>
      <c r="M374" s="36" t="s">
        <v>141</v>
      </c>
      <c r="N374" s="36"/>
      <c r="O374" s="117"/>
      <c r="P374" s="36" t="s">
        <v>141</v>
      </c>
      <c r="Q374" s="36"/>
      <c r="R374" s="36" t="s">
        <v>141</v>
      </c>
      <c r="S374" s="36"/>
      <c r="T374" s="36"/>
      <c r="U374" s="36"/>
      <c r="V374" s="36"/>
      <c r="W374" s="36"/>
      <c r="X374" s="36"/>
      <c r="Y374" s="36"/>
      <c r="Z374" s="36"/>
      <c r="AA374" s="117"/>
      <c r="AB374" s="36"/>
      <c r="AC374" s="117"/>
      <c r="AD374" s="36" t="s">
        <v>141</v>
      </c>
      <c r="AE374" s="36"/>
      <c r="AF374" s="117"/>
      <c r="AG374" s="36"/>
      <c r="AH374" s="36"/>
      <c r="AI374" s="117"/>
      <c r="AJ374" s="36" t="s">
        <v>141</v>
      </c>
      <c r="AK374" s="36"/>
      <c r="AL374" s="36"/>
      <c r="AM374" s="117"/>
      <c r="AN374" s="117"/>
      <c r="AO374" s="117"/>
      <c r="AP374" s="117"/>
      <c r="AQ374" s="117"/>
      <c r="AR374" s="117"/>
      <c r="AS374" s="117"/>
      <c r="AT374" s="117"/>
      <c r="AU374" s="117"/>
      <c r="AV374" s="119">
        <f t="shared" si="5"/>
        <v>8</v>
      </c>
      <c r="AW374" s="119"/>
      <c r="AX374" s="119" t="s">
        <v>2145</v>
      </c>
    </row>
    <row r="375" spans="1:50">
      <c r="A375">
        <v>348</v>
      </c>
      <c r="B375">
        <v>905</v>
      </c>
      <c r="C375">
        <v>375</v>
      </c>
      <c r="D375" s="7">
        <v>45851</v>
      </c>
      <c r="E375" s="7" t="s">
        <v>1456</v>
      </c>
      <c r="F375" s="10" t="s">
        <v>1455</v>
      </c>
      <c r="G375" s="36" t="s">
        <v>141</v>
      </c>
      <c r="H375" s="36"/>
      <c r="I375" s="36"/>
      <c r="J375" s="36" t="s">
        <v>141</v>
      </c>
      <c r="K375" s="36"/>
      <c r="L375" s="36"/>
      <c r="M375" s="36"/>
      <c r="N375" s="36" t="s">
        <v>141</v>
      </c>
      <c r="O375" s="117"/>
      <c r="P375" s="36"/>
      <c r="Q375" s="36"/>
      <c r="R375" s="36" t="s">
        <v>141</v>
      </c>
      <c r="S375" s="36"/>
      <c r="T375" s="36" t="s">
        <v>141</v>
      </c>
      <c r="U375" s="36" t="s">
        <v>141</v>
      </c>
      <c r="V375" s="36"/>
      <c r="W375" s="36"/>
      <c r="X375" s="36"/>
      <c r="Y375" s="36"/>
      <c r="Z375" s="36"/>
      <c r="AA375" s="117"/>
      <c r="AB375" s="36"/>
      <c r="AC375" s="117"/>
      <c r="AD375" s="36"/>
      <c r="AE375" s="36"/>
      <c r="AF375" s="117"/>
      <c r="AG375" s="36"/>
      <c r="AH375" s="36"/>
      <c r="AI375" s="117"/>
      <c r="AJ375" s="36" t="s">
        <v>141</v>
      </c>
      <c r="AK375" s="36"/>
      <c r="AL375" s="36"/>
      <c r="AM375" s="117"/>
      <c r="AN375" s="117"/>
      <c r="AO375" s="117" t="s">
        <v>141</v>
      </c>
      <c r="AP375" s="117"/>
      <c r="AQ375" s="117"/>
      <c r="AR375" s="117"/>
      <c r="AS375" s="117"/>
      <c r="AT375" s="117"/>
      <c r="AU375" s="117"/>
      <c r="AV375" s="119">
        <f t="shared" si="5"/>
        <v>8</v>
      </c>
      <c r="AW375" s="119"/>
      <c r="AX375" s="119" t="s">
        <v>2142</v>
      </c>
    </row>
    <row r="376" spans="1:50">
      <c r="A376">
        <v>349</v>
      </c>
      <c r="B376">
        <v>906</v>
      </c>
      <c r="C376">
        <v>376</v>
      </c>
      <c r="D376" s="7">
        <v>45851</v>
      </c>
      <c r="E376" s="7" t="s">
        <v>1458</v>
      </c>
      <c r="F376" s="10" t="s">
        <v>1457</v>
      </c>
      <c r="G376" s="36"/>
      <c r="H376" s="36" t="s">
        <v>141</v>
      </c>
      <c r="I376" s="36" t="s">
        <v>141</v>
      </c>
      <c r="J376" s="36" t="s">
        <v>141</v>
      </c>
      <c r="K376" s="36" t="s">
        <v>141</v>
      </c>
      <c r="L376" s="36" t="s">
        <v>141</v>
      </c>
      <c r="M376" s="36"/>
      <c r="N376" s="36"/>
      <c r="O376" s="117" t="s">
        <v>141</v>
      </c>
      <c r="P376" s="36"/>
      <c r="Q376" s="36"/>
      <c r="R376" s="36" t="s">
        <v>141</v>
      </c>
      <c r="S376" s="36" t="s">
        <v>141</v>
      </c>
      <c r="T376" s="36"/>
      <c r="U376" s="36"/>
      <c r="V376" s="36"/>
      <c r="W376" s="36" t="s">
        <v>141</v>
      </c>
      <c r="X376" s="36"/>
      <c r="Y376" s="36"/>
      <c r="Z376" s="36"/>
      <c r="AA376" s="117"/>
      <c r="AB376" s="36"/>
      <c r="AC376" s="117"/>
      <c r="AD376" s="36"/>
      <c r="AE376" s="36"/>
      <c r="AF376" s="117"/>
      <c r="AG376" s="36"/>
      <c r="AH376" s="36"/>
      <c r="AI376" s="117"/>
      <c r="AJ376" s="36"/>
      <c r="AK376" s="36"/>
      <c r="AL376" s="36"/>
      <c r="AM376" s="117"/>
      <c r="AN376" s="117"/>
      <c r="AO376" s="117"/>
      <c r="AP376" s="117"/>
      <c r="AQ376" s="117"/>
      <c r="AR376" s="117"/>
      <c r="AS376" s="117"/>
      <c r="AT376" s="117"/>
      <c r="AU376" s="117"/>
      <c r="AV376" s="119">
        <f t="shared" si="5"/>
        <v>9</v>
      </c>
      <c r="AW376" s="119"/>
      <c r="AX376" s="119" t="s">
        <v>2142</v>
      </c>
    </row>
    <row r="377" spans="1:50">
      <c r="A377">
        <v>350</v>
      </c>
      <c r="B377">
        <v>907</v>
      </c>
      <c r="C377">
        <v>377</v>
      </c>
      <c r="D377" s="7">
        <v>45851</v>
      </c>
      <c r="E377" s="7" t="s">
        <v>1460</v>
      </c>
      <c r="F377" s="10" t="s">
        <v>1459</v>
      </c>
      <c r="G377" s="36"/>
      <c r="H377" s="36" t="s">
        <v>141</v>
      </c>
      <c r="I377" s="36"/>
      <c r="J377" s="36" t="s">
        <v>141</v>
      </c>
      <c r="K377" s="36" t="s">
        <v>141</v>
      </c>
      <c r="L377" s="36"/>
      <c r="M377" s="36" t="s">
        <v>141</v>
      </c>
      <c r="N377" s="36"/>
      <c r="O377" s="117"/>
      <c r="P377" s="36" t="s">
        <v>141</v>
      </c>
      <c r="Q377" s="36"/>
      <c r="R377" s="36"/>
      <c r="S377" s="36"/>
      <c r="T377" s="36" t="s">
        <v>141</v>
      </c>
      <c r="U377" s="36"/>
      <c r="V377" s="36"/>
      <c r="W377" s="36" t="s">
        <v>141</v>
      </c>
      <c r="X377" s="36"/>
      <c r="Y377" s="36"/>
      <c r="Z377" s="36"/>
      <c r="AA377" s="117" t="s">
        <v>141</v>
      </c>
      <c r="AB377" s="36" t="s">
        <v>141</v>
      </c>
      <c r="AC377" s="117"/>
      <c r="AD377" s="36" t="s">
        <v>141</v>
      </c>
      <c r="AE377" s="36"/>
      <c r="AF377" s="117"/>
      <c r="AG377" s="36"/>
      <c r="AH377" s="36" t="s">
        <v>141</v>
      </c>
      <c r="AI377" s="117" t="s">
        <v>141</v>
      </c>
      <c r="AJ377" s="36"/>
      <c r="AK377" s="36"/>
      <c r="AL377" s="36"/>
      <c r="AM377" s="117"/>
      <c r="AN377" s="117"/>
      <c r="AO377" s="117"/>
      <c r="AP377" s="117"/>
      <c r="AQ377" s="117"/>
      <c r="AR377" s="117"/>
      <c r="AS377" s="117"/>
      <c r="AT377" s="117"/>
      <c r="AU377" s="117"/>
      <c r="AV377" s="119">
        <f t="shared" si="5"/>
        <v>12</v>
      </c>
      <c r="AW377" s="119"/>
      <c r="AX377" s="119" t="s">
        <v>2142</v>
      </c>
    </row>
    <row r="378" spans="1:50">
      <c r="A378" t="s">
        <v>57</v>
      </c>
      <c r="B378" t="s">
        <v>57</v>
      </c>
      <c r="C378">
        <v>378</v>
      </c>
      <c r="D378" s="7">
        <v>45852</v>
      </c>
      <c r="E378" s="7" t="s">
        <v>2129</v>
      </c>
      <c r="F378" s="10" t="s">
        <v>2130</v>
      </c>
      <c r="G378" s="36" t="s">
        <v>141</v>
      </c>
      <c r="H378" s="36" t="s">
        <v>141</v>
      </c>
      <c r="I378" s="36" t="s">
        <v>141</v>
      </c>
      <c r="J378" s="36" t="s">
        <v>141</v>
      </c>
      <c r="K378" s="36" t="s">
        <v>2131</v>
      </c>
      <c r="L378" s="36" t="s">
        <v>2131</v>
      </c>
      <c r="M378" s="36" t="s">
        <v>141</v>
      </c>
      <c r="N378" s="36" t="s">
        <v>141</v>
      </c>
      <c r="O378" s="117" t="s">
        <v>141</v>
      </c>
      <c r="P378" s="36" t="s">
        <v>141</v>
      </c>
      <c r="Q378" s="36" t="s">
        <v>2131</v>
      </c>
      <c r="R378" s="36" t="s">
        <v>141</v>
      </c>
      <c r="S378" s="36" t="s">
        <v>141</v>
      </c>
      <c r="T378" s="36" t="s">
        <v>141</v>
      </c>
      <c r="U378" s="36" t="s">
        <v>2131</v>
      </c>
      <c r="V378" s="36" t="s">
        <v>2131</v>
      </c>
      <c r="W378" s="36" t="s">
        <v>141</v>
      </c>
      <c r="X378" s="36" t="s">
        <v>141</v>
      </c>
      <c r="Y378" s="36" t="s">
        <v>141</v>
      </c>
      <c r="Z378" s="36" t="s">
        <v>141</v>
      </c>
      <c r="AA378" s="117" t="s">
        <v>141</v>
      </c>
      <c r="AB378" s="36" t="s">
        <v>141</v>
      </c>
      <c r="AC378" s="117" t="s">
        <v>2131</v>
      </c>
      <c r="AD378" s="36" t="s">
        <v>2131</v>
      </c>
      <c r="AE378" s="36" t="s">
        <v>2131</v>
      </c>
      <c r="AF378" s="117" t="s">
        <v>141</v>
      </c>
      <c r="AG378" s="36" t="s">
        <v>2131</v>
      </c>
      <c r="AH378" s="36" t="s">
        <v>141</v>
      </c>
      <c r="AI378" s="117" t="s">
        <v>141</v>
      </c>
      <c r="AJ378" s="36" t="s">
        <v>2131</v>
      </c>
      <c r="AK378" s="36" t="s">
        <v>141</v>
      </c>
      <c r="AL378" s="36" t="s">
        <v>2131</v>
      </c>
      <c r="AM378" s="117" t="s">
        <v>2131</v>
      </c>
      <c r="AN378" s="117" t="s">
        <v>2131</v>
      </c>
      <c r="AO378" s="117" t="s">
        <v>141</v>
      </c>
      <c r="AP378" s="117"/>
      <c r="AQ378" s="117"/>
      <c r="AR378" s="117" t="s">
        <v>2131</v>
      </c>
      <c r="AS378" s="117" t="s">
        <v>141</v>
      </c>
      <c r="AT378" s="117"/>
      <c r="AU378" s="117"/>
      <c r="AV378" s="119">
        <f t="shared" si="5"/>
        <v>23</v>
      </c>
      <c r="AW378" s="119"/>
      <c r="AX378" s="119" t="s">
        <v>2142</v>
      </c>
    </row>
    <row r="379" spans="1:50">
      <c r="A379">
        <v>351</v>
      </c>
      <c r="B379">
        <v>908</v>
      </c>
      <c r="C379">
        <v>379</v>
      </c>
      <c r="D379" s="7">
        <v>45853</v>
      </c>
      <c r="E379" s="7" t="s">
        <v>271</v>
      </c>
      <c r="F379" s="10" t="s">
        <v>1461</v>
      </c>
      <c r="G379" s="36" t="s">
        <v>141</v>
      </c>
      <c r="H379" s="36"/>
      <c r="I379" s="36" t="s">
        <v>141</v>
      </c>
      <c r="J379" s="36"/>
      <c r="K379" s="36" t="s">
        <v>141</v>
      </c>
      <c r="L379" s="36"/>
      <c r="M379" s="36" t="s">
        <v>141</v>
      </c>
      <c r="N379" s="36" t="s">
        <v>141</v>
      </c>
      <c r="O379" s="117" t="s">
        <v>141</v>
      </c>
      <c r="P379" s="36"/>
      <c r="Q379" s="36"/>
      <c r="R379" s="36"/>
      <c r="S379" s="36"/>
      <c r="T379" s="36" t="s">
        <v>141</v>
      </c>
      <c r="U379" s="36"/>
      <c r="V379" s="36"/>
      <c r="W379" s="36" t="s">
        <v>141</v>
      </c>
      <c r="X379" s="36"/>
      <c r="Y379" s="36" t="s">
        <v>141</v>
      </c>
      <c r="Z379" s="36"/>
      <c r="AA379" s="117"/>
      <c r="AB379" s="36" t="s">
        <v>141</v>
      </c>
      <c r="AC379" s="117"/>
      <c r="AD379" s="36"/>
      <c r="AE379" s="36"/>
      <c r="AF379" s="117" t="s">
        <v>141</v>
      </c>
      <c r="AG379" s="36"/>
      <c r="AH379" s="36"/>
      <c r="AI379" s="117" t="s">
        <v>141</v>
      </c>
      <c r="AJ379" s="36"/>
      <c r="AK379" s="36"/>
      <c r="AL379" s="36"/>
      <c r="AM379" s="117"/>
      <c r="AN379" s="117"/>
      <c r="AO379" s="117"/>
      <c r="AP379" s="117"/>
      <c r="AQ379" s="117"/>
      <c r="AR379" s="117"/>
      <c r="AS379" s="117"/>
      <c r="AT379" s="117"/>
      <c r="AU379" s="117"/>
      <c r="AV379" s="119">
        <f t="shared" si="5"/>
        <v>12</v>
      </c>
      <c r="AW379" s="119"/>
      <c r="AX379" s="119" t="s">
        <v>2142</v>
      </c>
    </row>
    <row r="380" spans="1:50">
      <c r="A380">
        <v>352</v>
      </c>
      <c r="B380">
        <v>909</v>
      </c>
      <c r="C380">
        <v>380</v>
      </c>
      <c r="D380" s="7">
        <v>45853</v>
      </c>
      <c r="E380" s="7" t="s">
        <v>1463</v>
      </c>
      <c r="F380" s="10" t="s">
        <v>1462</v>
      </c>
      <c r="G380" s="36" t="s">
        <v>141</v>
      </c>
      <c r="H380" s="36" t="s">
        <v>141</v>
      </c>
      <c r="I380" s="36"/>
      <c r="J380" s="36" t="s">
        <v>141</v>
      </c>
      <c r="K380" s="36"/>
      <c r="L380" s="36"/>
      <c r="M380" s="36" t="s">
        <v>141</v>
      </c>
      <c r="N380" s="36" t="s">
        <v>141</v>
      </c>
      <c r="O380" s="117"/>
      <c r="P380" s="36" t="s">
        <v>141</v>
      </c>
      <c r="Q380" s="36"/>
      <c r="R380" s="36"/>
      <c r="S380" s="36" t="s">
        <v>141</v>
      </c>
      <c r="T380" s="36" t="s">
        <v>141</v>
      </c>
      <c r="U380" s="36"/>
      <c r="V380" s="36"/>
      <c r="W380" s="36" t="s">
        <v>141</v>
      </c>
      <c r="X380" s="36" t="s">
        <v>141</v>
      </c>
      <c r="Y380" s="36"/>
      <c r="Z380" s="36"/>
      <c r="AA380" s="117"/>
      <c r="AB380" s="36"/>
      <c r="AC380" s="117"/>
      <c r="AD380" s="36"/>
      <c r="AE380" s="36" t="s">
        <v>141</v>
      </c>
      <c r="AF380" s="117" t="s">
        <v>141</v>
      </c>
      <c r="AG380" s="36"/>
      <c r="AH380" s="36" t="s">
        <v>141</v>
      </c>
      <c r="AI380" s="117" t="s">
        <v>141</v>
      </c>
      <c r="AJ380" s="36"/>
      <c r="AK380" s="36"/>
      <c r="AL380" s="36"/>
      <c r="AM380" s="117"/>
      <c r="AN380" s="117"/>
      <c r="AO380" s="117"/>
      <c r="AP380" s="117"/>
      <c r="AQ380" s="117"/>
      <c r="AR380" s="117"/>
      <c r="AS380" s="117"/>
      <c r="AT380" s="117"/>
      <c r="AU380" s="117"/>
      <c r="AV380" s="119">
        <f t="shared" si="5"/>
        <v>14</v>
      </c>
      <c r="AW380" s="119"/>
      <c r="AX380" s="119" t="s">
        <v>2142</v>
      </c>
    </row>
    <row r="381" spans="1:50">
      <c r="A381">
        <v>353</v>
      </c>
      <c r="B381">
        <v>910</v>
      </c>
      <c r="C381">
        <v>381</v>
      </c>
      <c r="D381" s="7">
        <v>45854</v>
      </c>
      <c r="E381" s="7" t="s">
        <v>1465</v>
      </c>
      <c r="F381" s="10" t="s">
        <v>1464</v>
      </c>
      <c r="G381" s="36" t="s">
        <v>141</v>
      </c>
      <c r="H381" s="36"/>
      <c r="I381" s="36"/>
      <c r="J381" s="36"/>
      <c r="K381" s="36"/>
      <c r="L381" s="36"/>
      <c r="M381" s="36"/>
      <c r="N381" s="36" t="s">
        <v>141</v>
      </c>
      <c r="O381" s="117"/>
      <c r="P381" s="36" t="s">
        <v>141</v>
      </c>
      <c r="Q381" s="36"/>
      <c r="R381" s="36"/>
      <c r="S381" s="36" t="s">
        <v>141</v>
      </c>
      <c r="T381" s="36" t="s">
        <v>141</v>
      </c>
      <c r="U381" s="36"/>
      <c r="V381" s="36"/>
      <c r="W381" s="36" t="s">
        <v>141</v>
      </c>
      <c r="X381" s="36"/>
      <c r="Y381" s="36" t="s">
        <v>141</v>
      </c>
      <c r="Z381" s="36"/>
      <c r="AA381" s="117"/>
      <c r="AB381" s="36"/>
      <c r="AC381" s="117"/>
      <c r="AD381" s="36"/>
      <c r="AE381" s="36" t="s">
        <v>141</v>
      </c>
      <c r="AF381" s="117"/>
      <c r="AG381" s="36"/>
      <c r="AH381" s="36"/>
      <c r="AI381" s="117"/>
      <c r="AJ381" s="36"/>
      <c r="AK381" s="36"/>
      <c r="AL381" s="36"/>
      <c r="AM381" s="117"/>
      <c r="AN381" s="117"/>
      <c r="AO381" s="117"/>
      <c r="AP381" s="117"/>
      <c r="AQ381" s="117"/>
      <c r="AR381" s="117"/>
      <c r="AS381" s="117"/>
      <c r="AT381" s="117"/>
      <c r="AU381" s="117"/>
      <c r="AV381" s="119">
        <f t="shared" si="5"/>
        <v>8</v>
      </c>
      <c r="AW381" s="119"/>
      <c r="AX381" s="119" t="s">
        <v>2142</v>
      </c>
    </row>
    <row r="382" spans="1:50">
      <c r="A382">
        <v>354</v>
      </c>
      <c r="B382">
        <v>911</v>
      </c>
      <c r="C382">
        <v>382</v>
      </c>
      <c r="D382" s="7">
        <v>45854</v>
      </c>
      <c r="E382" s="7" t="s">
        <v>1467</v>
      </c>
      <c r="F382" s="10" t="s">
        <v>1466</v>
      </c>
      <c r="G382" s="36" t="s">
        <v>141</v>
      </c>
      <c r="H382" s="36"/>
      <c r="I382" s="36"/>
      <c r="J382" s="36"/>
      <c r="K382" s="36"/>
      <c r="L382" s="36"/>
      <c r="M382" s="36"/>
      <c r="N382" s="36"/>
      <c r="O382" s="117"/>
      <c r="P382" s="36" t="s">
        <v>141</v>
      </c>
      <c r="Q382" s="36"/>
      <c r="R382" s="36"/>
      <c r="S382" s="36" t="s">
        <v>141</v>
      </c>
      <c r="T382" s="36" t="s">
        <v>141</v>
      </c>
      <c r="U382" s="36"/>
      <c r="V382" s="36"/>
      <c r="W382" s="36" t="s">
        <v>141</v>
      </c>
      <c r="X382" s="36"/>
      <c r="Y382" s="36"/>
      <c r="Z382" s="36"/>
      <c r="AA382" s="117" t="s">
        <v>141</v>
      </c>
      <c r="AB382" s="36"/>
      <c r="AC382" s="117"/>
      <c r="AD382" s="36"/>
      <c r="AE382" s="36" t="s">
        <v>141</v>
      </c>
      <c r="AF382" s="117"/>
      <c r="AG382" s="36"/>
      <c r="AH382" s="36"/>
      <c r="AI382" s="117" t="s">
        <v>141</v>
      </c>
      <c r="AJ382" s="36" t="s">
        <v>141</v>
      </c>
      <c r="AK382" s="36"/>
      <c r="AL382" s="36"/>
      <c r="AM382" s="117"/>
      <c r="AN382" s="117"/>
      <c r="AO382" s="117"/>
      <c r="AP382" s="117"/>
      <c r="AQ382" s="117"/>
      <c r="AR382" s="117"/>
      <c r="AS382" s="117"/>
      <c r="AT382" s="117"/>
      <c r="AU382" s="117"/>
      <c r="AV382" s="119">
        <f t="shared" si="5"/>
        <v>9</v>
      </c>
      <c r="AW382" s="119"/>
      <c r="AX382" s="119" t="s">
        <v>2142</v>
      </c>
    </row>
    <row r="383" spans="1:50">
      <c r="A383">
        <v>355</v>
      </c>
      <c r="B383">
        <v>912</v>
      </c>
      <c r="C383">
        <v>383</v>
      </c>
      <c r="D383" s="7">
        <v>45855</v>
      </c>
      <c r="E383" s="7" t="s">
        <v>1470</v>
      </c>
      <c r="F383" s="10" t="s">
        <v>1468</v>
      </c>
      <c r="G383" s="36"/>
      <c r="H383" s="36" t="s">
        <v>141</v>
      </c>
      <c r="I383" s="36"/>
      <c r="J383" s="36" t="s">
        <v>141</v>
      </c>
      <c r="K383" s="36"/>
      <c r="L383" s="36" t="s">
        <v>141</v>
      </c>
      <c r="M383" s="36"/>
      <c r="N383" s="36"/>
      <c r="O383" s="117" t="s">
        <v>141</v>
      </c>
      <c r="P383" s="36" t="s">
        <v>141</v>
      </c>
      <c r="Q383" s="36"/>
      <c r="R383" s="36"/>
      <c r="S383" s="36"/>
      <c r="T383" s="36" t="s">
        <v>141</v>
      </c>
      <c r="U383" s="36"/>
      <c r="V383" s="36"/>
      <c r="W383" s="36"/>
      <c r="X383" s="36"/>
      <c r="Y383" s="36"/>
      <c r="Z383" s="36"/>
      <c r="AA383" s="117" t="s">
        <v>141</v>
      </c>
      <c r="AB383" s="36"/>
      <c r="AC383" s="117" t="s">
        <v>141</v>
      </c>
      <c r="AD383" s="36"/>
      <c r="AE383" s="36" t="s">
        <v>141</v>
      </c>
      <c r="AF383" s="117"/>
      <c r="AG383" s="36"/>
      <c r="AH383" s="36"/>
      <c r="AI383" s="117"/>
      <c r="AJ383" s="36"/>
      <c r="AK383" s="36"/>
      <c r="AL383" s="36"/>
      <c r="AM383" s="117" t="s">
        <v>141</v>
      </c>
      <c r="AN383" s="117" t="s">
        <v>141</v>
      </c>
      <c r="AO383" s="117"/>
      <c r="AP383" s="117"/>
      <c r="AQ383" s="117"/>
      <c r="AR383" s="117"/>
      <c r="AS383" s="117"/>
      <c r="AT383" s="117"/>
      <c r="AU383" s="117"/>
      <c r="AV383" s="119">
        <f t="shared" si="5"/>
        <v>11</v>
      </c>
      <c r="AW383" s="119"/>
      <c r="AX383" s="119" t="s">
        <v>2142</v>
      </c>
    </row>
    <row r="384" spans="1:50">
      <c r="A384">
        <v>356</v>
      </c>
      <c r="B384">
        <v>913</v>
      </c>
      <c r="C384">
        <v>384</v>
      </c>
      <c r="D384" s="7">
        <v>45855</v>
      </c>
      <c r="E384" s="7" t="s">
        <v>1472</v>
      </c>
      <c r="F384" s="10" t="s">
        <v>1471</v>
      </c>
      <c r="G384" s="36"/>
      <c r="H384" s="36"/>
      <c r="I384" s="36"/>
      <c r="J384" s="36" t="s">
        <v>141</v>
      </c>
      <c r="K384" s="36"/>
      <c r="L384" s="36"/>
      <c r="M384" s="36"/>
      <c r="N384" s="36"/>
      <c r="O384" s="117"/>
      <c r="P384" s="36" t="s">
        <v>141</v>
      </c>
      <c r="Q384" s="36"/>
      <c r="R384" s="36"/>
      <c r="S384" s="36" t="s">
        <v>141</v>
      </c>
      <c r="T384" s="36" t="s">
        <v>141</v>
      </c>
      <c r="U384" s="36"/>
      <c r="V384" s="36"/>
      <c r="W384" s="36"/>
      <c r="X384" s="36"/>
      <c r="Y384" s="36"/>
      <c r="Z384" s="36"/>
      <c r="AA384" s="117" t="s">
        <v>141</v>
      </c>
      <c r="AB384" s="36"/>
      <c r="AC384" s="117"/>
      <c r="AD384" s="36" t="s">
        <v>141</v>
      </c>
      <c r="AE384" s="36" t="s">
        <v>141</v>
      </c>
      <c r="AF384" s="117"/>
      <c r="AG384" s="36"/>
      <c r="AH384" s="36" t="s">
        <v>141</v>
      </c>
      <c r="AI384" s="117"/>
      <c r="AJ384" s="36"/>
      <c r="AK384" s="36"/>
      <c r="AL384" s="36"/>
      <c r="AM384" s="117" t="s">
        <v>141</v>
      </c>
      <c r="AN384" s="117" t="s">
        <v>141</v>
      </c>
      <c r="AO384" s="117"/>
      <c r="AP384" s="117"/>
      <c r="AQ384" s="117"/>
      <c r="AR384" s="117"/>
      <c r="AS384" s="117"/>
      <c r="AT384" s="117"/>
      <c r="AU384" s="117"/>
      <c r="AV384" s="119">
        <f t="shared" si="5"/>
        <v>10</v>
      </c>
      <c r="AW384" s="119"/>
      <c r="AX384" s="119" t="s">
        <v>2142</v>
      </c>
    </row>
    <row r="385" spans="1:50">
      <c r="A385">
        <v>357</v>
      </c>
      <c r="B385">
        <v>914</v>
      </c>
      <c r="C385">
        <v>385</v>
      </c>
      <c r="D385" s="7">
        <v>45855</v>
      </c>
      <c r="E385" s="7" t="s">
        <v>1474</v>
      </c>
      <c r="F385" s="10" t="s">
        <v>1473</v>
      </c>
      <c r="G385" s="36"/>
      <c r="H385" s="36" t="s">
        <v>141</v>
      </c>
      <c r="I385" s="36"/>
      <c r="J385" s="36" t="s">
        <v>141</v>
      </c>
      <c r="K385" s="36"/>
      <c r="L385" s="36"/>
      <c r="M385" s="36"/>
      <c r="N385" s="36"/>
      <c r="O385" s="117"/>
      <c r="P385" s="36" t="s">
        <v>141</v>
      </c>
      <c r="Q385" s="36"/>
      <c r="R385" s="36"/>
      <c r="S385" s="36" t="s">
        <v>141</v>
      </c>
      <c r="T385" s="36" t="s">
        <v>141</v>
      </c>
      <c r="U385" s="36"/>
      <c r="V385" s="36"/>
      <c r="W385" s="36"/>
      <c r="X385" s="36"/>
      <c r="Y385" s="36"/>
      <c r="Z385" s="36"/>
      <c r="AA385" s="117" t="s">
        <v>141</v>
      </c>
      <c r="AB385" s="36" t="s">
        <v>141</v>
      </c>
      <c r="AC385" s="117"/>
      <c r="AD385" s="36" t="s">
        <v>141</v>
      </c>
      <c r="AE385" s="36" t="s">
        <v>141</v>
      </c>
      <c r="AF385" s="117"/>
      <c r="AG385" s="36"/>
      <c r="AH385" s="36" t="s">
        <v>141</v>
      </c>
      <c r="AI385" s="117" t="s">
        <v>141</v>
      </c>
      <c r="AJ385" s="36"/>
      <c r="AK385" s="36"/>
      <c r="AL385" s="36"/>
      <c r="AM385" s="117" t="s">
        <v>141</v>
      </c>
      <c r="AN385" s="117" t="s">
        <v>141</v>
      </c>
      <c r="AO385" s="117"/>
      <c r="AP385" s="117"/>
      <c r="AQ385" s="117"/>
      <c r="AR385" s="117"/>
      <c r="AS385" s="117"/>
      <c r="AT385" s="117"/>
      <c r="AU385" s="117"/>
      <c r="AV385" s="119">
        <f t="shared" si="5"/>
        <v>13</v>
      </c>
      <c r="AW385" s="119"/>
      <c r="AX385" s="119" t="s">
        <v>2142</v>
      </c>
    </row>
    <row r="386" spans="1:50">
      <c r="A386">
        <v>358</v>
      </c>
      <c r="B386">
        <v>915</v>
      </c>
      <c r="C386">
        <v>386</v>
      </c>
      <c r="D386" s="7">
        <v>45856</v>
      </c>
      <c r="E386" s="7" t="s">
        <v>1476</v>
      </c>
      <c r="F386" s="10" t="s">
        <v>1475</v>
      </c>
      <c r="G386" s="36" t="s">
        <v>141</v>
      </c>
      <c r="H386" s="36"/>
      <c r="I386" s="36"/>
      <c r="J386" s="36" t="s">
        <v>141</v>
      </c>
      <c r="K386" s="36"/>
      <c r="L386" s="36" t="s">
        <v>141</v>
      </c>
      <c r="M386" s="36"/>
      <c r="N386" s="36"/>
      <c r="O386" s="117"/>
      <c r="P386" s="36" t="s">
        <v>141</v>
      </c>
      <c r="Q386" s="36"/>
      <c r="R386" s="36" t="s">
        <v>141</v>
      </c>
      <c r="S386" s="36"/>
      <c r="T386" s="36"/>
      <c r="U386" s="36"/>
      <c r="V386" s="36"/>
      <c r="W386" s="36" t="s">
        <v>141</v>
      </c>
      <c r="X386" s="36"/>
      <c r="Y386" s="36"/>
      <c r="Z386" s="36"/>
      <c r="AA386" s="117"/>
      <c r="AB386" s="36"/>
      <c r="AC386" s="117"/>
      <c r="AD386" s="36" t="s">
        <v>141</v>
      </c>
      <c r="AE386" s="36" t="s">
        <v>141</v>
      </c>
      <c r="AF386" s="117"/>
      <c r="AG386" s="36"/>
      <c r="AH386" s="36" t="s">
        <v>141</v>
      </c>
      <c r="AI386" s="117"/>
      <c r="AJ386" s="36" t="s">
        <v>141</v>
      </c>
      <c r="AK386" s="36"/>
      <c r="AL386" s="36" t="s">
        <v>141</v>
      </c>
      <c r="AM386" s="117"/>
      <c r="AN386" s="117"/>
      <c r="AO386" s="117"/>
      <c r="AP386" s="117"/>
      <c r="AQ386" s="117"/>
      <c r="AR386" s="117"/>
      <c r="AS386" s="117"/>
      <c r="AT386" s="117"/>
      <c r="AU386" s="117"/>
      <c r="AV386" s="119">
        <f t="shared" ref="AV386:AV449" si="6">COUNTIF($F386:$AS386, "I")</f>
        <v>11</v>
      </c>
      <c r="AW386" s="119"/>
      <c r="AX386" s="119" t="s">
        <v>2142</v>
      </c>
    </row>
    <row r="387" spans="1:50">
      <c r="A387">
        <v>359</v>
      </c>
      <c r="B387">
        <v>916</v>
      </c>
      <c r="C387">
        <v>387</v>
      </c>
      <c r="D387" s="7">
        <v>45856</v>
      </c>
      <c r="E387" s="7" t="s">
        <v>1478</v>
      </c>
      <c r="F387" s="10" t="s">
        <v>1477</v>
      </c>
      <c r="G387" s="36"/>
      <c r="H387" s="36" t="s">
        <v>141</v>
      </c>
      <c r="I387" s="36" t="s">
        <v>141</v>
      </c>
      <c r="J387" s="36" t="s">
        <v>141</v>
      </c>
      <c r="K387" s="36"/>
      <c r="L387" s="36" t="s">
        <v>141</v>
      </c>
      <c r="M387" s="36"/>
      <c r="N387" s="36"/>
      <c r="O387" s="117" t="s">
        <v>141</v>
      </c>
      <c r="P387" s="36"/>
      <c r="Q387" s="36"/>
      <c r="R387" s="36" t="s">
        <v>141</v>
      </c>
      <c r="S387" s="36"/>
      <c r="T387" s="36"/>
      <c r="U387" s="36"/>
      <c r="V387" s="36"/>
      <c r="W387" s="36" t="s">
        <v>141</v>
      </c>
      <c r="X387" s="36"/>
      <c r="Y387" s="36"/>
      <c r="Z387" s="36"/>
      <c r="AA387" s="117"/>
      <c r="AB387" s="36"/>
      <c r="AC387" s="117"/>
      <c r="AD387" s="36"/>
      <c r="AE387" s="36"/>
      <c r="AF387" s="117" t="s">
        <v>141</v>
      </c>
      <c r="AG387" s="36"/>
      <c r="AH387" s="36"/>
      <c r="AI387" s="117"/>
      <c r="AJ387" s="36" t="s">
        <v>141</v>
      </c>
      <c r="AK387" s="36"/>
      <c r="AL387" s="36"/>
      <c r="AM387" s="117" t="s">
        <v>141</v>
      </c>
      <c r="AN387" s="117" t="s">
        <v>141</v>
      </c>
      <c r="AO387" s="117"/>
      <c r="AP387" s="117"/>
      <c r="AQ387" s="117"/>
      <c r="AR387" s="117"/>
      <c r="AS387" s="117"/>
      <c r="AT387" s="117"/>
      <c r="AU387" s="117"/>
      <c r="AV387" s="119">
        <f t="shared" si="6"/>
        <v>11</v>
      </c>
      <c r="AW387" s="119"/>
      <c r="AX387" s="119" t="s">
        <v>2142</v>
      </c>
    </row>
    <row r="388" spans="1:50">
      <c r="A388">
        <v>360</v>
      </c>
      <c r="B388">
        <v>917</v>
      </c>
      <c r="C388">
        <v>388</v>
      </c>
      <c r="D388" s="7">
        <v>45858</v>
      </c>
      <c r="E388" s="7" t="s">
        <v>1480</v>
      </c>
      <c r="F388" s="10" t="s">
        <v>1479</v>
      </c>
      <c r="G388" s="36" t="s">
        <v>141</v>
      </c>
      <c r="H388" s="36" t="s">
        <v>141</v>
      </c>
      <c r="I388" s="36"/>
      <c r="J388" s="36"/>
      <c r="K388" s="36" t="s">
        <v>141</v>
      </c>
      <c r="L388" s="36" t="s">
        <v>141</v>
      </c>
      <c r="M388" s="36"/>
      <c r="N388" s="36"/>
      <c r="O388" s="117" t="s">
        <v>141</v>
      </c>
      <c r="P388" s="36" t="s">
        <v>141</v>
      </c>
      <c r="Q388" s="36"/>
      <c r="R388" s="36" t="s">
        <v>141</v>
      </c>
      <c r="S388" s="36"/>
      <c r="T388" s="36"/>
      <c r="U388" s="36"/>
      <c r="V388" s="36"/>
      <c r="W388" s="36" t="s">
        <v>141</v>
      </c>
      <c r="X388" s="36"/>
      <c r="Y388" s="36" t="s">
        <v>141</v>
      </c>
      <c r="Z388" s="36"/>
      <c r="AA388" s="117"/>
      <c r="AB388" s="36"/>
      <c r="AC388" s="117" t="s">
        <v>141</v>
      </c>
      <c r="AD388" s="36"/>
      <c r="AE388" s="36"/>
      <c r="AF388" s="117"/>
      <c r="AG388" s="36"/>
      <c r="AH388" s="36"/>
      <c r="AI388" s="117"/>
      <c r="AJ388" s="36" t="s">
        <v>141</v>
      </c>
      <c r="AK388" s="36" t="s">
        <v>141</v>
      </c>
      <c r="AL388" s="36"/>
      <c r="AM388" s="117" t="s">
        <v>141</v>
      </c>
      <c r="AN388" s="117" t="s">
        <v>141</v>
      </c>
      <c r="AO388" s="117"/>
      <c r="AP388" s="117"/>
      <c r="AQ388" s="117"/>
      <c r="AR388" s="117"/>
      <c r="AS388" s="117"/>
      <c r="AT388" s="117"/>
      <c r="AU388" s="117"/>
      <c r="AV388" s="119">
        <f t="shared" si="6"/>
        <v>14</v>
      </c>
      <c r="AW388" s="119"/>
      <c r="AX388" s="119" t="s">
        <v>2142</v>
      </c>
    </row>
    <row r="389" spans="1:50">
      <c r="A389">
        <v>361</v>
      </c>
      <c r="B389">
        <v>918</v>
      </c>
      <c r="C389">
        <v>389</v>
      </c>
      <c r="D389" s="7">
        <v>45858</v>
      </c>
      <c r="E389" s="7" t="s">
        <v>1482</v>
      </c>
      <c r="F389" s="10" t="s">
        <v>1481</v>
      </c>
      <c r="G389" s="36"/>
      <c r="H389" s="36" t="s">
        <v>141</v>
      </c>
      <c r="I389" s="36" t="s">
        <v>141</v>
      </c>
      <c r="J389" s="36" t="s">
        <v>141</v>
      </c>
      <c r="K389" s="36"/>
      <c r="L389" s="36" t="s">
        <v>141</v>
      </c>
      <c r="M389" s="36"/>
      <c r="N389" s="36"/>
      <c r="O389" s="117" t="s">
        <v>141</v>
      </c>
      <c r="P389" s="36" t="s">
        <v>141</v>
      </c>
      <c r="Q389" s="36"/>
      <c r="R389" s="36" t="s">
        <v>141</v>
      </c>
      <c r="S389" s="36"/>
      <c r="T389" s="36" t="s">
        <v>141</v>
      </c>
      <c r="U389" s="36"/>
      <c r="V389" s="36"/>
      <c r="W389" s="36" t="s">
        <v>141</v>
      </c>
      <c r="X389" s="36"/>
      <c r="Y389" s="36"/>
      <c r="Z389" s="36"/>
      <c r="AA389" s="117"/>
      <c r="AB389" s="36"/>
      <c r="AC389" s="117"/>
      <c r="AD389" s="36"/>
      <c r="AE389" s="36"/>
      <c r="AF389" s="117"/>
      <c r="AG389" s="36"/>
      <c r="AH389" s="36"/>
      <c r="AI389" s="117"/>
      <c r="AJ389" s="36" t="s">
        <v>141</v>
      </c>
      <c r="AK389" s="36"/>
      <c r="AL389" s="36"/>
      <c r="AM389" s="117" t="s">
        <v>141</v>
      </c>
      <c r="AN389" s="117" t="s">
        <v>141</v>
      </c>
      <c r="AO389" s="117"/>
      <c r="AP389" s="117"/>
      <c r="AQ389" s="117"/>
      <c r="AR389" s="117"/>
      <c r="AS389" s="117"/>
      <c r="AT389" s="117"/>
      <c r="AU389" s="117"/>
      <c r="AV389" s="119">
        <f t="shared" si="6"/>
        <v>12</v>
      </c>
      <c r="AW389" s="119"/>
      <c r="AX389" s="119" t="s">
        <v>2142</v>
      </c>
    </row>
    <row r="390" spans="1:50">
      <c r="A390">
        <v>362</v>
      </c>
      <c r="B390">
        <v>919</v>
      </c>
      <c r="C390">
        <v>390</v>
      </c>
      <c r="D390" s="7">
        <v>45858</v>
      </c>
      <c r="E390" s="7" t="s">
        <v>1484</v>
      </c>
      <c r="F390" s="10" t="s">
        <v>1483</v>
      </c>
      <c r="G390" s="36"/>
      <c r="H390" s="36" t="s">
        <v>141</v>
      </c>
      <c r="I390" s="36"/>
      <c r="J390" s="36"/>
      <c r="K390" s="36"/>
      <c r="L390" s="36" t="s">
        <v>141</v>
      </c>
      <c r="M390" s="36"/>
      <c r="N390" s="36"/>
      <c r="O390" s="117"/>
      <c r="P390" s="36" t="s">
        <v>141</v>
      </c>
      <c r="Q390" s="36"/>
      <c r="R390" s="36"/>
      <c r="S390" s="36"/>
      <c r="T390" s="36" t="s">
        <v>141</v>
      </c>
      <c r="U390" s="36"/>
      <c r="V390" s="36"/>
      <c r="W390" s="36"/>
      <c r="X390" s="36"/>
      <c r="Y390" s="36"/>
      <c r="Z390" s="36"/>
      <c r="AA390" s="117"/>
      <c r="AB390" s="36" t="s">
        <v>141</v>
      </c>
      <c r="AC390" s="117"/>
      <c r="AD390" s="36" t="s">
        <v>141</v>
      </c>
      <c r="AE390" s="36"/>
      <c r="AF390" s="117"/>
      <c r="AG390" s="36"/>
      <c r="AH390" s="36"/>
      <c r="AI390" s="117"/>
      <c r="AJ390" s="36"/>
      <c r="AK390" s="36"/>
      <c r="AL390" s="36"/>
      <c r="AM390" s="117"/>
      <c r="AN390" s="117"/>
      <c r="AO390" s="117"/>
      <c r="AP390" s="117"/>
      <c r="AQ390" s="117"/>
      <c r="AR390" s="117"/>
      <c r="AS390" s="117"/>
      <c r="AT390" s="117"/>
      <c r="AU390" s="117"/>
      <c r="AV390" s="119">
        <f t="shared" si="6"/>
        <v>6</v>
      </c>
      <c r="AW390" s="119"/>
      <c r="AX390" s="119" t="s">
        <v>2142</v>
      </c>
    </row>
    <row r="391" spans="1:50">
      <c r="A391">
        <v>363</v>
      </c>
      <c r="B391">
        <v>920</v>
      </c>
      <c r="C391">
        <v>391</v>
      </c>
      <c r="D391" s="7">
        <v>45859</v>
      </c>
      <c r="E391" s="7" t="s">
        <v>1486</v>
      </c>
      <c r="F391" s="10" t="s">
        <v>1485</v>
      </c>
      <c r="G391" s="36" t="s">
        <v>141</v>
      </c>
      <c r="H391" s="36" t="s">
        <v>141</v>
      </c>
      <c r="I391" s="36"/>
      <c r="J391" s="36"/>
      <c r="K391" s="36"/>
      <c r="L391" s="36" t="s">
        <v>141</v>
      </c>
      <c r="M391" s="36"/>
      <c r="N391" s="36"/>
      <c r="O391" s="117"/>
      <c r="P391" s="36" t="s">
        <v>141</v>
      </c>
      <c r="Q391" s="36"/>
      <c r="R391" s="36"/>
      <c r="S391" s="36"/>
      <c r="T391" s="36" t="s">
        <v>141</v>
      </c>
      <c r="U391" s="36"/>
      <c r="V391" s="36"/>
      <c r="W391" s="36"/>
      <c r="X391" s="36" t="s">
        <v>141</v>
      </c>
      <c r="Y391" s="36"/>
      <c r="Z391" s="36"/>
      <c r="AA391" s="117"/>
      <c r="AB391" s="36"/>
      <c r="AC391" s="117" t="s">
        <v>141</v>
      </c>
      <c r="AD391" s="36"/>
      <c r="AE391" s="36"/>
      <c r="AF391" s="117"/>
      <c r="AG391" s="36"/>
      <c r="AH391" s="36" t="s">
        <v>141</v>
      </c>
      <c r="AI391" s="117" t="s">
        <v>141</v>
      </c>
      <c r="AJ391" s="36"/>
      <c r="AK391" s="36"/>
      <c r="AL391" s="36"/>
      <c r="AM391" s="117" t="s">
        <v>141</v>
      </c>
      <c r="AN391" s="117" t="s">
        <v>141</v>
      </c>
      <c r="AO391" s="117"/>
      <c r="AP391" s="117"/>
      <c r="AQ391" s="117"/>
      <c r="AR391" s="117"/>
      <c r="AS391" s="117"/>
      <c r="AT391" s="117"/>
      <c r="AU391" s="117"/>
      <c r="AV391" s="119">
        <f t="shared" si="6"/>
        <v>11</v>
      </c>
      <c r="AW391" s="119"/>
      <c r="AX391" s="119" t="s">
        <v>2142</v>
      </c>
    </row>
    <row r="392" spans="1:50">
      <c r="A392" t="s">
        <v>57</v>
      </c>
      <c r="B392" t="s">
        <v>57</v>
      </c>
      <c r="C392">
        <v>392</v>
      </c>
      <c r="D392" s="7">
        <v>45859</v>
      </c>
      <c r="E392" s="7" t="s">
        <v>2129</v>
      </c>
      <c r="F392" s="10" t="s">
        <v>2130</v>
      </c>
      <c r="G392" s="36" t="s">
        <v>141</v>
      </c>
      <c r="H392" s="36" t="s">
        <v>141</v>
      </c>
      <c r="I392" s="36" t="s">
        <v>141</v>
      </c>
      <c r="J392" s="36" t="s">
        <v>141</v>
      </c>
      <c r="K392" s="36" t="s">
        <v>141</v>
      </c>
      <c r="L392" s="36" t="s">
        <v>141</v>
      </c>
      <c r="M392" s="36" t="s">
        <v>2131</v>
      </c>
      <c r="N392" s="36" t="s">
        <v>2131</v>
      </c>
      <c r="O392" s="117" t="s">
        <v>141</v>
      </c>
      <c r="P392" s="36" t="s">
        <v>141</v>
      </c>
      <c r="Q392" s="36" t="s">
        <v>2131</v>
      </c>
      <c r="R392" s="36" t="s">
        <v>2131</v>
      </c>
      <c r="S392" s="36" t="s">
        <v>2131</v>
      </c>
      <c r="T392" s="36" t="s">
        <v>141</v>
      </c>
      <c r="U392" s="36" t="s">
        <v>2131</v>
      </c>
      <c r="V392" s="36" t="s">
        <v>2131</v>
      </c>
      <c r="W392" s="36" t="s">
        <v>2131</v>
      </c>
      <c r="X392" s="36" t="s">
        <v>141</v>
      </c>
      <c r="Y392" s="36" t="s">
        <v>141</v>
      </c>
      <c r="Z392" s="36" t="s">
        <v>141</v>
      </c>
      <c r="AA392" s="117" t="s">
        <v>2131</v>
      </c>
      <c r="AB392" s="36" t="s">
        <v>141</v>
      </c>
      <c r="AC392" s="117" t="s">
        <v>141</v>
      </c>
      <c r="AD392" s="36" t="s">
        <v>2131</v>
      </c>
      <c r="AE392" s="36" t="s">
        <v>2131</v>
      </c>
      <c r="AF392" s="117" t="s">
        <v>2131</v>
      </c>
      <c r="AG392" s="36" t="s">
        <v>2131</v>
      </c>
      <c r="AH392" s="36" t="s">
        <v>141</v>
      </c>
      <c r="AI392" s="117" t="s">
        <v>141</v>
      </c>
      <c r="AJ392" s="36" t="s">
        <v>141</v>
      </c>
      <c r="AK392" s="36" t="s">
        <v>2131</v>
      </c>
      <c r="AL392" s="36" t="s">
        <v>141</v>
      </c>
      <c r="AM392" s="117" t="s">
        <v>141</v>
      </c>
      <c r="AN392" s="117" t="s">
        <v>141</v>
      </c>
      <c r="AO392" s="117" t="s">
        <v>141</v>
      </c>
      <c r="AP392" s="117"/>
      <c r="AQ392" s="117"/>
      <c r="AR392" s="117" t="s">
        <v>2131</v>
      </c>
      <c r="AS392" s="117" t="s">
        <v>2131</v>
      </c>
      <c r="AT392" s="117"/>
      <c r="AU392" s="117"/>
      <c r="AV392" s="119">
        <f t="shared" si="6"/>
        <v>21</v>
      </c>
      <c r="AW392" s="119"/>
      <c r="AX392" s="119" t="s">
        <v>2142</v>
      </c>
    </row>
    <row r="393" spans="1:50">
      <c r="A393">
        <v>364</v>
      </c>
      <c r="B393">
        <v>921</v>
      </c>
      <c r="C393">
        <v>393</v>
      </c>
      <c r="D393" s="7">
        <v>45859</v>
      </c>
      <c r="E393" s="7" t="s">
        <v>1488</v>
      </c>
      <c r="F393" s="10" t="s">
        <v>1487</v>
      </c>
      <c r="G393" s="36" t="s">
        <v>141</v>
      </c>
      <c r="H393" s="36" t="s">
        <v>141</v>
      </c>
      <c r="I393" s="36" t="s">
        <v>141</v>
      </c>
      <c r="J393" s="36" t="s">
        <v>141</v>
      </c>
      <c r="K393" s="36" t="s">
        <v>141</v>
      </c>
      <c r="L393" s="36" t="s">
        <v>141</v>
      </c>
      <c r="M393" s="36"/>
      <c r="N393" s="36"/>
      <c r="O393" s="117" t="s">
        <v>141</v>
      </c>
      <c r="P393" s="36" t="s">
        <v>141</v>
      </c>
      <c r="Q393" s="36"/>
      <c r="R393" s="36"/>
      <c r="S393" s="36"/>
      <c r="T393" s="36" t="s">
        <v>141</v>
      </c>
      <c r="U393" s="36"/>
      <c r="V393" s="36"/>
      <c r="W393" s="36"/>
      <c r="X393" s="36" t="s">
        <v>141</v>
      </c>
      <c r="Y393" s="36" t="s">
        <v>141</v>
      </c>
      <c r="Z393" s="36" t="s">
        <v>141</v>
      </c>
      <c r="AA393" s="117"/>
      <c r="AB393" s="36" t="s">
        <v>141</v>
      </c>
      <c r="AC393" s="117" t="s">
        <v>141</v>
      </c>
      <c r="AD393" s="36"/>
      <c r="AE393" s="36"/>
      <c r="AF393" s="117" t="s">
        <v>141</v>
      </c>
      <c r="AG393" s="36"/>
      <c r="AH393" s="36" t="s">
        <v>141</v>
      </c>
      <c r="AI393" s="117" t="s">
        <v>141</v>
      </c>
      <c r="AJ393" s="36" t="s">
        <v>141</v>
      </c>
      <c r="AK393" s="36"/>
      <c r="AL393" s="36" t="s">
        <v>141</v>
      </c>
      <c r="AM393" s="117" t="s">
        <v>141</v>
      </c>
      <c r="AN393" s="117" t="s">
        <v>141</v>
      </c>
      <c r="AO393" s="117" t="s">
        <v>141</v>
      </c>
      <c r="AP393" s="117"/>
      <c r="AQ393" s="117"/>
      <c r="AR393" s="117"/>
      <c r="AS393" s="117"/>
      <c r="AT393" s="117"/>
      <c r="AU393" s="117"/>
      <c r="AV393" s="119">
        <f t="shared" si="6"/>
        <v>22</v>
      </c>
      <c r="AW393" s="119"/>
      <c r="AX393" s="119" t="s">
        <v>2142</v>
      </c>
    </row>
    <row r="394" spans="1:50">
      <c r="A394">
        <v>365</v>
      </c>
      <c r="B394">
        <v>922</v>
      </c>
      <c r="C394">
        <v>394</v>
      </c>
      <c r="D394" s="7">
        <v>45860</v>
      </c>
      <c r="E394" s="7" t="s">
        <v>1490</v>
      </c>
      <c r="F394" s="10" t="s">
        <v>1489</v>
      </c>
      <c r="G394" s="36"/>
      <c r="H394" s="36" t="s">
        <v>141</v>
      </c>
      <c r="I394" s="36"/>
      <c r="J394" s="36" t="s">
        <v>141</v>
      </c>
      <c r="K394" s="36"/>
      <c r="L394" s="36"/>
      <c r="M394" s="36"/>
      <c r="N394" s="36"/>
      <c r="O394" s="117"/>
      <c r="P394" s="36"/>
      <c r="Q394" s="36"/>
      <c r="R394" s="36"/>
      <c r="S394" s="36"/>
      <c r="T394" s="36" t="s">
        <v>141</v>
      </c>
      <c r="U394" s="36"/>
      <c r="V394" s="36"/>
      <c r="W394" s="36"/>
      <c r="X394" s="36"/>
      <c r="Y394" s="36" t="s">
        <v>141</v>
      </c>
      <c r="Z394" s="36"/>
      <c r="AA394" s="117" t="s">
        <v>141</v>
      </c>
      <c r="AB394" s="36" t="s">
        <v>141</v>
      </c>
      <c r="AC394" s="117"/>
      <c r="AD394" s="36" t="s">
        <v>141</v>
      </c>
      <c r="AE394" s="36"/>
      <c r="AF394" s="117"/>
      <c r="AG394" s="36"/>
      <c r="AH394" s="36"/>
      <c r="AI394" s="117" t="s">
        <v>141</v>
      </c>
      <c r="AJ394" s="36"/>
      <c r="AK394" s="36"/>
      <c r="AL394" s="36"/>
      <c r="AM394" s="117"/>
      <c r="AN394" s="117"/>
      <c r="AO394" s="117" t="s">
        <v>141</v>
      </c>
      <c r="AP394" s="117"/>
      <c r="AQ394" s="117"/>
      <c r="AR394" s="117"/>
      <c r="AS394" s="117"/>
      <c r="AT394" s="117"/>
      <c r="AU394" s="117"/>
      <c r="AV394" s="119">
        <f t="shared" si="6"/>
        <v>9</v>
      </c>
      <c r="AW394" s="119"/>
      <c r="AX394" s="119" t="s">
        <v>2142</v>
      </c>
    </row>
    <row r="395" spans="1:50">
      <c r="A395">
        <v>366</v>
      </c>
      <c r="B395">
        <v>923</v>
      </c>
      <c r="C395">
        <v>395</v>
      </c>
      <c r="D395" s="7">
        <v>45860</v>
      </c>
      <c r="E395" s="7" t="s">
        <v>1492</v>
      </c>
      <c r="F395" s="10" t="s">
        <v>1491</v>
      </c>
      <c r="G395" s="36"/>
      <c r="H395" s="36" t="s">
        <v>141</v>
      </c>
      <c r="I395" s="36"/>
      <c r="J395" s="36" t="s">
        <v>141</v>
      </c>
      <c r="K395" s="36"/>
      <c r="L395" s="36"/>
      <c r="M395" s="36"/>
      <c r="N395" s="36"/>
      <c r="O395" s="117"/>
      <c r="P395" s="36"/>
      <c r="Q395" s="36"/>
      <c r="R395" s="36"/>
      <c r="S395" s="36"/>
      <c r="T395" s="36" t="s">
        <v>141</v>
      </c>
      <c r="U395" s="36"/>
      <c r="V395" s="36"/>
      <c r="W395" s="36"/>
      <c r="X395" s="36"/>
      <c r="Y395" s="36" t="s">
        <v>141</v>
      </c>
      <c r="Z395" s="36"/>
      <c r="AA395" s="117" t="s">
        <v>141</v>
      </c>
      <c r="AB395" s="36" t="s">
        <v>141</v>
      </c>
      <c r="AC395" s="117"/>
      <c r="AD395" s="36" t="s">
        <v>141</v>
      </c>
      <c r="AE395" s="36"/>
      <c r="AF395" s="117"/>
      <c r="AG395" s="36"/>
      <c r="AH395" s="36"/>
      <c r="AI395" s="117" t="s">
        <v>141</v>
      </c>
      <c r="AJ395" s="36"/>
      <c r="AK395" s="36"/>
      <c r="AL395" s="36"/>
      <c r="AM395" s="117"/>
      <c r="AN395" s="117"/>
      <c r="AO395" s="117" t="s">
        <v>141</v>
      </c>
      <c r="AP395" s="117"/>
      <c r="AQ395" s="117"/>
      <c r="AR395" s="117"/>
      <c r="AS395" s="117"/>
      <c r="AT395" s="117"/>
      <c r="AU395" s="117"/>
      <c r="AV395" s="119">
        <f t="shared" si="6"/>
        <v>9</v>
      </c>
      <c r="AW395" s="119"/>
      <c r="AX395" s="119" t="s">
        <v>2142</v>
      </c>
    </row>
    <row r="396" spans="1:50">
      <c r="A396">
        <v>367</v>
      </c>
      <c r="B396">
        <v>924</v>
      </c>
      <c r="C396">
        <v>396</v>
      </c>
      <c r="D396" s="7">
        <v>45860</v>
      </c>
      <c r="E396" s="7" t="s">
        <v>1494</v>
      </c>
      <c r="F396" s="10" t="s">
        <v>1493</v>
      </c>
      <c r="G396" s="36"/>
      <c r="H396" s="36" t="s">
        <v>141</v>
      </c>
      <c r="I396" s="36"/>
      <c r="J396" s="36" t="s">
        <v>141</v>
      </c>
      <c r="K396" s="36"/>
      <c r="L396" s="36"/>
      <c r="M396" s="36"/>
      <c r="N396" s="36"/>
      <c r="O396" s="117"/>
      <c r="P396" s="36"/>
      <c r="Q396" s="36"/>
      <c r="R396" s="36"/>
      <c r="S396" s="36"/>
      <c r="T396" s="36" t="s">
        <v>141</v>
      </c>
      <c r="U396" s="36"/>
      <c r="V396" s="36"/>
      <c r="W396" s="36"/>
      <c r="X396" s="36"/>
      <c r="Y396" s="36" t="s">
        <v>141</v>
      </c>
      <c r="Z396" s="36"/>
      <c r="AA396" s="117" t="s">
        <v>141</v>
      </c>
      <c r="AB396" s="36" t="s">
        <v>141</v>
      </c>
      <c r="AC396" s="117"/>
      <c r="AD396" s="36" t="s">
        <v>141</v>
      </c>
      <c r="AE396" s="36"/>
      <c r="AF396" s="117"/>
      <c r="AG396" s="36"/>
      <c r="AH396" s="36"/>
      <c r="AI396" s="117" t="s">
        <v>141</v>
      </c>
      <c r="AJ396" s="36"/>
      <c r="AK396" s="36"/>
      <c r="AL396" s="36"/>
      <c r="AM396" s="117"/>
      <c r="AN396" s="117"/>
      <c r="AO396" s="117" t="s">
        <v>141</v>
      </c>
      <c r="AP396" s="117"/>
      <c r="AQ396" s="117"/>
      <c r="AR396" s="117"/>
      <c r="AS396" s="117"/>
      <c r="AT396" s="117"/>
      <c r="AU396" s="117"/>
      <c r="AV396" s="119">
        <f t="shared" si="6"/>
        <v>9</v>
      </c>
      <c r="AW396" s="119"/>
      <c r="AX396" s="119" t="s">
        <v>2142</v>
      </c>
    </row>
    <row r="397" spans="1:50">
      <c r="A397">
        <v>368</v>
      </c>
      <c r="B397">
        <v>925</v>
      </c>
      <c r="C397">
        <v>397</v>
      </c>
      <c r="D397" s="7">
        <v>45862</v>
      </c>
      <c r="E397" s="7" t="s">
        <v>1497</v>
      </c>
      <c r="F397" s="10" t="s">
        <v>1495</v>
      </c>
      <c r="G397" s="36"/>
      <c r="H397" s="36" t="s">
        <v>141</v>
      </c>
      <c r="I397" s="36"/>
      <c r="J397" s="36" t="s">
        <v>141</v>
      </c>
      <c r="K397" s="36"/>
      <c r="L397" s="36" t="s">
        <v>141</v>
      </c>
      <c r="M397" s="36"/>
      <c r="N397" s="36"/>
      <c r="O397" s="117"/>
      <c r="P397" s="36"/>
      <c r="Q397" s="36"/>
      <c r="R397" s="36"/>
      <c r="S397" s="36" t="s">
        <v>141</v>
      </c>
      <c r="T397" s="36" t="s">
        <v>141</v>
      </c>
      <c r="U397" s="36"/>
      <c r="V397" s="36"/>
      <c r="W397" s="36"/>
      <c r="X397" s="36"/>
      <c r="Y397" s="36"/>
      <c r="Z397" s="36"/>
      <c r="AA397" s="117"/>
      <c r="AB397" s="36"/>
      <c r="AC397" s="117" t="s">
        <v>141</v>
      </c>
      <c r="AD397" s="36"/>
      <c r="AE397" s="36" t="s">
        <v>141</v>
      </c>
      <c r="AF397" s="117"/>
      <c r="AG397" s="36"/>
      <c r="AH397" s="36" t="s">
        <v>141</v>
      </c>
      <c r="AI397" s="117"/>
      <c r="AJ397" s="36" t="s">
        <v>141</v>
      </c>
      <c r="AK397" s="36"/>
      <c r="AL397" s="36"/>
      <c r="AM397" s="117" t="s">
        <v>141</v>
      </c>
      <c r="AN397" s="117" t="s">
        <v>141</v>
      </c>
      <c r="AO397" s="117"/>
      <c r="AP397" s="117"/>
      <c r="AQ397" s="117"/>
      <c r="AR397" s="117"/>
      <c r="AS397" s="117"/>
      <c r="AT397" s="117"/>
      <c r="AU397" s="117"/>
      <c r="AV397" s="119">
        <f t="shared" si="6"/>
        <v>11</v>
      </c>
      <c r="AW397" s="119"/>
      <c r="AX397" s="119" t="s">
        <v>2142</v>
      </c>
    </row>
    <row r="398" spans="1:50">
      <c r="A398">
        <v>369</v>
      </c>
      <c r="B398">
        <v>926</v>
      </c>
      <c r="C398">
        <v>398</v>
      </c>
      <c r="D398" s="7">
        <v>45863</v>
      </c>
      <c r="E398" s="7" t="s">
        <v>1499</v>
      </c>
      <c r="F398" s="10" t="s">
        <v>1498</v>
      </c>
      <c r="G398" s="36"/>
      <c r="H398" s="36"/>
      <c r="I398" s="36"/>
      <c r="J398" s="36" t="s">
        <v>141</v>
      </c>
      <c r="K398" s="36" t="s">
        <v>141</v>
      </c>
      <c r="L398" s="36"/>
      <c r="M398" s="36"/>
      <c r="N398" s="36"/>
      <c r="O398" s="117" t="s">
        <v>141</v>
      </c>
      <c r="P398" s="36" t="s">
        <v>141</v>
      </c>
      <c r="Q398" s="36"/>
      <c r="R398" s="36"/>
      <c r="S398" s="36" t="s">
        <v>141</v>
      </c>
      <c r="T398" s="36"/>
      <c r="U398" s="36"/>
      <c r="V398" s="36"/>
      <c r="W398" s="36"/>
      <c r="X398" s="36"/>
      <c r="Y398" s="36" t="s">
        <v>141</v>
      </c>
      <c r="Z398" s="36"/>
      <c r="AA398" s="117"/>
      <c r="AB398" s="36"/>
      <c r="AC398" s="117"/>
      <c r="AD398" s="36" t="s">
        <v>141</v>
      </c>
      <c r="AE398" s="36"/>
      <c r="AF398" s="117"/>
      <c r="AG398" s="36" t="s">
        <v>141</v>
      </c>
      <c r="AH398" s="36" t="s">
        <v>141</v>
      </c>
      <c r="AI398" s="117"/>
      <c r="AJ398" s="36"/>
      <c r="AK398" s="36"/>
      <c r="AL398" s="36"/>
      <c r="AM398" s="117" t="s">
        <v>141</v>
      </c>
      <c r="AN398" s="117" t="s">
        <v>141</v>
      </c>
      <c r="AO398" s="117"/>
      <c r="AP398" s="117"/>
      <c r="AQ398" s="117"/>
      <c r="AR398" s="117"/>
      <c r="AS398" s="117"/>
      <c r="AT398" s="117"/>
      <c r="AU398" s="117"/>
      <c r="AV398" s="119">
        <f t="shared" si="6"/>
        <v>11</v>
      </c>
      <c r="AW398" s="119"/>
      <c r="AX398" s="119" t="s">
        <v>2142</v>
      </c>
    </row>
    <row r="399" spans="1:50">
      <c r="A399">
        <v>370</v>
      </c>
      <c r="B399">
        <v>927</v>
      </c>
      <c r="C399">
        <v>399</v>
      </c>
      <c r="D399" s="7">
        <v>45863</v>
      </c>
      <c r="E399" s="7" t="s">
        <v>1501</v>
      </c>
      <c r="F399" s="10" t="s">
        <v>1500</v>
      </c>
      <c r="G399" s="36"/>
      <c r="H399" s="36"/>
      <c r="I399" s="36"/>
      <c r="J399" s="36" t="s">
        <v>141</v>
      </c>
      <c r="K399" s="36" t="s">
        <v>141</v>
      </c>
      <c r="L399" s="36"/>
      <c r="M399" s="36"/>
      <c r="N399" s="36"/>
      <c r="O399" s="117" t="s">
        <v>141</v>
      </c>
      <c r="P399" s="36" t="s">
        <v>141</v>
      </c>
      <c r="Q399" s="36"/>
      <c r="R399" s="36"/>
      <c r="S399" s="36" t="s">
        <v>141</v>
      </c>
      <c r="T399" s="36"/>
      <c r="U399" s="36"/>
      <c r="V399" s="36"/>
      <c r="W399" s="36"/>
      <c r="X399" s="36"/>
      <c r="Y399" s="36" t="s">
        <v>141</v>
      </c>
      <c r="Z399" s="36"/>
      <c r="AA399" s="117"/>
      <c r="AB399" s="36"/>
      <c r="AC399" s="117"/>
      <c r="AD399" s="36" t="s">
        <v>141</v>
      </c>
      <c r="AE399" s="36"/>
      <c r="AF399" s="117"/>
      <c r="AG399" s="36" t="s">
        <v>141</v>
      </c>
      <c r="AH399" s="36" t="s">
        <v>141</v>
      </c>
      <c r="AI399" s="117"/>
      <c r="AJ399" s="36"/>
      <c r="AK399" s="36"/>
      <c r="AL399" s="36"/>
      <c r="AM399" s="117" t="s">
        <v>141</v>
      </c>
      <c r="AN399" s="117" t="s">
        <v>141</v>
      </c>
      <c r="AO399" s="117"/>
      <c r="AP399" s="117"/>
      <c r="AQ399" s="117"/>
      <c r="AR399" s="117"/>
      <c r="AS399" s="117"/>
      <c r="AT399" s="117"/>
      <c r="AU399" s="117"/>
      <c r="AV399" s="119">
        <f t="shared" si="6"/>
        <v>11</v>
      </c>
      <c r="AW399" s="119"/>
      <c r="AX399" s="119" t="s">
        <v>2142</v>
      </c>
    </row>
    <row r="400" spans="1:50">
      <c r="A400">
        <v>371</v>
      </c>
      <c r="B400">
        <v>928</v>
      </c>
      <c r="C400">
        <v>400</v>
      </c>
      <c r="D400" s="7">
        <v>45864</v>
      </c>
      <c r="E400" s="7" t="s">
        <v>1108</v>
      </c>
      <c r="F400" s="10" t="s">
        <v>1502</v>
      </c>
      <c r="G400" s="36" t="s">
        <v>141</v>
      </c>
      <c r="H400" s="36"/>
      <c r="I400" s="36" t="s">
        <v>141</v>
      </c>
      <c r="J400" s="36" t="s">
        <v>141</v>
      </c>
      <c r="K400" s="36"/>
      <c r="L400" s="36" t="s">
        <v>141</v>
      </c>
      <c r="M400" s="36"/>
      <c r="N400" s="36"/>
      <c r="O400" s="117"/>
      <c r="P400" s="36" t="s">
        <v>141</v>
      </c>
      <c r="Q400" s="36"/>
      <c r="R400" s="36"/>
      <c r="S400" s="36"/>
      <c r="T400" s="36" t="s">
        <v>141</v>
      </c>
      <c r="U400" s="36"/>
      <c r="V400" s="36"/>
      <c r="W400" s="36" t="s">
        <v>141</v>
      </c>
      <c r="X400" s="36"/>
      <c r="Y400" s="36"/>
      <c r="Z400" s="36"/>
      <c r="AA400" s="117"/>
      <c r="AB400" s="36" t="s">
        <v>141</v>
      </c>
      <c r="AC400" s="117"/>
      <c r="AD400" s="36"/>
      <c r="AE400" s="36"/>
      <c r="AF400" s="117"/>
      <c r="AG400" s="36"/>
      <c r="AH400" s="36"/>
      <c r="AI400" s="117"/>
      <c r="AJ400" s="36"/>
      <c r="AK400" s="36"/>
      <c r="AL400" s="36"/>
      <c r="AM400" s="117"/>
      <c r="AN400" s="117"/>
      <c r="AO400" s="117"/>
      <c r="AP400" s="117"/>
      <c r="AQ400" s="117"/>
      <c r="AR400" s="117"/>
      <c r="AS400" s="117"/>
      <c r="AT400" s="117"/>
      <c r="AU400" s="117"/>
      <c r="AV400" s="119">
        <f t="shared" si="6"/>
        <v>8</v>
      </c>
      <c r="AW400" s="119"/>
      <c r="AX400" s="119" t="s">
        <v>2142</v>
      </c>
    </row>
    <row r="401" spans="1:50">
      <c r="A401">
        <v>372</v>
      </c>
      <c r="B401">
        <v>929</v>
      </c>
      <c r="C401">
        <v>401</v>
      </c>
      <c r="D401" s="7">
        <v>45866</v>
      </c>
      <c r="E401" s="7" t="s">
        <v>1504</v>
      </c>
      <c r="F401" s="10" t="s">
        <v>1503</v>
      </c>
      <c r="G401" s="36"/>
      <c r="H401" s="36" t="s">
        <v>141</v>
      </c>
      <c r="I401" s="36"/>
      <c r="J401" s="36" t="s">
        <v>141</v>
      </c>
      <c r="K401" s="36"/>
      <c r="L401" s="36" t="s">
        <v>141</v>
      </c>
      <c r="M401" s="36" t="s">
        <v>141</v>
      </c>
      <c r="N401" s="36"/>
      <c r="O401" s="117" t="s">
        <v>141</v>
      </c>
      <c r="P401" s="36" t="s">
        <v>141</v>
      </c>
      <c r="Q401" s="36"/>
      <c r="R401" s="36"/>
      <c r="S401" s="36"/>
      <c r="T401" s="36" t="s">
        <v>141</v>
      </c>
      <c r="U401" s="36"/>
      <c r="V401" s="36"/>
      <c r="W401" s="36"/>
      <c r="X401" s="36"/>
      <c r="Y401" s="36"/>
      <c r="Z401" s="36"/>
      <c r="AA401" s="117" t="s">
        <v>141</v>
      </c>
      <c r="AB401" s="36" t="s">
        <v>141</v>
      </c>
      <c r="AC401" s="117"/>
      <c r="AD401" s="36"/>
      <c r="AE401" s="36"/>
      <c r="AF401" s="117"/>
      <c r="AG401" s="36" t="s">
        <v>141</v>
      </c>
      <c r="AH401" s="36" t="s">
        <v>141</v>
      </c>
      <c r="AI401" s="117"/>
      <c r="AJ401" s="36"/>
      <c r="AK401" s="36" t="s">
        <v>141</v>
      </c>
      <c r="AL401" s="36"/>
      <c r="AM401" s="117"/>
      <c r="AN401" s="117"/>
      <c r="AO401" s="117"/>
      <c r="AP401" s="117"/>
      <c r="AQ401" s="117"/>
      <c r="AR401" s="117"/>
      <c r="AS401" s="117"/>
      <c r="AT401" s="117"/>
      <c r="AU401" s="117"/>
      <c r="AV401" s="119">
        <f t="shared" si="6"/>
        <v>12</v>
      </c>
      <c r="AW401" s="119"/>
      <c r="AX401" s="119" t="s">
        <v>2142</v>
      </c>
    </row>
    <row r="402" spans="1:50">
      <c r="A402" t="s">
        <v>57</v>
      </c>
      <c r="B402" t="s">
        <v>57</v>
      </c>
      <c r="C402">
        <v>402</v>
      </c>
      <c r="D402" s="7">
        <v>45866</v>
      </c>
      <c r="E402" s="7" t="s">
        <v>2129</v>
      </c>
      <c r="F402" s="10" t="s">
        <v>2130</v>
      </c>
      <c r="G402" s="36" t="s">
        <v>141</v>
      </c>
      <c r="H402" s="36" t="s">
        <v>141</v>
      </c>
      <c r="I402" s="36" t="s">
        <v>141</v>
      </c>
      <c r="J402" s="36" t="s">
        <v>141</v>
      </c>
      <c r="K402" s="36" t="s">
        <v>141</v>
      </c>
      <c r="L402" s="36" t="s">
        <v>141</v>
      </c>
      <c r="M402" s="36" t="s">
        <v>141</v>
      </c>
      <c r="N402" s="36" t="s">
        <v>141</v>
      </c>
      <c r="O402" s="117" t="s">
        <v>141</v>
      </c>
      <c r="P402" s="36" t="s">
        <v>141</v>
      </c>
      <c r="Q402" s="36" t="s">
        <v>2131</v>
      </c>
      <c r="R402" s="36" t="s">
        <v>141</v>
      </c>
      <c r="S402" s="36" t="s">
        <v>141</v>
      </c>
      <c r="T402" s="36" t="s">
        <v>141</v>
      </c>
      <c r="U402" s="36" t="s">
        <v>141</v>
      </c>
      <c r="V402" s="36" t="s">
        <v>2131</v>
      </c>
      <c r="W402" s="36" t="s">
        <v>2131</v>
      </c>
      <c r="X402" s="36" t="s">
        <v>141</v>
      </c>
      <c r="Y402" s="36" t="s">
        <v>2131</v>
      </c>
      <c r="Z402" s="36" t="s">
        <v>141</v>
      </c>
      <c r="AA402" s="117" t="s">
        <v>2131</v>
      </c>
      <c r="AB402" s="36" t="s">
        <v>141</v>
      </c>
      <c r="AC402" s="117" t="s">
        <v>2131</v>
      </c>
      <c r="AD402" s="36" t="s">
        <v>141</v>
      </c>
      <c r="AE402" s="36" t="s">
        <v>141</v>
      </c>
      <c r="AF402" s="117" t="s">
        <v>2131</v>
      </c>
      <c r="AG402" s="36" t="s">
        <v>141</v>
      </c>
      <c r="AH402" s="36" t="s">
        <v>141</v>
      </c>
      <c r="AI402" s="117" t="s">
        <v>141</v>
      </c>
      <c r="AJ402" s="36" t="s">
        <v>141</v>
      </c>
      <c r="AK402" s="36" t="s">
        <v>141</v>
      </c>
      <c r="AL402" s="36" t="s">
        <v>141</v>
      </c>
      <c r="AM402" s="117" t="s">
        <v>141</v>
      </c>
      <c r="AN402" s="117" t="s">
        <v>141</v>
      </c>
      <c r="AO402" s="117" t="s">
        <v>141</v>
      </c>
      <c r="AP402" s="117"/>
      <c r="AQ402" s="117"/>
      <c r="AR402" s="117" t="s">
        <v>2131</v>
      </c>
      <c r="AS402" s="117" t="s">
        <v>141</v>
      </c>
      <c r="AT402" s="117"/>
      <c r="AU402" s="117"/>
      <c r="AV402" s="119">
        <f t="shared" si="6"/>
        <v>29</v>
      </c>
      <c r="AW402" s="119"/>
      <c r="AX402" s="119" t="s">
        <v>2142</v>
      </c>
    </row>
    <row r="403" spans="1:50">
      <c r="A403">
        <v>373</v>
      </c>
      <c r="B403">
        <v>930</v>
      </c>
      <c r="C403">
        <v>403</v>
      </c>
      <c r="D403" s="7">
        <v>45867</v>
      </c>
      <c r="E403" s="7" t="s">
        <v>1507</v>
      </c>
      <c r="F403" s="10" t="s">
        <v>1505</v>
      </c>
      <c r="G403" s="36"/>
      <c r="H403" s="36" t="s">
        <v>141</v>
      </c>
      <c r="I403" s="36"/>
      <c r="J403" s="36" t="s">
        <v>141</v>
      </c>
      <c r="K403" s="36"/>
      <c r="L403" s="36" t="s">
        <v>141</v>
      </c>
      <c r="M403" s="36" t="s">
        <v>141</v>
      </c>
      <c r="N403" s="36"/>
      <c r="O403" s="117" t="s">
        <v>141</v>
      </c>
      <c r="P403" s="36"/>
      <c r="Q403" s="36"/>
      <c r="R403" s="36"/>
      <c r="S403" s="36"/>
      <c r="T403" s="36" t="s">
        <v>141</v>
      </c>
      <c r="U403" s="36"/>
      <c r="V403" s="36"/>
      <c r="W403" s="36"/>
      <c r="X403" s="36"/>
      <c r="Y403" s="36"/>
      <c r="Z403" s="36"/>
      <c r="AA403" s="117"/>
      <c r="AB403" s="36"/>
      <c r="AC403" s="117" t="s">
        <v>141</v>
      </c>
      <c r="AD403" s="36"/>
      <c r="AE403" s="36"/>
      <c r="AF403" s="117"/>
      <c r="AG403" s="36"/>
      <c r="AH403" s="36"/>
      <c r="AI403" s="117" t="s">
        <v>141</v>
      </c>
      <c r="AJ403" s="36"/>
      <c r="AK403" s="36"/>
      <c r="AL403" s="36"/>
      <c r="AM403" s="117"/>
      <c r="AN403" s="117"/>
      <c r="AO403" s="117"/>
      <c r="AP403" s="117"/>
      <c r="AQ403" s="117"/>
      <c r="AR403" s="117"/>
      <c r="AS403" s="117"/>
      <c r="AT403" s="117"/>
      <c r="AU403" s="117"/>
      <c r="AV403" s="119">
        <f t="shared" si="6"/>
        <v>8</v>
      </c>
      <c r="AW403" s="119"/>
      <c r="AX403" s="119" t="s">
        <v>2142</v>
      </c>
    </row>
    <row r="404" spans="1:50">
      <c r="A404">
        <v>374</v>
      </c>
      <c r="B404">
        <v>931</v>
      </c>
      <c r="C404">
        <v>404</v>
      </c>
      <c r="D404" s="7">
        <v>45867</v>
      </c>
      <c r="E404" s="7" t="s">
        <v>1509</v>
      </c>
      <c r="F404" s="10" t="s">
        <v>1508</v>
      </c>
      <c r="G404" s="36"/>
      <c r="H404" s="36"/>
      <c r="I404" s="36" t="s">
        <v>141</v>
      </c>
      <c r="J404" s="36"/>
      <c r="K404" s="36" t="s">
        <v>141</v>
      </c>
      <c r="L404" s="36" t="s">
        <v>141</v>
      </c>
      <c r="M404" s="36"/>
      <c r="N404" s="36"/>
      <c r="O404" s="117" t="s">
        <v>141</v>
      </c>
      <c r="P404" s="36" t="s">
        <v>141</v>
      </c>
      <c r="Q404" s="36"/>
      <c r="R404" s="36"/>
      <c r="S404" s="36"/>
      <c r="T404" s="36"/>
      <c r="U404" s="36"/>
      <c r="V404" s="36"/>
      <c r="W404" s="36" t="s">
        <v>141</v>
      </c>
      <c r="X404" s="36"/>
      <c r="Y404" s="36"/>
      <c r="Z404" s="36"/>
      <c r="AA404" s="117"/>
      <c r="AB404" s="36" t="s">
        <v>141</v>
      </c>
      <c r="AC404" s="117"/>
      <c r="AD404" s="36"/>
      <c r="AE404" s="36"/>
      <c r="AF404" s="117"/>
      <c r="AG404" s="36"/>
      <c r="AH404" s="36"/>
      <c r="AI404" s="117" t="s">
        <v>141</v>
      </c>
      <c r="AJ404" s="36"/>
      <c r="AK404" s="36" t="s">
        <v>141</v>
      </c>
      <c r="AL404" s="36"/>
      <c r="AM404" s="117"/>
      <c r="AN404" s="117"/>
      <c r="AO404" s="117"/>
      <c r="AP404" s="117"/>
      <c r="AQ404" s="117"/>
      <c r="AR404" s="117"/>
      <c r="AS404" s="117"/>
      <c r="AT404" s="117"/>
      <c r="AU404" s="117"/>
      <c r="AV404" s="119">
        <f t="shared" si="6"/>
        <v>9</v>
      </c>
      <c r="AW404" s="119"/>
      <c r="AX404" s="119" t="s">
        <v>2142</v>
      </c>
    </row>
    <row r="405" spans="1:50">
      <c r="A405">
        <v>375</v>
      </c>
      <c r="B405">
        <v>932</v>
      </c>
      <c r="C405">
        <v>405</v>
      </c>
      <c r="D405" s="7">
        <v>45870</v>
      </c>
      <c r="E405" s="7" t="s">
        <v>1511</v>
      </c>
      <c r="F405" s="10" t="s">
        <v>1510</v>
      </c>
      <c r="G405" s="36" t="s">
        <v>141</v>
      </c>
      <c r="H405" s="36" t="s">
        <v>141</v>
      </c>
      <c r="I405" s="36"/>
      <c r="J405" s="36"/>
      <c r="K405" s="36"/>
      <c r="L405" s="36"/>
      <c r="M405" s="36"/>
      <c r="N405" s="36" t="s">
        <v>141</v>
      </c>
      <c r="O405" s="117" t="s">
        <v>141</v>
      </c>
      <c r="P405" s="36"/>
      <c r="Q405" s="36"/>
      <c r="R405" s="36"/>
      <c r="S405" s="36"/>
      <c r="T405" s="36" t="s">
        <v>141</v>
      </c>
      <c r="U405" s="36"/>
      <c r="V405" s="36"/>
      <c r="W405" s="36" t="s">
        <v>141</v>
      </c>
      <c r="X405" s="36"/>
      <c r="Y405" s="36"/>
      <c r="Z405" s="36"/>
      <c r="AA405" s="117"/>
      <c r="AB405" s="36" t="s">
        <v>141</v>
      </c>
      <c r="AC405" s="117"/>
      <c r="AD405" s="36"/>
      <c r="AE405" s="36" t="s">
        <v>141</v>
      </c>
      <c r="AF405" s="117"/>
      <c r="AG405" s="36"/>
      <c r="AH405" s="36"/>
      <c r="AI405" s="117"/>
      <c r="AJ405" s="36"/>
      <c r="AK405" s="36"/>
      <c r="AL405" s="36"/>
      <c r="AM405" s="117"/>
      <c r="AN405" s="117"/>
      <c r="AO405" s="117"/>
      <c r="AP405" s="117"/>
      <c r="AQ405" s="117"/>
      <c r="AR405" s="117"/>
      <c r="AS405" s="117"/>
      <c r="AT405" s="117"/>
      <c r="AU405" s="117"/>
      <c r="AV405" s="119">
        <f t="shared" si="6"/>
        <v>8</v>
      </c>
      <c r="AW405" s="119"/>
      <c r="AX405" s="119" t="s">
        <v>2142</v>
      </c>
    </row>
    <row r="406" spans="1:50">
      <c r="A406">
        <v>376</v>
      </c>
      <c r="B406">
        <v>933</v>
      </c>
      <c r="C406">
        <v>406</v>
      </c>
      <c r="D406" s="7">
        <v>45870</v>
      </c>
      <c r="E406" s="7" t="s">
        <v>1513</v>
      </c>
      <c r="F406" s="10" t="s">
        <v>1512</v>
      </c>
      <c r="G406" s="36" t="s">
        <v>141</v>
      </c>
      <c r="H406" s="36" t="s">
        <v>141</v>
      </c>
      <c r="I406" s="36" t="s">
        <v>141</v>
      </c>
      <c r="J406" s="36"/>
      <c r="K406" s="36"/>
      <c r="L406" s="36"/>
      <c r="M406" s="36"/>
      <c r="N406" s="36" t="s">
        <v>141</v>
      </c>
      <c r="O406" s="117" t="s">
        <v>141</v>
      </c>
      <c r="P406" s="36"/>
      <c r="Q406" s="36"/>
      <c r="R406" s="36"/>
      <c r="S406" s="36"/>
      <c r="T406" s="36" t="s">
        <v>141</v>
      </c>
      <c r="U406" s="36" t="s">
        <v>141</v>
      </c>
      <c r="V406" s="36"/>
      <c r="W406" s="36" t="s">
        <v>141</v>
      </c>
      <c r="X406" s="36"/>
      <c r="Y406" s="36"/>
      <c r="Z406" s="36"/>
      <c r="AA406" s="117"/>
      <c r="AB406" s="36" t="s">
        <v>141</v>
      </c>
      <c r="AC406" s="117"/>
      <c r="AD406" s="36" t="s">
        <v>141</v>
      </c>
      <c r="AE406" s="36" t="s">
        <v>141</v>
      </c>
      <c r="AF406" s="117"/>
      <c r="AG406" s="36"/>
      <c r="AH406" s="36"/>
      <c r="AI406" s="117"/>
      <c r="AJ406" s="36"/>
      <c r="AK406" s="36"/>
      <c r="AL406" s="36"/>
      <c r="AM406" s="117"/>
      <c r="AN406" s="117"/>
      <c r="AO406" s="117"/>
      <c r="AP406" s="117"/>
      <c r="AQ406" s="117"/>
      <c r="AR406" s="117"/>
      <c r="AS406" s="117"/>
      <c r="AT406" s="117"/>
      <c r="AU406" s="117"/>
      <c r="AV406" s="119">
        <f t="shared" si="6"/>
        <v>11</v>
      </c>
      <c r="AW406" s="119"/>
      <c r="AX406" s="119" t="s">
        <v>2142</v>
      </c>
    </row>
    <row r="407" spans="1:50">
      <c r="A407">
        <v>377</v>
      </c>
      <c r="B407">
        <v>934</v>
      </c>
      <c r="C407">
        <v>407</v>
      </c>
      <c r="D407" s="7">
        <v>45870</v>
      </c>
      <c r="E407" s="7" t="s">
        <v>1515</v>
      </c>
      <c r="F407" s="10" t="s">
        <v>1514</v>
      </c>
      <c r="G407" s="36" t="s">
        <v>141</v>
      </c>
      <c r="H407" s="36" t="s">
        <v>141</v>
      </c>
      <c r="I407" s="36"/>
      <c r="J407" s="36"/>
      <c r="K407" s="36"/>
      <c r="L407" s="36"/>
      <c r="M407" s="36"/>
      <c r="N407" s="36"/>
      <c r="O407" s="117" t="s">
        <v>141</v>
      </c>
      <c r="P407" s="36" t="s">
        <v>141</v>
      </c>
      <c r="Q407" s="36"/>
      <c r="R407" s="36"/>
      <c r="S407" s="36"/>
      <c r="T407" s="36"/>
      <c r="U407" s="36"/>
      <c r="V407" s="36"/>
      <c r="W407" s="36" t="s">
        <v>141</v>
      </c>
      <c r="X407" s="36"/>
      <c r="Y407" s="36"/>
      <c r="Z407" s="36"/>
      <c r="AA407" s="117"/>
      <c r="AB407" s="36"/>
      <c r="AC407" s="117"/>
      <c r="AD407" s="36"/>
      <c r="AE407" s="36" t="s">
        <v>141</v>
      </c>
      <c r="AF407" s="117"/>
      <c r="AG407" s="36"/>
      <c r="AH407" s="36"/>
      <c r="AI407" s="117"/>
      <c r="AJ407" s="36"/>
      <c r="AK407" s="36"/>
      <c r="AL407" s="36"/>
      <c r="AM407" s="117" t="s">
        <v>141</v>
      </c>
      <c r="AN407" s="117" t="s">
        <v>141</v>
      </c>
      <c r="AO407" s="117"/>
      <c r="AP407" s="117"/>
      <c r="AQ407" s="117"/>
      <c r="AR407" s="117"/>
      <c r="AS407" s="117"/>
      <c r="AT407" s="117"/>
      <c r="AU407" s="117"/>
      <c r="AV407" s="119">
        <f t="shared" si="6"/>
        <v>8</v>
      </c>
      <c r="AW407" s="119"/>
      <c r="AX407" s="119" t="s">
        <v>2146</v>
      </c>
    </row>
    <row r="408" spans="1:50">
      <c r="A408">
        <v>378</v>
      </c>
      <c r="B408">
        <v>935</v>
      </c>
      <c r="C408">
        <v>408</v>
      </c>
      <c r="D408" s="7">
        <v>45870</v>
      </c>
      <c r="E408" s="7" t="s">
        <v>1518</v>
      </c>
      <c r="F408" s="10" t="s">
        <v>1516</v>
      </c>
      <c r="G408" s="36" t="s">
        <v>141</v>
      </c>
      <c r="H408" s="36" t="s">
        <v>141</v>
      </c>
      <c r="I408" s="36"/>
      <c r="J408" s="36" t="s">
        <v>141</v>
      </c>
      <c r="K408" s="36"/>
      <c r="L408" s="36"/>
      <c r="M408" s="36"/>
      <c r="N408" s="36"/>
      <c r="O408" s="117" t="s">
        <v>141</v>
      </c>
      <c r="P408" s="36" t="s">
        <v>141</v>
      </c>
      <c r="Q408" s="36"/>
      <c r="R408" s="36"/>
      <c r="S408" s="36"/>
      <c r="T408" s="36"/>
      <c r="U408" s="36"/>
      <c r="V408" s="36"/>
      <c r="W408" s="36" t="s">
        <v>141</v>
      </c>
      <c r="X408" s="36"/>
      <c r="Y408" s="36"/>
      <c r="Z408" s="36"/>
      <c r="AA408" s="117"/>
      <c r="AB408" s="36"/>
      <c r="AC408" s="117" t="s">
        <v>141</v>
      </c>
      <c r="AD408" s="36"/>
      <c r="AE408" s="36"/>
      <c r="AF408" s="117"/>
      <c r="AG408" s="36"/>
      <c r="AH408" s="36" t="s">
        <v>141</v>
      </c>
      <c r="AI408" s="117"/>
      <c r="AJ408" s="36"/>
      <c r="AK408" s="36"/>
      <c r="AL408" s="36"/>
      <c r="AM408" s="117" t="s">
        <v>141</v>
      </c>
      <c r="AN408" s="117" t="s">
        <v>141</v>
      </c>
      <c r="AO408" s="117" t="s">
        <v>141</v>
      </c>
      <c r="AP408" s="117"/>
      <c r="AQ408" s="117"/>
      <c r="AR408" s="117"/>
      <c r="AS408" s="117"/>
      <c r="AT408" s="117"/>
      <c r="AU408" s="117"/>
      <c r="AV408" s="119">
        <f t="shared" si="6"/>
        <v>11</v>
      </c>
      <c r="AW408" s="119"/>
      <c r="AX408" s="119" t="s">
        <v>2146</v>
      </c>
    </row>
    <row r="409" spans="1:50">
      <c r="A409">
        <v>379</v>
      </c>
      <c r="B409">
        <v>936</v>
      </c>
      <c r="C409">
        <v>409</v>
      </c>
      <c r="D409" s="7">
        <v>45870</v>
      </c>
      <c r="E409" s="7" t="s">
        <v>1520</v>
      </c>
      <c r="F409" s="10" t="s">
        <v>1519</v>
      </c>
      <c r="G409" s="36" t="s">
        <v>141</v>
      </c>
      <c r="H409" s="36" t="s">
        <v>141</v>
      </c>
      <c r="I409" s="36"/>
      <c r="J409" s="36" t="s">
        <v>141</v>
      </c>
      <c r="K409" s="36"/>
      <c r="L409" s="36"/>
      <c r="M409" s="36"/>
      <c r="N409" s="36"/>
      <c r="O409" s="117"/>
      <c r="P409" s="36" t="s">
        <v>141</v>
      </c>
      <c r="Q409" s="36"/>
      <c r="R409" s="36"/>
      <c r="S409" s="36"/>
      <c r="T409" s="36" t="s">
        <v>141</v>
      </c>
      <c r="U409" s="36"/>
      <c r="V409" s="36"/>
      <c r="W409" s="36" t="s">
        <v>141</v>
      </c>
      <c r="X409" s="36"/>
      <c r="Y409" s="36"/>
      <c r="Z409" s="36"/>
      <c r="AA409" s="117"/>
      <c r="AB409" s="36" t="s">
        <v>141</v>
      </c>
      <c r="AC409" s="117" t="s">
        <v>141</v>
      </c>
      <c r="AD409" s="36"/>
      <c r="AE409" s="36"/>
      <c r="AF409" s="117"/>
      <c r="AG409" s="36"/>
      <c r="AH409" s="36" t="s">
        <v>141</v>
      </c>
      <c r="AI409" s="117"/>
      <c r="AJ409" s="36"/>
      <c r="AK409" s="36"/>
      <c r="AL409" s="36"/>
      <c r="AM409" s="117" t="s">
        <v>141</v>
      </c>
      <c r="AN409" s="117" t="s">
        <v>141</v>
      </c>
      <c r="AO409" s="117"/>
      <c r="AP409" s="117"/>
      <c r="AQ409" s="117"/>
      <c r="AR409" s="117"/>
      <c r="AS409" s="117"/>
      <c r="AT409" s="117"/>
      <c r="AU409" s="117"/>
      <c r="AV409" s="119">
        <f t="shared" si="6"/>
        <v>11</v>
      </c>
      <c r="AW409" s="119"/>
      <c r="AX409" s="119" t="s">
        <v>2146</v>
      </c>
    </row>
    <row r="410" spans="1:50">
      <c r="A410">
        <v>380</v>
      </c>
      <c r="B410">
        <v>937</v>
      </c>
      <c r="C410">
        <v>410</v>
      </c>
      <c r="D410" s="7">
        <v>45871</v>
      </c>
      <c r="E410" s="7" t="s">
        <v>1522</v>
      </c>
      <c r="F410" s="10" t="s">
        <v>1521</v>
      </c>
      <c r="G410" s="36" t="s">
        <v>141</v>
      </c>
      <c r="H410" s="36"/>
      <c r="I410" s="36"/>
      <c r="J410" s="36"/>
      <c r="K410" s="36"/>
      <c r="L410" s="36"/>
      <c r="M410" s="36"/>
      <c r="N410" s="36" t="s">
        <v>141</v>
      </c>
      <c r="O410" s="117" t="s">
        <v>141</v>
      </c>
      <c r="P410" s="36" t="s">
        <v>141</v>
      </c>
      <c r="Q410" s="36"/>
      <c r="R410" s="36"/>
      <c r="S410" s="36"/>
      <c r="T410" s="36" t="s">
        <v>141</v>
      </c>
      <c r="U410" s="36"/>
      <c r="V410" s="36"/>
      <c r="W410" s="36"/>
      <c r="X410" s="36"/>
      <c r="Y410" s="36"/>
      <c r="Z410" s="36"/>
      <c r="AA410" s="117"/>
      <c r="AB410" s="36" t="s">
        <v>141</v>
      </c>
      <c r="AC410" s="117"/>
      <c r="AD410" s="36" t="s">
        <v>141</v>
      </c>
      <c r="AE410" s="36" t="s">
        <v>141</v>
      </c>
      <c r="AF410" s="117"/>
      <c r="AG410" s="36"/>
      <c r="AH410" s="36"/>
      <c r="AI410" s="117" t="s">
        <v>141</v>
      </c>
      <c r="AJ410" s="36"/>
      <c r="AK410" s="36"/>
      <c r="AL410" s="36"/>
      <c r="AM410" s="117"/>
      <c r="AN410" s="117"/>
      <c r="AO410" s="117"/>
      <c r="AP410" s="117"/>
      <c r="AQ410" s="117"/>
      <c r="AR410" s="117"/>
      <c r="AS410" s="117"/>
      <c r="AT410" s="117"/>
      <c r="AU410" s="117"/>
      <c r="AV410" s="119">
        <f t="shared" si="6"/>
        <v>9</v>
      </c>
      <c r="AW410" s="119"/>
      <c r="AX410" s="119" t="s">
        <v>2146</v>
      </c>
    </row>
    <row r="411" spans="1:50">
      <c r="A411">
        <v>381</v>
      </c>
      <c r="B411">
        <v>938</v>
      </c>
      <c r="C411">
        <v>411</v>
      </c>
      <c r="D411" s="7">
        <v>45872</v>
      </c>
      <c r="E411" s="7" t="s">
        <v>1524</v>
      </c>
      <c r="F411" s="10" t="s">
        <v>1523</v>
      </c>
      <c r="G411" s="36"/>
      <c r="H411" s="36" t="s">
        <v>141</v>
      </c>
      <c r="I411" s="36"/>
      <c r="J411" s="36" t="s">
        <v>141</v>
      </c>
      <c r="K411" s="36"/>
      <c r="L411" s="36"/>
      <c r="M411" s="36"/>
      <c r="N411" s="36"/>
      <c r="O411" s="117" t="s">
        <v>141</v>
      </c>
      <c r="P411" s="36" t="s">
        <v>141</v>
      </c>
      <c r="Q411" s="36"/>
      <c r="R411" s="36"/>
      <c r="S411" s="36"/>
      <c r="T411" s="36"/>
      <c r="U411" s="36"/>
      <c r="V411" s="36"/>
      <c r="W411" s="36"/>
      <c r="X411" s="36"/>
      <c r="Y411" s="36"/>
      <c r="Z411" s="36" t="s">
        <v>141</v>
      </c>
      <c r="AA411" s="117" t="s">
        <v>141</v>
      </c>
      <c r="AB411" s="36" t="s">
        <v>141</v>
      </c>
      <c r="AC411" s="117"/>
      <c r="AD411" s="36" t="s">
        <v>141</v>
      </c>
      <c r="AE411" s="36"/>
      <c r="AF411" s="117"/>
      <c r="AG411" s="36"/>
      <c r="AH411" s="36"/>
      <c r="AI411" s="117"/>
      <c r="AJ411" s="36"/>
      <c r="AK411" s="36"/>
      <c r="AL411" s="36"/>
      <c r="AM411" s="117"/>
      <c r="AN411" s="117"/>
      <c r="AO411" s="117"/>
      <c r="AP411" s="117"/>
      <c r="AQ411" s="117"/>
      <c r="AR411" s="117"/>
      <c r="AS411" s="117"/>
      <c r="AT411" s="117"/>
      <c r="AU411" s="117"/>
      <c r="AV411" s="119">
        <f t="shared" si="6"/>
        <v>8</v>
      </c>
      <c r="AW411" s="119"/>
      <c r="AX411" s="119" t="s">
        <v>2146</v>
      </c>
    </row>
    <row r="412" spans="1:50">
      <c r="A412">
        <v>382</v>
      </c>
      <c r="B412">
        <v>939</v>
      </c>
      <c r="C412">
        <v>412</v>
      </c>
      <c r="D412" s="7">
        <v>45872</v>
      </c>
      <c r="E412" s="7" t="s">
        <v>1527</v>
      </c>
      <c r="F412" s="10" t="s">
        <v>1525</v>
      </c>
      <c r="G412" s="36"/>
      <c r="H412" s="36" t="s">
        <v>141</v>
      </c>
      <c r="I412" s="36"/>
      <c r="J412" s="36" t="s">
        <v>141</v>
      </c>
      <c r="K412" s="36"/>
      <c r="L412" s="36"/>
      <c r="M412" s="36"/>
      <c r="N412" s="36"/>
      <c r="O412" s="117" t="s">
        <v>141</v>
      </c>
      <c r="P412" s="36"/>
      <c r="Q412" s="36"/>
      <c r="R412" s="36" t="s">
        <v>141</v>
      </c>
      <c r="S412" s="36"/>
      <c r="T412" s="36"/>
      <c r="U412" s="36"/>
      <c r="V412" s="36"/>
      <c r="W412" s="36"/>
      <c r="X412" s="36"/>
      <c r="Y412" s="36"/>
      <c r="Z412" s="36"/>
      <c r="AA412" s="117" t="s">
        <v>141</v>
      </c>
      <c r="AB412" s="36" t="s">
        <v>141</v>
      </c>
      <c r="AC412" s="117" t="s">
        <v>141</v>
      </c>
      <c r="AD412" s="36" t="s">
        <v>141</v>
      </c>
      <c r="AE412" s="36"/>
      <c r="AF412" s="117"/>
      <c r="AG412" s="36"/>
      <c r="AH412" s="36"/>
      <c r="AI412" s="117" t="s">
        <v>141</v>
      </c>
      <c r="AJ412" s="36" t="s">
        <v>141</v>
      </c>
      <c r="AK412" s="36" t="s">
        <v>141</v>
      </c>
      <c r="AL412" s="36" t="s">
        <v>141</v>
      </c>
      <c r="AM412" s="117" t="s">
        <v>141</v>
      </c>
      <c r="AN412" s="117" t="s">
        <v>141</v>
      </c>
      <c r="AO412" s="117"/>
      <c r="AP412" s="117"/>
      <c r="AQ412" s="117"/>
      <c r="AR412" s="117"/>
      <c r="AS412" s="117"/>
      <c r="AT412" s="117"/>
      <c r="AU412" s="117"/>
      <c r="AV412" s="119">
        <f t="shared" si="6"/>
        <v>14</v>
      </c>
      <c r="AW412" s="119"/>
      <c r="AX412" s="119" t="s">
        <v>2146</v>
      </c>
    </row>
    <row r="413" spans="1:50">
      <c r="A413">
        <v>383</v>
      </c>
      <c r="B413">
        <v>940</v>
      </c>
      <c r="C413">
        <v>413</v>
      </c>
      <c r="D413" s="7">
        <v>45873</v>
      </c>
      <c r="E413" s="7" t="s">
        <v>1530</v>
      </c>
      <c r="F413" s="10" t="s">
        <v>1528</v>
      </c>
      <c r="G413" s="36"/>
      <c r="H413" s="36"/>
      <c r="I413" s="36"/>
      <c r="J413" s="36" t="s">
        <v>141</v>
      </c>
      <c r="K413" s="36"/>
      <c r="L413" s="36"/>
      <c r="M413" s="36"/>
      <c r="N413" s="36" t="s">
        <v>141</v>
      </c>
      <c r="O413" s="117" t="s">
        <v>141</v>
      </c>
      <c r="P413" s="36"/>
      <c r="Q413" s="36"/>
      <c r="R413" s="36" t="s">
        <v>141</v>
      </c>
      <c r="S413" s="36"/>
      <c r="T413" s="36" t="s">
        <v>141</v>
      </c>
      <c r="U413" s="36"/>
      <c r="V413" s="36"/>
      <c r="W413" s="36"/>
      <c r="X413" s="36"/>
      <c r="Y413" s="36"/>
      <c r="Z413" s="36" t="s">
        <v>141</v>
      </c>
      <c r="AA413" s="117"/>
      <c r="AB413" s="36"/>
      <c r="AC413" s="117"/>
      <c r="AD413" s="36"/>
      <c r="AE413" s="36"/>
      <c r="AF413" s="117"/>
      <c r="AG413" s="36"/>
      <c r="AH413" s="36"/>
      <c r="AI413" s="117"/>
      <c r="AJ413" s="36" t="s">
        <v>141</v>
      </c>
      <c r="AK413" s="36"/>
      <c r="AL413" s="36"/>
      <c r="AM413" s="117" t="s">
        <v>141</v>
      </c>
      <c r="AN413" s="117" t="s">
        <v>141</v>
      </c>
      <c r="AO413" s="117"/>
      <c r="AP413" s="117"/>
      <c r="AQ413" s="117"/>
      <c r="AR413" s="117"/>
      <c r="AS413" s="117"/>
      <c r="AT413" s="117"/>
      <c r="AU413" s="117"/>
      <c r="AV413" s="119">
        <f t="shared" si="6"/>
        <v>9</v>
      </c>
      <c r="AW413" s="119"/>
      <c r="AX413" s="119" t="s">
        <v>2146</v>
      </c>
    </row>
    <row r="414" spans="1:50">
      <c r="A414" t="s">
        <v>57</v>
      </c>
      <c r="B414" t="s">
        <v>57</v>
      </c>
      <c r="C414">
        <v>414</v>
      </c>
      <c r="D414" s="161">
        <v>45873</v>
      </c>
      <c r="E414" s="161" t="s">
        <v>2136</v>
      </c>
      <c r="F414" s="162" t="s">
        <v>2130</v>
      </c>
      <c r="G414" s="163" t="s">
        <v>141</v>
      </c>
      <c r="H414" s="163" t="s">
        <v>141</v>
      </c>
      <c r="I414" s="163" t="s">
        <v>141</v>
      </c>
      <c r="J414" s="163" t="s">
        <v>141</v>
      </c>
      <c r="K414" s="163" t="s">
        <v>141</v>
      </c>
      <c r="L414" s="163"/>
      <c r="M414" s="163" t="s">
        <v>141</v>
      </c>
      <c r="N414" s="163" t="s">
        <v>141</v>
      </c>
      <c r="O414" s="164" t="s">
        <v>141</v>
      </c>
      <c r="P414" s="163" t="s">
        <v>141</v>
      </c>
      <c r="Q414" s="163" t="s">
        <v>2131</v>
      </c>
      <c r="R414" s="163" t="s">
        <v>141</v>
      </c>
      <c r="S414" s="163" t="s">
        <v>141</v>
      </c>
      <c r="T414" s="163" t="s">
        <v>141</v>
      </c>
      <c r="U414" s="163" t="s">
        <v>2131</v>
      </c>
      <c r="V414" s="163" t="s">
        <v>2131</v>
      </c>
      <c r="W414" s="163" t="s">
        <v>2131</v>
      </c>
      <c r="X414" s="163" t="s">
        <v>141</v>
      </c>
      <c r="Y414" s="163" t="s">
        <v>2131</v>
      </c>
      <c r="Z414" s="163" t="s">
        <v>141</v>
      </c>
      <c r="AA414" s="164" t="s">
        <v>2131</v>
      </c>
      <c r="AB414" s="163" t="s">
        <v>141</v>
      </c>
      <c r="AC414" s="164" t="s">
        <v>141</v>
      </c>
      <c r="AD414" s="163" t="s">
        <v>141</v>
      </c>
      <c r="AE414" s="163" t="s">
        <v>141</v>
      </c>
      <c r="AF414" s="164" t="s">
        <v>141</v>
      </c>
      <c r="AG414" s="163" t="s">
        <v>2131</v>
      </c>
      <c r="AH414" s="163" t="s">
        <v>141</v>
      </c>
      <c r="AI414" s="164" t="s">
        <v>141</v>
      </c>
      <c r="AJ414" s="163" t="s">
        <v>141</v>
      </c>
      <c r="AK414" s="163" t="s">
        <v>141</v>
      </c>
      <c r="AL414" s="163" t="s">
        <v>141</v>
      </c>
      <c r="AM414" s="164" t="s">
        <v>141</v>
      </c>
      <c r="AN414" s="164" t="s">
        <v>141</v>
      </c>
      <c r="AO414" s="164" t="s">
        <v>141</v>
      </c>
      <c r="AP414" s="164"/>
      <c r="AQ414" s="164"/>
      <c r="AR414" s="164" t="s">
        <v>2131</v>
      </c>
      <c r="AS414" s="164" t="s">
        <v>141</v>
      </c>
      <c r="AT414" s="164"/>
      <c r="AU414" s="164"/>
      <c r="AV414" s="119">
        <f t="shared" si="6"/>
        <v>28</v>
      </c>
      <c r="AW414" s="119"/>
      <c r="AX414" s="119" t="s">
        <v>2145</v>
      </c>
    </row>
    <row r="415" spans="1:50">
      <c r="A415">
        <v>384</v>
      </c>
      <c r="B415">
        <v>941</v>
      </c>
      <c r="C415">
        <v>415</v>
      </c>
      <c r="D415" s="7">
        <v>45874</v>
      </c>
      <c r="E415" s="7" t="s">
        <v>1532</v>
      </c>
      <c r="F415" s="10" t="s">
        <v>1531</v>
      </c>
      <c r="G415" s="36"/>
      <c r="H415" s="36" t="s">
        <v>141</v>
      </c>
      <c r="I415" s="36" t="s">
        <v>141</v>
      </c>
      <c r="J415" s="36"/>
      <c r="K415" s="36"/>
      <c r="L415" s="36"/>
      <c r="M415" s="36"/>
      <c r="N415" s="36"/>
      <c r="O415" s="117" t="s">
        <v>141</v>
      </c>
      <c r="P415" s="36"/>
      <c r="Q415" s="36"/>
      <c r="R415" s="36"/>
      <c r="S415" s="36"/>
      <c r="T415" s="36" t="s">
        <v>141</v>
      </c>
      <c r="U415" s="36"/>
      <c r="V415" s="36"/>
      <c r="W415" s="36"/>
      <c r="X415" s="36"/>
      <c r="Y415" s="36"/>
      <c r="Z415" s="36" t="s">
        <v>141</v>
      </c>
      <c r="AA415" s="117"/>
      <c r="AB415" s="36" t="s">
        <v>141</v>
      </c>
      <c r="AC415" s="117"/>
      <c r="AD415" s="36" t="s">
        <v>141</v>
      </c>
      <c r="AE415" s="36"/>
      <c r="AF415" s="117"/>
      <c r="AG415" s="36"/>
      <c r="AH415" s="36"/>
      <c r="AI415" s="117"/>
      <c r="AJ415" s="36"/>
      <c r="AK415" s="36"/>
      <c r="AL415" s="36"/>
      <c r="AM415" s="117" t="s">
        <v>141</v>
      </c>
      <c r="AN415" s="117" t="s">
        <v>141</v>
      </c>
      <c r="AO415" s="117" t="s">
        <v>141</v>
      </c>
      <c r="AP415" s="117"/>
      <c r="AQ415" s="117"/>
      <c r="AR415" s="117"/>
      <c r="AS415" s="117"/>
      <c r="AT415" s="117"/>
      <c r="AU415" s="117"/>
      <c r="AV415" s="119">
        <f t="shared" si="6"/>
        <v>10</v>
      </c>
      <c r="AW415" s="119"/>
      <c r="AX415" s="119" t="s">
        <v>2146</v>
      </c>
    </row>
    <row r="416" spans="1:50">
      <c r="A416">
        <v>385</v>
      </c>
      <c r="B416">
        <v>942</v>
      </c>
      <c r="C416">
        <v>416</v>
      </c>
      <c r="D416" s="7">
        <v>45874</v>
      </c>
      <c r="E416" s="7" t="s">
        <v>1534</v>
      </c>
      <c r="F416" s="10" t="s">
        <v>1533</v>
      </c>
      <c r="G416" s="36" t="s">
        <v>141</v>
      </c>
      <c r="H416" s="36" t="s">
        <v>141</v>
      </c>
      <c r="I416" s="36"/>
      <c r="J416" s="36"/>
      <c r="K416" s="36"/>
      <c r="L416" s="36"/>
      <c r="M416" s="36" t="s">
        <v>141</v>
      </c>
      <c r="N416" s="36"/>
      <c r="O416" s="117" t="s">
        <v>141</v>
      </c>
      <c r="P416" s="36" t="s">
        <v>141</v>
      </c>
      <c r="Q416" s="36" t="s">
        <v>141</v>
      </c>
      <c r="R416" s="36"/>
      <c r="S416" s="36"/>
      <c r="T416" s="36" t="s">
        <v>141</v>
      </c>
      <c r="U416" s="36"/>
      <c r="V416" s="36"/>
      <c r="W416" s="36"/>
      <c r="X416" s="36"/>
      <c r="Y416" s="36"/>
      <c r="Z416" s="36" t="s">
        <v>141</v>
      </c>
      <c r="AA416" s="117"/>
      <c r="AB416" s="36"/>
      <c r="AC416" s="117"/>
      <c r="AD416" s="36"/>
      <c r="AE416" s="36"/>
      <c r="AF416" s="117"/>
      <c r="AG416" s="36"/>
      <c r="AH416" s="36"/>
      <c r="AI416" s="117" t="s">
        <v>141</v>
      </c>
      <c r="AJ416" s="36"/>
      <c r="AK416" s="36"/>
      <c r="AL416" s="36"/>
      <c r="AM416" s="117" t="s">
        <v>141</v>
      </c>
      <c r="AN416" s="117" t="s">
        <v>141</v>
      </c>
      <c r="AO416" s="117"/>
      <c r="AP416" s="117"/>
      <c r="AQ416" s="117"/>
      <c r="AR416" s="117"/>
      <c r="AS416" s="117"/>
      <c r="AT416" s="117"/>
      <c r="AU416" s="117"/>
      <c r="AV416" s="119">
        <f t="shared" si="6"/>
        <v>11</v>
      </c>
      <c r="AW416" s="119"/>
      <c r="AX416" s="119" t="s">
        <v>2146</v>
      </c>
    </row>
    <row r="417" spans="1:50">
      <c r="A417">
        <v>386</v>
      </c>
      <c r="B417">
        <v>943</v>
      </c>
      <c r="C417">
        <v>417</v>
      </c>
      <c r="D417" s="7">
        <v>45874</v>
      </c>
      <c r="E417" s="7" t="s">
        <v>1536</v>
      </c>
      <c r="F417" s="10" t="s">
        <v>1535</v>
      </c>
      <c r="G417" s="36"/>
      <c r="H417" s="36" t="s">
        <v>141</v>
      </c>
      <c r="I417" s="36" t="s">
        <v>141</v>
      </c>
      <c r="J417" s="36" t="s">
        <v>141</v>
      </c>
      <c r="K417" s="36"/>
      <c r="L417" s="36"/>
      <c r="M417" s="36"/>
      <c r="N417" s="36" t="s">
        <v>141</v>
      </c>
      <c r="O417" s="117" t="s">
        <v>141</v>
      </c>
      <c r="P417" s="36" t="s">
        <v>141</v>
      </c>
      <c r="Q417" s="36" t="s">
        <v>141</v>
      </c>
      <c r="R417" s="36"/>
      <c r="S417" s="36"/>
      <c r="T417" s="36" t="s">
        <v>141</v>
      </c>
      <c r="U417" s="36"/>
      <c r="V417" s="36"/>
      <c r="W417" s="36"/>
      <c r="X417" s="36" t="s">
        <v>141</v>
      </c>
      <c r="Y417" s="36"/>
      <c r="Z417" s="36" t="s">
        <v>141</v>
      </c>
      <c r="AA417" s="117"/>
      <c r="AB417" s="36"/>
      <c r="AC417" s="117"/>
      <c r="AD417" s="36" t="s">
        <v>141</v>
      </c>
      <c r="AE417" s="36"/>
      <c r="AF417" s="117"/>
      <c r="AG417" s="36"/>
      <c r="AH417" s="36" t="s">
        <v>141</v>
      </c>
      <c r="AI417" s="117" t="s">
        <v>141</v>
      </c>
      <c r="AJ417" s="36"/>
      <c r="AK417" s="36" t="s">
        <v>141</v>
      </c>
      <c r="AL417" s="36"/>
      <c r="AM417" s="117"/>
      <c r="AN417" s="117"/>
      <c r="AO417" s="117"/>
      <c r="AP417" s="117"/>
      <c r="AQ417" s="117"/>
      <c r="AR417" s="117"/>
      <c r="AS417" s="117"/>
      <c r="AT417" s="117"/>
      <c r="AU417" s="117"/>
      <c r="AV417" s="119">
        <f t="shared" si="6"/>
        <v>14</v>
      </c>
      <c r="AW417" s="119"/>
      <c r="AX417" s="119" t="s">
        <v>2146</v>
      </c>
    </row>
    <row r="418" spans="1:50">
      <c r="A418">
        <v>387</v>
      </c>
      <c r="B418">
        <v>944</v>
      </c>
      <c r="C418">
        <v>418</v>
      </c>
      <c r="D418" s="7">
        <v>45877</v>
      </c>
      <c r="E418" s="7" t="s">
        <v>1538</v>
      </c>
      <c r="F418" s="10" t="s">
        <v>1537</v>
      </c>
      <c r="G418" s="36" t="s">
        <v>141</v>
      </c>
      <c r="H418" s="36" t="s">
        <v>141</v>
      </c>
      <c r="I418" s="36"/>
      <c r="J418" s="36" t="s">
        <v>141</v>
      </c>
      <c r="K418" s="36"/>
      <c r="L418" s="36"/>
      <c r="M418" s="36"/>
      <c r="N418" s="36"/>
      <c r="O418" s="117" t="s">
        <v>141</v>
      </c>
      <c r="P418" s="36" t="s">
        <v>141</v>
      </c>
      <c r="Q418" s="36"/>
      <c r="R418" s="36" t="s">
        <v>141</v>
      </c>
      <c r="S418" s="36"/>
      <c r="T418" s="36"/>
      <c r="U418" s="36"/>
      <c r="V418" s="36"/>
      <c r="W418" s="36"/>
      <c r="X418" s="36"/>
      <c r="Y418" s="36"/>
      <c r="Z418" s="36"/>
      <c r="AA418" s="117"/>
      <c r="AB418" s="36"/>
      <c r="AC418" s="117"/>
      <c r="AD418" s="36"/>
      <c r="AE418" s="36"/>
      <c r="AF418" s="117"/>
      <c r="AG418" s="36"/>
      <c r="AH418" s="36" t="s">
        <v>141</v>
      </c>
      <c r="AI418" s="117"/>
      <c r="AJ418" s="36"/>
      <c r="AK418" s="36" t="s">
        <v>141</v>
      </c>
      <c r="AL418" s="36"/>
      <c r="AM418" s="117" t="s">
        <v>141</v>
      </c>
      <c r="AN418" s="117" t="s">
        <v>141</v>
      </c>
      <c r="AO418" s="117"/>
      <c r="AP418" s="117"/>
      <c r="AQ418" s="117"/>
      <c r="AR418" s="117"/>
      <c r="AS418" s="117"/>
      <c r="AT418" s="117"/>
      <c r="AU418" s="117"/>
      <c r="AV418" s="119">
        <f t="shared" si="6"/>
        <v>10</v>
      </c>
      <c r="AW418" s="119"/>
      <c r="AX418" s="119" t="s">
        <v>2146</v>
      </c>
    </row>
    <row r="419" spans="1:50">
      <c r="A419">
        <v>388</v>
      </c>
      <c r="B419">
        <v>945</v>
      </c>
      <c r="C419">
        <v>419</v>
      </c>
      <c r="D419" s="7">
        <v>45879</v>
      </c>
      <c r="E419" s="7" t="s">
        <v>1540</v>
      </c>
      <c r="F419" s="10" t="s">
        <v>1539</v>
      </c>
      <c r="G419" s="36" t="s">
        <v>141</v>
      </c>
      <c r="H419" s="36"/>
      <c r="I419" s="36" t="s">
        <v>141</v>
      </c>
      <c r="J419" s="36"/>
      <c r="K419" s="36"/>
      <c r="L419" s="36"/>
      <c r="M419" s="36"/>
      <c r="N419" s="36" t="s">
        <v>141</v>
      </c>
      <c r="O419" s="117"/>
      <c r="P419" s="36"/>
      <c r="Q419" s="36" t="s">
        <v>141</v>
      </c>
      <c r="R419" s="36" t="s">
        <v>141</v>
      </c>
      <c r="S419" s="36"/>
      <c r="T419" s="36"/>
      <c r="U419" s="36"/>
      <c r="V419" s="36"/>
      <c r="W419" s="36"/>
      <c r="X419" s="36"/>
      <c r="Y419" s="36"/>
      <c r="Z419" s="36" t="s">
        <v>141</v>
      </c>
      <c r="AA419" s="117" t="s">
        <v>141</v>
      </c>
      <c r="AB419" s="36" t="s">
        <v>141</v>
      </c>
      <c r="AC419" s="117"/>
      <c r="AD419" s="36"/>
      <c r="AE419" s="36"/>
      <c r="AF419" s="117"/>
      <c r="AG419" s="36"/>
      <c r="AH419" s="36"/>
      <c r="AI419" s="117"/>
      <c r="AJ419" s="36" t="s">
        <v>141</v>
      </c>
      <c r="AK419" s="36"/>
      <c r="AL419" s="36" t="s">
        <v>141</v>
      </c>
      <c r="AM419" s="117"/>
      <c r="AN419" s="117"/>
      <c r="AO419" s="117"/>
      <c r="AP419" s="117"/>
      <c r="AQ419" s="117"/>
      <c r="AR419" s="117"/>
      <c r="AS419" s="117"/>
      <c r="AT419" s="117"/>
      <c r="AU419" s="117"/>
      <c r="AV419" s="119">
        <f t="shared" si="6"/>
        <v>10</v>
      </c>
      <c r="AW419" s="119"/>
      <c r="AX419" s="119" t="s">
        <v>2146</v>
      </c>
    </row>
    <row r="420" spans="1:50">
      <c r="A420">
        <v>389</v>
      </c>
      <c r="B420">
        <v>946</v>
      </c>
      <c r="C420">
        <v>420</v>
      </c>
      <c r="D420" s="7">
        <v>45879</v>
      </c>
      <c r="E420" s="7" t="s">
        <v>1542</v>
      </c>
      <c r="F420" s="10" t="s">
        <v>1541</v>
      </c>
      <c r="G420" s="36"/>
      <c r="H420" s="36" t="s">
        <v>141</v>
      </c>
      <c r="I420" s="36" t="s">
        <v>141</v>
      </c>
      <c r="J420" s="36"/>
      <c r="K420" s="36"/>
      <c r="L420" s="36"/>
      <c r="M420" s="36"/>
      <c r="N420" s="36" t="s">
        <v>141</v>
      </c>
      <c r="O420" s="117"/>
      <c r="P420" s="36" t="s">
        <v>141</v>
      </c>
      <c r="Q420" s="36"/>
      <c r="R420" s="36" t="s">
        <v>141</v>
      </c>
      <c r="S420" s="36"/>
      <c r="T420" s="36" t="s">
        <v>141</v>
      </c>
      <c r="U420" s="36" t="s">
        <v>141</v>
      </c>
      <c r="V420" s="36"/>
      <c r="W420" s="36"/>
      <c r="X420" s="36"/>
      <c r="Y420" s="36"/>
      <c r="Z420" s="36"/>
      <c r="AA420" s="117" t="s">
        <v>141</v>
      </c>
      <c r="AB420" s="36"/>
      <c r="AC420" s="117" t="s">
        <v>141</v>
      </c>
      <c r="AD420" s="36"/>
      <c r="AE420" s="36" t="s">
        <v>141</v>
      </c>
      <c r="AF420" s="117"/>
      <c r="AG420" s="36" t="s">
        <v>141</v>
      </c>
      <c r="AH420" s="36"/>
      <c r="AI420" s="117"/>
      <c r="AJ420" s="36"/>
      <c r="AK420" s="36"/>
      <c r="AL420" s="36"/>
      <c r="AM420" s="117" t="s">
        <v>141</v>
      </c>
      <c r="AN420" s="117" t="s">
        <v>141</v>
      </c>
      <c r="AO420" s="117"/>
      <c r="AP420" s="117"/>
      <c r="AQ420" s="117"/>
      <c r="AR420" s="117"/>
      <c r="AS420" s="117"/>
      <c r="AT420" s="117"/>
      <c r="AU420" s="117"/>
      <c r="AV420" s="119">
        <f t="shared" si="6"/>
        <v>13</v>
      </c>
      <c r="AW420" s="119"/>
      <c r="AX420" s="119" t="s">
        <v>2146</v>
      </c>
    </row>
    <row r="421" spans="1:50">
      <c r="A421">
        <v>390</v>
      </c>
      <c r="B421">
        <v>947</v>
      </c>
      <c r="C421">
        <v>421</v>
      </c>
      <c r="D421" s="7">
        <v>45879</v>
      </c>
      <c r="E421" s="7" t="s">
        <v>1544</v>
      </c>
      <c r="F421" s="10" t="s">
        <v>1543</v>
      </c>
      <c r="G421" s="36"/>
      <c r="H421" s="36" t="s">
        <v>141</v>
      </c>
      <c r="I421" s="36" t="s">
        <v>141</v>
      </c>
      <c r="J421" s="36" t="s">
        <v>141</v>
      </c>
      <c r="K421" s="36"/>
      <c r="L421" s="36"/>
      <c r="M421" s="36"/>
      <c r="N421" s="36"/>
      <c r="O421" s="117" t="s">
        <v>141</v>
      </c>
      <c r="P421" s="36" t="s">
        <v>141</v>
      </c>
      <c r="Q421" s="36"/>
      <c r="R421" s="36"/>
      <c r="S421" s="36"/>
      <c r="T421" s="36" t="s">
        <v>141</v>
      </c>
      <c r="U421" s="36"/>
      <c r="V421" s="36"/>
      <c r="W421" s="36"/>
      <c r="X421" s="36" t="s">
        <v>141</v>
      </c>
      <c r="Y421" s="36"/>
      <c r="Z421" s="36"/>
      <c r="AA421" s="117"/>
      <c r="AB421" s="36"/>
      <c r="AC421" s="117" t="s">
        <v>141</v>
      </c>
      <c r="AD421" s="36"/>
      <c r="AE421" s="36"/>
      <c r="AF421" s="117"/>
      <c r="AG421" s="36"/>
      <c r="AH421" s="36"/>
      <c r="AI421" s="117"/>
      <c r="AJ421" s="36"/>
      <c r="AK421" s="36" t="s">
        <v>141</v>
      </c>
      <c r="AL421" s="36"/>
      <c r="AM421" s="117" t="s">
        <v>141</v>
      </c>
      <c r="AN421" s="117" t="s">
        <v>141</v>
      </c>
      <c r="AO421" s="117"/>
      <c r="AP421" s="117"/>
      <c r="AQ421" s="117"/>
      <c r="AR421" s="117"/>
      <c r="AS421" s="117"/>
      <c r="AT421" s="117"/>
      <c r="AU421" s="117"/>
      <c r="AV421" s="119">
        <f t="shared" si="6"/>
        <v>11</v>
      </c>
      <c r="AW421" s="119"/>
      <c r="AX421" s="119" t="s">
        <v>2146</v>
      </c>
    </row>
    <row r="422" spans="1:50">
      <c r="A422">
        <v>391</v>
      </c>
      <c r="B422">
        <v>948</v>
      </c>
      <c r="C422">
        <v>422</v>
      </c>
      <c r="D422" s="7">
        <v>45879</v>
      </c>
      <c r="E422" s="7" t="s">
        <v>1547</v>
      </c>
      <c r="F422" s="10" t="s">
        <v>1546</v>
      </c>
      <c r="G422" s="36"/>
      <c r="H422" s="36" t="s">
        <v>141</v>
      </c>
      <c r="I422" s="36"/>
      <c r="J422" s="36" t="s">
        <v>141</v>
      </c>
      <c r="K422" s="36"/>
      <c r="L422" s="36"/>
      <c r="M422" s="36"/>
      <c r="N422" s="36"/>
      <c r="O422" s="117" t="s">
        <v>141</v>
      </c>
      <c r="P422" s="36" t="s">
        <v>141</v>
      </c>
      <c r="Q422" s="36" t="s">
        <v>141</v>
      </c>
      <c r="R422" s="36"/>
      <c r="S422" s="36"/>
      <c r="T422" s="36"/>
      <c r="U422" s="36"/>
      <c r="V422" s="36"/>
      <c r="W422" s="36"/>
      <c r="X422" s="36" t="s">
        <v>141</v>
      </c>
      <c r="Y422" s="36"/>
      <c r="Z422" s="36" t="s">
        <v>141</v>
      </c>
      <c r="AA422" s="117"/>
      <c r="AB422" s="36" t="s">
        <v>141</v>
      </c>
      <c r="AC422" s="117"/>
      <c r="AD422" s="36"/>
      <c r="AE422" s="36" t="s">
        <v>141</v>
      </c>
      <c r="AF422" s="117"/>
      <c r="AG422" s="36"/>
      <c r="AH422" s="36"/>
      <c r="AI422" s="117"/>
      <c r="AJ422" s="36" t="s">
        <v>141</v>
      </c>
      <c r="AK422" s="36"/>
      <c r="AL422" s="36"/>
      <c r="AM422" s="117"/>
      <c r="AN422" s="117"/>
      <c r="AO422" s="117"/>
      <c r="AP422" s="117"/>
      <c r="AQ422" s="117"/>
      <c r="AR422" s="117"/>
      <c r="AS422" s="117"/>
      <c r="AT422" s="117"/>
      <c r="AU422" s="117"/>
      <c r="AV422" s="119">
        <f t="shared" si="6"/>
        <v>10</v>
      </c>
      <c r="AW422" s="119"/>
      <c r="AX422" s="119" t="s">
        <v>2146</v>
      </c>
    </row>
    <row r="423" spans="1:50">
      <c r="A423">
        <v>392</v>
      </c>
      <c r="B423">
        <v>949</v>
      </c>
      <c r="C423">
        <v>423</v>
      </c>
      <c r="D423" s="7">
        <v>45879</v>
      </c>
      <c r="E423" s="7" t="s">
        <v>1549</v>
      </c>
      <c r="F423" s="10" t="s">
        <v>1548</v>
      </c>
      <c r="G423" s="36"/>
      <c r="H423" s="36" t="s">
        <v>141</v>
      </c>
      <c r="I423" s="36" t="s">
        <v>141</v>
      </c>
      <c r="J423" s="36" t="s">
        <v>141</v>
      </c>
      <c r="K423" s="36"/>
      <c r="L423" s="36"/>
      <c r="M423" s="36"/>
      <c r="N423" s="36" t="s">
        <v>141</v>
      </c>
      <c r="O423" s="117" t="s">
        <v>141</v>
      </c>
      <c r="P423" s="36" t="s">
        <v>141</v>
      </c>
      <c r="Q423" s="36"/>
      <c r="R423" s="36"/>
      <c r="S423" s="36"/>
      <c r="T423" s="36"/>
      <c r="U423" s="36" t="s">
        <v>141</v>
      </c>
      <c r="V423" s="36"/>
      <c r="W423" s="36" t="s">
        <v>141</v>
      </c>
      <c r="X423" s="36" t="s">
        <v>141</v>
      </c>
      <c r="Y423" s="36"/>
      <c r="Z423" s="36" t="s">
        <v>141</v>
      </c>
      <c r="AA423" s="117"/>
      <c r="AB423" s="36" t="s">
        <v>141</v>
      </c>
      <c r="AC423" s="117"/>
      <c r="AD423" s="36"/>
      <c r="AE423" s="36" t="s">
        <v>141</v>
      </c>
      <c r="AF423" s="117"/>
      <c r="AG423" s="36"/>
      <c r="AH423" s="36"/>
      <c r="AI423" s="117"/>
      <c r="AJ423" s="36"/>
      <c r="AK423" s="36" t="s">
        <v>141</v>
      </c>
      <c r="AL423" s="36"/>
      <c r="AM423" s="117"/>
      <c r="AN423" s="117"/>
      <c r="AO423" s="117"/>
      <c r="AP423" s="117"/>
      <c r="AQ423" s="117"/>
      <c r="AR423" s="117"/>
      <c r="AS423" s="117"/>
      <c r="AT423" s="117"/>
      <c r="AU423" s="117"/>
      <c r="AV423" s="119">
        <f t="shared" si="6"/>
        <v>13</v>
      </c>
      <c r="AW423" s="119"/>
      <c r="AX423" s="119" t="s">
        <v>2146</v>
      </c>
    </row>
    <row r="424" spans="1:50">
      <c r="A424">
        <v>393</v>
      </c>
      <c r="B424">
        <v>950</v>
      </c>
      <c r="C424">
        <v>424</v>
      </c>
      <c r="D424" s="7">
        <v>45880</v>
      </c>
      <c r="E424" s="7" t="s">
        <v>1551</v>
      </c>
      <c r="F424" s="10" t="s">
        <v>1550</v>
      </c>
      <c r="G424" s="36"/>
      <c r="H424" s="36"/>
      <c r="I424" s="36" t="s">
        <v>141</v>
      </c>
      <c r="J424" s="36" t="s">
        <v>141</v>
      </c>
      <c r="K424" s="36"/>
      <c r="L424" s="36"/>
      <c r="M424" s="36"/>
      <c r="N424" s="36"/>
      <c r="O424" s="117" t="s">
        <v>141</v>
      </c>
      <c r="P424" s="36" t="s">
        <v>141</v>
      </c>
      <c r="Q424" s="36" t="s">
        <v>141</v>
      </c>
      <c r="R424" s="36"/>
      <c r="S424" s="36"/>
      <c r="T424" s="36" t="s">
        <v>141</v>
      </c>
      <c r="U424" s="36"/>
      <c r="V424" s="36"/>
      <c r="W424" s="36"/>
      <c r="X424" s="36"/>
      <c r="Y424" s="36"/>
      <c r="Z424" s="36"/>
      <c r="AA424" s="117"/>
      <c r="AB424" s="36"/>
      <c r="AC424" s="117"/>
      <c r="AD424" s="36"/>
      <c r="AE424" s="36" t="s">
        <v>141</v>
      </c>
      <c r="AF424" s="117"/>
      <c r="AG424" s="36"/>
      <c r="AH424" s="36"/>
      <c r="AI424" s="117"/>
      <c r="AJ424" s="36"/>
      <c r="AK424" s="36"/>
      <c r="AL424" s="36"/>
      <c r="AM424" s="117"/>
      <c r="AN424" s="117"/>
      <c r="AO424" s="117"/>
      <c r="AP424" s="117"/>
      <c r="AQ424" s="117"/>
      <c r="AR424" s="117"/>
      <c r="AS424" s="117"/>
      <c r="AT424" s="117"/>
      <c r="AU424" s="117"/>
      <c r="AV424" s="119">
        <f t="shared" si="6"/>
        <v>7</v>
      </c>
      <c r="AW424" s="119"/>
      <c r="AX424" s="119" t="s">
        <v>2146</v>
      </c>
    </row>
    <row r="425" spans="1:50">
      <c r="A425">
        <v>394</v>
      </c>
      <c r="B425">
        <v>951</v>
      </c>
      <c r="C425">
        <v>425</v>
      </c>
      <c r="D425" s="7">
        <v>45880</v>
      </c>
      <c r="E425" s="7" t="s">
        <v>1554</v>
      </c>
      <c r="F425" s="10" t="s">
        <v>1552</v>
      </c>
      <c r="G425" s="36"/>
      <c r="H425" s="36" t="s">
        <v>141</v>
      </c>
      <c r="I425" s="36"/>
      <c r="J425" s="36" t="s">
        <v>141</v>
      </c>
      <c r="K425" s="36"/>
      <c r="L425" s="36"/>
      <c r="M425" s="36" t="s">
        <v>141</v>
      </c>
      <c r="N425" s="36" t="s">
        <v>141</v>
      </c>
      <c r="O425" s="117" t="s">
        <v>141</v>
      </c>
      <c r="P425" s="36" t="s">
        <v>141</v>
      </c>
      <c r="Q425" s="36"/>
      <c r="R425" s="36" t="s">
        <v>141</v>
      </c>
      <c r="S425" s="36" t="s">
        <v>141</v>
      </c>
      <c r="T425" s="36" t="s">
        <v>141</v>
      </c>
      <c r="U425" s="36"/>
      <c r="V425" s="36"/>
      <c r="W425" s="36"/>
      <c r="X425" s="36" t="s">
        <v>141</v>
      </c>
      <c r="Y425" s="36" t="s">
        <v>141</v>
      </c>
      <c r="Z425" s="36" t="s">
        <v>141</v>
      </c>
      <c r="AA425" s="117" t="s">
        <v>141</v>
      </c>
      <c r="AB425" s="36"/>
      <c r="AC425" s="117"/>
      <c r="AD425" s="36"/>
      <c r="AE425" s="36" t="s">
        <v>141</v>
      </c>
      <c r="AF425" s="117"/>
      <c r="AG425" s="36"/>
      <c r="AH425" s="36" t="s">
        <v>141</v>
      </c>
      <c r="AI425" s="117"/>
      <c r="AJ425" s="36"/>
      <c r="AK425" s="36"/>
      <c r="AL425" s="36"/>
      <c r="AM425" s="117"/>
      <c r="AN425" s="117"/>
      <c r="AO425" s="117"/>
      <c r="AP425" s="117"/>
      <c r="AQ425" s="117"/>
      <c r="AR425" s="117"/>
      <c r="AS425" s="117"/>
      <c r="AT425" s="117"/>
      <c r="AU425" s="117"/>
      <c r="AV425" s="119">
        <f t="shared" si="6"/>
        <v>15</v>
      </c>
      <c r="AW425" s="119"/>
      <c r="AX425" s="119" t="s">
        <v>2146</v>
      </c>
    </row>
    <row r="426" spans="1:50">
      <c r="A426" t="s">
        <v>57</v>
      </c>
      <c r="B426" t="s">
        <v>57</v>
      </c>
      <c r="C426">
        <v>426</v>
      </c>
      <c r="D426" s="7">
        <v>45880</v>
      </c>
      <c r="E426" s="7" t="s">
        <v>2129</v>
      </c>
      <c r="F426" s="10" t="s">
        <v>2130</v>
      </c>
      <c r="G426" s="36" t="s">
        <v>2131</v>
      </c>
      <c r="H426" s="36" t="s">
        <v>141</v>
      </c>
      <c r="I426" s="36" t="s">
        <v>141</v>
      </c>
      <c r="J426" s="36" t="s">
        <v>141</v>
      </c>
      <c r="K426" s="36" t="s">
        <v>141</v>
      </c>
      <c r="L426" s="36" t="s">
        <v>2132</v>
      </c>
      <c r="M426" s="36" t="s">
        <v>141</v>
      </c>
      <c r="N426" s="36" t="s">
        <v>141</v>
      </c>
      <c r="O426" s="117" t="s">
        <v>141</v>
      </c>
      <c r="P426" s="36" t="s">
        <v>141</v>
      </c>
      <c r="Q426" s="36" t="s">
        <v>141</v>
      </c>
      <c r="R426" s="36" t="s">
        <v>141</v>
      </c>
      <c r="S426" s="36" t="s">
        <v>141</v>
      </c>
      <c r="T426" s="36" t="s">
        <v>141</v>
      </c>
      <c r="U426" s="36" t="s">
        <v>141</v>
      </c>
      <c r="V426" s="36" t="s">
        <v>2131</v>
      </c>
      <c r="W426" s="36" t="s">
        <v>2131</v>
      </c>
      <c r="X426" s="36" t="s">
        <v>141</v>
      </c>
      <c r="Y426" s="36" t="s">
        <v>141</v>
      </c>
      <c r="Z426" s="36" t="s">
        <v>141</v>
      </c>
      <c r="AA426" s="117" t="s">
        <v>141</v>
      </c>
      <c r="AB426" s="36" t="s">
        <v>141</v>
      </c>
      <c r="AC426" s="117" t="s">
        <v>2131</v>
      </c>
      <c r="AD426" s="36" t="s">
        <v>141</v>
      </c>
      <c r="AE426" s="36" t="s">
        <v>141</v>
      </c>
      <c r="AF426" s="117" t="s">
        <v>2131</v>
      </c>
      <c r="AG426" s="36" t="s">
        <v>2131</v>
      </c>
      <c r="AH426" s="36" t="s">
        <v>141</v>
      </c>
      <c r="AI426" s="117" t="s">
        <v>141</v>
      </c>
      <c r="AJ426" s="36" t="s">
        <v>141</v>
      </c>
      <c r="AK426" s="36" t="s">
        <v>141</v>
      </c>
      <c r="AL426" s="36" t="s">
        <v>141</v>
      </c>
      <c r="AM426" s="117" t="s">
        <v>141</v>
      </c>
      <c r="AN426" s="117" t="s">
        <v>141</v>
      </c>
      <c r="AO426" s="117" t="s">
        <v>2131</v>
      </c>
      <c r="AP426" s="117"/>
      <c r="AQ426" s="117"/>
      <c r="AR426" s="117" t="s">
        <v>2131</v>
      </c>
      <c r="AS426" s="117" t="s">
        <v>141</v>
      </c>
      <c r="AT426" s="117"/>
      <c r="AU426" s="117"/>
      <c r="AV426" s="119">
        <f t="shared" si="6"/>
        <v>28</v>
      </c>
      <c r="AW426" s="119"/>
      <c r="AX426" s="119" t="s">
        <v>2147</v>
      </c>
    </row>
    <row r="427" spans="1:50">
      <c r="A427">
        <v>395</v>
      </c>
      <c r="B427">
        <v>952</v>
      </c>
      <c r="C427">
        <v>427</v>
      </c>
      <c r="D427" s="7">
        <v>45880</v>
      </c>
      <c r="E427" s="7" t="s">
        <v>1556</v>
      </c>
      <c r="F427" s="10" t="s">
        <v>1555</v>
      </c>
      <c r="G427" s="36"/>
      <c r="H427" s="36"/>
      <c r="I427" s="36"/>
      <c r="J427" s="36" t="s">
        <v>141</v>
      </c>
      <c r="K427" s="36"/>
      <c r="L427" s="36"/>
      <c r="M427" s="36" t="s">
        <v>141</v>
      </c>
      <c r="N427" s="36"/>
      <c r="O427" s="117"/>
      <c r="P427" s="36"/>
      <c r="Q427" s="36"/>
      <c r="R427" s="36" t="s">
        <v>141</v>
      </c>
      <c r="S427" s="36"/>
      <c r="T427" s="36" t="s">
        <v>141</v>
      </c>
      <c r="U427" s="36"/>
      <c r="V427" s="36"/>
      <c r="W427" s="36" t="s">
        <v>141</v>
      </c>
      <c r="X427" s="36" t="s">
        <v>141</v>
      </c>
      <c r="Y427" s="36"/>
      <c r="Z427" s="36" t="s">
        <v>141</v>
      </c>
      <c r="AA427" s="117"/>
      <c r="AB427" s="36"/>
      <c r="AC427" s="117"/>
      <c r="AD427" s="36"/>
      <c r="AE427" s="36"/>
      <c r="AF427" s="117"/>
      <c r="AG427" s="36"/>
      <c r="AH427" s="36"/>
      <c r="AI427" s="117" t="s">
        <v>141</v>
      </c>
      <c r="AJ427" s="36"/>
      <c r="AK427" s="36"/>
      <c r="AL427" s="36"/>
      <c r="AM427" s="117" t="s">
        <v>141</v>
      </c>
      <c r="AN427" s="117" t="s">
        <v>141</v>
      </c>
      <c r="AO427" s="117"/>
      <c r="AP427" s="117"/>
      <c r="AQ427" s="117"/>
      <c r="AR427" s="117"/>
      <c r="AS427" s="117"/>
      <c r="AT427" s="117"/>
      <c r="AU427" s="117"/>
      <c r="AV427" s="119">
        <f t="shared" si="6"/>
        <v>10</v>
      </c>
      <c r="AW427" s="119"/>
    </row>
    <row r="428" spans="1:50">
      <c r="A428">
        <v>396</v>
      </c>
      <c r="B428">
        <v>953</v>
      </c>
      <c r="C428">
        <v>428</v>
      </c>
      <c r="D428" s="7">
        <v>45883</v>
      </c>
      <c r="E428" s="7" t="s">
        <v>1558</v>
      </c>
      <c r="F428" s="10" t="s">
        <v>1557</v>
      </c>
      <c r="G428" s="36"/>
      <c r="H428" s="36" t="s">
        <v>141</v>
      </c>
      <c r="I428" s="36"/>
      <c r="J428" s="36" t="s">
        <v>141</v>
      </c>
      <c r="K428" s="36"/>
      <c r="L428" s="36"/>
      <c r="M428" s="36" t="s">
        <v>141</v>
      </c>
      <c r="N428" s="36"/>
      <c r="O428" s="117"/>
      <c r="P428" s="36" t="s">
        <v>141</v>
      </c>
      <c r="Q428" s="36" t="s">
        <v>141</v>
      </c>
      <c r="R428" s="36"/>
      <c r="S428" s="36"/>
      <c r="T428" s="36" t="s">
        <v>141</v>
      </c>
      <c r="U428" s="36"/>
      <c r="V428" s="36"/>
      <c r="W428" s="36" t="s">
        <v>141</v>
      </c>
      <c r="X428" s="36"/>
      <c r="Y428" s="36"/>
      <c r="Z428" s="36"/>
      <c r="AA428" s="117" t="s">
        <v>141</v>
      </c>
      <c r="AB428" s="36"/>
      <c r="AC428" s="117"/>
      <c r="AD428" s="36"/>
      <c r="AE428" s="36"/>
      <c r="AF428" s="117" t="s">
        <v>141</v>
      </c>
      <c r="AG428" s="36" t="s">
        <v>141</v>
      </c>
      <c r="AH428" s="36" t="s">
        <v>141</v>
      </c>
      <c r="AI428" s="117" t="s">
        <v>141</v>
      </c>
      <c r="AJ428" s="36"/>
      <c r="AK428" s="36"/>
      <c r="AL428" s="36"/>
      <c r="AM428" s="117" t="s">
        <v>141</v>
      </c>
      <c r="AN428" s="117" t="s">
        <v>141</v>
      </c>
      <c r="AO428" s="117"/>
      <c r="AP428" s="117"/>
      <c r="AQ428" s="117"/>
      <c r="AR428" s="117"/>
      <c r="AS428" s="117"/>
      <c r="AT428" s="117"/>
      <c r="AU428" s="117"/>
      <c r="AV428" s="119">
        <f t="shared" si="6"/>
        <v>14</v>
      </c>
      <c r="AW428" s="119"/>
    </row>
    <row r="429" spans="1:50">
      <c r="A429">
        <v>397</v>
      </c>
      <c r="B429">
        <v>954</v>
      </c>
      <c r="C429">
        <v>429</v>
      </c>
      <c r="D429" s="7">
        <v>45883</v>
      </c>
      <c r="E429" s="7" t="s">
        <v>1561</v>
      </c>
      <c r="F429" s="10" t="s">
        <v>1560</v>
      </c>
      <c r="G429" s="36"/>
      <c r="H429" s="36" t="s">
        <v>141</v>
      </c>
      <c r="I429" s="36"/>
      <c r="J429" s="36" t="s">
        <v>141</v>
      </c>
      <c r="K429" s="36"/>
      <c r="L429" s="36"/>
      <c r="M429" s="36" t="s">
        <v>141</v>
      </c>
      <c r="N429" s="36"/>
      <c r="O429" s="117"/>
      <c r="P429" s="36" t="s">
        <v>141</v>
      </c>
      <c r="Q429" s="36" t="s">
        <v>141</v>
      </c>
      <c r="R429" s="36"/>
      <c r="S429" s="36"/>
      <c r="T429" s="36" t="s">
        <v>141</v>
      </c>
      <c r="U429" s="36"/>
      <c r="V429" s="36"/>
      <c r="W429" s="36" t="s">
        <v>141</v>
      </c>
      <c r="X429" s="36"/>
      <c r="Y429" s="36"/>
      <c r="Z429" s="36"/>
      <c r="AA429" s="117" t="s">
        <v>141</v>
      </c>
      <c r="AB429" s="36"/>
      <c r="AC429" s="117"/>
      <c r="AD429" s="36"/>
      <c r="AE429" s="36"/>
      <c r="AF429" s="117" t="s">
        <v>141</v>
      </c>
      <c r="AG429" s="36" t="s">
        <v>141</v>
      </c>
      <c r="AH429" s="36"/>
      <c r="AI429" s="117" t="s">
        <v>141</v>
      </c>
      <c r="AJ429" s="36"/>
      <c r="AK429" s="36"/>
      <c r="AL429" s="36"/>
      <c r="AM429" s="117" t="s">
        <v>141</v>
      </c>
      <c r="AN429" s="117" t="s">
        <v>141</v>
      </c>
      <c r="AO429" s="117"/>
      <c r="AP429" s="117"/>
      <c r="AQ429" s="117"/>
      <c r="AR429" s="117"/>
      <c r="AS429" s="117"/>
      <c r="AT429" s="117"/>
      <c r="AU429" s="117"/>
      <c r="AV429" s="119">
        <f t="shared" si="6"/>
        <v>13</v>
      </c>
      <c r="AW429" s="119"/>
    </row>
    <row r="430" spans="1:50">
      <c r="A430">
        <v>398</v>
      </c>
      <c r="B430">
        <v>955</v>
      </c>
      <c r="C430">
        <v>430</v>
      </c>
      <c r="D430" s="7">
        <v>45884</v>
      </c>
      <c r="E430" s="7" t="s">
        <v>1565</v>
      </c>
      <c r="F430" s="10" t="s">
        <v>1563</v>
      </c>
      <c r="G430" s="36"/>
      <c r="H430" s="36"/>
      <c r="I430" s="36"/>
      <c r="J430" s="36"/>
      <c r="K430" s="36"/>
      <c r="L430" s="36"/>
      <c r="M430" s="36" t="s">
        <v>141</v>
      </c>
      <c r="N430" s="36"/>
      <c r="O430" s="117"/>
      <c r="P430" s="36"/>
      <c r="Q430" s="36" t="s">
        <v>141</v>
      </c>
      <c r="R430" s="36"/>
      <c r="S430" s="36"/>
      <c r="T430" s="36"/>
      <c r="U430" s="36"/>
      <c r="V430" s="36"/>
      <c r="W430" s="36"/>
      <c r="X430" s="36"/>
      <c r="Y430" s="36" t="s">
        <v>141</v>
      </c>
      <c r="Z430" s="36"/>
      <c r="AA430" s="117" t="s">
        <v>141</v>
      </c>
      <c r="AB430" s="36"/>
      <c r="AC430" s="117"/>
      <c r="AD430" s="36"/>
      <c r="AE430" s="36"/>
      <c r="AF430" s="117" t="s">
        <v>141</v>
      </c>
      <c r="AG430" s="36"/>
      <c r="AH430" s="36"/>
      <c r="AI430" s="117"/>
      <c r="AJ430" s="36"/>
      <c r="AK430" s="36"/>
      <c r="AL430" s="36"/>
      <c r="AM430" s="117"/>
      <c r="AN430" s="117"/>
      <c r="AO430" s="117" t="s">
        <v>141</v>
      </c>
      <c r="AP430" s="117"/>
      <c r="AQ430" s="117"/>
      <c r="AR430" s="117"/>
      <c r="AS430" s="117"/>
      <c r="AT430" s="117"/>
      <c r="AU430" s="117"/>
      <c r="AV430" s="119">
        <f t="shared" si="6"/>
        <v>6</v>
      </c>
      <c r="AW430" s="119"/>
    </row>
    <row r="431" spans="1:50">
      <c r="A431">
        <v>399</v>
      </c>
      <c r="B431">
        <v>956</v>
      </c>
      <c r="C431">
        <v>431</v>
      </c>
      <c r="D431" s="7">
        <v>45885</v>
      </c>
      <c r="E431" s="7" t="s">
        <v>1567</v>
      </c>
      <c r="F431" s="10" t="s">
        <v>1566</v>
      </c>
      <c r="G431" s="36" t="s">
        <v>141</v>
      </c>
      <c r="H431" s="36"/>
      <c r="I431" s="36"/>
      <c r="J431" s="36" t="s">
        <v>141</v>
      </c>
      <c r="K431" s="36" t="s">
        <v>141</v>
      </c>
      <c r="L431" s="36"/>
      <c r="M431" s="36"/>
      <c r="N431" s="36"/>
      <c r="O431" s="117" t="s">
        <v>141</v>
      </c>
      <c r="P431" s="36" t="s">
        <v>141</v>
      </c>
      <c r="Q431" s="36" t="s">
        <v>141</v>
      </c>
      <c r="R431" s="36"/>
      <c r="S431" s="36"/>
      <c r="T431" s="36"/>
      <c r="U431" s="36"/>
      <c r="V431" s="36"/>
      <c r="W431" s="36"/>
      <c r="X431" s="36"/>
      <c r="Y431" s="36"/>
      <c r="Z431" s="36" t="s">
        <v>141</v>
      </c>
      <c r="AA431" s="117"/>
      <c r="AB431" s="36"/>
      <c r="AC431" s="117"/>
      <c r="AD431" s="36"/>
      <c r="AE431" s="36"/>
      <c r="AF431" s="117"/>
      <c r="AG431" s="36"/>
      <c r="AH431" s="36"/>
      <c r="AI431" s="117" t="s">
        <v>141</v>
      </c>
      <c r="AJ431" s="36"/>
      <c r="AK431" s="36"/>
      <c r="AL431" s="36"/>
      <c r="AM431" s="117"/>
      <c r="AN431" s="117"/>
      <c r="AO431" s="117"/>
      <c r="AP431" s="117"/>
      <c r="AQ431" s="117"/>
      <c r="AR431" s="117"/>
      <c r="AS431" s="117"/>
      <c r="AT431" s="117"/>
      <c r="AU431" s="117"/>
      <c r="AV431" s="119">
        <f t="shared" si="6"/>
        <v>8</v>
      </c>
      <c r="AW431" s="119"/>
    </row>
    <row r="432" spans="1:50">
      <c r="A432">
        <v>400</v>
      </c>
      <c r="B432">
        <v>957</v>
      </c>
      <c r="C432">
        <v>432</v>
      </c>
      <c r="D432" s="7">
        <v>45885</v>
      </c>
      <c r="E432" s="7" t="s">
        <v>1569</v>
      </c>
      <c r="F432" s="10" t="s">
        <v>1568</v>
      </c>
      <c r="G432" s="36"/>
      <c r="H432" s="36" t="s">
        <v>141</v>
      </c>
      <c r="I432" s="36"/>
      <c r="J432" s="36" t="s">
        <v>141</v>
      </c>
      <c r="K432" s="36"/>
      <c r="L432" s="36"/>
      <c r="M432" s="36" t="s">
        <v>141</v>
      </c>
      <c r="N432" s="36" t="s">
        <v>141</v>
      </c>
      <c r="O432" s="117"/>
      <c r="P432" s="36" t="s">
        <v>141</v>
      </c>
      <c r="Q432" s="36"/>
      <c r="R432" s="36" t="s">
        <v>141</v>
      </c>
      <c r="S432" s="36"/>
      <c r="T432" s="36"/>
      <c r="U432" s="36"/>
      <c r="V432" s="36"/>
      <c r="W432" s="36" t="s">
        <v>141</v>
      </c>
      <c r="X432" s="36"/>
      <c r="Y432" s="36"/>
      <c r="Z432" s="36" t="s">
        <v>141</v>
      </c>
      <c r="AA432" s="117"/>
      <c r="AB432" s="36"/>
      <c r="AC432" s="117"/>
      <c r="AD432" s="36"/>
      <c r="AE432" s="36"/>
      <c r="AF432" s="117"/>
      <c r="AG432" s="36"/>
      <c r="AH432" s="36"/>
      <c r="AI432" s="117" t="s">
        <v>141</v>
      </c>
      <c r="AJ432" s="36" t="s">
        <v>141</v>
      </c>
      <c r="AK432" s="36"/>
      <c r="AL432" s="36" t="s">
        <v>141</v>
      </c>
      <c r="AM432" s="117" t="s">
        <v>141</v>
      </c>
      <c r="AN432" s="117" t="s">
        <v>141</v>
      </c>
      <c r="AO432" s="117"/>
      <c r="AP432" s="117"/>
      <c r="AQ432" s="117"/>
      <c r="AR432" s="117"/>
      <c r="AS432" s="117"/>
      <c r="AT432" s="117"/>
      <c r="AU432" s="117"/>
      <c r="AV432" s="119">
        <f t="shared" si="6"/>
        <v>13</v>
      </c>
      <c r="AW432" s="119"/>
    </row>
    <row r="433" spans="1:50">
      <c r="A433">
        <v>401</v>
      </c>
      <c r="B433">
        <v>958</v>
      </c>
      <c r="C433">
        <v>433</v>
      </c>
      <c r="D433" s="7">
        <v>45887</v>
      </c>
      <c r="E433" s="7" t="s">
        <v>1572</v>
      </c>
      <c r="F433" s="10" t="s">
        <v>1570</v>
      </c>
      <c r="G433" s="36"/>
      <c r="H433" s="36" t="s">
        <v>141</v>
      </c>
      <c r="I433" s="36"/>
      <c r="J433" s="36"/>
      <c r="K433" s="36"/>
      <c r="L433" s="36"/>
      <c r="M433" s="36" t="s">
        <v>141</v>
      </c>
      <c r="N433" s="36" t="s">
        <v>141</v>
      </c>
      <c r="O433" s="117"/>
      <c r="P433" s="36" t="s">
        <v>141</v>
      </c>
      <c r="Q433" s="36"/>
      <c r="R433" s="36"/>
      <c r="S433" s="36"/>
      <c r="T433" s="36" t="s">
        <v>141</v>
      </c>
      <c r="U433" s="36"/>
      <c r="V433" s="36"/>
      <c r="W433" s="36"/>
      <c r="X433" s="36"/>
      <c r="Y433" s="36" t="s">
        <v>141</v>
      </c>
      <c r="Z433" s="36" t="s">
        <v>141</v>
      </c>
      <c r="AA433" s="117"/>
      <c r="AB433" s="36"/>
      <c r="AC433" s="117"/>
      <c r="AD433" s="36"/>
      <c r="AE433" s="36"/>
      <c r="AF433" s="117" t="s">
        <v>141</v>
      </c>
      <c r="AG433" s="36" t="s">
        <v>141</v>
      </c>
      <c r="AH433" s="36" t="s">
        <v>141</v>
      </c>
      <c r="AI433" s="117"/>
      <c r="AJ433" s="36"/>
      <c r="AK433" s="36"/>
      <c r="AL433" s="36"/>
      <c r="AM433" s="117" t="s">
        <v>141</v>
      </c>
      <c r="AN433" s="117" t="s">
        <v>141</v>
      </c>
      <c r="AO433" s="117"/>
      <c r="AP433" s="117"/>
      <c r="AQ433" s="117"/>
      <c r="AR433" s="117"/>
      <c r="AS433" s="117"/>
      <c r="AT433" s="117"/>
      <c r="AU433" s="117"/>
      <c r="AV433" s="119">
        <f t="shared" si="6"/>
        <v>12</v>
      </c>
      <c r="AW433" s="119"/>
    </row>
    <row r="434" spans="1:50">
      <c r="A434">
        <v>402</v>
      </c>
      <c r="B434">
        <v>959</v>
      </c>
      <c r="C434">
        <v>434</v>
      </c>
      <c r="D434" s="7">
        <v>45887</v>
      </c>
      <c r="E434" s="7" t="s">
        <v>1574</v>
      </c>
      <c r="F434" s="10" t="s">
        <v>1573</v>
      </c>
      <c r="G434" s="36"/>
      <c r="H434" s="36" t="s">
        <v>141</v>
      </c>
      <c r="I434" s="36"/>
      <c r="J434" s="36" t="s">
        <v>141</v>
      </c>
      <c r="K434" s="36"/>
      <c r="L434" s="36"/>
      <c r="M434" s="36" t="s">
        <v>141</v>
      </c>
      <c r="N434" s="36" t="s">
        <v>141</v>
      </c>
      <c r="O434" s="117"/>
      <c r="P434" s="36" t="s">
        <v>141</v>
      </c>
      <c r="Q434" s="36" t="s">
        <v>141</v>
      </c>
      <c r="R434" s="36"/>
      <c r="S434" s="36"/>
      <c r="T434" s="36" t="s">
        <v>141</v>
      </c>
      <c r="U434" s="36"/>
      <c r="V434" s="36"/>
      <c r="W434" s="36"/>
      <c r="X434" s="36"/>
      <c r="Y434" s="36"/>
      <c r="Z434" s="36" t="s">
        <v>141</v>
      </c>
      <c r="AA434" s="117"/>
      <c r="AB434" s="36"/>
      <c r="AC434" s="117"/>
      <c r="AD434" s="36" t="s">
        <v>141</v>
      </c>
      <c r="AE434" s="36" t="s">
        <v>141</v>
      </c>
      <c r="AF434" s="117" t="s">
        <v>141</v>
      </c>
      <c r="AG434" s="36" t="s">
        <v>141</v>
      </c>
      <c r="AH434" s="36" t="s">
        <v>141</v>
      </c>
      <c r="AI434" s="117"/>
      <c r="AJ434" s="36"/>
      <c r="AK434" s="36"/>
      <c r="AL434" s="36"/>
      <c r="AM434" s="117"/>
      <c r="AN434" s="117"/>
      <c r="AO434" s="117"/>
      <c r="AP434" s="117"/>
      <c r="AQ434" s="117"/>
      <c r="AR434" s="117"/>
      <c r="AS434" s="117"/>
      <c r="AT434" s="117"/>
      <c r="AU434" s="117"/>
      <c r="AV434" s="119">
        <f t="shared" si="6"/>
        <v>13</v>
      </c>
      <c r="AW434" s="119"/>
    </row>
    <row r="435" spans="1:50">
      <c r="A435">
        <v>403</v>
      </c>
      <c r="B435">
        <v>960</v>
      </c>
      <c r="C435">
        <v>435</v>
      </c>
      <c r="D435" s="7">
        <v>45887</v>
      </c>
      <c r="E435" s="7" t="s">
        <v>1577</v>
      </c>
      <c r="F435" s="10" t="s">
        <v>1575</v>
      </c>
      <c r="G435" s="36" t="s">
        <v>141</v>
      </c>
      <c r="H435" s="36" t="s">
        <v>141</v>
      </c>
      <c r="I435" s="36"/>
      <c r="J435" s="36" t="s">
        <v>141</v>
      </c>
      <c r="K435" s="36"/>
      <c r="L435" s="36"/>
      <c r="M435" s="36" t="s">
        <v>141</v>
      </c>
      <c r="N435" s="36"/>
      <c r="O435" s="117" t="s">
        <v>141</v>
      </c>
      <c r="P435" s="36" t="s">
        <v>141</v>
      </c>
      <c r="Q435" s="36" t="s">
        <v>141</v>
      </c>
      <c r="R435" s="36"/>
      <c r="S435" s="36"/>
      <c r="T435" s="36" t="s">
        <v>141</v>
      </c>
      <c r="U435" s="36"/>
      <c r="V435" s="36"/>
      <c r="W435" s="36"/>
      <c r="X435" s="36" t="s">
        <v>141</v>
      </c>
      <c r="Y435" s="36"/>
      <c r="Z435" s="36" t="s">
        <v>141</v>
      </c>
      <c r="AA435" s="117" t="s">
        <v>141</v>
      </c>
      <c r="AB435" s="36"/>
      <c r="AC435" s="117"/>
      <c r="AD435" s="36" t="s">
        <v>141</v>
      </c>
      <c r="AE435" s="36"/>
      <c r="AF435" s="117" t="s">
        <v>141</v>
      </c>
      <c r="AG435" s="36"/>
      <c r="AH435" s="36"/>
      <c r="AI435" s="117" t="s">
        <v>141</v>
      </c>
      <c r="AJ435" s="36" t="s">
        <v>141</v>
      </c>
      <c r="AK435" s="36"/>
      <c r="AL435" s="36" t="s">
        <v>141</v>
      </c>
      <c r="AM435" s="117" t="s">
        <v>141</v>
      </c>
      <c r="AN435" s="117" t="s">
        <v>141</v>
      </c>
      <c r="AO435" s="117" t="s">
        <v>141</v>
      </c>
      <c r="AP435" s="117"/>
      <c r="AQ435" s="117"/>
      <c r="AR435" s="117"/>
      <c r="AS435" s="117" t="s">
        <v>141</v>
      </c>
      <c r="AT435" s="117"/>
      <c r="AU435" s="117"/>
      <c r="AV435" s="119">
        <f t="shared" si="6"/>
        <v>20</v>
      </c>
      <c r="AW435" s="119"/>
      <c r="AX435" s="119" t="s">
        <v>2146</v>
      </c>
    </row>
    <row r="436" spans="1:50">
      <c r="A436" t="s">
        <v>57</v>
      </c>
      <c r="B436" t="s">
        <v>57</v>
      </c>
      <c r="C436">
        <v>436</v>
      </c>
      <c r="D436" s="7">
        <v>45887</v>
      </c>
      <c r="E436" s="7" t="s">
        <v>2129</v>
      </c>
      <c r="F436" s="10" t="s">
        <v>2130</v>
      </c>
      <c r="G436" s="36" t="s">
        <v>141</v>
      </c>
      <c r="H436" s="36" t="s">
        <v>141</v>
      </c>
      <c r="I436" s="36" t="s">
        <v>141</v>
      </c>
      <c r="J436" s="36" t="s">
        <v>141</v>
      </c>
      <c r="K436" s="36" t="s">
        <v>2131</v>
      </c>
      <c r="L436" s="36" t="s">
        <v>2132</v>
      </c>
      <c r="M436" s="36" t="s">
        <v>141</v>
      </c>
      <c r="N436" s="36" t="s">
        <v>141</v>
      </c>
      <c r="O436" s="117" t="s">
        <v>141</v>
      </c>
      <c r="P436" s="36" t="s">
        <v>141</v>
      </c>
      <c r="Q436" s="36" t="s">
        <v>141</v>
      </c>
      <c r="R436" s="36" t="s">
        <v>2131</v>
      </c>
      <c r="S436" s="36" t="s">
        <v>141</v>
      </c>
      <c r="T436" s="36" t="s">
        <v>141</v>
      </c>
      <c r="U436" s="36" t="s">
        <v>2131</v>
      </c>
      <c r="V436" s="36" t="s">
        <v>2131</v>
      </c>
      <c r="W436" s="36" t="s">
        <v>141</v>
      </c>
      <c r="X436" s="36" t="s">
        <v>141</v>
      </c>
      <c r="Y436" s="36" t="s">
        <v>141</v>
      </c>
      <c r="Z436" s="36" t="s">
        <v>141</v>
      </c>
      <c r="AA436" s="117" t="s">
        <v>141</v>
      </c>
      <c r="AB436" s="36" t="s">
        <v>2131</v>
      </c>
      <c r="AC436" s="117" t="s">
        <v>141</v>
      </c>
      <c r="AD436" s="36" t="s">
        <v>141</v>
      </c>
      <c r="AE436" s="36" t="s">
        <v>141</v>
      </c>
      <c r="AF436" s="117" t="s">
        <v>141</v>
      </c>
      <c r="AG436" s="36" t="s">
        <v>2131</v>
      </c>
      <c r="AH436" s="36" t="s">
        <v>141</v>
      </c>
      <c r="AI436" s="117" t="s">
        <v>141</v>
      </c>
      <c r="AJ436" s="36" t="s">
        <v>141</v>
      </c>
      <c r="AK436" s="36" t="s">
        <v>141</v>
      </c>
      <c r="AL436" s="36" t="s">
        <v>141</v>
      </c>
      <c r="AM436" s="117" t="s">
        <v>141</v>
      </c>
      <c r="AN436" s="117" t="s">
        <v>141</v>
      </c>
      <c r="AO436" s="117" t="s">
        <v>141</v>
      </c>
      <c r="AP436" s="117"/>
      <c r="AQ436" s="117"/>
      <c r="AR436" s="117" t="s">
        <v>2131</v>
      </c>
      <c r="AS436" s="117" t="s">
        <v>141</v>
      </c>
      <c r="AT436" s="117"/>
      <c r="AU436" s="117"/>
      <c r="AV436" s="119">
        <f t="shared" si="6"/>
        <v>29</v>
      </c>
      <c r="AW436" s="119"/>
      <c r="AX436" s="119" t="s">
        <v>2145</v>
      </c>
    </row>
    <row r="437" spans="1:50">
      <c r="A437">
        <v>404</v>
      </c>
      <c r="B437">
        <v>961</v>
      </c>
      <c r="C437">
        <v>437</v>
      </c>
      <c r="D437" s="7">
        <v>45887</v>
      </c>
      <c r="E437" s="7" t="s">
        <v>1581</v>
      </c>
      <c r="F437" s="10" t="s">
        <v>1579</v>
      </c>
      <c r="G437" s="36" t="s">
        <v>141</v>
      </c>
      <c r="H437" s="36" t="s">
        <v>141</v>
      </c>
      <c r="I437" s="36" t="s">
        <v>141</v>
      </c>
      <c r="J437" s="36" t="s">
        <v>141</v>
      </c>
      <c r="K437" s="36"/>
      <c r="L437" s="36"/>
      <c r="M437" s="36" t="s">
        <v>141</v>
      </c>
      <c r="N437" s="36" t="s">
        <v>141</v>
      </c>
      <c r="O437" s="117" t="s">
        <v>141</v>
      </c>
      <c r="P437" s="36" t="s">
        <v>141</v>
      </c>
      <c r="Q437" s="36" t="s">
        <v>141</v>
      </c>
      <c r="R437" s="36"/>
      <c r="S437" s="36" t="s">
        <v>141</v>
      </c>
      <c r="T437" s="36" t="s">
        <v>141</v>
      </c>
      <c r="U437" s="36"/>
      <c r="V437" s="36"/>
      <c r="W437" s="36" t="s">
        <v>141</v>
      </c>
      <c r="X437" s="36" t="s">
        <v>141</v>
      </c>
      <c r="Y437" s="36" t="s">
        <v>141</v>
      </c>
      <c r="Z437" s="36" t="s">
        <v>141</v>
      </c>
      <c r="AA437" s="117" t="s">
        <v>141</v>
      </c>
      <c r="AB437" s="36"/>
      <c r="AC437" s="117" t="s">
        <v>141</v>
      </c>
      <c r="AD437" s="36" t="s">
        <v>141</v>
      </c>
      <c r="AE437" s="36" t="s">
        <v>141</v>
      </c>
      <c r="AF437" s="117" t="s">
        <v>141</v>
      </c>
      <c r="AG437" s="36"/>
      <c r="AH437" s="36" t="s">
        <v>141</v>
      </c>
      <c r="AI437" s="117" t="s">
        <v>141</v>
      </c>
      <c r="AJ437" s="36" t="s">
        <v>141</v>
      </c>
      <c r="AK437" s="36" t="s">
        <v>141</v>
      </c>
      <c r="AL437" s="36" t="s">
        <v>141</v>
      </c>
      <c r="AM437" s="117" t="s">
        <v>141</v>
      </c>
      <c r="AN437" s="117" t="s">
        <v>141</v>
      </c>
      <c r="AO437" s="117" t="s">
        <v>141</v>
      </c>
      <c r="AP437" s="117"/>
      <c r="AQ437" s="117"/>
      <c r="AR437" s="117"/>
      <c r="AS437" s="117" t="s">
        <v>141</v>
      </c>
      <c r="AT437" s="117"/>
      <c r="AU437" s="117"/>
      <c r="AV437" s="119">
        <f t="shared" si="6"/>
        <v>29</v>
      </c>
      <c r="AW437" s="119"/>
    </row>
    <row r="438" spans="1:50">
      <c r="A438">
        <v>405</v>
      </c>
      <c r="B438">
        <v>962</v>
      </c>
      <c r="C438">
        <v>438</v>
      </c>
      <c r="D438" s="7">
        <v>45888</v>
      </c>
      <c r="E438" s="7" t="s">
        <v>1583</v>
      </c>
      <c r="F438" s="10" t="s">
        <v>1582</v>
      </c>
      <c r="G438" s="36"/>
      <c r="H438" s="36"/>
      <c r="I438" s="36"/>
      <c r="J438" s="36"/>
      <c r="K438" s="36" t="s">
        <v>141</v>
      </c>
      <c r="L438" s="36"/>
      <c r="M438" s="36" t="s">
        <v>141</v>
      </c>
      <c r="N438" s="36"/>
      <c r="O438" s="117" t="s">
        <v>141</v>
      </c>
      <c r="P438" s="36" t="s">
        <v>141</v>
      </c>
      <c r="Q438" s="36" t="s">
        <v>141</v>
      </c>
      <c r="R438" s="36"/>
      <c r="S438" s="36"/>
      <c r="T438" s="36" t="s">
        <v>141</v>
      </c>
      <c r="U438" s="36"/>
      <c r="V438" s="36"/>
      <c r="W438" s="36"/>
      <c r="X438" s="36"/>
      <c r="Y438" s="36"/>
      <c r="Z438" s="36" t="s">
        <v>141</v>
      </c>
      <c r="AA438" s="117" t="s">
        <v>141</v>
      </c>
      <c r="AB438" s="36"/>
      <c r="AC438" s="117"/>
      <c r="AD438" s="36" t="s">
        <v>141</v>
      </c>
      <c r="AE438" s="36" t="s">
        <v>141</v>
      </c>
      <c r="AF438" s="117" t="s">
        <v>141</v>
      </c>
      <c r="AG438" s="36" t="s">
        <v>141</v>
      </c>
      <c r="AH438" s="36"/>
      <c r="AI438" s="117" t="s">
        <v>141</v>
      </c>
      <c r="AJ438" s="36"/>
      <c r="AK438" s="36"/>
      <c r="AL438" s="36"/>
      <c r="AM438" s="117" t="s">
        <v>141</v>
      </c>
      <c r="AN438" s="117" t="s">
        <v>141</v>
      </c>
      <c r="AO438" s="117"/>
      <c r="AP438" s="117"/>
      <c r="AQ438" s="117"/>
      <c r="AR438" s="117"/>
      <c r="AS438" s="117"/>
      <c r="AT438" s="117"/>
      <c r="AU438" s="117"/>
      <c r="AV438" s="119">
        <f t="shared" si="6"/>
        <v>15</v>
      </c>
      <c r="AW438" s="119"/>
    </row>
    <row r="439" spans="1:50">
      <c r="A439">
        <v>406</v>
      </c>
      <c r="B439">
        <v>963</v>
      </c>
      <c r="C439">
        <v>439</v>
      </c>
      <c r="D439" s="7">
        <v>45889</v>
      </c>
      <c r="E439" s="7" t="s">
        <v>1586</v>
      </c>
      <c r="F439" s="10" t="s">
        <v>1584</v>
      </c>
      <c r="G439" s="36"/>
      <c r="H439" s="36"/>
      <c r="I439" s="36"/>
      <c r="J439" s="36"/>
      <c r="K439" s="36"/>
      <c r="L439" s="36"/>
      <c r="M439" s="36"/>
      <c r="N439" s="36"/>
      <c r="O439" s="117"/>
      <c r="P439" s="36" t="s">
        <v>141</v>
      </c>
      <c r="Q439" s="36" t="s">
        <v>141</v>
      </c>
      <c r="R439" s="36"/>
      <c r="S439" s="36" t="s">
        <v>141</v>
      </c>
      <c r="T439" s="36" t="s">
        <v>141</v>
      </c>
      <c r="U439" s="36"/>
      <c r="V439" s="36"/>
      <c r="W439" s="36" t="s">
        <v>141</v>
      </c>
      <c r="X439" s="36"/>
      <c r="Y439" s="36"/>
      <c r="Z439" s="36"/>
      <c r="AA439" s="117"/>
      <c r="AB439" s="36"/>
      <c r="AC439" s="117"/>
      <c r="AD439" s="36"/>
      <c r="AE439" s="36"/>
      <c r="AF439" s="117"/>
      <c r="AG439" s="36"/>
      <c r="AH439" s="36"/>
      <c r="AI439" s="117" t="s">
        <v>141</v>
      </c>
      <c r="AJ439" s="36"/>
      <c r="AK439" s="36"/>
      <c r="AL439" s="36"/>
      <c r="AM439" s="117" t="s">
        <v>141</v>
      </c>
      <c r="AN439" s="117" t="s">
        <v>141</v>
      </c>
      <c r="AO439" s="117"/>
      <c r="AP439" s="117"/>
      <c r="AQ439" s="117"/>
      <c r="AR439" s="117"/>
      <c r="AS439" s="117"/>
      <c r="AT439" s="117"/>
      <c r="AU439" s="117"/>
      <c r="AV439" s="119">
        <f t="shared" si="6"/>
        <v>8</v>
      </c>
      <c r="AW439" s="119"/>
    </row>
    <row r="440" spans="1:50">
      <c r="A440">
        <v>407</v>
      </c>
      <c r="B440">
        <v>964</v>
      </c>
      <c r="C440">
        <v>440</v>
      </c>
      <c r="D440" s="7">
        <v>45889</v>
      </c>
      <c r="E440" s="7" t="s">
        <v>1588</v>
      </c>
      <c r="F440" s="10" t="s">
        <v>1587</v>
      </c>
      <c r="G440" s="36"/>
      <c r="H440" s="36" t="s">
        <v>141</v>
      </c>
      <c r="I440" s="36"/>
      <c r="J440" s="36" t="s">
        <v>141</v>
      </c>
      <c r="K440" s="36"/>
      <c r="L440" s="36"/>
      <c r="M440" s="36" t="s">
        <v>141</v>
      </c>
      <c r="N440" s="36"/>
      <c r="O440" s="117" t="s">
        <v>141</v>
      </c>
      <c r="P440" s="36" t="s">
        <v>141</v>
      </c>
      <c r="Q440" s="36"/>
      <c r="R440" s="36"/>
      <c r="S440" s="36" t="s">
        <v>141</v>
      </c>
      <c r="T440" s="36" t="s">
        <v>141</v>
      </c>
      <c r="U440" s="36"/>
      <c r="V440" s="36"/>
      <c r="W440" s="36"/>
      <c r="X440" s="36"/>
      <c r="Y440" s="36"/>
      <c r="Z440" s="36" t="s">
        <v>141</v>
      </c>
      <c r="AA440" s="117"/>
      <c r="AB440" s="36"/>
      <c r="AC440" s="117"/>
      <c r="AD440" s="36"/>
      <c r="AE440" s="36"/>
      <c r="AF440" s="117"/>
      <c r="AG440" s="36"/>
      <c r="AH440" s="36" t="s">
        <v>141</v>
      </c>
      <c r="AI440" s="117"/>
      <c r="AJ440" s="36"/>
      <c r="AK440" s="36" t="s">
        <v>141</v>
      </c>
      <c r="AL440" s="36"/>
      <c r="AM440" s="117"/>
      <c r="AN440" s="117"/>
      <c r="AO440" s="117"/>
      <c r="AP440" s="117"/>
      <c r="AQ440" s="117"/>
      <c r="AR440" s="117"/>
      <c r="AS440" s="117"/>
      <c r="AT440" s="117"/>
      <c r="AU440" s="117"/>
      <c r="AV440" s="119">
        <f t="shared" si="6"/>
        <v>10</v>
      </c>
      <c r="AW440" s="119"/>
    </row>
    <row r="441" spans="1:50">
      <c r="A441">
        <v>408</v>
      </c>
      <c r="B441">
        <v>965</v>
      </c>
      <c r="C441">
        <v>441</v>
      </c>
      <c r="D441" s="7">
        <v>45889</v>
      </c>
      <c r="E441" s="7" t="s">
        <v>1591</v>
      </c>
      <c r="F441" s="10" t="s">
        <v>1589</v>
      </c>
      <c r="G441" s="36"/>
      <c r="H441" s="36" t="s">
        <v>141</v>
      </c>
      <c r="I441" s="36" t="s">
        <v>141</v>
      </c>
      <c r="J441" s="36" t="s">
        <v>141</v>
      </c>
      <c r="K441" s="36"/>
      <c r="L441" s="36"/>
      <c r="M441" s="36"/>
      <c r="N441" s="36"/>
      <c r="O441" s="117" t="s">
        <v>141</v>
      </c>
      <c r="P441" s="36" t="s">
        <v>141</v>
      </c>
      <c r="Q441" s="36"/>
      <c r="R441" s="36"/>
      <c r="S441" s="36" t="s">
        <v>141</v>
      </c>
      <c r="T441" s="36" t="s">
        <v>141</v>
      </c>
      <c r="U441" s="36"/>
      <c r="V441" s="36"/>
      <c r="W441" s="36"/>
      <c r="X441" s="36"/>
      <c r="Y441" s="36"/>
      <c r="Z441" s="36"/>
      <c r="AA441" s="117"/>
      <c r="AB441" s="36"/>
      <c r="AC441" s="117"/>
      <c r="AD441" s="36"/>
      <c r="AE441" s="36"/>
      <c r="AF441" s="117"/>
      <c r="AG441" s="36"/>
      <c r="AH441" s="36" t="s">
        <v>141</v>
      </c>
      <c r="AI441" s="117"/>
      <c r="AJ441" s="36"/>
      <c r="AK441" s="36" t="s">
        <v>141</v>
      </c>
      <c r="AL441" s="36"/>
      <c r="AM441" s="117" t="s">
        <v>141</v>
      </c>
      <c r="AN441" s="117" t="s">
        <v>141</v>
      </c>
      <c r="AO441" s="117"/>
      <c r="AP441" s="117"/>
      <c r="AQ441" s="117"/>
      <c r="AR441" s="117"/>
      <c r="AS441" s="117"/>
      <c r="AT441" s="117"/>
      <c r="AU441" s="117"/>
      <c r="AV441" s="119">
        <f t="shared" si="6"/>
        <v>11</v>
      </c>
      <c r="AW441" s="119"/>
    </row>
    <row r="442" spans="1:50">
      <c r="A442">
        <v>409</v>
      </c>
      <c r="B442">
        <v>966</v>
      </c>
      <c r="C442">
        <v>442</v>
      </c>
      <c r="D442" s="7">
        <v>45890</v>
      </c>
      <c r="E442" s="7" t="s">
        <v>1593</v>
      </c>
      <c r="F442" s="10" t="s">
        <v>1592</v>
      </c>
      <c r="G442" s="36"/>
      <c r="H442" s="36" t="s">
        <v>141</v>
      </c>
      <c r="I442" s="36"/>
      <c r="J442" s="36" t="s">
        <v>141</v>
      </c>
      <c r="K442" s="36"/>
      <c r="L442" s="36"/>
      <c r="M442" s="36" t="s">
        <v>141</v>
      </c>
      <c r="N442" s="36"/>
      <c r="O442" s="117"/>
      <c r="P442" s="36" t="s">
        <v>141</v>
      </c>
      <c r="Q442" s="36" t="s">
        <v>141</v>
      </c>
      <c r="R442" s="36"/>
      <c r="S442" s="36"/>
      <c r="T442" s="36" t="s">
        <v>141</v>
      </c>
      <c r="U442" s="36"/>
      <c r="V442" s="36"/>
      <c r="W442" s="36"/>
      <c r="X442" s="36"/>
      <c r="Y442" s="36" t="s">
        <v>141</v>
      </c>
      <c r="Z442" s="36"/>
      <c r="AA442" s="117" t="s">
        <v>141</v>
      </c>
      <c r="AB442" s="36"/>
      <c r="AC442" s="117"/>
      <c r="AD442" s="36"/>
      <c r="AE442" s="36"/>
      <c r="AF442" s="117"/>
      <c r="AG442" s="36" t="s">
        <v>141</v>
      </c>
      <c r="AH442" s="36"/>
      <c r="AI442" s="117"/>
      <c r="AJ442" s="36"/>
      <c r="AK442" s="36"/>
      <c r="AL442" s="36"/>
      <c r="AM442" s="117"/>
      <c r="AN442" s="117"/>
      <c r="AO442" s="117"/>
      <c r="AP442" s="117"/>
      <c r="AQ442" s="117"/>
      <c r="AR442" s="117"/>
      <c r="AS442" s="117"/>
      <c r="AT442" s="117"/>
      <c r="AU442" s="117"/>
      <c r="AV442" s="119">
        <f t="shared" si="6"/>
        <v>9</v>
      </c>
      <c r="AW442" s="119"/>
    </row>
    <row r="443" spans="1:50">
      <c r="A443">
        <v>410</v>
      </c>
      <c r="B443">
        <v>967</v>
      </c>
      <c r="C443">
        <v>443</v>
      </c>
      <c r="D443" s="7">
        <v>45890</v>
      </c>
      <c r="E443" s="7" t="s">
        <v>1595</v>
      </c>
      <c r="F443" s="10" t="s">
        <v>1594</v>
      </c>
      <c r="G443" s="36"/>
      <c r="H443" s="36" t="s">
        <v>141</v>
      </c>
      <c r="I443" s="36" t="s">
        <v>141</v>
      </c>
      <c r="J443" s="36" t="s">
        <v>141</v>
      </c>
      <c r="K443" s="36" t="s">
        <v>141</v>
      </c>
      <c r="L443" s="36"/>
      <c r="M443" s="36" t="s">
        <v>141</v>
      </c>
      <c r="N443" s="36" t="s">
        <v>141</v>
      </c>
      <c r="O443" s="117" t="s">
        <v>141</v>
      </c>
      <c r="P443" s="36"/>
      <c r="Q443" s="36"/>
      <c r="R443" s="36"/>
      <c r="S443" s="36"/>
      <c r="T443" s="36" t="s">
        <v>141</v>
      </c>
      <c r="U443" s="36" t="s">
        <v>141</v>
      </c>
      <c r="V443" s="36"/>
      <c r="W443" s="36"/>
      <c r="X443" s="36"/>
      <c r="Y443" s="36"/>
      <c r="Z443" s="36" t="s">
        <v>141</v>
      </c>
      <c r="AA443" s="117"/>
      <c r="AB443" s="36"/>
      <c r="AC443" s="117"/>
      <c r="AD443" s="36" t="s">
        <v>141</v>
      </c>
      <c r="AE443" s="36"/>
      <c r="AF443" s="117"/>
      <c r="AG443" s="36"/>
      <c r="AH443" s="36" t="s">
        <v>141</v>
      </c>
      <c r="AI443" s="117"/>
      <c r="AJ443" s="36"/>
      <c r="AK443" s="36"/>
      <c r="AL443" s="36"/>
      <c r="AM443" s="117" t="s">
        <v>141</v>
      </c>
      <c r="AN443" s="117" t="s">
        <v>141</v>
      </c>
      <c r="AO443" s="117"/>
      <c r="AP443" s="117"/>
      <c r="AQ443" s="117"/>
      <c r="AR443" s="117"/>
      <c r="AS443" s="117"/>
      <c r="AT443" s="117"/>
      <c r="AU443" s="117"/>
      <c r="AV443" s="119">
        <f t="shared" si="6"/>
        <v>14</v>
      </c>
      <c r="AW443" s="119"/>
    </row>
    <row r="444" spans="1:50">
      <c r="A444">
        <v>411</v>
      </c>
      <c r="B444">
        <v>968</v>
      </c>
      <c r="C444">
        <v>444</v>
      </c>
      <c r="D444" s="7">
        <v>45893</v>
      </c>
      <c r="E444" s="7" t="s">
        <v>1597</v>
      </c>
      <c r="F444" s="10" t="s">
        <v>1596</v>
      </c>
      <c r="G444" s="36"/>
      <c r="H444" s="36"/>
      <c r="I444" s="36" t="s">
        <v>141</v>
      </c>
      <c r="J444" s="36"/>
      <c r="K444" s="36" t="s">
        <v>141</v>
      </c>
      <c r="L444" s="36"/>
      <c r="M444" s="36"/>
      <c r="N444" s="36"/>
      <c r="O444" s="117"/>
      <c r="P444" s="36" t="s">
        <v>141</v>
      </c>
      <c r="Q444" s="36"/>
      <c r="R444" s="36"/>
      <c r="S444" s="36"/>
      <c r="T444" s="36" t="s">
        <v>141</v>
      </c>
      <c r="U444" s="36"/>
      <c r="V444" s="36"/>
      <c r="W444" s="36"/>
      <c r="X444" s="36" t="s">
        <v>141</v>
      </c>
      <c r="Y444" s="36" t="s">
        <v>141</v>
      </c>
      <c r="Z444" s="36" t="s">
        <v>141</v>
      </c>
      <c r="AA444" s="117"/>
      <c r="AB444" s="36" t="s">
        <v>141</v>
      </c>
      <c r="AC444" s="117"/>
      <c r="AD444" s="36"/>
      <c r="AE444" s="36"/>
      <c r="AF444" s="117" t="s">
        <v>141</v>
      </c>
      <c r="AG444" s="36"/>
      <c r="AH444" s="36"/>
      <c r="AI444" s="117"/>
      <c r="AJ444" s="36"/>
      <c r="AK444" s="36" t="s">
        <v>141</v>
      </c>
      <c r="AL444" s="36"/>
      <c r="AM444" s="117"/>
      <c r="AN444" s="117"/>
      <c r="AO444" s="117"/>
      <c r="AP444" s="117"/>
      <c r="AQ444" s="117"/>
      <c r="AR444" s="117"/>
      <c r="AS444" s="117"/>
      <c r="AT444" s="117"/>
      <c r="AU444" s="117"/>
      <c r="AV444" s="119">
        <f t="shared" si="6"/>
        <v>10</v>
      </c>
      <c r="AW444" s="119"/>
    </row>
    <row r="445" spans="1:50">
      <c r="A445">
        <v>412</v>
      </c>
      <c r="B445">
        <v>969</v>
      </c>
      <c r="C445">
        <v>445</v>
      </c>
      <c r="D445" s="7">
        <v>45893</v>
      </c>
      <c r="E445" s="7" t="s">
        <v>1600</v>
      </c>
      <c r="F445" s="10" t="s">
        <v>1599</v>
      </c>
      <c r="G445" s="36"/>
      <c r="H445" s="36"/>
      <c r="I445" s="36"/>
      <c r="J445" s="36" t="s">
        <v>141</v>
      </c>
      <c r="K445" s="36"/>
      <c r="L445" s="36"/>
      <c r="M445" s="36"/>
      <c r="N445" s="36" t="s">
        <v>141</v>
      </c>
      <c r="O445" s="117"/>
      <c r="P445" s="36"/>
      <c r="Q445" s="36" t="s">
        <v>141</v>
      </c>
      <c r="R445" s="36"/>
      <c r="S445" s="36"/>
      <c r="T445" s="36" t="s">
        <v>141</v>
      </c>
      <c r="U445" s="36"/>
      <c r="V445" s="36"/>
      <c r="W445" s="36"/>
      <c r="X445" s="36" t="s">
        <v>141</v>
      </c>
      <c r="Y445" s="36"/>
      <c r="Z445" s="36" t="s">
        <v>141</v>
      </c>
      <c r="AA445" s="117"/>
      <c r="AB445" s="36" t="s">
        <v>141</v>
      </c>
      <c r="AC445" s="117"/>
      <c r="AD445" s="36"/>
      <c r="AE445" s="36"/>
      <c r="AF445" s="117"/>
      <c r="AG445" s="36"/>
      <c r="AH445" s="36"/>
      <c r="AI445" s="117"/>
      <c r="AJ445" s="36" t="s">
        <v>141</v>
      </c>
      <c r="AK445" s="36" t="s">
        <v>141</v>
      </c>
      <c r="AL445" s="36" t="s">
        <v>141</v>
      </c>
      <c r="AM445" s="117"/>
      <c r="AN445" s="117"/>
      <c r="AO445" s="117"/>
      <c r="AP445" s="117"/>
      <c r="AQ445" s="117"/>
      <c r="AR445" s="117"/>
      <c r="AS445" s="117"/>
      <c r="AT445" s="117"/>
      <c r="AU445" s="117"/>
      <c r="AV445" s="119">
        <f t="shared" si="6"/>
        <v>10</v>
      </c>
      <c r="AW445" s="119"/>
    </row>
    <row r="446" spans="1:50">
      <c r="A446">
        <v>413</v>
      </c>
      <c r="B446">
        <v>970</v>
      </c>
      <c r="C446">
        <v>446</v>
      </c>
      <c r="D446" s="7">
        <v>45893</v>
      </c>
      <c r="E446" s="7" t="s">
        <v>1602</v>
      </c>
      <c r="F446" s="10" t="s">
        <v>1601</v>
      </c>
      <c r="G446" s="36" t="s">
        <v>141</v>
      </c>
      <c r="H446" s="36"/>
      <c r="I446" s="36"/>
      <c r="J446" s="36" t="s">
        <v>141</v>
      </c>
      <c r="K446" s="36"/>
      <c r="L446" s="36"/>
      <c r="M446" s="36" t="s">
        <v>141</v>
      </c>
      <c r="N446" s="36" t="s">
        <v>141</v>
      </c>
      <c r="O446" s="117"/>
      <c r="P446" s="36"/>
      <c r="Q446" s="36" t="s">
        <v>141</v>
      </c>
      <c r="R446" s="36" t="s">
        <v>141</v>
      </c>
      <c r="S446" s="36"/>
      <c r="T446" s="36" t="s">
        <v>141</v>
      </c>
      <c r="U446" s="36"/>
      <c r="V446" s="36"/>
      <c r="W446" s="36"/>
      <c r="X446" s="36" t="s">
        <v>141</v>
      </c>
      <c r="Y446" s="36" t="s">
        <v>141</v>
      </c>
      <c r="Z446" s="36" t="s">
        <v>141</v>
      </c>
      <c r="AA446" s="117"/>
      <c r="AB446" s="36" t="s">
        <v>141</v>
      </c>
      <c r="AC446" s="117"/>
      <c r="AD446" s="36"/>
      <c r="AE446" s="36"/>
      <c r="AF446" s="117"/>
      <c r="AG446" s="36"/>
      <c r="AH446" s="36"/>
      <c r="AI446" s="117"/>
      <c r="AJ446" s="36" t="s">
        <v>141</v>
      </c>
      <c r="AK446" s="36" t="s">
        <v>141</v>
      </c>
      <c r="AL446" s="36" t="s">
        <v>141</v>
      </c>
      <c r="AM446" s="117"/>
      <c r="AN446" s="117"/>
      <c r="AO446" s="117"/>
      <c r="AP446" s="117"/>
      <c r="AQ446" s="117"/>
      <c r="AR446" s="117"/>
      <c r="AS446" s="117"/>
      <c r="AT446" s="117"/>
      <c r="AU446" s="117"/>
      <c r="AV446" s="119">
        <f t="shared" si="6"/>
        <v>14</v>
      </c>
      <c r="AW446" s="119"/>
    </row>
    <row r="447" spans="1:50">
      <c r="A447" t="s">
        <v>57</v>
      </c>
      <c r="B447" t="s">
        <v>57</v>
      </c>
      <c r="C447">
        <v>447</v>
      </c>
      <c r="D447" s="7">
        <v>45894</v>
      </c>
      <c r="E447" s="7" t="s">
        <v>2129</v>
      </c>
      <c r="F447" s="10" t="s">
        <v>2130</v>
      </c>
      <c r="G447" s="36" t="s">
        <v>141</v>
      </c>
      <c r="H447" s="36" t="s">
        <v>141</v>
      </c>
      <c r="I447" s="36" t="s">
        <v>141</v>
      </c>
      <c r="J447" s="36" t="s">
        <v>141</v>
      </c>
      <c r="K447" s="36" t="s">
        <v>141</v>
      </c>
      <c r="L447" s="36" t="s">
        <v>2132</v>
      </c>
      <c r="M447" s="36" t="s">
        <v>141</v>
      </c>
      <c r="N447" s="36" t="s">
        <v>141</v>
      </c>
      <c r="O447" s="117" t="s">
        <v>2131</v>
      </c>
      <c r="P447" s="36" t="s">
        <v>141</v>
      </c>
      <c r="Q447" s="36" t="s">
        <v>141</v>
      </c>
      <c r="R447" s="36" t="s">
        <v>2131</v>
      </c>
      <c r="S447" s="36" t="s">
        <v>2131</v>
      </c>
      <c r="T447" s="36" t="s">
        <v>141</v>
      </c>
      <c r="U447" s="36" t="s">
        <v>141</v>
      </c>
      <c r="V447" s="36" t="s">
        <v>2131</v>
      </c>
      <c r="W447" s="36" t="s">
        <v>141</v>
      </c>
      <c r="X447" s="36" t="s">
        <v>141</v>
      </c>
      <c r="Y447" s="36" t="s">
        <v>141</v>
      </c>
      <c r="Z447" s="36" t="s">
        <v>141</v>
      </c>
      <c r="AA447" s="117" t="s">
        <v>141</v>
      </c>
      <c r="AB447" s="36" t="s">
        <v>141</v>
      </c>
      <c r="AC447" s="117" t="s">
        <v>2131</v>
      </c>
      <c r="AD447" s="36" t="s">
        <v>2131</v>
      </c>
      <c r="AE447" s="36" t="s">
        <v>2131</v>
      </c>
      <c r="AF447" s="117" t="s">
        <v>141</v>
      </c>
      <c r="AG447" s="36" t="s">
        <v>141</v>
      </c>
      <c r="AH447" s="36" t="s">
        <v>2131</v>
      </c>
      <c r="AI447" s="117" t="s">
        <v>141</v>
      </c>
      <c r="AJ447" s="36" t="s">
        <v>141</v>
      </c>
      <c r="AK447" s="36" t="s">
        <v>2131</v>
      </c>
      <c r="AL447" s="36" t="s">
        <v>141</v>
      </c>
      <c r="AM447" s="117" t="s">
        <v>2131</v>
      </c>
      <c r="AN447" s="117" t="s">
        <v>2131</v>
      </c>
      <c r="AO447" s="117" t="s">
        <v>141</v>
      </c>
      <c r="AP447" s="117"/>
      <c r="AQ447" s="117"/>
      <c r="AR447" s="117" t="s">
        <v>2131</v>
      </c>
      <c r="AS447" s="117" t="s">
        <v>141</v>
      </c>
      <c r="AT447" s="117"/>
      <c r="AU447" s="117"/>
      <c r="AV447" s="119">
        <f t="shared" si="6"/>
        <v>24</v>
      </c>
      <c r="AW447" s="119"/>
    </row>
    <row r="448" spans="1:50">
      <c r="A448">
        <v>414</v>
      </c>
      <c r="B448">
        <v>971</v>
      </c>
      <c r="C448">
        <v>448</v>
      </c>
      <c r="D448" s="7">
        <v>45895</v>
      </c>
      <c r="E448" s="7" t="s">
        <v>1604</v>
      </c>
      <c r="F448" s="10" t="s">
        <v>1603</v>
      </c>
      <c r="G448" s="36"/>
      <c r="H448" s="36" t="s">
        <v>141</v>
      </c>
      <c r="I448" s="36"/>
      <c r="J448" s="36" t="s">
        <v>141</v>
      </c>
      <c r="K448" s="36"/>
      <c r="L448" s="36"/>
      <c r="M448" s="36" t="s">
        <v>141</v>
      </c>
      <c r="N448" s="36"/>
      <c r="O448" s="117"/>
      <c r="P448" s="36" t="s">
        <v>141</v>
      </c>
      <c r="Q448" s="36"/>
      <c r="R448" s="36"/>
      <c r="S448" s="36"/>
      <c r="T448" s="36" t="s">
        <v>141</v>
      </c>
      <c r="U448" s="36"/>
      <c r="V448" s="36"/>
      <c r="W448" s="36"/>
      <c r="X448" s="36"/>
      <c r="Y448" s="36" t="s">
        <v>141</v>
      </c>
      <c r="Z448" s="36"/>
      <c r="AA448" s="117"/>
      <c r="AB448" s="36"/>
      <c r="AC448" s="117"/>
      <c r="AD448" s="36"/>
      <c r="AE448" s="36"/>
      <c r="AF448" s="117"/>
      <c r="AG448" s="36" t="s">
        <v>141</v>
      </c>
      <c r="AH448" s="36"/>
      <c r="AI448" s="117"/>
      <c r="AJ448" s="36"/>
      <c r="AK448" s="36"/>
      <c r="AL448" s="36"/>
      <c r="AM448" s="117" t="s">
        <v>141</v>
      </c>
      <c r="AN448" s="117" t="s">
        <v>141</v>
      </c>
      <c r="AO448" s="117"/>
      <c r="AP448" s="117"/>
      <c r="AQ448" s="117"/>
      <c r="AR448" s="117"/>
      <c r="AS448" s="117"/>
      <c r="AT448" s="117"/>
      <c r="AU448" s="117"/>
      <c r="AV448" s="119">
        <f t="shared" si="6"/>
        <v>9</v>
      </c>
      <c r="AW448" s="119"/>
    </row>
    <row r="449" spans="1:50">
      <c r="A449">
        <v>415</v>
      </c>
      <c r="B449">
        <v>972</v>
      </c>
      <c r="C449">
        <v>449</v>
      </c>
      <c r="D449" s="7">
        <v>45895</v>
      </c>
      <c r="E449" s="7" t="s">
        <v>1606</v>
      </c>
      <c r="F449" s="10" t="s">
        <v>1605</v>
      </c>
      <c r="G449" s="36"/>
      <c r="H449" s="36"/>
      <c r="I449" s="36"/>
      <c r="J449" s="36" t="s">
        <v>141</v>
      </c>
      <c r="K449" s="36"/>
      <c r="L449" s="36"/>
      <c r="M449" s="36" t="s">
        <v>141</v>
      </c>
      <c r="N449" s="36" t="s">
        <v>141</v>
      </c>
      <c r="O449" s="117"/>
      <c r="P449" s="36" t="s">
        <v>141</v>
      </c>
      <c r="Q449" s="36" t="s">
        <v>141</v>
      </c>
      <c r="R449" s="36"/>
      <c r="S449" s="36"/>
      <c r="T449" s="36"/>
      <c r="U449" s="36"/>
      <c r="V449" s="36"/>
      <c r="W449" s="36"/>
      <c r="X449" s="36"/>
      <c r="Y449" s="36" t="s">
        <v>141</v>
      </c>
      <c r="Z449" s="36"/>
      <c r="AA449" s="117"/>
      <c r="AB449" s="36"/>
      <c r="AC449" s="117"/>
      <c r="AD449" s="36"/>
      <c r="AE449" s="36"/>
      <c r="AF449" s="117"/>
      <c r="AG449" s="36" t="s">
        <v>141</v>
      </c>
      <c r="AH449" s="36" t="s">
        <v>141</v>
      </c>
      <c r="AI449" s="117"/>
      <c r="AJ449" s="36"/>
      <c r="AK449" s="36"/>
      <c r="AL449" s="36"/>
      <c r="AM449" s="117" t="s">
        <v>141</v>
      </c>
      <c r="AN449" s="117" t="s">
        <v>141</v>
      </c>
      <c r="AO449" s="117" t="s">
        <v>141</v>
      </c>
      <c r="AP449" s="117"/>
      <c r="AQ449" s="117"/>
      <c r="AR449" s="117"/>
      <c r="AS449" s="117"/>
      <c r="AT449" s="117"/>
      <c r="AU449" s="117"/>
      <c r="AV449" s="119">
        <f t="shared" si="6"/>
        <v>11</v>
      </c>
      <c r="AW449" s="119"/>
    </row>
    <row r="450" spans="1:50">
      <c r="A450">
        <v>416</v>
      </c>
      <c r="B450">
        <v>973</v>
      </c>
      <c r="C450">
        <v>450</v>
      </c>
      <c r="D450" s="7">
        <v>45896</v>
      </c>
      <c r="E450" s="7" t="s">
        <v>1608</v>
      </c>
      <c r="F450" s="10" t="s">
        <v>1607</v>
      </c>
      <c r="G450" s="36" t="s">
        <v>141</v>
      </c>
      <c r="H450" s="36"/>
      <c r="I450" s="36" t="s">
        <v>141</v>
      </c>
      <c r="J450" s="36" t="s">
        <v>141</v>
      </c>
      <c r="K450" s="36"/>
      <c r="L450" s="36"/>
      <c r="M450" s="36" t="s">
        <v>141</v>
      </c>
      <c r="N450" s="36"/>
      <c r="O450" s="117"/>
      <c r="P450" s="36" t="s">
        <v>141</v>
      </c>
      <c r="Q450" s="36" t="s">
        <v>141</v>
      </c>
      <c r="R450" s="36"/>
      <c r="S450" s="36"/>
      <c r="T450" s="36" t="s">
        <v>141</v>
      </c>
      <c r="U450" s="36" t="s">
        <v>141</v>
      </c>
      <c r="V450" s="36"/>
      <c r="W450" s="36"/>
      <c r="X450" s="36" t="s">
        <v>141</v>
      </c>
      <c r="Y450" s="36" t="s">
        <v>141</v>
      </c>
      <c r="Z450" s="36"/>
      <c r="AA450" s="117" t="s">
        <v>141</v>
      </c>
      <c r="AB450" s="36" t="s">
        <v>141</v>
      </c>
      <c r="AC450" s="117"/>
      <c r="AD450" s="36" t="s">
        <v>141</v>
      </c>
      <c r="AE450" s="36" t="s">
        <v>141</v>
      </c>
      <c r="AF450" s="117"/>
      <c r="AG450" s="36"/>
      <c r="AH450" s="36"/>
      <c r="AI450" s="117" t="s">
        <v>141</v>
      </c>
      <c r="AJ450" s="36" t="s">
        <v>141</v>
      </c>
      <c r="AK450" s="36"/>
      <c r="AL450" s="36"/>
      <c r="AM450" s="117"/>
      <c r="AN450" s="117"/>
      <c r="AO450" s="117"/>
      <c r="AP450" s="117"/>
      <c r="AQ450" s="117"/>
      <c r="AR450" s="117"/>
      <c r="AS450" s="117"/>
      <c r="AT450" s="117"/>
      <c r="AU450" s="117"/>
      <c r="AV450" s="119">
        <f t="shared" ref="AV450:AV513" si="7">COUNTIF($F450:$AS450, "I")</f>
        <v>16</v>
      </c>
      <c r="AW450" s="119"/>
    </row>
    <row r="451" spans="1:50">
      <c r="A451">
        <v>417</v>
      </c>
      <c r="B451">
        <v>974</v>
      </c>
      <c r="C451">
        <v>451</v>
      </c>
      <c r="D451" s="7">
        <v>45896</v>
      </c>
      <c r="E451" s="7" t="s">
        <v>1610</v>
      </c>
      <c r="F451" s="10" t="s">
        <v>1609</v>
      </c>
      <c r="G451" s="36"/>
      <c r="H451" s="36"/>
      <c r="I451" s="36"/>
      <c r="J451" s="36"/>
      <c r="K451" s="36"/>
      <c r="L451" s="36"/>
      <c r="M451" s="36"/>
      <c r="N451" s="36"/>
      <c r="O451" s="117"/>
      <c r="P451" s="36"/>
      <c r="Q451" s="36" t="s">
        <v>141</v>
      </c>
      <c r="R451" s="36"/>
      <c r="S451" s="36"/>
      <c r="T451" s="36" t="s">
        <v>141</v>
      </c>
      <c r="U451" s="36"/>
      <c r="V451" s="36"/>
      <c r="W451" s="36"/>
      <c r="X451" s="36"/>
      <c r="Y451" s="36" t="s">
        <v>141</v>
      </c>
      <c r="Z451" s="36" t="s">
        <v>141</v>
      </c>
      <c r="AA451" s="117" t="s">
        <v>141</v>
      </c>
      <c r="AB451" s="36" t="s">
        <v>141</v>
      </c>
      <c r="AC451" s="117"/>
      <c r="AD451" s="36" t="s">
        <v>141</v>
      </c>
      <c r="AE451" s="36" t="s">
        <v>141</v>
      </c>
      <c r="AF451" s="117"/>
      <c r="AG451" s="36" t="s">
        <v>141</v>
      </c>
      <c r="AH451" s="36"/>
      <c r="AI451" s="117"/>
      <c r="AJ451" s="36"/>
      <c r="AK451" s="36" t="s">
        <v>141</v>
      </c>
      <c r="AL451" s="36"/>
      <c r="AM451" s="117"/>
      <c r="AN451" s="117"/>
      <c r="AO451" s="117" t="s">
        <v>141</v>
      </c>
      <c r="AP451" s="117"/>
      <c r="AQ451" s="117"/>
      <c r="AR451" s="117"/>
      <c r="AS451" s="117"/>
      <c r="AT451" s="117"/>
      <c r="AU451" s="117"/>
      <c r="AV451" s="119">
        <f t="shared" si="7"/>
        <v>11</v>
      </c>
      <c r="AW451" s="119"/>
    </row>
    <row r="452" spans="1:50">
      <c r="A452">
        <v>418</v>
      </c>
      <c r="B452">
        <v>975</v>
      </c>
      <c r="C452">
        <v>452</v>
      </c>
      <c r="D452" s="7">
        <v>45896</v>
      </c>
      <c r="E452" s="7" t="s">
        <v>1612</v>
      </c>
      <c r="F452" s="10" t="s">
        <v>1611</v>
      </c>
      <c r="G452" s="36"/>
      <c r="H452" s="36" t="s">
        <v>141</v>
      </c>
      <c r="I452" s="36"/>
      <c r="J452" s="36" t="s">
        <v>141</v>
      </c>
      <c r="K452" s="36"/>
      <c r="L452" s="36"/>
      <c r="M452" s="36" t="s">
        <v>141</v>
      </c>
      <c r="N452" s="36"/>
      <c r="O452" s="117"/>
      <c r="P452" s="36" t="s">
        <v>141</v>
      </c>
      <c r="Q452" s="36" t="s">
        <v>141</v>
      </c>
      <c r="R452" s="36"/>
      <c r="S452" s="36"/>
      <c r="T452" s="36"/>
      <c r="U452" s="36"/>
      <c r="V452" s="36"/>
      <c r="W452" s="36"/>
      <c r="X452" s="36"/>
      <c r="Y452" s="36"/>
      <c r="Z452" s="36"/>
      <c r="AA452" s="117"/>
      <c r="AB452" s="36"/>
      <c r="AC452" s="117"/>
      <c r="AD452" s="36"/>
      <c r="AE452" s="36"/>
      <c r="AF452" s="117"/>
      <c r="AG452" s="36"/>
      <c r="AH452" s="36"/>
      <c r="AI452" s="117"/>
      <c r="AJ452" s="36"/>
      <c r="AK452" s="36"/>
      <c r="AL452" s="36"/>
      <c r="AM452" s="117"/>
      <c r="AN452" s="117"/>
      <c r="AO452" s="117" t="s">
        <v>141</v>
      </c>
      <c r="AP452" s="117"/>
      <c r="AQ452" s="117"/>
      <c r="AR452" s="117"/>
      <c r="AS452" s="117"/>
      <c r="AT452" s="117"/>
      <c r="AU452" s="117"/>
      <c r="AV452" s="119">
        <f t="shared" si="7"/>
        <v>6</v>
      </c>
      <c r="AW452" s="119"/>
    </row>
    <row r="453" spans="1:50">
      <c r="A453">
        <v>419</v>
      </c>
      <c r="B453">
        <v>976</v>
      </c>
      <c r="C453">
        <v>453</v>
      </c>
      <c r="D453" s="7">
        <v>45896</v>
      </c>
      <c r="E453" s="7" t="s">
        <v>1614</v>
      </c>
      <c r="F453" s="10" t="s">
        <v>1613</v>
      </c>
      <c r="G453" s="36" t="s">
        <v>141</v>
      </c>
      <c r="H453" s="36"/>
      <c r="I453" s="36"/>
      <c r="J453" s="36" t="s">
        <v>141</v>
      </c>
      <c r="K453" s="36"/>
      <c r="L453" s="36"/>
      <c r="M453" s="36" t="s">
        <v>141</v>
      </c>
      <c r="N453" s="36" t="s">
        <v>141</v>
      </c>
      <c r="O453" s="117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117" t="s">
        <v>141</v>
      </c>
      <c r="AB453" s="36" t="s">
        <v>141</v>
      </c>
      <c r="AC453" s="117"/>
      <c r="AD453" s="36" t="s">
        <v>141</v>
      </c>
      <c r="AE453" s="36" t="s">
        <v>141</v>
      </c>
      <c r="AF453" s="117"/>
      <c r="AG453" s="36"/>
      <c r="AH453" s="36" t="s">
        <v>141</v>
      </c>
      <c r="AI453" s="117"/>
      <c r="AJ453" s="36"/>
      <c r="AK453" s="36"/>
      <c r="AL453" s="36"/>
      <c r="AM453" s="117"/>
      <c r="AN453" s="117"/>
      <c r="AO453" s="117"/>
      <c r="AP453" s="117"/>
      <c r="AQ453" s="117"/>
      <c r="AR453" s="117"/>
      <c r="AS453" s="117"/>
      <c r="AT453" s="117"/>
      <c r="AU453" s="117"/>
      <c r="AV453" s="119">
        <f t="shared" si="7"/>
        <v>9</v>
      </c>
      <c r="AW453" s="119"/>
    </row>
    <row r="454" spans="1:50">
      <c r="A454">
        <v>420</v>
      </c>
      <c r="B454">
        <v>977</v>
      </c>
      <c r="C454">
        <v>454</v>
      </c>
      <c r="D454" s="7">
        <v>45898</v>
      </c>
      <c r="E454" s="7" t="s">
        <v>1616</v>
      </c>
      <c r="F454" s="10" t="s">
        <v>1615</v>
      </c>
      <c r="G454" s="36"/>
      <c r="H454" s="36" t="s">
        <v>141</v>
      </c>
      <c r="I454" s="36"/>
      <c r="J454" s="36"/>
      <c r="K454" s="36"/>
      <c r="L454" s="36"/>
      <c r="M454" s="36" t="s">
        <v>141</v>
      </c>
      <c r="N454" s="36" t="s">
        <v>141</v>
      </c>
      <c r="O454" s="117"/>
      <c r="P454" s="36"/>
      <c r="Q454" s="36" t="s">
        <v>141</v>
      </c>
      <c r="R454" s="36"/>
      <c r="S454" s="36"/>
      <c r="T454" s="36" t="s">
        <v>141</v>
      </c>
      <c r="U454" s="36"/>
      <c r="V454" s="36"/>
      <c r="W454" s="36"/>
      <c r="X454" s="36"/>
      <c r="Y454" s="36"/>
      <c r="Z454" s="36" t="s">
        <v>141</v>
      </c>
      <c r="AA454" s="117" t="s">
        <v>141</v>
      </c>
      <c r="AB454" s="36" t="s">
        <v>141</v>
      </c>
      <c r="AC454" s="117"/>
      <c r="AD454" s="36"/>
      <c r="AE454" s="36"/>
      <c r="AF454" s="117"/>
      <c r="AG454" s="36"/>
      <c r="AH454" s="36"/>
      <c r="AI454" s="117"/>
      <c r="AJ454" s="36"/>
      <c r="AK454" s="36"/>
      <c r="AL454" s="36" t="s">
        <v>141</v>
      </c>
      <c r="AM454" s="117"/>
      <c r="AN454" s="117"/>
      <c r="AO454" s="117"/>
      <c r="AP454" s="117"/>
      <c r="AQ454" s="117"/>
      <c r="AR454" s="117"/>
      <c r="AS454" s="117"/>
      <c r="AT454" s="117"/>
      <c r="AU454" s="117"/>
      <c r="AV454" s="119">
        <f t="shared" si="7"/>
        <v>9</v>
      </c>
      <c r="AW454" s="119"/>
    </row>
    <row r="455" spans="1:50">
      <c r="A455">
        <v>421</v>
      </c>
      <c r="B455">
        <v>978</v>
      </c>
      <c r="C455">
        <v>455</v>
      </c>
      <c r="D455" s="7">
        <v>45898</v>
      </c>
      <c r="E455" s="7" t="s">
        <v>2148</v>
      </c>
      <c r="F455" s="10" t="s">
        <v>1617</v>
      </c>
      <c r="G455" s="36"/>
      <c r="H455" s="36" t="s">
        <v>141</v>
      </c>
      <c r="I455" s="36"/>
      <c r="J455" s="36"/>
      <c r="K455" s="36"/>
      <c r="L455" s="36"/>
      <c r="M455" s="36" t="s">
        <v>141</v>
      </c>
      <c r="N455" s="36" t="s">
        <v>141</v>
      </c>
      <c r="O455" s="117"/>
      <c r="P455" s="36"/>
      <c r="Q455" s="36" t="s">
        <v>141</v>
      </c>
      <c r="R455" s="36"/>
      <c r="S455" s="36"/>
      <c r="T455" s="36" t="s">
        <v>141</v>
      </c>
      <c r="U455" s="36"/>
      <c r="V455" s="36"/>
      <c r="W455" s="36"/>
      <c r="X455" s="36"/>
      <c r="Y455" s="36"/>
      <c r="Z455" s="36" t="s">
        <v>141</v>
      </c>
      <c r="AA455" s="117"/>
      <c r="AB455" s="36" t="s">
        <v>141</v>
      </c>
      <c r="AC455" s="117"/>
      <c r="AD455" s="36"/>
      <c r="AE455" s="36"/>
      <c r="AF455" s="117"/>
      <c r="AG455" s="36"/>
      <c r="AH455" s="36"/>
      <c r="AI455" s="117"/>
      <c r="AJ455" s="36"/>
      <c r="AK455" s="36"/>
      <c r="AL455" s="36" t="s">
        <v>141</v>
      </c>
      <c r="AM455" s="117"/>
      <c r="AN455" s="117"/>
      <c r="AO455" s="117"/>
      <c r="AP455" s="117"/>
      <c r="AQ455" s="117"/>
      <c r="AR455" s="117"/>
      <c r="AS455" s="117"/>
      <c r="AT455" s="117"/>
      <c r="AU455" s="117"/>
      <c r="AV455" s="119">
        <f t="shared" si="7"/>
        <v>8</v>
      </c>
      <c r="AW455" s="119"/>
    </row>
    <row r="456" spans="1:50">
      <c r="A456">
        <v>422</v>
      </c>
      <c r="B456">
        <v>979</v>
      </c>
      <c r="C456">
        <v>456</v>
      </c>
      <c r="D456" s="7">
        <v>45898</v>
      </c>
      <c r="E456" s="7" t="s">
        <v>1621</v>
      </c>
      <c r="F456" s="10" t="s">
        <v>1620</v>
      </c>
      <c r="G456" s="36"/>
      <c r="H456" s="36"/>
      <c r="I456" s="36"/>
      <c r="J456" s="36"/>
      <c r="K456" s="36"/>
      <c r="L456" s="36"/>
      <c r="M456" s="36" t="s">
        <v>141</v>
      </c>
      <c r="N456" s="36"/>
      <c r="O456" s="117"/>
      <c r="P456" s="36" t="s">
        <v>141</v>
      </c>
      <c r="Q456" s="36"/>
      <c r="R456" s="36"/>
      <c r="S456" s="36"/>
      <c r="T456" s="36" t="s">
        <v>141</v>
      </c>
      <c r="U456" s="36"/>
      <c r="V456" s="36"/>
      <c r="W456" s="36"/>
      <c r="X456" s="36"/>
      <c r="Y456" s="36" t="s">
        <v>141</v>
      </c>
      <c r="Z456" s="36" t="s">
        <v>141</v>
      </c>
      <c r="AA456" s="117" t="s">
        <v>141</v>
      </c>
      <c r="AB456" s="36"/>
      <c r="AC456" s="117"/>
      <c r="AD456" s="36"/>
      <c r="AE456" s="36"/>
      <c r="AF456" s="117"/>
      <c r="AG456" s="36"/>
      <c r="AH456" s="36"/>
      <c r="AI456" s="117"/>
      <c r="AJ456" s="36"/>
      <c r="AK456" s="36"/>
      <c r="AL456" s="36"/>
      <c r="AM456" s="117" t="s">
        <v>141</v>
      </c>
      <c r="AN456" s="117" t="s">
        <v>141</v>
      </c>
      <c r="AO456" s="117" t="s">
        <v>141</v>
      </c>
      <c r="AP456" s="117"/>
      <c r="AQ456" s="117"/>
      <c r="AR456" s="117"/>
      <c r="AS456" s="117"/>
      <c r="AT456" s="117"/>
      <c r="AU456" s="117"/>
      <c r="AV456" s="119">
        <f t="shared" si="7"/>
        <v>9</v>
      </c>
      <c r="AW456" s="119"/>
    </row>
    <row r="457" spans="1:50">
      <c r="A457">
        <v>423</v>
      </c>
      <c r="B457">
        <v>980</v>
      </c>
      <c r="C457">
        <v>457</v>
      </c>
      <c r="D457" s="7">
        <v>45898</v>
      </c>
      <c r="E457" s="7" t="s">
        <v>1623</v>
      </c>
      <c r="F457" s="10" t="s">
        <v>1622</v>
      </c>
      <c r="G457" s="36" t="s">
        <v>141</v>
      </c>
      <c r="H457" s="36"/>
      <c r="I457" s="36"/>
      <c r="J457" s="36"/>
      <c r="K457" s="36"/>
      <c r="L457" s="36"/>
      <c r="M457" s="36" t="s">
        <v>141</v>
      </c>
      <c r="N457" s="36" t="s">
        <v>141</v>
      </c>
      <c r="O457" s="117"/>
      <c r="P457" s="36" t="s">
        <v>141</v>
      </c>
      <c r="Q457" s="36"/>
      <c r="R457" s="36"/>
      <c r="S457" s="36"/>
      <c r="T457" s="36" t="s">
        <v>141</v>
      </c>
      <c r="U457" s="36"/>
      <c r="V457" s="36"/>
      <c r="W457" s="36"/>
      <c r="X457" s="36"/>
      <c r="Y457" s="36"/>
      <c r="Z457" s="36"/>
      <c r="AA457" s="117" t="s">
        <v>141</v>
      </c>
      <c r="AB457" s="36"/>
      <c r="AC457" s="117"/>
      <c r="AD457" s="36"/>
      <c r="AE457" s="36"/>
      <c r="AF457" s="117"/>
      <c r="AG457" s="36"/>
      <c r="AH457" s="36"/>
      <c r="AI457" s="117"/>
      <c r="AJ457" s="36"/>
      <c r="AK457" s="36"/>
      <c r="AL457" s="36"/>
      <c r="AM457" s="117" t="s">
        <v>141</v>
      </c>
      <c r="AN457" s="117" t="s">
        <v>141</v>
      </c>
      <c r="AO457" s="117"/>
      <c r="AP457" s="117"/>
      <c r="AQ457" s="117"/>
      <c r="AR457" s="117"/>
      <c r="AS457" s="117"/>
      <c r="AT457" s="117"/>
      <c r="AU457" s="117"/>
      <c r="AV457" s="119">
        <f t="shared" si="7"/>
        <v>8</v>
      </c>
      <c r="AW457" s="119"/>
      <c r="AX457" s="119" t="s">
        <v>2146</v>
      </c>
    </row>
    <row r="458" spans="1:50">
      <c r="A458">
        <v>424</v>
      </c>
      <c r="B458">
        <v>981</v>
      </c>
      <c r="C458">
        <v>458</v>
      </c>
      <c r="D458" s="7">
        <v>45898</v>
      </c>
      <c r="E458" s="7" t="s">
        <v>1625</v>
      </c>
      <c r="F458" s="10" t="s">
        <v>1624</v>
      </c>
      <c r="G458" s="36" t="s">
        <v>141</v>
      </c>
      <c r="H458" s="36" t="s">
        <v>141</v>
      </c>
      <c r="I458" s="36"/>
      <c r="J458" s="36"/>
      <c r="K458" s="36"/>
      <c r="L458" s="36"/>
      <c r="M458" s="36" t="s">
        <v>141</v>
      </c>
      <c r="N458" s="36" t="s">
        <v>141</v>
      </c>
      <c r="O458" s="117"/>
      <c r="P458" s="36" t="s">
        <v>141</v>
      </c>
      <c r="Q458" s="36" t="s">
        <v>141</v>
      </c>
      <c r="R458" s="36" t="s">
        <v>141</v>
      </c>
      <c r="S458" s="36"/>
      <c r="T458" s="36" t="s">
        <v>141</v>
      </c>
      <c r="U458" s="36"/>
      <c r="V458" s="36"/>
      <c r="W458" s="36"/>
      <c r="X458" s="36"/>
      <c r="Y458" s="36"/>
      <c r="Z458" s="36" t="s">
        <v>141</v>
      </c>
      <c r="AA458" s="117"/>
      <c r="AB458" s="36"/>
      <c r="AC458" s="117"/>
      <c r="AD458" s="36"/>
      <c r="AE458" s="36"/>
      <c r="AF458" s="117"/>
      <c r="AG458" s="36"/>
      <c r="AH458" s="36" t="s">
        <v>141</v>
      </c>
      <c r="AI458" s="117"/>
      <c r="AJ458" s="36"/>
      <c r="AK458" s="36"/>
      <c r="AL458" s="36"/>
      <c r="AM458" s="117"/>
      <c r="AN458" s="117"/>
      <c r="AO458" s="117"/>
      <c r="AP458" s="117"/>
      <c r="AQ458" s="117"/>
      <c r="AR458" s="117"/>
      <c r="AS458" s="117"/>
      <c r="AT458" s="117"/>
      <c r="AU458" s="117"/>
      <c r="AV458" s="119">
        <f t="shared" si="7"/>
        <v>10</v>
      </c>
      <c r="AW458" s="119"/>
    </row>
    <row r="459" spans="1:50">
      <c r="A459">
        <v>425</v>
      </c>
      <c r="B459">
        <v>982</v>
      </c>
      <c r="C459">
        <v>459</v>
      </c>
      <c r="D459" s="7">
        <v>45899</v>
      </c>
      <c r="E459" s="7" t="s">
        <v>1627</v>
      </c>
      <c r="F459" s="10" t="s">
        <v>1626</v>
      </c>
      <c r="G459" s="36"/>
      <c r="H459" s="36" t="s">
        <v>141</v>
      </c>
      <c r="I459" s="36"/>
      <c r="J459" s="36"/>
      <c r="K459" s="36" t="s">
        <v>141</v>
      </c>
      <c r="L459" s="36"/>
      <c r="M459" s="36" t="s">
        <v>141</v>
      </c>
      <c r="N459" s="36"/>
      <c r="O459" s="117"/>
      <c r="P459" s="36" t="s">
        <v>141</v>
      </c>
      <c r="Q459" s="36" t="s">
        <v>141</v>
      </c>
      <c r="R459" s="36" t="s">
        <v>141</v>
      </c>
      <c r="S459" s="36"/>
      <c r="T459" s="36" t="s">
        <v>141</v>
      </c>
      <c r="U459" s="36"/>
      <c r="V459" s="36"/>
      <c r="W459" s="36"/>
      <c r="X459" s="36"/>
      <c r="Y459" s="36"/>
      <c r="Z459" s="36" t="s">
        <v>141</v>
      </c>
      <c r="AA459" s="117"/>
      <c r="AB459" s="36"/>
      <c r="AC459" s="117"/>
      <c r="AD459" s="36"/>
      <c r="AE459" s="36"/>
      <c r="AF459" s="117"/>
      <c r="AG459" s="36"/>
      <c r="AH459" s="36"/>
      <c r="AI459" s="117"/>
      <c r="AJ459" s="36" t="s">
        <v>141</v>
      </c>
      <c r="AK459" s="36"/>
      <c r="AL459" s="36"/>
      <c r="AM459" s="117"/>
      <c r="AN459" s="117"/>
      <c r="AO459" s="117"/>
      <c r="AP459" s="117"/>
      <c r="AQ459" s="117"/>
      <c r="AR459" s="117"/>
      <c r="AS459" s="117"/>
      <c r="AT459" s="117"/>
      <c r="AU459" s="117"/>
      <c r="AV459" s="119">
        <f t="shared" si="7"/>
        <v>9</v>
      </c>
      <c r="AW459" s="119"/>
    </row>
    <row r="460" spans="1:50">
      <c r="A460">
        <v>426</v>
      </c>
      <c r="B460">
        <v>983</v>
      </c>
      <c r="C460">
        <v>460</v>
      </c>
      <c r="D460" s="7">
        <v>45900</v>
      </c>
      <c r="E460" s="7" t="s">
        <v>1629</v>
      </c>
      <c r="F460" s="10" t="s">
        <v>1628</v>
      </c>
      <c r="G460" s="36" t="s">
        <v>141</v>
      </c>
      <c r="H460" s="36"/>
      <c r="I460" s="36"/>
      <c r="J460" s="36" t="s">
        <v>141</v>
      </c>
      <c r="K460" s="36"/>
      <c r="L460" s="36"/>
      <c r="M460" s="36" t="s">
        <v>141</v>
      </c>
      <c r="N460" s="36" t="s">
        <v>141</v>
      </c>
      <c r="O460" s="117"/>
      <c r="P460" s="36" t="s">
        <v>141</v>
      </c>
      <c r="Q460" s="36"/>
      <c r="R460" s="36" t="s">
        <v>141</v>
      </c>
      <c r="S460" s="36" t="s">
        <v>141</v>
      </c>
      <c r="T460" s="36" t="s">
        <v>141</v>
      </c>
      <c r="U460" s="36"/>
      <c r="V460" s="36"/>
      <c r="W460" s="36"/>
      <c r="X460" s="36"/>
      <c r="Y460" s="36" t="s">
        <v>141</v>
      </c>
      <c r="Z460" s="36"/>
      <c r="AA460" s="117"/>
      <c r="AB460" s="36"/>
      <c r="AC460" s="117"/>
      <c r="AD460" s="36" t="s">
        <v>141</v>
      </c>
      <c r="AE460" s="36"/>
      <c r="AF460" s="117"/>
      <c r="AG460" s="36"/>
      <c r="AH460" s="36"/>
      <c r="AI460" s="117"/>
      <c r="AJ460" s="36" t="s">
        <v>141</v>
      </c>
      <c r="AK460" s="36" t="s">
        <v>141</v>
      </c>
      <c r="AL460" s="36"/>
      <c r="AM460" s="117" t="s">
        <v>141</v>
      </c>
      <c r="AN460" s="117" t="s">
        <v>141</v>
      </c>
      <c r="AO460" s="117"/>
      <c r="AP460" s="117"/>
      <c r="AQ460" s="117"/>
      <c r="AR460" s="117"/>
      <c r="AS460" s="117"/>
      <c r="AT460" s="117"/>
      <c r="AU460" s="117"/>
      <c r="AV460" s="119">
        <f t="shared" si="7"/>
        <v>14</v>
      </c>
      <c r="AW460" s="119"/>
    </row>
    <row r="461" spans="1:50">
      <c r="A461">
        <v>427</v>
      </c>
      <c r="B461">
        <v>984</v>
      </c>
      <c r="C461">
        <v>461</v>
      </c>
      <c r="D461" s="7">
        <v>45900</v>
      </c>
      <c r="E461" s="7" t="s">
        <v>1632</v>
      </c>
      <c r="F461" s="10" t="s">
        <v>1630</v>
      </c>
      <c r="G461" s="36"/>
      <c r="H461" s="36"/>
      <c r="I461" s="36"/>
      <c r="J461" s="36" t="s">
        <v>141</v>
      </c>
      <c r="K461" s="36"/>
      <c r="L461" s="36"/>
      <c r="M461" s="36" t="s">
        <v>141</v>
      </c>
      <c r="N461" s="36"/>
      <c r="O461" s="117"/>
      <c r="P461" s="36"/>
      <c r="Q461" s="36"/>
      <c r="R461" s="36" t="s">
        <v>141</v>
      </c>
      <c r="S461" s="36" t="s">
        <v>141</v>
      </c>
      <c r="T461" s="36"/>
      <c r="U461" s="36"/>
      <c r="V461" s="36"/>
      <c r="W461" s="36"/>
      <c r="X461" s="36"/>
      <c r="Y461" s="36"/>
      <c r="Z461" s="36" t="s">
        <v>141</v>
      </c>
      <c r="AA461" s="117"/>
      <c r="AB461" s="36"/>
      <c r="AC461" s="117"/>
      <c r="AD461" s="36"/>
      <c r="AE461" s="36"/>
      <c r="AF461" s="117"/>
      <c r="AG461" s="36"/>
      <c r="AH461" s="36"/>
      <c r="AI461" s="117"/>
      <c r="AJ461" s="36"/>
      <c r="AK461" s="36" t="s">
        <v>141</v>
      </c>
      <c r="AL461" s="36"/>
      <c r="AM461" s="117" t="s">
        <v>141</v>
      </c>
      <c r="AN461" s="117" t="s">
        <v>141</v>
      </c>
      <c r="AO461" s="117"/>
      <c r="AP461" s="117"/>
      <c r="AQ461" s="117"/>
      <c r="AR461" s="117"/>
      <c r="AS461" s="117"/>
      <c r="AT461" s="117"/>
      <c r="AU461" s="117"/>
      <c r="AV461" s="119">
        <f t="shared" si="7"/>
        <v>8</v>
      </c>
      <c r="AW461" s="119"/>
    </row>
    <row r="462" spans="1:50">
      <c r="A462">
        <v>428</v>
      </c>
      <c r="B462">
        <v>985</v>
      </c>
      <c r="C462">
        <v>462</v>
      </c>
      <c r="D462" s="7">
        <v>45900</v>
      </c>
      <c r="E462" s="7" t="s">
        <v>1634</v>
      </c>
      <c r="F462" s="10" t="s">
        <v>1633</v>
      </c>
      <c r="G462" s="36"/>
      <c r="H462" s="36"/>
      <c r="I462" s="36"/>
      <c r="J462" s="36"/>
      <c r="K462" s="36"/>
      <c r="L462" s="36"/>
      <c r="M462" s="36" t="s">
        <v>141</v>
      </c>
      <c r="N462" s="36"/>
      <c r="O462" s="117"/>
      <c r="P462" s="36" t="s">
        <v>141</v>
      </c>
      <c r="Q462" s="36"/>
      <c r="R462" s="36"/>
      <c r="S462" s="36"/>
      <c r="T462" s="36" t="s">
        <v>141</v>
      </c>
      <c r="U462" s="36"/>
      <c r="V462" s="36"/>
      <c r="W462" s="36"/>
      <c r="X462" s="36"/>
      <c r="Y462" s="36" t="s">
        <v>141</v>
      </c>
      <c r="Z462" s="36" t="s">
        <v>141</v>
      </c>
      <c r="AA462" s="117"/>
      <c r="AB462" s="36"/>
      <c r="AC462" s="117"/>
      <c r="AD462" s="36"/>
      <c r="AE462" s="36"/>
      <c r="AF462" s="117"/>
      <c r="AG462" s="36"/>
      <c r="AH462" s="36"/>
      <c r="AI462" s="117" t="s">
        <v>141</v>
      </c>
      <c r="AJ462" s="36"/>
      <c r="AK462" s="36"/>
      <c r="AL462" s="36"/>
      <c r="AM462" s="117" t="s">
        <v>141</v>
      </c>
      <c r="AN462" s="117" t="s">
        <v>141</v>
      </c>
      <c r="AO462" s="117"/>
      <c r="AP462" s="117"/>
      <c r="AQ462" s="117"/>
      <c r="AR462" s="117"/>
      <c r="AS462" s="117"/>
      <c r="AT462" s="117"/>
      <c r="AU462" s="117"/>
      <c r="AV462" s="119">
        <f t="shared" si="7"/>
        <v>8</v>
      </c>
      <c r="AW462" s="119"/>
    </row>
    <row r="463" spans="1:50">
      <c r="A463">
        <v>429</v>
      </c>
      <c r="B463">
        <v>986</v>
      </c>
      <c r="C463">
        <v>463</v>
      </c>
      <c r="D463" s="7">
        <v>45901</v>
      </c>
      <c r="E463" s="7" t="s">
        <v>1636</v>
      </c>
      <c r="F463" s="10" t="s">
        <v>1635</v>
      </c>
      <c r="G463" s="36"/>
      <c r="H463" s="36"/>
      <c r="I463" s="36"/>
      <c r="J463" s="36" t="s">
        <v>141</v>
      </c>
      <c r="K463" s="36"/>
      <c r="L463" s="36"/>
      <c r="M463" s="36" t="s">
        <v>141</v>
      </c>
      <c r="N463" s="36" t="s">
        <v>141</v>
      </c>
      <c r="O463" s="117"/>
      <c r="P463" s="36" t="s">
        <v>141</v>
      </c>
      <c r="Q463" s="36"/>
      <c r="R463" s="36"/>
      <c r="S463" s="36"/>
      <c r="T463" s="36" t="s">
        <v>141</v>
      </c>
      <c r="U463" s="36"/>
      <c r="V463" s="36"/>
      <c r="W463" s="36"/>
      <c r="X463" s="36"/>
      <c r="Y463" s="36" t="s">
        <v>141</v>
      </c>
      <c r="Z463" s="36" t="s">
        <v>141</v>
      </c>
      <c r="AA463" s="117"/>
      <c r="AB463" s="36"/>
      <c r="AC463" s="117"/>
      <c r="AD463" s="36" t="s">
        <v>141</v>
      </c>
      <c r="AE463" s="36"/>
      <c r="AF463" s="117"/>
      <c r="AG463" s="36" t="s">
        <v>141</v>
      </c>
      <c r="AH463" s="36" t="s">
        <v>141</v>
      </c>
      <c r="AI463" s="117" t="s">
        <v>141</v>
      </c>
      <c r="AJ463" s="36"/>
      <c r="AK463" s="36"/>
      <c r="AL463" s="36"/>
      <c r="AM463" s="117" t="s">
        <v>141</v>
      </c>
      <c r="AN463" s="117" t="s">
        <v>141</v>
      </c>
      <c r="AO463" s="117"/>
      <c r="AP463" s="117"/>
      <c r="AQ463" s="117"/>
      <c r="AR463" s="117"/>
      <c r="AS463" s="117"/>
      <c r="AT463" s="117"/>
      <c r="AU463" s="117"/>
      <c r="AV463" s="119">
        <f t="shared" si="7"/>
        <v>13</v>
      </c>
      <c r="AW463" s="119"/>
    </row>
    <row r="464" spans="1:50">
      <c r="A464">
        <v>430</v>
      </c>
      <c r="B464">
        <v>987</v>
      </c>
      <c r="C464">
        <v>464</v>
      </c>
      <c r="D464" s="7">
        <v>45901</v>
      </c>
      <c r="E464" s="7" t="s">
        <v>1638</v>
      </c>
      <c r="F464" s="10" t="s">
        <v>1637</v>
      </c>
      <c r="G464" s="36"/>
      <c r="H464" s="36"/>
      <c r="I464" s="36"/>
      <c r="J464" s="36" t="s">
        <v>141</v>
      </c>
      <c r="K464" s="36"/>
      <c r="L464" s="36"/>
      <c r="M464" s="36" t="s">
        <v>141</v>
      </c>
      <c r="N464" s="36" t="s">
        <v>141</v>
      </c>
      <c r="O464" s="117"/>
      <c r="P464" s="36" t="s">
        <v>141</v>
      </c>
      <c r="Q464" s="36"/>
      <c r="R464" s="36"/>
      <c r="S464" s="36"/>
      <c r="T464" s="36" t="s">
        <v>141</v>
      </c>
      <c r="U464" s="36"/>
      <c r="V464" s="36"/>
      <c r="W464" s="36"/>
      <c r="X464" s="36"/>
      <c r="Y464" s="36" t="s">
        <v>141</v>
      </c>
      <c r="Z464" s="36" t="s">
        <v>141</v>
      </c>
      <c r="AA464" s="117"/>
      <c r="AB464" s="36"/>
      <c r="AC464" s="117"/>
      <c r="AD464" s="36" t="s">
        <v>141</v>
      </c>
      <c r="AE464" s="36" t="s">
        <v>141</v>
      </c>
      <c r="AF464" s="117"/>
      <c r="AG464" s="36"/>
      <c r="AH464" s="36" t="s">
        <v>141</v>
      </c>
      <c r="AI464" s="117" t="s">
        <v>141</v>
      </c>
      <c r="AJ464" s="36"/>
      <c r="AK464" s="36"/>
      <c r="AL464" s="36"/>
      <c r="AM464" s="117" t="s">
        <v>141</v>
      </c>
      <c r="AN464" s="117" t="s">
        <v>141</v>
      </c>
      <c r="AO464" s="117"/>
      <c r="AP464" s="117"/>
      <c r="AQ464" s="117"/>
      <c r="AR464" s="117"/>
      <c r="AS464" s="117"/>
      <c r="AT464" s="117"/>
      <c r="AU464" s="117"/>
      <c r="AV464" s="119">
        <f t="shared" si="7"/>
        <v>13</v>
      </c>
      <c r="AW464" s="119"/>
    </row>
    <row r="465" spans="1:50">
      <c r="A465" t="s">
        <v>57</v>
      </c>
      <c r="B465" t="s">
        <v>57</v>
      </c>
      <c r="C465">
        <v>465</v>
      </c>
      <c r="D465" s="7">
        <v>45901</v>
      </c>
      <c r="E465" s="7" t="s">
        <v>2129</v>
      </c>
      <c r="F465" s="10" t="s">
        <v>2130</v>
      </c>
      <c r="G465" s="36" t="s">
        <v>141</v>
      </c>
      <c r="H465" s="36" t="s">
        <v>2131</v>
      </c>
      <c r="I465" s="36" t="s">
        <v>2131</v>
      </c>
      <c r="J465" s="36" t="s">
        <v>141</v>
      </c>
      <c r="K465" s="36" t="s">
        <v>141</v>
      </c>
      <c r="L465" s="36" t="s">
        <v>2132</v>
      </c>
      <c r="M465" s="36" t="s">
        <v>141</v>
      </c>
      <c r="N465" s="36" t="s">
        <v>141</v>
      </c>
      <c r="O465" s="117" t="s">
        <v>2131</v>
      </c>
      <c r="P465" s="36" t="s">
        <v>141</v>
      </c>
      <c r="Q465" s="36" t="s">
        <v>141</v>
      </c>
      <c r="R465" s="36" t="s">
        <v>2131</v>
      </c>
      <c r="S465" s="36" t="s">
        <v>141</v>
      </c>
      <c r="T465" s="36" t="s">
        <v>141</v>
      </c>
      <c r="U465" s="36" t="s">
        <v>141</v>
      </c>
      <c r="V465" s="36" t="s">
        <v>2131</v>
      </c>
      <c r="W465" s="36" t="s">
        <v>141</v>
      </c>
      <c r="X465" s="36" t="s">
        <v>2131</v>
      </c>
      <c r="Y465" s="36" t="s">
        <v>141</v>
      </c>
      <c r="Z465" s="36" t="s">
        <v>141</v>
      </c>
      <c r="AA465" s="117" t="s">
        <v>141</v>
      </c>
      <c r="AB465" s="36" t="s">
        <v>2131</v>
      </c>
      <c r="AC465" s="117" t="s">
        <v>141</v>
      </c>
      <c r="AD465" s="36" t="s">
        <v>2131</v>
      </c>
      <c r="AE465" s="36" t="s">
        <v>141</v>
      </c>
      <c r="AF465" s="117" t="s">
        <v>2131</v>
      </c>
      <c r="AG465" s="36" t="s">
        <v>2131</v>
      </c>
      <c r="AH465" s="36" t="s">
        <v>141</v>
      </c>
      <c r="AI465" s="117" t="s">
        <v>141</v>
      </c>
      <c r="AJ465" s="36" t="s">
        <v>141</v>
      </c>
      <c r="AK465" s="36" t="s">
        <v>2131</v>
      </c>
      <c r="AL465" s="36" t="s">
        <v>2131</v>
      </c>
      <c r="AM465" s="117" t="s">
        <v>2131</v>
      </c>
      <c r="AN465" s="117" t="s">
        <v>2131</v>
      </c>
      <c r="AO465" s="117" t="s">
        <v>2131</v>
      </c>
      <c r="AP465" s="117"/>
      <c r="AQ465" s="117"/>
      <c r="AR465" s="117" t="s">
        <v>2131</v>
      </c>
      <c r="AS465" s="117" t="s">
        <v>141</v>
      </c>
      <c r="AT465" s="117"/>
      <c r="AU465" s="117"/>
      <c r="AV465" s="119">
        <f t="shared" si="7"/>
        <v>20</v>
      </c>
      <c r="AW465" s="119"/>
      <c r="AX465" s="119" t="s">
        <v>2145</v>
      </c>
    </row>
    <row r="466" spans="1:50">
      <c r="A466">
        <v>431</v>
      </c>
      <c r="B466">
        <v>988</v>
      </c>
      <c r="C466">
        <v>466</v>
      </c>
      <c r="D466" s="7">
        <v>45901</v>
      </c>
      <c r="E466" s="7" t="s">
        <v>1640</v>
      </c>
      <c r="F466" s="10" t="s">
        <v>1639</v>
      </c>
      <c r="G466" s="36" t="s">
        <v>141</v>
      </c>
      <c r="H466" s="36"/>
      <c r="I466" s="36"/>
      <c r="J466" s="36" t="s">
        <v>141</v>
      </c>
      <c r="K466" s="36" t="s">
        <v>141</v>
      </c>
      <c r="L466" s="36"/>
      <c r="M466" s="36" t="s">
        <v>141</v>
      </c>
      <c r="N466" s="36" t="s">
        <v>141</v>
      </c>
      <c r="O466" s="117"/>
      <c r="P466" s="36" t="s">
        <v>141</v>
      </c>
      <c r="Q466" s="36" t="s">
        <v>141</v>
      </c>
      <c r="R466" s="36"/>
      <c r="S466" s="36" t="s">
        <v>141</v>
      </c>
      <c r="T466" s="36" t="s">
        <v>141</v>
      </c>
      <c r="U466" s="36" t="s">
        <v>141</v>
      </c>
      <c r="V466" s="36"/>
      <c r="W466" s="36" t="s">
        <v>141</v>
      </c>
      <c r="X466" s="36"/>
      <c r="Y466" s="36" t="s">
        <v>141</v>
      </c>
      <c r="Z466" s="36" t="s">
        <v>141</v>
      </c>
      <c r="AA466" s="117" t="s">
        <v>141</v>
      </c>
      <c r="AB466" s="36"/>
      <c r="AC466" s="117" t="s">
        <v>141</v>
      </c>
      <c r="AD466" s="36"/>
      <c r="AE466" s="36" t="s">
        <v>141</v>
      </c>
      <c r="AF466" s="117"/>
      <c r="AG466" s="36"/>
      <c r="AH466" s="36" t="s">
        <v>141</v>
      </c>
      <c r="AI466" s="117" t="s">
        <v>141</v>
      </c>
      <c r="AJ466" s="36" t="s">
        <v>141</v>
      </c>
      <c r="AK466" s="36"/>
      <c r="AL466" s="36"/>
      <c r="AM466" s="117"/>
      <c r="AN466" s="117"/>
      <c r="AO466" s="117"/>
      <c r="AP466" s="117"/>
      <c r="AQ466" s="117"/>
      <c r="AR466" s="117"/>
      <c r="AS466" s="117" t="s">
        <v>141</v>
      </c>
      <c r="AT466" s="117"/>
      <c r="AU466" s="117"/>
      <c r="AV466" s="119">
        <f t="shared" si="7"/>
        <v>20</v>
      </c>
      <c r="AW466" s="119"/>
    </row>
    <row r="467" spans="1:50">
      <c r="A467">
        <v>432</v>
      </c>
      <c r="B467">
        <v>989</v>
      </c>
      <c r="C467">
        <v>467</v>
      </c>
      <c r="D467" s="7">
        <v>45904</v>
      </c>
      <c r="E467" s="7" t="s">
        <v>1642</v>
      </c>
      <c r="F467" s="10" t="s">
        <v>1641</v>
      </c>
      <c r="G467" s="36" t="s">
        <v>141</v>
      </c>
      <c r="H467" s="36"/>
      <c r="I467" s="36"/>
      <c r="J467" s="36" t="s">
        <v>141</v>
      </c>
      <c r="K467" s="36"/>
      <c r="L467" s="36"/>
      <c r="M467" s="36"/>
      <c r="N467" s="36"/>
      <c r="O467" s="117"/>
      <c r="P467" s="36"/>
      <c r="Q467" s="36"/>
      <c r="R467" s="36"/>
      <c r="S467" s="36"/>
      <c r="T467" s="36"/>
      <c r="U467" s="36"/>
      <c r="V467" s="36"/>
      <c r="W467" s="36"/>
      <c r="X467" s="36"/>
      <c r="Y467" s="36" t="s">
        <v>141</v>
      </c>
      <c r="Z467" s="36"/>
      <c r="AA467" s="117"/>
      <c r="AB467" s="36"/>
      <c r="AC467" s="117" t="s">
        <v>141</v>
      </c>
      <c r="AD467" s="36" t="s">
        <v>141</v>
      </c>
      <c r="AE467" s="36" t="s">
        <v>141</v>
      </c>
      <c r="AF467" s="117"/>
      <c r="AG467" s="36"/>
      <c r="AH467" s="36"/>
      <c r="AI467" s="117"/>
      <c r="AJ467" s="36"/>
      <c r="AK467" s="36"/>
      <c r="AL467" s="36" t="s">
        <v>141</v>
      </c>
      <c r="AM467" s="117"/>
      <c r="AN467" s="117"/>
      <c r="AO467" s="117"/>
      <c r="AP467" s="117"/>
      <c r="AQ467" s="117"/>
      <c r="AR467" s="117"/>
      <c r="AS467" s="117"/>
      <c r="AT467" s="117"/>
      <c r="AU467" s="117"/>
      <c r="AV467" s="119">
        <f t="shared" si="7"/>
        <v>7</v>
      </c>
      <c r="AW467" s="119"/>
    </row>
    <row r="468" spans="1:50">
      <c r="A468">
        <v>433</v>
      </c>
      <c r="B468">
        <v>990</v>
      </c>
      <c r="C468">
        <v>468</v>
      </c>
      <c r="D468" s="7">
        <v>45904</v>
      </c>
      <c r="E468" s="7" t="s">
        <v>1645</v>
      </c>
      <c r="F468" s="10" t="s">
        <v>1644</v>
      </c>
      <c r="G468" s="36" t="s">
        <v>141</v>
      </c>
      <c r="H468" s="36"/>
      <c r="I468" s="36"/>
      <c r="J468" s="36" t="s">
        <v>141</v>
      </c>
      <c r="K468" s="36"/>
      <c r="L468" s="36"/>
      <c r="M468" s="36"/>
      <c r="N468" s="36"/>
      <c r="O468" s="117"/>
      <c r="P468" s="36"/>
      <c r="Q468" s="36"/>
      <c r="R468" s="36"/>
      <c r="S468" s="36"/>
      <c r="T468" s="36"/>
      <c r="U468" s="36" t="s">
        <v>141</v>
      </c>
      <c r="V468" s="36"/>
      <c r="W468" s="36"/>
      <c r="X468" s="36"/>
      <c r="Y468" s="36"/>
      <c r="Z468" s="36"/>
      <c r="AA468" s="117"/>
      <c r="AB468" s="36"/>
      <c r="AC468" s="117" t="s">
        <v>141</v>
      </c>
      <c r="AD468" s="36" t="s">
        <v>141</v>
      </c>
      <c r="AE468" s="36" t="s">
        <v>141</v>
      </c>
      <c r="AF468" s="117"/>
      <c r="AG468" s="36"/>
      <c r="AH468" s="36"/>
      <c r="AI468" s="117"/>
      <c r="AJ468" s="36"/>
      <c r="AK468" s="36" t="s">
        <v>141</v>
      </c>
      <c r="AL468" s="36" t="s">
        <v>141</v>
      </c>
      <c r="AM468" s="117"/>
      <c r="AN468" s="117"/>
      <c r="AO468" s="117"/>
      <c r="AP468" s="117"/>
      <c r="AQ468" s="117"/>
      <c r="AR468" s="117"/>
      <c r="AS468" s="117"/>
      <c r="AT468" s="117"/>
      <c r="AU468" s="117"/>
      <c r="AV468" s="119">
        <f t="shared" si="7"/>
        <v>8</v>
      </c>
      <c r="AW468" s="119"/>
    </row>
    <row r="469" spans="1:50">
      <c r="A469">
        <v>434</v>
      </c>
      <c r="B469">
        <v>991</v>
      </c>
      <c r="C469">
        <v>469</v>
      </c>
      <c r="D469" s="7">
        <v>45905</v>
      </c>
      <c r="E469" s="7" t="s">
        <v>1648</v>
      </c>
      <c r="F469" s="10" t="s">
        <v>1647</v>
      </c>
      <c r="G469" s="36" t="s">
        <v>141</v>
      </c>
      <c r="H469" s="36"/>
      <c r="I469" s="36"/>
      <c r="J469" s="36" t="s">
        <v>141</v>
      </c>
      <c r="K469" s="36"/>
      <c r="L469" s="36"/>
      <c r="M469" s="36"/>
      <c r="N469" s="36" t="s">
        <v>141</v>
      </c>
      <c r="O469" s="117"/>
      <c r="P469" s="36"/>
      <c r="Q469" s="36" t="s">
        <v>141</v>
      </c>
      <c r="R469" s="36"/>
      <c r="S469" s="36"/>
      <c r="T469" s="36"/>
      <c r="U469" s="36"/>
      <c r="V469" s="36"/>
      <c r="W469" s="36" t="s">
        <v>141</v>
      </c>
      <c r="X469" s="36"/>
      <c r="Y469" s="36" t="s">
        <v>141</v>
      </c>
      <c r="Z469" s="36"/>
      <c r="AA469" s="117" t="s">
        <v>141</v>
      </c>
      <c r="AB469" s="36"/>
      <c r="AC469" s="117"/>
      <c r="AD469" s="36"/>
      <c r="AE469" s="36"/>
      <c r="AF469" s="117"/>
      <c r="AG469" s="36" t="s">
        <v>141</v>
      </c>
      <c r="AH469" s="36"/>
      <c r="AI469" s="117"/>
      <c r="AJ469" s="36"/>
      <c r="AK469" s="36" t="s">
        <v>141</v>
      </c>
      <c r="AL469" s="36"/>
      <c r="AM469" s="117" t="s">
        <v>141</v>
      </c>
      <c r="AN469" s="117" t="s">
        <v>141</v>
      </c>
      <c r="AO469" s="117"/>
      <c r="AP469" s="117"/>
      <c r="AQ469" s="117"/>
      <c r="AR469" s="117"/>
      <c r="AS469" s="117"/>
      <c r="AT469" s="117"/>
      <c r="AU469" s="117"/>
      <c r="AV469" s="119">
        <f t="shared" si="7"/>
        <v>11</v>
      </c>
      <c r="AW469" s="119"/>
    </row>
    <row r="470" spans="1:50">
      <c r="A470">
        <v>435</v>
      </c>
      <c r="B470">
        <v>992</v>
      </c>
      <c r="C470">
        <v>470</v>
      </c>
      <c r="D470" s="7">
        <v>45905</v>
      </c>
      <c r="E470" s="7" t="s">
        <v>1650</v>
      </c>
      <c r="F470" s="10" t="s">
        <v>1649</v>
      </c>
      <c r="G470" s="36" t="s">
        <v>141</v>
      </c>
      <c r="H470" s="36"/>
      <c r="I470" s="36"/>
      <c r="J470" s="36" t="s">
        <v>141</v>
      </c>
      <c r="K470" s="36"/>
      <c r="L470" s="36"/>
      <c r="M470" s="36"/>
      <c r="N470" s="36" t="s">
        <v>141</v>
      </c>
      <c r="O470" s="117"/>
      <c r="P470" s="36" t="s">
        <v>141</v>
      </c>
      <c r="Q470" s="36"/>
      <c r="R470" s="36"/>
      <c r="S470" s="36"/>
      <c r="T470" s="36"/>
      <c r="U470" s="36"/>
      <c r="V470" s="36"/>
      <c r="W470" s="36" t="s">
        <v>141</v>
      </c>
      <c r="X470" s="36" t="s">
        <v>141</v>
      </c>
      <c r="Y470" s="36" t="s">
        <v>141</v>
      </c>
      <c r="Z470" s="36"/>
      <c r="AA470" s="117"/>
      <c r="AB470" s="36"/>
      <c r="AC470" s="117" t="s">
        <v>141</v>
      </c>
      <c r="AD470" s="36"/>
      <c r="AE470" s="36"/>
      <c r="AF470" s="117"/>
      <c r="AG470" s="36"/>
      <c r="AH470" s="36" t="s">
        <v>141</v>
      </c>
      <c r="AI470" s="117" t="s">
        <v>141</v>
      </c>
      <c r="AJ470" s="36"/>
      <c r="AK470" s="36" t="s">
        <v>141</v>
      </c>
      <c r="AL470" s="36"/>
      <c r="AM470" s="117" t="s">
        <v>141</v>
      </c>
      <c r="AN470" s="117" t="s">
        <v>141</v>
      </c>
      <c r="AO470" s="117"/>
      <c r="AP470" s="117"/>
      <c r="AQ470" s="117"/>
      <c r="AR470" s="117"/>
      <c r="AS470" s="117"/>
      <c r="AT470" s="117"/>
      <c r="AU470" s="117"/>
      <c r="AV470" s="119">
        <f t="shared" si="7"/>
        <v>13</v>
      </c>
      <c r="AW470" s="119"/>
    </row>
    <row r="471" spans="1:50">
      <c r="A471">
        <v>436</v>
      </c>
      <c r="B471">
        <v>993</v>
      </c>
      <c r="C471">
        <v>471</v>
      </c>
      <c r="D471" s="7">
        <v>45905</v>
      </c>
      <c r="E471" s="7" t="s">
        <v>1652</v>
      </c>
      <c r="F471" s="10" t="s">
        <v>1651</v>
      </c>
      <c r="G471" s="36" t="s">
        <v>141</v>
      </c>
      <c r="H471" s="36"/>
      <c r="I471" s="36"/>
      <c r="J471" s="36"/>
      <c r="K471" s="36"/>
      <c r="L471" s="36"/>
      <c r="M471" s="36"/>
      <c r="N471" s="36" t="s">
        <v>141</v>
      </c>
      <c r="O471" s="117"/>
      <c r="P471" s="36" t="s">
        <v>141</v>
      </c>
      <c r="Q471" s="36"/>
      <c r="R471" s="36"/>
      <c r="S471" s="36"/>
      <c r="T471" s="36"/>
      <c r="U471" s="36"/>
      <c r="V471" s="36"/>
      <c r="W471" s="36" t="s">
        <v>141</v>
      </c>
      <c r="X471" s="36" t="s">
        <v>141</v>
      </c>
      <c r="Y471" s="36" t="s">
        <v>141</v>
      </c>
      <c r="Z471" s="36"/>
      <c r="AA471" s="117"/>
      <c r="AB471" s="36"/>
      <c r="AC471" s="117" t="s">
        <v>141</v>
      </c>
      <c r="AD471" s="36"/>
      <c r="AE471" s="36"/>
      <c r="AF471" s="117"/>
      <c r="AG471" s="36"/>
      <c r="AH471" s="36" t="s">
        <v>141</v>
      </c>
      <c r="AI471" s="117" t="s">
        <v>141</v>
      </c>
      <c r="AJ471" s="36"/>
      <c r="AK471" s="36"/>
      <c r="AL471" s="36"/>
      <c r="AM471" s="117" t="s">
        <v>141</v>
      </c>
      <c r="AN471" s="117" t="s">
        <v>141</v>
      </c>
      <c r="AO471" s="117"/>
      <c r="AP471" s="117"/>
      <c r="AQ471" s="117"/>
      <c r="AR471" s="117"/>
      <c r="AS471" s="117"/>
      <c r="AT471" s="117"/>
      <c r="AU471" s="117"/>
      <c r="AV471" s="119">
        <f t="shared" si="7"/>
        <v>11</v>
      </c>
      <c r="AW471" s="119"/>
    </row>
    <row r="472" spans="1:50">
      <c r="A472">
        <v>437</v>
      </c>
      <c r="B472">
        <v>994</v>
      </c>
      <c r="C472">
        <v>472</v>
      </c>
      <c r="D472" s="7">
        <v>45905</v>
      </c>
      <c r="E472" s="7" t="s">
        <v>1655</v>
      </c>
      <c r="F472" s="10" t="s">
        <v>1654</v>
      </c>
      <c r="G472" s="36" t="s">
        <v>141</v>
      </c>
      <c r="H472" s="36"/>
      <c r="I472" s="36"/>
      <c r="J472" s="36"/>
      <c r="K472" s="36"/>
      <c r="L472" s="36"/>
      <c r="M472" s="36"/>
      <c r="N472" s="36" t="s">
        <v>141</v>
      </c>
      <c r="O472" s="117"/>
      <c r="P472" s="36" t="s">
        <v>141</v>
      </c>
      <c r="Q472" s="36"/>
      <c r="R472" s="36"/>
      <c r="S472" s="36"/>
      <c r="T472" s="36"/>
      <c r="U472" s="36"/>
      <c r="V472" s="36"/>
      <c r="W472" s="36" t="s">
        <v>141</v>
      </c>
      <c r="X472" s="36" t="s">
        <v>141</v>
      </c>
      <c r="Y472" s="36"/>
      <c r="Z472" s="36"/>
      <c r="AA472" s="117"/>
      <c r="AB472" s="36"/>
      <c r="AC472" s="117" t="s">
        <v>141</v>
      </c>
      <c r="AD472" s="36"/>
      <c r="AE472" s="36"/>
      <c r="AF472" s="117"/>
      <c r="AG472" s="36"/>
      <c r="AH472" s="36" t="s">
        <v>141</v>
      </c>
      <c r="AI472" s="117" t="s">
        <v>141</v>
      </c>
      <c r="AJ472" s="36"/>
      <c r="AK472" s="36"/>
      <c r="AL472" s="36"/>
      <c r="AM472" s="117" t="s">
        <v>141</v>
      </c>
      <c r="AN472" s="117" t="s">
        <v>141</v>
      </c>
      <c r="AO472" s="117"/>
      <c r="AP472" s="117"/>
      <c r="AQ472" s="117"/>
      <c r="AR472" s="117"/>
      <c r="AS472" s="117"/>
      <c r="AT472" s="117"/>
      <c r="AU472" s="117"/>
      <c r="AV472" s="119">
        <f t="shared" si="7"/>
        <v>10</v>
      </c>
      <c r="AW472" s="119"/>
    </row>
    <row r="473" spans="1:50">
      <c r="A473">
        <v>438</v>
      </c>
      <c r="B473">
        <v>995</v>
      </c>
      <c r="C473">
        <v>473</v>
      </c>
      <c r="D473" s="7">
        <v>45906</v>
      </c>
      <c r="E473" s="7" t="s">
        <v>1657</v>
      </c>
      <c r="F473" s="10" t="s">
        <v>1656</v>
      </c>
      <c r="G473" s="36" t="s">
        <v>141</v>
      </c>
      <c r="H473" s="36"/>
      <c r="I473" s="36" t="s">
        <v>141</v>
      </c>
      <c r="J473" s="36" t="s">
        <v>141</v>
      </c>
      <c r="K473" s="36"/>
      <c r="L473" s="36"/>
      <c r="M473" s="36"/>
      <c r="N473" s="36"/>
      <c r="O473" s="117"/>
      <c r="P473" s="36"/>
      <c r="Q473" s="36"/>
      <c r="R473" s="36"/>
      <c r="S473" s="36"/>
      <c r="T473" s="36"/>
      <c r="U473" s="36"/>
      <c r="V473" s="36"/>
      <c r="W473" s="36"/>
      <c r="X473" s="36"/>
      <c r="Y473" s="36" t="s">
        <v>141</v>
      </c>
      <c r="Z473" s="36"/>
      <c r="AA473" s="117"/>
      <c r="AB473" s="36"/>
      <c r="AC473" s="117"/>
      <c r="AD473" s="36"/>
      <c r="AE473" s="36"/>
      <c r="AF473" s="117"/>
      <c r="AG473" s="36"/>
      <c r="AH473" s="36"/>
      <c r="AI473" s="117"/>
      <c r="AJ473" s="36" t="s">
        <v>141</v>
      </c>
      <c r="AK473" s="36"/>
      <c r="AL473" s="36"/>
      <c r="AM473" s="117" t="s">
        <v>141</v>
      </c>
      <c r="AN473" s="117" t="s">
        <v>141</v>
      </c>
      <c r="AO473" s="117"/>
      <c r="AP473" s="117"/>
      <c r="AQ473" s="117"/>
      <c r="AR473" s="117"/>
      <c r="AS473" s="117"/>
      <c r="AT473" s="117"/>
      <c r="AU473" s="117"/>
      <c r="AV473" s="119">
        <f t="shared" si="7"/>
        <v>7</v>
      </c>
      <c r="AW473" s="119"/>
    </row>
    <row r="474" spans="1:50">
      <c r="A474">
        <v>439</v>
      </c>
      <c r="B474">
        <v>996</v>
      </c>
      <c r="C474">
        <v>474</v>
      </c>
      <c r="D474" s="7">
        <v>45907</v>
      </c>
      <c r="E474" s="7" t="s">
        <v>1659</v>
      </c>
      <c r="F474" s="10" t="s">
        <v>1658</v>
      </c>
      <c r="G474" s="36"/>
      <c r="H474" s="36"/>
      <c r="I474" s="36" t="s">
        <v>141</v>
      </c>
      <c r="J474" s="36" t="s">
        <v>141</v>
      </c>
      <c r="K474" s="36"/>
      <c r="L474" s="36" t="s">
        <v>141</v>
      </c>
      <c r="M474" s="36"/>
      <c r="N474" s="36" t="s">
        <v>141</v>
      </c>
      <c r="O474" s="117"/>
      <c r="P474" s="36" t="s">
        <v>141</v>
      </c>
      <c r="Q474" s="36" t="s">
        <v>141</v>
      </c>
      <c r="R474" s="36"/>
      <c r="S474" s="36"/>
      <c r="T474" s="36" t="s">
        <v>141</v>
      </c>
      <c r="U474" s="36" t="s">
        <v>141</v>
      </c>
      <c r="V474" s="36"/>
      <c r="W474" s="36"/>
      <c r="X474" s="36"/>
      <c r="Y474" s="36" t="s">
        <v>141</v>
      </c>
      <c r="Z474" s="36" t="s">
        <v>141</v>
      </c>
      <c r="AA474" s="117"/>
      <c r="AB474" s="36"/>
      <c r="AC474" s="117" t="s">
        <v>141</v>
      </c>
      <c r="AD474" s="36"/>
      <c r="AE474" s="36"/>
      <c r="AF474" s="117" t="s">
        <v>141</v>
      </c>
      <c r="AG474" s="36"/>
      <c r="AH474" s="36"/>
      <c r="AI474" s="117"/>
      <c r="AJ474" s="36" t="s">
        <v>141</v>
      </c>
      <c r="AK474" s="36"/>
      <c r="AL474" s="36"/>
      <c r="AM474" s="117" t="s">
        <v>141</v>
      </c>
      <c r="AN474" s="117" t="s">
        <v>141</v>
      </c>
      <c r="AO474" s="117"/>
      <c r="AP474" s="117"/>
      <c r="AQ474" s="117"/>
      <c r="AR474" s="117"/>
      <c r="AS474" s="117"/>
      <c r="AT474" s="117"/>
      <c r="AU474" s="117"/>
      <c r="AV474" s="119">
        <f t="shared" si="7"/>
        <v>15</v>
      </c>
      <c r="AW474" s="119"/>
    </row>
    <row r="475" spans="1:50">
      <c r="A475">
        <v>440</v>
      </c>
      <c r="B475">
        <v>997</v>
      </c>
      <c r="C475">
        <v>475</v>
      </c>
      <c r="D475" s="7">
        <v>45907</v>
      </c>
      <c r="E475" s="7" t="s">
        <v>1661</v>
      </c>
      <c r="F475" s="10" t="s">
        <v>1660</v>
      </c>
      <c r="G475" s="36"/>
      <c r="H475" s="36"/>
      <c r="I475" s="36" t="s">
        <v>141</v>
      </c>
      <c r="J475" s="36"/>
      <c r="K475" s="36"/>
      <c r="L475" s="36"/>
      <c r="M475" s="36"/>
      <c r="N475" s="36"/>
      <c r="O475" s="117"/>
      <c r="P475" s="36" t="s">
        <v>141</v>
      </c>
      <c r="Q475" s="36" t="s">
        <v>141</v>
      </c>
      <c r="R475" s="36"/>
      <c r="S475" s="36"/>
      <c r="T475" s="36" t="s">
        <v>141</v>
      </c>
      <c r="U475" s="36"/>
      <c r="V475" s="36"/>
      <c r="W475" s="36" t="s">
        <v>141</v>
      </c>
      <c r="X475" s="36"/>
      <c r="Y475" s="36" t="s">
        <v>141</v>
      </c>
      <c r="Z475" s="36" t="s">
        <v>141</v>
      </c>
      <c r="AA475" s="117"/>
      <c r="AB475" s="36"/>
      <c r="AC475" s="117" t="s">
        <v>141</v>
      </c>
      <c r="AD475" s="36"/>
      <c r="AE475" s="36"/>
      <c r="AF475" s="117"/>
      <c r="AG475" s="36"/>
      <c r="AH475" s="36"/>
      <c r="AI475" s="117"/>
      <c r="AJ475" s="36"/>
      <c r="AK475" s="36"/>
      <c r="AL475" s="36"/>
      <c r="AM475" s="117" t="s">
        <v>141</v>
      </c>
      <c r="AN475" s="117" t="s">
        <v>141</v>
      </c>
      <c r="AO475" s="117"/>
      <c r="AP475" s="117"/>
      <c r="AQ475" s="117"/>
      <c r="AR475" s="117"/>
      <c r="AS475" s="117"/>
      <c r="AT475" s="117"/>
      <c r="AU475" s="117"/>
      <c r="AV475" s="119">
        <f t="shared" si="7"/>
        <v>10</v>
      </c>
      <c r="AW475" s="119"/>
    </row>
    <row r="476" spans="1:50">
      <c r="A476" t="s">
        <v>57</v>
      </c>
      <c r="B476" t="s">
        <v>57</v>
      </c>
      <c r="C476">
        <v>476</v>
      </c>
      <c r="D476" s="7">
        <v>45908</v>
      </c>
      <c r="E476" s="7" t="s">
        <v>2129</v>
      </c>
      <c r="F476" s="10" t="s">
        <v>2130</v>
      </c>
      <c r="G476" s="36" t="s">
        <v>141</v>
      </c>
      <c r="H476" s="36" t="s">
        <v>2131</v>
      </c>
      <c r="I476" s="36" t="s">
        <v>141</v>
      </c>
      <c r="J476" s="36" t="s">
        <v>2131</v>
      </c>
      <c r="K476" s="36" t="s">
        <v>141</v>
      </c>
      <c r="L476" s="36" t="s">
        <v>141</v>
      </c>
      <c r="M476" s="36" t="s">
        <v>141</v>
      </c>
      <c r="N476" s="36" t="s">
        <v>141</v>
      </c>
      <c r="O476" s="117" t="s">
        <v>2131</v>
      </c>
      <c r="P476" s="36" t="s">
        <v>141</v>
      </c>
      <c r="Q476" s="36" t="s">
        <v>141</v>
      </c>
      <c r="R476" s="36" t="s">
        <v>2131</v>
      </c>
      <c r="S476" s="36" t="s">
        <v>141</v>
      </c>
      <c r="T476" s="36" t="s">
        <v>141</v>
      </c>
      <c r="U476" s="36" t="s">
        <v>2131</v>
      </c>
      <c r="V476" s="36" t="s">
        <v>2131</v>
      </c>
      <c r="W476" s="36" t="s">
        <v>141</v>
      </c>
      <c r="X476" s="36" t="s">
        <v>141</v>
      </c>
      <c r="Y476" s="36" t="s">
        <v>141</v>
      </c>
      <c r="Z476" s="36" t="s">
        <v>141</v>
      </c>
      <c r="AA476" s="117" t="s">
        <v>141</v>
      </c>
      <c r="AB476" s="36" t="s">
        <v>2131</v>
      </c>
      <c r="AC476" s="117" t="s">
        <v>141</v>
      </c>
      <c r="AD476" s="36" t="s">
        <v>2131</v>
      </c>
      <c r="AE476" s="36" t="s">
        <v>2131</v>
      </c>
      <c r="AF476" s="117" t="s">
        <v>2131</v>
      </c>
      <c r="AG476" s="36" t="s">
        <v>141</v>
      </c>
      <c r="AH476" s="36" t="s">
        <v>141</v>
      </c>
      <c r="AI476" s="117" t="s">
        <v>141</v>
      </c>
      <c r="AJ476" s="36" t="s">
        <v>141</v>
      </c>
      <c r="AK476" s="36" t="s">
        <v>141</v>
      </c>
      <c r="AL476" s="36" t="s">
        <v>141</v>
      </c>
      <c r="AM476" s="117" t="s">
        <v>141</v>
      </c>
      <c r="AN476" s="117" t="s">
        <v>141</v>
      </c>
      <c r="AO476" s="117" t="s">
        <v>141</v>
      </c>
      <c r="AP476" s="117"/>
      <c r="AQ476" s="117"/>
      <c r="AR476" s="117" t="s">
        <v>2131</v>
      </c>
      <c r="AS476" s="117" t="s">
        <v>141</v>
      </c>
      <c r="AT476" s="117"/>
      <c r="AU476" s="117"/>
      <c r="AV476" s="119">
        <f t="shared" si="7"/>
        <v>26</v>
      </c>
      <c r="AW476" s="119"/>
      <c r="AX476" s="119" t="s">
        <v>2145</v>
      </c>
    </row>
    <row r="477" spans="1:50">
      <c r="A477">
        <v>441</v>
      </c>
      <c r="B477">
        <v>998</v>
      </c>
      <c r="C477">
        <v>477</v>
      </c>
      <c r="D477" s="7">
        <v>45909</v>
      </c>
      <c r="E477" s="7" t="s">
        <v>1663</v>
      </c>
      <c r="F477" s="10" t="s">
        <v>1662</v>
      </c>
      <c r="G477" s="36"/>
      <c r="H477" s="36"/>
      <c r="I477" s="36" t="s">
        <v>141</v>
      </c>
      <c r="J477" s="36"/>
      <c r="K477" s="36" t="s">
        <v>141</v>
      </c>
      <c r="L477" s="36"/>
      <c r="M477" s="36"/>
      <c r="N477" s="36"/>
      <c r="O477" s="117"/>
      <c r="P477" s="36"/>
      <c r="Q477" s="36"/>
      <c r="R477" s="36"/>
      <c r="S477" s="36"/>
      <c r="T477" s="36" t="s">
        <v>141</v>
      </c>
      <c r="U477" s="36"/>
      <c r="V477" s="36"/>
      <c r="W477" s="36" t="s">
        <v>141</v>
      </c>
      <c r="X477" s="36" t="s">
        <v>141</v>
      </c>
      <c r="Y477" s="36"/>
      <c r="Z477" s="36" t="s">
        <v>141</v>
      </c>
      <c r="AA477" s="117"/>
      <c r="AB477" s="36"/>
      <c r="AC477" s="117"/>
      <c r="AD477" s="36"/>
      <c r="AE477" s="36"/>
      <c r="AF477" s="117"/>
      <c r="AG477" s="36"/>
      <c r="AH477" s="36"/>
      <c r="AI477" s="117" t="s">
        <v>141</v>
      </c>
      <c r="AJ477" s="36"/>
      <c r="AK477" s="36"/>
      <c r="AL477" s="36"/>
      <c r="AM477" s="117" t="s">
        <v>141</v>
      </c>
      <c r="AN477" s="117" t="s">
        <v>141</v>
      </c>
      <c r="AO477" s="117"/>
      <c r="AP477" s="117"/>
      <c r="AQ477" s="117"/>
      <c r="AR477" s="117"/>
      <c r="AS477" s="117" t="s">
        <v>141</v>
      </c>
      <c r="AT477" s="117"/>
      <c r="AU477" s="117"/>
      <c r="AV477" s="119">
        <f t="shared" si="7"/>
        <v>10</v>
      </c>
      <c r="AW477" s="119"/>
    </row>
    <row r="478" spans="1:50">
      <c r="A478">
        <v>442</v>
      </c>
      <c r="B478">
        <v>999</v>
      </c>
      <c r="C478">
        <v>478</v>
      </c>
      <c r="D478" s="7">
        <v>45910</v>
      </c>
      <c r="E478" s="7" t="s">
        <v>1665</v>
      </c>
      <c r="F478" s="10" t="s">
        <v>1664</v>
      </c>
      <c r="G478" s="36" t="s">
        <v>141</v>
      </c>
      <c r="H478" s="36"/>
      <c r="I478" s="36"/>
      <c r="J478" s="36"/>
      <c r="K478" s="36"/>
      <c r="L478" s="36"/>
      <c r="M478" s="36"/>
      <c r="N478" s="36" t="s">
        <v>141</v>
      </c>
      <c r="O478" s="117"/>
      <c r="P478" s="36" t="s">
        <v>141</v>
      </c>
      <c r="Q478" s="36"/>
      <c r="R478" s="36"/>
      <c r="S478" s="36"/>
      <c r="T478" s="36"/>
      <c r="U478" s="36"/>
      <c r="V478" s="36"/>
      <c r="W478" s="36"/>
      <c r="X478" s="36" t="s">
        <v>141</v>
      </c>
      <c r="Y478" s="36"/>
      <c r="Z478" s="36"/>
      <c r="AA478" s="117"/>
      <c r="AB478" s="36"/>
      <c r="AC478" s="117" t="s">
        <v>141</v>
      </c>
      <c r="AD478" s="36"/>
      <c r="AE478" s="36" t="s">
        <v>141</v>
      </c>
      <c r="AF478" s="117" t="s">
        <v>141</v>
      </c>
      <c r="AG478" s="36"/>
      <c r="AH478" s="36"/>
      <c r="AI478" s="117"/>
      <c r="AJ478" s="36"/>
      <c r="AK478" s="36"/>
      <c r="AL478" s="36"/>
      <c r="AM478" s="117" t="s">
        <v>141</v>
      </c>
      <c r="AN478" s="117" t="s">
        <v>141</v>
      </c>
      <c r="AO478" s="117"/>
      <c r="AP478" s="117"/>
      <c r="AQ478" s="117"/>
      <c r="AR478" s="117"/>
      <c r="AS478" s="117" t="s">
        <v>141</v>
      </c>
      <c r="AT478" s="117"/>
      <c r="AU478" s="117"/>
      <c r="AV478" s="119">
        <f t="shared" si="7"/>
        <v>10</v>
      </c>
      <c r="AW478" s="119"/>
      <c r="AX478" s="119" t="s">
        <v>2146</v>
      </c>
    </row>
    <row r="479" spans="1:50">
      <c r="A479">
        <v>443</v>
      </c>
      <c r="B479">
        <v>1000</v>
      </c>
      <c r="C479">
        <v>479</v>
      </c>
      <c r="D479" s="7">
        <v>45911</v>
      </c>
      <c r="E479" s="7" t="s">
        <v>1668</v>
      </c>
      <c r="F479" s="10" t="s">
        <v>2149</v>
      </c>
      <c r="G479" s="36"/>
      <c r="H479" s="36"/>
      <c r="I479" s="36"/>
      <c r="J479" s="36"/>
      <c r="K479" s="36"/>
      <c r="L479" s="36" t="s">
        <v>141</v>
      </c>
      <c r="M479" s="36" t="s">
        <v>141</v>
      </c>
      <c r="N479" s="36"/>
      <c r="O479" s="117"/>
      <c r="P479" s="36" t="s">
        <v>141</v>
      </c>
      <c r="Q479" s="36"/>
      <c r="R479" s="36"/>
      <c r="S479" s="36" t="s">
        <v>141</v>
      </c>
      <c r="T479" s="36" t="s">
        <v>141</v>
      </c>
      <c r="U479" s="36"/>
      <c r="V479" s="36"/>
      <c r="W479" s="36"/>
      <c r="X479" s="36"/>
      <c r="Y479" s="36"/>
      <c r="Z479" s="36"/>
      <c r="AA479" s="117" t="s">
        <v>141</v>
      </c>
      <c r="AB479" s="36"/>
      <c r="AC479" s="117"/>
      <c r="AD479" s="36"/>
      <c r="AE479" s="36" t="s">
        <v>141</v>
      </c>
      <c r="AF479" s="117"/>
      <c r="AG479" s="36" t="s">
        <v>141</v>
      </c>
      <c r="AH479" s="36"/>
      <c r="AI479" s="117"/>
      <c r="AJ479" s="36"/>
      <c r="AK479" s="36"/>
      <c r="AL479" s="36"/>
      <c r="AM479" s="117" t="s">
        <v>141</v>
      </c>
      <c r="AN479" s="117" t="s">
        <v>141</v>
      </c>
      <c r="AO479" s="117"/>
      <c r="AP479" s="117"/>
      <c r="AQ479" s="117"/>
      <c r="AR479" s="117"/>
      <c r="AS479" s="117"/>
      <c r="AT479" s="117"/>
      <c r="AU479" s="117"/>
      <c r="AV479" s="119">
        <f t="shared" si="7"/>
        <v>10</v>
      </c>
      <c r="AW479" s="119"/>
    </row>
    <row r="480" spans="1:50">
      <c r="A480">
        <v>444</v>
      </c>
      <c r="B480">
        <v>1001</v>
      </c>
      <c r="C480">
        <v>480</v>
      </c>
      <c r="D480" s="7">
        <v>45911</v>
      </c>
      <c r="E480" s="7" t="s">
        <v>1670</v>
      </c>
      <c r="F480" s="10" t="s">
        <v>1669</v>
      </c>
      <c r="G480" s="36" t="s">
        <v>141</v>
      </c>
      <c r="H480" s="36"/>
      <c r="I480" s="36"/>
      <c r="J480" s="36" t="s">
        <v>141</v>
      </c>
      <c r="K480" s="36"/>
      <c r="L480" s="36" t="s">
        <v>141</v>
      </c>
      <c r="M480" s="36"/>
      <c r="N480" s="36"/>
      <c r="O480" s="117"/>
      <c r="P480" s="36" t="s">
        <v>141</v>
      </c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117"/>
      <c r="AB480" s="36"/>
      <c r="AC480" s="117" t="s">
        <v>141</v>
      </c>
      <c r="AD480" s="36"/>
      <c r="AE480" s="36" t="s">
        <v>141</v>
      </c>
      <c r="AF480" s="117"/>
      <c r="AG480" s="36"/>
      <c r="AH480" s="36"/>
      <c r="AI480" s="117"/>
      <c r="AJ480" s="36"/>
      <c r="AK480" s="36"/>
      <c r="AL480" s="36"/>
      <c r="AM480" s="117" t="s">
        <v>141</v>
      </c>
      <c r="AN480" s="117" t="s">
        <v>141</v>
      </c>
      <c r="AO480" s="117"/>
      <c r="AP480" s="117"/>
      <c r="AQ480" s="117"/>
      <c r="AR480" s="117"/>
      <c r="AS480" s="117" t="s">
        <v>141</v>
      </c>
      <c r="AT480" s="117"/>
      <c r="AU480" s="117"/>
      <c r="AV480" s="119">
        <f t="shared" si="7"/>
        <v>9</v>
      </c>
      <c r="AW480" s="119"/>
      <c r="AX480" s="119" t="s">
        <v>2146</v>
      </c>
    </row>
    <row r="481" spans="1:50">
      <c r="A481">
        <v>445</v>
      </c>
      <c r="B481">
        <v>1002</v>
      </c>
      <c r="C481">
        <v>481</v>
      </c>
      <c r="D481" s="7">
        <v>45912</v>
      </c>
      <c r="E481" s="7" t="s">
        <v>1673</v>
      </c>
      <c r="F481" s="10" t="s">
        <v>1672</v>
      </c>
      <c r="G481" s="36" t="s">
        <v>141</v>
      </c>
      <c r="H481" s="36"/>
      <c r="I481" s="36"/>
      <c r="J481" s="36" t="s">
        <v>141</v>
      </c>
      <c r="K481" s="36" t="s">
        <v>141</v>
      </c>
      <c r="L481" s="36" t="s">
        <v>141</v>
      </c>
      <c r="M481" s="36"/>
      <c r="N481" s="36"/>
      <c r="O481" s="117"/>
      <c r="P481" s="36" t="s">
        <v>141</v>
      </c>
      <c r="Q481" s="36"/>
      <c r="R481" s="36"/>
      <c r="S481" s="36"/>
      <c r="T481" s="36" t="s">
        <v>141</v>
      </c>
      <c r="U481" s="36"/>
      <c r="V481" s="36"/>
      <c r="W481" s="36"/>
      <c r="X481" s="36"/>
      <c r="Y481" s="36"/>
      <c r="Z481" s="36" t="s">
        <v>141</v>
      </c>
      <c r="AA481" s="117" t="s">
        <v>141</v>
      </c>
      <c r="AB481" s="36"/>
      <c r="AC481" s="117" t="s">
        <v>141</v>
      </c>
      <c r="AD481" s="36"/>
      <c r="AE481" s="36" t="s">
        <v>141</v>
      </c>
      <c r="AF481" s="117"/>
      <c r="AG481" s="36"/>
      <c r="AH481" s="36"/>
      <c r="AI481" s="117"/>
      <c r="AJ481" s="36" t="s">
        <v>141</v>
      </c>
      <c r="AK481" s="36"/>
      <c r="AL481" s="36" t="s">
        <v>141</v>
      </c>
      <c r="AM481" s="117"/>
      <c r="AN481" s="117"/>
      <c r="AO481" s="117"/>
      <c r="AP481" s="117"/>
      <c r="AQ481" s="117"/>
      <c r="AR481" s="117"/>
      <c r="AS481" s="117" t="s">
        <v>141</v>
      </c>
      <c r="AT481" s="117"/>
      <c r="AU481" s="117"/>
      <c r="AV481" s="119">
        <f t="shared" si="7"/>
        <v>13</v>
      </c>
      <c r="AW481" s="119"/>
      <c r="AX481" s="119" t="s">
        <v>2146</v>
      </c>
    </row>
    <row r="482" spans="1:50">
      <c r="A482">
        <v>446</v>
      </c>
      <c r="B482">
        <v>1003</v>
      </c>
      <c r="C482">
        <v>482</v>
      </c>
      <c r="D482" s="7">
        <v>45914</v>
      </c>
      <c r="E482" s="7" t="s">
        <v>1675</v>
      </c>
      <c r="F482" s="10" t="s">
        <v>1674</v>
      </c>
      <c r="G482" s="36"/>
      <c r="H482" s="36"/>
      <c r="I482" s="36"/>
      <c r="J482" s="36" t="s">
        <v>141</v>
      </c>
      <c r="K482" s="36"/>
      <c r="L482" s="36"/>
      <c r="M482" s="36"/>
      <c r="N482" s="36" t="s">
        <v>141</v>
      </c>
      <c r="O482" s="117"/>
      <c r="P482" s="36"/>
      <c r="Q482" s="36" t="s">
        <v>141</v>
      </c>
      <c r="R482" s="36"/>
      <c r="S482" s="36"/>
      <c r="T482" s="36" t="s">
        <v>141</v>
      </c>
      <c r="U482" s="36"/>
      <c r="V482" s="36"/>
      <c r="W482" s="36" t="s">
        <v>141</v>
      </c>
      <c r="X482" s="36"/>
      <c r="Y482" s="36"/>
      <c r="Z482" s="36"/>
      <c r="AA482" s="117" t="s">
        <v>141</v>
      </c>
      <c r="AB482" s="36" t="s">
        <v>141</v>
      </c>
      <c r="AC482" s="117"/>
      <c r="AD482" s="36"/>
      <c r="AE482" s="36"/>
      <c r="AF482" s="117"/>
      <c r="AG482" s="36"/>
      <c r="AH482" s="36"/>
      <c r="AI482" s="117"/>
      <c r="AJ482" s="36" t="s">
        <v>141</v>
      </c>
      <c r="AK482" s="36"/>
      <c r="AL482" s="36"/>
      <c r="AM482" s="117" t="s">
        <v>141</v>
      </c>
      <c r="AN482" s="117" t="s">
        <v>141</v>
      </c>
      <c r="AO482" s="117" t="s">
        <v>141</v>
      </c>
      <c r="AP482" s="117"/>
      <c r="AQ482" s="117"/>
      <c r="AR482" s="117"/>
      <c r="AS482" s="117" t="s">
        <v>141</v>
      </c>
      <c r="AT482" s="117"/>
      <c r="AU482" s="117"/>
      <c r="AV482" s="119">
        <f t="shared" si="7"/>
        <v>12</v>
      </c>
      <c r="AW482" s="119"/>
      <c r="AX482" s="119" t="s">
        <v>2146</v>
      </c>
    </row>
    <row r="483" spans="1:50">
      <c r="A483">
        <v>447</v>
      </c>
      <c r="B483">
        <v>1004</v>
      </c>
      <c r="C483">
        <v>483</v>
      </c>
      <c r="D483" s="7">
        <v>45915</v>
      </c>
      <c r="E483" s="7" t="s">
        <v>1677</v>
      </c>
      <c r="F483" s="10" t="s">
        <v>1676</v>
      </c>
      <c r="G483" s="36"/>
      <c r="H483" s="36"/>
      <c r="I483" s="36"/>
      <c r="J483" s="36" t="s">
        <v>141</v>
      </c>
      <c r="K483" s="36"/>
      <c r="L483" s="36"/>
      <c r="M483" s="36"/>
      <c r="N483" s="36" t="s">
        <v>141</v>
      </c>
      <c r="O483" s="117"/>
      <c r="P483" s="36" t="s">
        <v>141</v>
      </c>
      <c r="Q483" s="36"/>
      <c r="R483" s="36"/>
      <c r="S483" s="36"/>
      <c r="T483" s="36" t="s">
        <v>141</v>
      </c>
      <c r="U483" s="36"/>
      <c r="V483" s="36"/>
      <c r="W483" s="36" t="s">
        <v>141</v>
      </c>
      <c r="X483" s="36"/>
      <c r="Y483" s="36" t="s">
        <v>141</v>
      </c>
      <c r="Z483" s="36" t="s">
        <v>141</v>
      </c>
      <c r="AA483" s="117" t="s">
        <v>141</v>
      </c>
      <c r="AB483" s="36"/>
      <c r="AC483" s="117"/>
      <c r="AD483" s="36" t="s">
        <v>141</v>
      </c>
      <c r="AE483" s="36"/>
      <c r="AF483" s="117"/>
      <c r="AG483" s="36"/>
      <c r="AH483" s="36"/>
      <c r="AI483" s="117"/>
      <c r="AJ483" s="36"/>
      <c r="AK483" s="36"/>
      <c r="AL483" s="36"/>
      <c r="AM483" s="117" t="s">
        <v>141</v>
      </c>
      <c r="AN483" s="117" t="s">
        <v>141</v>
      </c>
      <c r="AO483" s="117"/>
      <c r="AP483" s="117"/>
      <c r="AQ483" s="117"/>
      <c r="AR483" s="117"/>
      <c r="AS483" s="117"/>
      <c r="AT483" s="117"/>
      <c r="AU483" s="117"/>
      <c r="AV483" s="119">
        <f t="shared" si="7"/>
        <v>11</v>
      </c>
      <c r="AW483" s="119"/>
      <c r="AX483" s="119" t="s">
        <v>2145</v>
      </c>
    </row>
    <row r="484" spans="1:50">
      <c r="A484">
        <v>448</v>
      </c>
      <c r="B484">
        <v>1005</v>
      </c>
      <c r="C484">
        <v>484</v>
      </c>
      <c r="D484" s="7">
        <v>45915</v>
      </c>
      <c r="E484" s="7" t="s">
        <v>1679</v>
      </c>
      <c r="F484" s="10" t="s">
        <v>1678</v>
      </c>
      <c r="G484" s="36" t="s">
        <v>141</v>
      </c>
      <c r="H484" s="36"/>
      <c r="I484" s="36" t="s">
        <v>141</v>
      </c>
      <c r="J484" s="36" t="s">
        <v>141</v>
      </c>
      <c r="K484" s="36" t="s">
        <v>141</v>
      </c>
      <c r="L484" s="36"/>
      <c r="M484" s="36" t="s">
        <v>141</v>
      </c>
      <c r="N484" s="36"/>
      <c r="O484" s="117"/>
      <c r="P484" s="36" t="s">
        <v>141</v>
      </c>
      <c r="Q484" s="36" t="s">
        <v>141</v>
      </c>
      <c r="R484" s="36"/>
      <c r="S484" s="36"/>
      <c r="T484" s="36" t="s">
        <v>141</v>
      </c>
      <c r="U484" s="36"/>
      <c r="V484" s="36"/>
      <c r="W484" s="36"/>
      <c r="X484" s="36" t="s">
        <v>141</v>
      </c>
      <c r="Y484" s="36"/>
      <c r="Z484" s="36" t="s">
        <v>141</v>
      </c>
      <c r="AA484" s="117"/>
      <c r="AB484" s="36" t="s">
        <v>141</v>
      </c>
      <c r="AC484" s="117"/>
      <c r="AD484" s="36"/>
      <c r="AE484" s="36"/>
      <c r="AF484" s="117"/>
      <c r="AG484" s="36"/>
      <c r="AH484" s="36" t="s">
        <v>141</v>
      </c>
      <c r="AI484" s="117" t="s">
        <v>141</v>
      </c>
      <c r="AJ484" s="36" t="s">
        <v>141</v>
      </c>
      <c r="AK484" s="36"/>
      <c r="AL484" s="36" t="s">
        <v>141</v>
      </c>
      <c r="AM484" s="117"/>
      <c r="AN484" s="117"/>
      <c r="AO484" s="117"/>
      <c r="AP484" s="117"/>
      <c r="AQ484" s="117"/>
      <c r="AR484" s="117"/>
      <c r="AS484" s="117" t="s">
        <v>141</v>
      </c>
      <c r="AT484" s="117"/>
      <c r="AU484" s="117"/>
      <c r="AV484" s="119">
        <f t="shared" si="7"/>
        <v>16</v>
      </c>
      <c r="AW484" s="119"/>
      <c r="AX484" s="119" t="s">
        <v>2145</v>
      </c>
    </row>
    <row r="485" spans="1:50">
      <c r="A485" t="s">
        <v>57</v>
      </c>
      <c r="B485" t="s">
        <v>57</v>
      </c>
      <c r="C485">
        <v>485</v>
      </c>
      <c r="D485" s="7">
        <v>45915</v>
      </c>
      <c r="E485" s="7" t="s">
        <v>2129</v>
      </c>
      <c r="F485" s="10" t="s">
        <v>2130</v>
      </c>
      <c r="G485" s="36" t="s">
        <v>141</v>
      </c>
      <c r="H485" s="36" t="s">
        <v>2131</v>
      </c>
      <c r="I485" s="36" t="s">
        <v>141</v>
      </c>
      <c r="J485" s="36" t="s">
        <v>141</v>
      </c>
      <c r="K485" s="36" t="s">
        <v>141</v>
      </c>
      <c r="L485" s="36" t="s">
        <v>2131</v>
      </c>
      <c r="M485" s="36" t="s">
        <v>141</v>
      </c>
      <c r="N485" s="36" t="s">
        <v>141</v>
      </c>
      <c r="O485" s="117" t="s">
        <v>2131</v>
      </c>
      <c r="P485" s="36" t="s">
        <v>141</v>
      </c>
      <c r="Q485" s="36" t="s">
        <v>141</v>
      </c>
      <c r="R485" s="36" t="s">
        <v>2131</v>
      </c>
      <c r="S485" s="36" t="s">
        <v>2131</v>
      </c>
      <c r="T485" s="36" t="s">
        <v>141</v>
      </c>
      <c r="U485" s="36" t="s">
        <v>2131</v>
      </c>
      <c r="V485" s="36" t="s">
        <v>2131</v>
      </c>
      <c r="W485" s="36" t="s">
        <v>2131</v>
      </c>
      <c r="X485" s="36" t="s">
        <v>141</v>
      </c>
      <c r="Y485" s="36" t="s">
        <v>141</v>
      </c>
      <c r="Z485" s="36" t="s">
        <v>141</v>
      </c>
      <c r="AA485" s="117" t="s">
        <v>2131</v>
      </c>
      <c r="AB485" s="36" t="s">
        <v>141</v>
      </c>
      <c r="AC485" s="117" t="s">
        <v>141</v>
      </c>
      <c r="AD485" s="36" t="s">
        <v>2131</v>
      </c>
      <c r="AE485" s="36" t="s">
        <v>2131</v>
      </c>
      <c r="AF485" s="117" t="s">
        <v>2131</v>
      </c>
      <c r="AG485" s="36" t="s">
        <v>141</v>
      </c>
      <c r="AH485" s="36" t="s">
        <v>141</v>
      </c>
      <c r="AI485" s="117" t="s">
        <v>141</v>
      </c>
      <c r="AJ485" s="36" t="s">
        <v>141</v>
      </c>
      <c r="AK485" s="36" t="s">
        <v>141</v>
      </c>
      <c r="AL485" s="36" t="s">
        <v>141</v>
      </c>
      <c r="AM485" s="117" t="s">
        <v>141</v>
      </c>
      <c r="AN485" s="117" t="s">
        <v>141</v>
      </c>
      <c r="AO485" s="117" t="s">
        <v>141</v>
      </c>
      <c r="AP485" s="117" t="s">
        <v>141</v>
      </c>
      <c r="AQ485" s="117" t="s">
        <v>141</v>
      </c>
      <c r="AR485" s="117" t="s">
        <v>2131</v>
      </c>
      <c r="AS485" s="117" t="s">
        <v>141</v>
      </c>
      <c r="AT485" s="117"/>
      <c r="AU485" s="117"/>
      <c r="AV485" s="119">
        <f t="shared" si="7"/>
        <v>26</v>
      </c>
      <c r="AW485" s="119"/>
      <c r="AX485" s="119" t="s">
        <v>2147</v>
      </c>
    </row>
    <row r="486" spans="1:50">
      <c r="A486">
        <v>449</v>
      </c>
      <c r="B486">
        <v>1006</v>
      </c>
      <c r="C486">
        <v>486</v>
      </c>
      <c r="D486" s="7">
        <v>45915</v>
      </c>
      <c r="E486" s="7" t="s">
        <v>1681</v>
      </c>
      <c r="F486" s="10" t="s">
        <v>1680</v>
      </c>
      <c r="G486" s="36" t="s">
        <v>141</v>
      </c>
      <c r="H486" s="36"/>
      <c r="I486" s="36" t="s">
        <v>141</v>
      </c>
      <c r="J486" s="36" t="s">
        <v>141</v>
      </c>
      <c r="K486" s="36" t="s">
        <v>141</v>
      </c>
      <c r="L486" s="36"/>
      <c r="M486" s="36" t="s">
        <v>141</v>
      </c>
      <c r="N486" s="36" t="s">
        <v>141</v>
      </c>
      <c r="O486" s="117"/>
      <c r="P486" s="36" t="s">
        <v>141</v>
      </c>
      <c r="Q486" s="36" t="s">
        <v>141</v>
      </c>
      <c r="R486" s="36"/>
      <c r="S486" s="36"/>
      <c r="T486" s="36" t="s">
        <v>141</v>
      </c>
      <c r="U486" s="36"/>
      <c r="V486" s="36"/>
      <c r="W486" s="36" t="s">
        <v>141</v>
      </c>
      <c r="X486" s="36" t="s">
        <v>141</v>
      </c>
      <c r="Y486" s="36" t="s">
        <v>141</v>
      </c>
      <c r="Z486" s="36" t="s">
        <v>141</v>
      </c>
      <c r="AA486" s="117"/>
      <c r="AB486" s="36" t="s">
        <v>141</v>
      </c>
      <c r="AC486" s="117" t="s">
        <v>141</v>
      </c>
      <c r="AD486" s="36"/>
      <c r="AE486" s="36"/>
      <c r="AF486" s="117"/>
      <c r="AG486" s="36" t="s">
        <v>141</v>
      </c>
      <c r="AH486" s="36" t="s">
        <v>141</v>
      </c>
      <c r="AI486" s="117" t="s">
        <v>141</v>
      </c>
      <c r="AJ486" s="36" t="s">
        <v>141</v>
      </c>
      <c r="AK486" s="36" t="s">
        <v>141</v>
      </c>
      <c r="AL486" s="36" t="s">
        <v>141</v>
      </c>
      <c r="AM486" s="117" t="s">
        <v>141</v>
      </c>
      <c r="AN486" s="117" t="s">
        <v>141</v>
      </c>
      <c r="AO486" s="117" t="s">
        <v>141</v>
      </c>
      <c r="AP486" s="117"/>
      <c r="AQ486" s="117"/>
      <c r="AR486" s="117"/>
      <c r="AS486" s="117" t="s">
        <v>141</v>
      </c>
      <c r="AT486" s="117"/>
      <c r="AU486" s="117"/>
      <c r="AV486" s="119">
        <f t="shared" si="7"/>
        <v>25</v>
      </c>
      <c r="AW486" s="119"/>
      <c r="AX486" s="119" t="s">
        <v>2145</v>
      </c>
    </row>
    <row r="487" spans="1:50">
      <c r="A487">
        <v>450</v>
      </c>
      <c r="B487">
        <v>1007</v>
      </c>
      <c r="C487">
        <v>487</v>
      </c>
      <c r="D487" s="7">
        <v>45916</v>
      </c>
      <c r="E487" s="7" t="s">
        <v>1683</v>
      </c>
      <c r="F487" s="10" t="s">
        <v>1682</v>
      </c>
      <c r="G487" s="36" t="s">
        <v>141</v>
      </c>
      <c r="H487" s="36"/>
      <c r="I487" s="36" t="s">
        <v>141</v>
      </c>
      <c r="J487" s="36" t="s">
        <v>141</v>
      </c>
      <c r="K487" s="36" t="s">
        <v>141</v>
      </c>
      <c r="L487" s="36"/>
      <c r="M487" s="36" t="s">
        <v>141</v>
      </c>
      <c r="N487" s="36" t="s">
        <v>141</v>
      </c>
      <c r="O487" s="117"/>
      <c r="P487" s="36"/>
      <c r="Q487" s="36"/>
      <c r="R487" s="36"/>
      <c r="S487" s="36"/>
      <c r="T487" s="36"/>
      <c r="U487" s="36"/>
      <c r="V487" s="36"/>
      <c r="W487" s="36" t="s">
        <v>141</v>
      </c>
      <c r="X487" s="36" t="s">
        <v>141</v>
      </c>
      <c r="Y487" s="36"/>
      <c r="Z487" s="36" t="s">
        <v>141</v>
      </c>
      <c r="AA487" s="117" t="s">
        <v>141</v>
      </c>
      <c r="AB487" s="36"/>
      <c r="AC487" s="117" t="s">
        <v>141</v>
      </c>
      <c r="AD487" s="36"/>
      <c r="AE487" s="36"/>
      <c r="AF487" s="117"/>
      <c r="AG487" s="36" t="s">
        <v>141</v>
      </c>
      <c r="AH487" s="36" t="s">
        <v>141</v>
      </c>
      <c r="AI487" s="117" t="s">
        <v>141</v>
      </c>
      <c r="AJ487" s="36" t="s">
        <v>141</v>
      </c>
      <c r="AK487" s="36"/>
      <c r="AL487" s="36"/>
      <c r="AM487" s="117"/>
      <c r="AN487" s="117"/>
      <c r="AO487" s="117"/>
      <c r="AP487" s="117" t="s">
        <v>141</v>
      </c>
      <c r="AQ487" s="117"/>
      <c r="AR487" s="117"/>
      <c r="AS487" s="117" t="s">
        <v>141</v>
      </c>
      <c r="AT487" s="117"/>
      <c r="AU487" s="117"/>
      <c r="AV487" s="119">
        <f t="shared" si="7"/>
        <v>17</v>
      </c>
      <c r="AW487" s="119"/>
      <c r="AX487" s="119" t="s">
        <v>2146</v>
      </c>
    </row>
    <row r="488" spans="1:50">
      <c r="A488">
        <v>451</v>
      </c>
      <c r="B488">
        <v>1008</v>
      </c>
      <c r="C488">
        <v>488</v>
      </c>
      <c r="D488" s="7">
        <v>45917</v>
      </c>
      <c r="E488" s="7" t="s">
        <v>1686</v>
      </c>
      <c r="F488" s="10" t="s">
        <v>1685</v>
      </c>
      <c r="G488" s="36" t="s">
        <v>141</v>
      </c>
      <c r="H488" s="36"/>
      <c r="I488" s="36"/>
      <c r="J488" s="36" t="s">
        <v>141</v>
      </c>
      <c r="K488" s="36"/>
      <c r="L488" s="36"/>
      <c r="M488" s="36"/>
      <c r="N488" s="36" t="s">
        <v>141</v>
      </c>
      <c r="O488" s="117"/>
      <c r="P488" s="36"/>
      <c r="Q488" s="36"/>
      <c r="R488" s="36" t="s">
        <v>141</v>
      </c>
      <c r="S488" s="36"/>
      <c r="T488" s="36" t="s">
        <v>141</v>
      </c>
      <c r="U488" s="36"/>
      <c r="V488" s="36"/>
      <c r="W488" s="36"/>
      <c r="X488" s="36"/>
      <c r="Y488" s="36" t="s">
        <v>141</v>
      </c>
      <c r="Z488" s="36" t="s">
        <v>141</v>
      </c>
      <c r="AA488" s="117"/>
      <c r="AB488" s="36" t="s">
        <v>141</v>
      </c>
      <c r="AC488" s="117" t="s">
        <v>141</v>
      </c>
      <c r="AD488" s="36"/>
      <c r="AE488" s="36" t="s">
        <v>141</v>
      </c>
      <c r="AF488" s="117"/>
      <c r="AG488" s="36"/>
      <c r="AH488" s="36"/>
      <c r="AI488" s="117" t="s">
        <v>141</v>
      </c>
      <c r="AJ488" s="36" t="s">
        <v>141</v>
      </c>
      <c r="AK488" s="36"/>
      <c r="AL488" s="36" t="s">
        <v>141</v>
      </c>
      <c r="AM488" s="117"/>
      <c r="AN488" s="117"/>
      <c r="AO488" s="117"/>
      <c r="AP488" s="117" t="s">
        <v>141</v>
      </c>
      <c r="AQ488" s="117"/>
      <c r="AR488" s="117"/>
      <c r="AS488" s="117"/>
      <c r="AT488" s="117"/>
      <c r="AU488" s="117"/>
      <c r="AV488" s="119">
        <f t="shared" si="7"/>
        <v>14</v>
      </c>
      <c r="AW488" s="119"/>
      <c r="AX488" s="119" t="s">
        <v>2146</v>
      </c>
    </row>
    <row r="489" spans="1:50">
      <c r="A489">
        <v>452</v>
      </c>
      <c r="B489">
        <v>1009</v>
      </c>
      <c r="C489">
        <v>489</v>
      </c>
      <c r="D489" s="7">
        <v>45917</v>
      </c>
      <c r="E489" s="7" t="s">
        <v>334</v>
      </c>
      <c r="F489" s="10" t="s">
        <v>1687</v>
      </c>
      <c r="G489" s="36" t="s">
        <v>141</v>
      </c>
      <c r="H489" s="36"/>
      <c r="I489" s="36"/>
      <c r="J489" s="36" t="s">
        <v>141</v>
      </c>
      <c r="K489" s="36" t="s">
        <v>141</v>
      </c>
      <c r="L489" s="36"/>
      <c r="M489" s="36"/>
      <c r="N489" s="36" t="s">
        <v>141</v>
      </c>
      <c r="O489" s="117"/>
      <c r="P489" s="36"/>
      <c r="Q489" s="36"/>
      <c r="R489" s="36"/>
      <c r="S489" s="36"/>
      <c r="T489" s="36"/>
      <c r="U489" s="36"/>
      <c r="V489" s="36"/>
      <c r="W489" s="36"/>
      <c r="X489" s="36"/>
      <c r="Y489" s="36" t="s">
        <v>141</v>
      </c>
      <c r="Z489" s="36" t="s">
        <v>141</v>
      </c>
      <c r="AA489" s="117" t="s">
        <v>141</v>
      </c>
      <c r="AB489" s="36"/>
      <c r="AC489" s="117"/>
      <c r="AD489" s="36" t="s">
        <v>141</v>
      </c>
      <c r="AE489" s="36" t="s">
        <v>141</v>
      </c>
      <c r="AF489" s="117"/>
      <c r="AG489" s="36"/>
      <c r="AH489" s="36"/>
      <c r="AI489" s="117"/>
      <c r="AJ489" s="36" t="s">
        <v>141</v>
      </c>
      <c r="AK489" s="36"/>
      <c r="AL489" s="36" t="s">
        <v>141</v>
      </c>
      <c r="AM489" s="117" t="s">
        <v>141</v>
      </c>
      <c r="AN489" s="117" t="s">
        <v>141</v>
      </c>
      <c r="AO489" s="117"/>
      <c r="AP489" s="117" t="s">
        <v>141</v>
      </c>
      <c r="AQ489" s="117"/>
      <c r="AR489" s="117"/>
      <c r="AS489" s="117"/>
      <c r="AT489" s="117"/>
      <c r="AU489" s="117"/>
      <c r="AV489" s="119">
        <f t="shared" si="7"/>
        <v>14</v>
      </c>
      <c r="AW489" s="119"/>
      <c r="AX489" s="119" t="s">
        <v>2146</v>
      </c>
    </row>
    <row r="490" spans="1:50">
      <c r="A490">
        <v>453</v>
      </c>
      <c r="B490">
        <v>1010</v>
      </c>
      <c r="C490">
        <v>490</v>
      </c>
      <c r="D490" s="7">
        <v>45920</v>
      </c>
      <c r="E490" s="7" t="s">
        <v>1690</v>
      </c>
      <c r="F490" s="10" t="s">
        <v>1689</v>
      </c>
      <c r="G490" s="36"/>
      <c r="H490" s="36"/>
      <c r="I490" s="36"/>
      <c r="J490" s="36" t="s">
        <v>141</v>
      </c>
      <c r="K490" s="36"/>
      <c r="L490" s="36"/>
      <c r="M490" s="36" t="s">
        <v>141</v>
      </c>
      <c r="N490" s="36"/>
      <c r="O490" s="117"/>
      <c r="P490" s="36" t="s">
        <v>141</v>
      </c>
      <c r="Q490" s="36"/>
      <c r="R490" s="36"/>
      <c r="S490" s="36"/>
      <c r="T490" s="36" t="s">
        <v>141</v>
      </c>
      <c r="U490" s="36"/>
      <c r="V490" s="36"/>
      <c r="W490" s="36"/>
      <c r="X490" s="36" t="s">
        <v>141</v>
      </c>
      <c r="Y490" s="36"/>
      <c r="Z490" s="36" t="s">
        <v>141</v>
      </c>
      <c r="AA490" s="117"/>
      <c r="AB490" s="36"/>
      <c r="AC490" s="117"/>
      <c r="AD490" s="36"/>
      <c r="AE490" s="36"/>
      <c r="AF490" s="117"/>
      <c r="AG490" s="36"/>
      <c r="AH490" s="36"/>
      <c r="AI490" s="117"/>
      <c r="AJ490" s="36"/>
      <c r="AK490" s="36"/>
      <c r="AL490" s="36"/>
      <c r="AM490" s="117"/>
      <c r="AN490" s="117"/>
      <c r="AO490" s="117"/>
      <c r="AP490" s="117"/>
      <c r="AQ490" s="117" t="s">
        <v>141</v>
      </c>
      <c r="AR490" s="117"/>
      <c r="AS490" s="117" t="s">
        <v>141</v>
      </c>
      <c r="AT490" s="117"/>
      <c r="AU490" s="117"/>
      <c r="AV490" s="119">
        <f t="shared" si="7"/>
        <v>8</v>
      </c>
      <c r="AW490" s="119"/>
      <c r="AX490" s="119" t="s">
        <v>2146</v>
      </c>
    </row>
    <row r="491" spans="1:50">
      <c r="A491">
        <v>454</v>
      </c>
      <c r="B491">
        <v>1011</v>
      </c>
      <c r="C491">
        <v>491</v>
      </c>
      <c r="D491" s="7">
        <v>45920</v>
      </c>
      <c r="E491" s="7" t="s">
        <v>1692</v>
      </c>
      <c r="F491" s="10" t="s">
        <v>1691</v>
      </c>
      <c r="G491" s="36" t="s">
        <v>141</v>
      </c>
      <c r="H491" s="36"/>
      <c r="I491" s="36"/>
      <c r="J491" s="36" t="s">
        <v>141</v>
      </c>
      <c r="K491" s="36"/>
      <c r="L491" s="36"/>
      <c r="M491" s="36" t="s">
        <v>141</v>
      </c>
      <c r="N491" s="36"/>
      <c r="O491" s="117" t="s">
        <v>141</v>
      </c>
      <c r="P491" s="36" t="s">
        <v>141</v>
      </c>
      <c r="Q491" s="36" t="s">
        <v>141</v>
      </c>
      <c r="R491" s="36" t="s">
        <v>141</v>
      </c>
      <c r="S491" s="36"/>
      <c r="T491" s="36" t="s">
        <v>141</v>
      </c>
      <c r="U491" s="36"/>
      <c r="V491" s="36"/>
      <c r="W491" s="36"/>
      <c r="X491" s="36"/>
      <c r="Y491" s="36" t="s">
        <v>141</v>
      </c>
      <c r="Z491" s="36"/>
      <c r="AA491" s="117"/>
      <c r="AB491" s="36" t="s">
        <v>141</v>
      </c>
      <c r="AC491" s="117" t="s">
        <v>141</v>
      </c>
      <c r="AD491" s="36"/>
      <c r="AE491" s="36" t="s">
        <v>141</v>
      </c>
      <c r="AF491" s="117"/>
      <c r="AG491" s="36"/>
      <c r="AH491" s="36"/>
      <c r="AI491" s="117"/>
      <c r="AJ491" s="36"/>
      <c r="AK491" s="36"/>
      <c r="AL491" s="36"/>
      <c r="AM491" s="117" t="s">
        <v>141</v>
      </c>
      <c r="AN491" s="117" t="s">
        <v>141</v>
      </c>
      <c r="AO491" s="117"/>
      <c r="AP491" s="117"/>
      <c r="AQ491" s="117" t="s">
        <v>141</v>
      </c>
      <c r="AR491" s="117"/>
      <c r="AS491" s="117" t="s">
        <v>141</v>
      </c>
      <c r="AT491" s="117"/>
      <c r="AU491" s="117"/>
      <c r="AV491" s="119">
        <f t="shared" si="7"/>
        <v>16</v>
      </c>
      <c r="AW491" s="119"/>
      <c r="AX491" s="119" t="s">
        <v>2145</v>
      </c>
    </row>
    <row r="492" spans="1:50">
      <c r="A492">
        <v>455</v>
      </c>
      <c r="B492">
        <v>1012</v>
      </c>
      <c r="C492">
        <v>492</v>
      </c>
      <c r="D492" s="7">
        <v>45915</v>
      </c>
      <c r="E492" s="7" t="s">
        <v>1694</v>
      </c>
      <c r="F492" s="10" t="s">
        <v>1693</v>
      </c>
      <c r="G492" s="36"/>
      <c r="H492" s="36"/>
      <c r="I492" s="36"/>
      <c r="J492" s="36" t="s">
        <v>141</v>
      </c>
      <c r="K492" s="36"/>
      <c r="L492" s="36"/>
      <c r="M492" s="36" t="s">
        <v>141</v>
      </c>
      <c r="N492" s="36"/>
      <c r="O492" s="117" t="s">
        <v>141</v>
      </c>
      <c r="P492" s="36" t="s">
        <v>141</v>
      </c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117" t="s">
        <v>141</v>
      </c>
      <c r="AB492" s="36" t="s">
        <v>141</v>
      </c>
      <c r="AC492" s="117"/>
      <c r="AD492" s="36"/>
      <c r="AE492" s="36" t="s">
        <v>141</v>
      </c>
      <c r="AF492" s="117"/>
      <c r="AG492" s="36"/>
      <c r="AH492" s="36"/>
      <c r="AI492" s="117"/>
      <c r="AJ492" s="36"/>
      <c r="AK492" s="36"/>
      <c r="AL492" s="36" t="s">
        <v>141</v>
      </c>
      <c r="AM492" s="117" t="s">
        <v>141</v>
      </c>
      <c r="AN492" s="117" t="s">
        <v>141</v>
      </c>
      <c r="AO492" s="117"/>
      <c r="AP492" s="117" t="s">
        <v>141</v>
      </c>
      <c r="AQ492" s="117"/>
      <c r="AR492" s="117"/>
      <c r="AS492" s="117"/>
      <c r="AT492" s="117"/>
      <c r="AU492" s="117"/>
      <c r="AV492" s="119">
        <f t="shared" si="7"/>
        <v>11</v>
      </c>
      <c r="AW492" s="119"/>
      <c r="AX492" s="119" t="s">
        <v>2145</v>
      </c>
    </row>
    <row r="493" spans="1:50">
      <c r="A493">
        <v>456</v>
      </c>
      <c r="B493">
        <v>1013</v>
      </c>
      <c r="C493">
        <v>493</v>
      </c>
      <c r="D493" s="7">
        <v>45921</v>
      </c>
      <c r="E493" s="7" t="s">
        <v>1697</v>
      </c>
      <c r="F493" s="10" t="s">
        <v>1696</v>
      </c>
      <c r="G493" s="36" t="s">
        <v>141</v>
      </c>
      <c r="H493" s="36"/>
      <c r="I493" s="36"/>
      <c r="J493" s="36" t="s">
        <v>141</v>
      </c>
      <c r="K493" s="36"/>
      <c r="L493" s="36" t="s">
        <v>141</v>
      </c>
      <c r="M493" s="36" t="s">
        <v>141</v>
      </c>
      <c r="N493" s="36" t="s">
        <v>141</v>
      </c>
      <c r="O493" s="117"/>
      <c r="P493" s="36" t="s">
        <v>141</v>
      </c>
      <c r="Q493" s="36"/>
      <c r="R493" s="36"/>
      <c r="S493" s="36"/>
      <c r="T493" s="36" t="s">
        <v>141</v>
      </c>
      <c r="U493" s="36"/>
      <c r="V493" s="36"/>
      <c r="W493" s="36"/>
      <c r="X493" s="36" t="s">
        <v>141</v>
      </c>
      <c r="Y493" s="36"/>
      <c r="Z493" s="36" t="s">
        <v>141</v>
      </c>
      <c r="AA493" s="117"/>
      <c r="AB493" s="36"/>
      <c r="AC493" s="117"/>
      <c r="AD493" s="36"/>
      <c r="AE493" s="36"/>
      <c r="AF493" s="117"/>
      <c r="AG493" s="36"/>
      <c r="AH493" s="36"/>
      <c r="AI493" s="117"/>
      <c r="AJ493" s="36" t="s">
        <v>141</v>
      </c>
      <c r="AK493" s="36" t="s">
        <v>141</v>
      </c>
      <c r="AL493" s="36"/>
      <c r="AM493" s="117" t="s">
        <v>141</v>
      </c>
      <c r="AN493" s="117" t="s">
        <v>141</v>
      </c>
      <c r="AO493" s="117"/>
      <c r="AP493" s="117"/>
      <c r="AQ493" s="117" t="s">
        <v>141</v>
      </c>
      <c r="AR493" s="117"/>
      <c r="AS493" s="117" t="s">
        <v>141</v>
      </c>
      <c r="AT493" s="117"/>
      <c r="AU493" s="117"/>
      <c r="AV493" s="119">
        <f t="shared" si="7"/>
        <v>15</v>
      </c>
      <c r="AW493" s="119"/>
      <c r="AX493" s="119" t="s">
        <v>2145</v>
      </c>
    </row>
    <row r="494" spans="1:50">
      <c r="A494">
        <v>457</v>
      </c>
      <c r="B494">
        <v>1014</v>
      </c>
      <c r="C494">
        <v>494</v>
      </c>
      <c r="D494" s="7">
        <v>45921</v>
      </c>
      <c r="E494" s="7" t="s">
        <v>1699</v>
      </c>
      <c r="F494" s="10" t="s">
        <v>1698</v>
      </c>
      <c r="G494" s="36" t="s">
        <v>141</v>
      </c>
      <c r="H494" s="36"/>
      <c r="I494" s="36" t="s">
        <v>141</v>
      </c>
      <c r="J494" s="36" t="s">
        <v>141</v>
      </c>
      <c r="K494" s="36"/>
      <c r="L494" s="36" t="s">
        <v>141</v>
      </c>
      <c r="M494" s="36" t="s">
        <v>141</v>
      </c>
      <c r="N494" s="36"/>
      <c r="O494" s="117"/>
      <c r="P494" s="36" t="s">
        <v>141</v>
      </c>
      <c r="Q494" s="36"/>
      <c r="R494" s="36"/>
      <c r="S494" s="36"/>
      <c r="T494" s="36" t="s">
        <v>141</v>
      </c>
      <c r="U494" s="36" t="s">
        <v>141</v>
      </c>
      <c r="V494" s="36"/>
      <c r="W494" s="36"/>
      <c r="X494" s="36" t="s">
        <v>141</v>
      </c>
      <c r="Y494" s="36" t="s">
        <v>141</v>
      </c>
      <c r="Z494" s="36" t="s">
        <v>141</v>
      </c>
      <c r="AA494" s="117" t="s">
        <v>141</v>
      </c>
      <c r="AB494" s="36" t="s">
        <v>141</v>
      </c>
      <c r="AC494" s="117" t="s">
        <v>141</v>
      </c>
      <c r="AD494" s="36"/>
      <c r="AE494" s="36"/>
      <c r="AF494" s="117" t="s">
        <v>141</v>
      </c>
      <c r="AG494" s="36"/>
      <c r="AH494" s="36"/>
      <c r="AI494" s="117"/>
      <c r="AJ494" s="36" t="s">
        <v>141</v>
      </c>
      <c r="AK494" s="36"/>
      <c r="AL494" s="36" t="s">
        <v>141</v>
      </c>
      <c r="AM494" s="117" t="s">
        <v>141</v>
      </c>
      <c r="AN494" s="117" t="s">
        <v>141</v>
      </c>
      <c r="AO494" s="117"/>
      <c r="AP494" s="117" t="s">
        <v>141</v>
      </c>
      <c r="AQ494" s="117" t="s">
        <v>141</v>
      </c>
      <c r="AR494" s="117"/>
      <c r="AS494" s="117"/>
      <c r="AT494" s="117"/>
      <c r="AU494" s="117"/>
      <c r="AV494" s="119">
        <f t="shared" si="7"/>
        <v>21</v>
      </c>
      <c r="AW494" s="119"/>
      <c r="AX494" s="119" t="s">
        <v>2145</v>
      </c>
    </row>
    <row r="495" spans="1:50">
      <c r="A495">
        <v>458</v>
      </c>
      <c r="B495">
        <v>1015</v>
      </c>
      <c r="C495">
        <v>495</v>
      </c>
      <c r="D495" s="7">
        <v>45921</v>
      </c>
      <c r="E495" s="7" t="s">
        <v>1701</v>
      </c>
      <c r="F495" s="10" t="s">
        <v>1700</v>
      </c>
      <c r="G495" s="36"/>
      <c r="H495" s="36"/>
      <c r="I495" s="36" t="s">
        <v>141</v>
      </c>
      <c r="J495" s="36" t="s">
        <v>141</v>
      </c>
      <c r="K495" s="36" t="s">
        <v>141</v>
      </c>
      <c r="L495" s="36" t="s">
        <v>141</v>
      </c>
      <c r="M495" s="36"/>
      <c r="N495" s="36"/>
      <c r="O495" s="117" t="s">
        <v>141</v>
      </c>
      <c r="P495" s="36" t="s">
        <v>141</v>
      </c>
      <c r="Q495" s="36"/>
      <c r="R495" s="36"/>
      <c r="S495" s="36"/>
      <c r="T495" s="36"/>
      <c r="U495" s="36" t="s">
        <v>141</v>
      </c>
      <c r="V495" s="36"/>
      <c r="W495" s="36"/>
      <c r="X495" s="36" t="s">
        <v>141</v>
      </c>
      <c r="Y495" s="36" t="s">
        <v>141</v>
      </c>
      <c r="Z495" s="36" t="s">
        <v>141</v>
      </c>
      <c r="AA495" s="117"/>
      <c r="AB495" s="36"/>
      <c r="AC495" s="117" t="s">
        <v>141</v>
      </c>
      <c r="AD495" s="36"/>
      <c r="AE495" s="36"/>
      <c r="AF495" s="117" t="s">
        <v>141</v>
      </c>
      <c r="AG495" s="36"/>
      <c r="AH495" s="36"/>
      <c r="AI495" s="117"/>
      <c r="AJ495" s="36" t="s">
        <v>141</v>
      </c>
      <c r="AK495" s="36" t="s">
        <v>141</v>
      </c>
      <c r="AL495" s="36" t="s">
        <v>141</v>
      </c>
      <c r="AM495" s="117"/>
      <c r="AN495" s="117"/>
      <c r="AO495" s="117" t="s">
        <v>141</v>
      </c>
      <c r="AP495" s="117" t="s">
        <v>141</v>
      </c>
      <c r="AQ495" s="117" t="s">
        <v>141</v>
      </c>
      <c r="AR495" s="117"/>
      <c r="AS495" s="117" t="s">
        <v>141</v>
      </c>
      <c r="AT495" s="117"/>
      <c r="AU495" s="117"/>
      <c r="AV495" s="119">
        <f t="shared" si="7"/>
        <v>19</v>
      </c>
      <c r="AW495" s="119"/>
      <c r="AX495" s="119" t="s">
        <v>2145</v>
      </c>
    </row>
    <row r="496" spans="1:50">
      <c r="A496">
        <v>459</v>
      </c>
      <c r="B496">
        <v>1016</v>
      </c>
      <c r="C496">
        <v>496</v>
      </c>
      <c r="D496" s="7">
        <v>45922</v>
      </c>
      <c r="E496" s="7" t="s">
        <v>1703</v>
      </c>
      <c r="F496" s="10" t="s">
        <v>1702</v>
      </c>
      <c r="G496" s="36"/>
      <c r="H496" s="36"/>
      <c r="I496" s="36"/>
      <c r="J496" s="36"/>
      <c r="K496" s="36"/>
      <c r="L496" s="36" t="s">
        <v>141</v>
      </c>
      <c r="M496" s="36"/>
      <c r="N496" s="36"/>
      <c r="O496" s="117" t="s">
        <v>141</v>
      </c>
      <c r="P496" s="36" t="s">
        <v>141</v>
      </c>
      <c r="Q496" s="36"/>
      <c r="R496" s="36"/>
      <c r="S496" s="36"/>
      <c r="T496" s="36" t="s">
        <v>141</v>
      </c>
      <c r="U496" s="36"/>
      <c r="V496" s="36"/>
      <c r="W496" s="36"/>
      <c r="X496" s="36"/>
      <c r="Y496" s="36"/>
      <c r="Z496" s="36"/>
      <c r="AA496" s="117"/>
      <c r="AB496" s="36"/>
      <c r="AC496" s="117"/>
      <c r="AD496" s="36"/>
      <c r="AE496" s="36"/>
      <c r="AF496" s="117"/>
      <c r="AG496" s="36"/>
      <c r="AH496" s="36"/>
      <c r="AI496" s="117"/>
      <c r="AJ496" s="36" t="s">
        <v>141</v>
      </c>
      <c r="AK496" s="36" t="s">
        <v>141</v>
      </c>
      <c r="AL496" s="36"/>
      <c r="AM496" s="117"/>
      <c r="AN496" s="117"/>
      <c r="AO496" s="117"/>
      <c r="AP496" s="117" t="s">
        <v>141</v>
      </c>
      <c r="AQ496" s="117"/>
      <c r="AR496" s="117"/>
      <c r="AS496" s="117" t="s">
        <v>141</v>
      </c>
      <c r="AT496" s="117"/>
      <c r="AU496" s="117"/>
      <c r="AV496" s="119">
        <f t="shared" si="7"/>
        <v>8</v>
      </c>
      <c r="AW496" s="119"/>
      <c r="AX496" s="119" t="s">
        <v>2145</v>
      </c>
    </row>
    <row r="497" spans="1:50">
      <c r="A497" t="s">
        <v>57</v>
      </c>
      <c r="B497" t="s">
        <v>57</v>
      </c>
      <c r="C497">
        <v>497</v>
      </c>
      <c r="D497" s="7">
        <v>45922</v>
      </c>
      <c r="E497" s="7" t="s">
        <v>2129</v>
      </c>
      <c r="F497" s="10" t="s">
        <v>2130</v>
      </c>
      <c r="G497" s="36" t="s">
        <v>141</v>
      </c>
      <c r="H497" s="36" t="s">
        <v>2131</v>
      </c>
      <c r="I497" s="36" t="s">
        <v>2131</v>
      </c>
      <c r="J497" s="36" t="s">
        <v>141</v>
      </c>
      <c r="K497" s="36" t="s">
        <v>2131</v>
      </c>
      <c r="L497" s="36" t="s">
        <v>2131</v>
      </c>
      <c r="M497" s="36" t="s">
        <v>141</v>
      </c>
      <c r="N497" s="36" t="s">
        <v>141</v>
      </c>
      <c r="O497" s="117" t="s">
        <v>141</v>
      </c>
      <c r="P497" s="36" t="s">
        <v>141</v>
      </c>
      <c r="Q497" s="36" t="s">
        <v>141</v>
      </c>
      <c r="R497" s="36" t="s">
        <v>2131</v>
      </c>
      <c r="S497" s="36" t="s">
        <v>141</v>
      </c>
      <c r="T497" s="36" t="s">
        <v>141</v>
      </c>
      <c r="U497" s="36" t="s">
        <v>141</v>
      </c>
      <c r="V497" s="36" t="s">
        <v>2131</v>
      </c>
      <c r="W497" s="36" t="s">
        <v>141</v>
      </c>
      <c r="X497" s="36" t="s">
        <v>2131</v>
      </c>
      <c r="Y497" s="36" t="s">
        <v>141</v>
      </c>
      <c r="Z497" s="36" t="s">
        <v>141</v>
      </c>
      <c r="AA497" s="117" t="s">
        <v>2131</v>
      </c>
      <c r="AB497" s="36" t="s">
        <v>141</v>
      </c>
      <c r="AC497" s="117" t="s">
        <v>2131</v>
      </c>
      <c r="AD497" s="36" t="s">
        <v>141</v>
      </c>
      <c r="AE497" s="36" t="s">
        <v>141</v>
      </c>
      <c r="AF497" s="117" t="s">
        <v>141</v>
      </c>
      <c r="AG497" s="36" t="s">
        <v>141</v>
      </c>
      <c r="AH497" s="36" t="s">
        <v>2132</v>
      </c>
      <c r="AI497" s="117" t="s">
        <v>141</v>
      </c>
      <c r="AJ497" s="36" t="s">
        <v>141</v>
      </c>
      <c r="AK497" s="36" t="s">
        <v>141</v>
      </c>
      <c r="AL497" s="36" t="s">
        <v>141</v>
      </c>
      <c r="AM497" s="117" t="s">
        <v>141</v>
      </c>
      <c r="AN497" s="117" t="s">
        <v>141</v>
      </c>
      <c r="AO497" s="117" t="s">
        <v>2131</v>
      </c>
      <c r="AP497" s="117" t="s">
        <v>141</v>
      </c>
      <c r="AQ497" s="117" t="s">
        <v>141</v>
      </c>
      <c r="AR497" s="117" t="s">
        <v>2131</v>
      </c>
      <c r="AS497" s="117" t="s">
        <v>141</v>
      </c>
      <c r="AT497" s="117"/>
      <c r="AU497" s="117"/>
      <c r="AV497" s="119">
        <f t="shared" si="7"/>
        <v>27</v>
      </c>
      <c r="AW497" s="119"/>
      <c r="AX497" s="119" t="s">
        <v>2147</v>
      </c>
    </row>
    <row r="498" spans="1:50">
      <c r="A498">
        <v>460</v>
      </c>
      <c r="B498">
        <v>1017</v>
      </c>
      <c r="C498">
        <v>498</v>
      </c>
      <c r="D498" s="7">
        <v>45924</v>
      </c>
      <c r="E498" s="7" t="s">
        <v>1705</v>
      </c>
      <c r="F498" s="10" t="s">
        <v>1704</v>
      </c>
      <c r="G498" s="36"/>
      <c r="H498" s="36"/>
      <c r="I498" s="36"/>
      <c r="J498" s="36" t="s">
        <v>141</v>
      </c>
      <c r="K498" s="36"/>
      <c r="L498" s="36"/>
      <c r="M498" s="36" t="s">
        <v>141</v>
      </c>
      <c r="N498" s="36"/>
      <c r="O498" s="117"/>
      <c r="P498" s="36" t="s">
        <v>141</v>
      </c>
      <c r="Q498" s="36" t="s">
        <v>141</v>
      </c>
      <c r="R498" s="36"/>
      <c r="S498" s="36"/>
      <c r="T498" s="36" t="s">
        <v>141</v>
      </c>
      <c r="U498" s="36"/>
      <c r="V498" s="36"/>
      <c r="W498" s="36"/>
      <c r="X498" s="36"/>
      <c r="Y498" s="36"/>
      <c r="Z498" s="36"/>
      <c r="AA498" s="117" t="s">
        <v>141</v>
      </c>
      <c r="AB498" s="36"/>
      <c r="AC498" s="117"/>
      <c r="AD498" s="36"/>
      <c r="AE498" s="36"/>
      <c r="AF498" s="117"/>
      <c r="AG498" s="36"/>
      <c r="AH498" s="36"/>
      <c r="AI498" s="117"/>
      <c r="AJ498" s="36"/>
      <c r="AK498" s="36" t="s">
        <v>141</v>
      </c>
      <c r="AL498" s="36"/>
      <c r="AM498" s="117" t="s">
        <v>141</v>
      </c>
      <c r="AN498" s="117" t="s">
        <v>141</v>
      </c>
      <c r="AO498" s="117"/>
      <c r="AP498" s="117"/>
      <c r="AQ498" s="117"/>
      <c r="AR498" s="117"/>
      <c r="AS498" s="117" t="s">
        <v>141</v>
      </c>
      <c r="AT498" s="117"/>
      <c r="AU498" s="117"/>
      <c r="AV498" s="119">
        <f t="shared" si="7"/>
        <v>10</v>
      </c>
      <c r="AW498" s="119"/>
      <c r="AX498" s="119" t="s">
        <v>2145</v>
      </c>
    </row>
    <row r="499" spans="1:50">
      <c r="A499">
        <v>461</v>
      </c>
      <c r="B499">
        <v>1018</v>
      </c>
      <c r="C499">
        <v>499</v>
      </c>
      <c r="D499" s="7">
        <v>45924</v>
      </c>
      <c r="E499" s="7" t="s">
        <v>1707</v>
      </c>
      <c r="F499" s="10" t="s">
        <v>1706</v>
      </c>
      <c r="G499" s="36" t="s">
        <v>141</v>
      </c>
      <c r="H499" s="36"/>
      <c r="I499" s="36" t="s">
        <v>141</v>
      </c>
      <c r="J499" s="36" t="s">
        <v>141</v>
      </c>
      <c r="K499" s="36"/>
      <c r="L499" s="36"/>
      <c r="M499" s="36"/>
      <c r="N499" s="36"/>
      <c r="O499" s="117" t="s">
        <v>141</v>
      </c>
      <c r="P499" s="36" t="s">
        <v>141</v>
      </c>
      <c r="Q499" s="36"/>
      <c r="R499" s="36"/>
      <c r="S499" s="36"/>
      <c r="T499" s="36" t="s">
        <v>141</v>
      </c>
      <c r="U499" s="36"/>
      <c r="V499" s="36"/>
      <c r="W499" s="36"/>
      <c r="X499" s="36"/>
      <c r="Y499" s="36" t="s">
        <v>141</v>
      </c>
      <c r="Z499" s="36" t="s">
        <v>141</v>
      </c>
      <c r="AA499" s="117"/>
      <c r="AB499" s="36" t="s">
        <v>141</v>
      </c>
      <c r="AC499" s="117"/>
      <c r="AD499" s="36"/>
      <c r="AE499" s="36"/>
      <c r="AF499" s="117"/>
      <c r="AG499" s="36"/>
      <c r="AH499" s="36"/>
      <c r="AI499" s="117"/>
      <c r="AJ499" s="36" t="s">
        <v>141</v>
      </c>
      <c r="AK499" s="36" t="s">
        <v>141</v>
      </c>
      <c r="AL499" s="36"/>
      <c r="AM499" s="117"/>
      <c r="AN499" s="117"/>
      <c r="AO499" s="117"/>
      <c r="AP499" s="117"/>
      <c r="AQ499" s="117" t="s">
        <v>141</v>
      </c>
      <c r="AR499" s="117"/>
      <c r="AS499" s="117" t="s">
        <v>141</v>
      </c>
      <c r="AT499" s="117"/>
      <c r="AU499" s="117"/>
      <c r="AV499" s="119">
        <f t="shared" si="7"/>
        <v>13</v>
      </c>
      <c r="AW499" s="119"/>
      <c r="AX499" s="119" t="s">
        <v>2145</v>
      </c>
    </row>
    <row r="500" spans="1:50">
      <c r="A500">
        <v>462</v>
      </c>
      <c r="B500">
        <v>1019</v>
      </c>
      <c r="C500">
        <v>500</v>
      </c>
      <c r="D500" s="7">
        <v>45925</v>
      </c>
      <c r="E500" s="7" t="s">
        <v>1709</v>
      </c>
      <c r="F500" s="10" t="s">
        <v>1708</v>
      </c>
      <c r="G500" s="36"/>
      <c r="H500" s="36"/>
      <c r="I500" s="36" t="s">
        <v>141</v>
      </c>
      <c r="J500" s="36" t="s">
        <v>141</v>
      </c>
      <c r="K500" s="36"/>
      <c r="L500" s="36"/>
      <c r="M500" s="36"/>
      <c r="N500" s="36"/>
      <c r="O500" s="117" t="s">
        <v>141</v>
      </c>
      <c r="P500" s="36" t="s">
        <v>141</v>
      </c>
      <c r="Q500" s="36"/>
      <c r="R500" s="36"/>
      <c r="S500" s="36"/>
      <c r="T500" s="36" t="s">
        <v>141</v>
      </c>
      <c r="U500" s="36"/>
      <c r="V500" s="36"/>
      <c r="W500" s="36"/>
      <c r="X500" s="36"/>
      <c r="Y500" s="36" t="s">
        <v>141</v>
      </c>
      <c r="Z500" s="36" t="s">
        <v>141</v>
      </c>
      <c r="AA500" s="117"/>
      <c r="AB500" s="36"/>
      <c r="AC500" s="117"/>
      <c r="AD500" s="36"/>
      <c r="AE500" s="36"/>
      <c r="AF500" s="117"/>
      <c r="AG500" s="36"/>
      <c r="AH500" s="36"/>
      <c r="AI500" s="117"/>
      <c r="AJ500" s="36" t="s">
        <v>141</v>
      </c>
      <c r="AK500" s="36" t="s">
        <v>141</v>
      </c>
      <c r="AL500" s="36"/>
      <c r="AM500" s="117"/>
      <c r="AN500" s="117"/>
      <c r="AO500" s="117"/>
      <c r="AP500" s="117"/>
      <c r="AQ500" s="117" t="s">
        <v>141</v>
      </c>
      <c r="AR500" s="117"/>
      <c r="AS500" s="117" t="s">
        <v>141</v>
      </c>
      <c r="AT500" s="117"/>
      <c r="AU500" s="117"/>
      <c r="AV500" s="119">
        <f t="shared" si="7"/>
        <v>11</v>
      </c>
      <c r="AW500" s="119"/>
      <c r="AX500" s="119" t="s">
        <v>2145</v>
      </c>
    </row>
    <row r="501" spans="1:50">
      <c r="A501">
        <v>463</v>
      </c>
      <c r="B501">
        <v>1020</v>
      </c>
      <c r="C501">
        <v>501</v>
      </c>
      <c r="D501" s="7">
        <v>45925</v>
      </c>
      <c r="E501" s="7" t="s">
        <v>1711</v>
      </c>
      <c r="F501" s="10" t="s">
        <v>1710</v>
      </c>
      <c r="G501" s="36"/>
      <c r="H501" s="36"/>
      <c r="I501" s="36"/>
      <c r="J501" s="36" t="s">
        <v>141</v>
      </c>
      <c r="K501" s="36"/>
      <c r="L501" s="36"/>
      <c r="M501" s="36" t="s">
        <v>141</v>
      </c>
      <c r="N501" s="36"/>
      <c r="O501" s="117" t="s">
        <v>141</v>
      </c>
      <c r="P501" s="36"/>
      <c r="Q501" s="36"/>
      <c r="R501" s="36"/>
      <c r="S501" s="36" t="s">
        <v>141</v>
      </c>
      <c r="T501" s="36" t="s">
        <v>141</v>
      </c>
      <c r="U501" s="36"/>
      <c r="V501" s="36"/>
      <c r="W501" s="36"/>
      <c r="X501" s="36"/>
      <c r="Y501" s="36" t="s">
        <v>141</v>
      </c>
      <c r="Z501" s="36"/>
      <c r="AA501" s="117"/>
      <c r="AB501" s="36"/>
      <c r="AC501" s="117"/>
      <c r="AD501" s="36"/>
      <c r="AE501" s="36"/>
      <c r="AF501" s="117"/>
      <c r="AG501" s="36"/>
      <c r="AH501" s="36"/>
      <c r="AI501" s="117"/>
      <c r="AJ501" s="36"/>
      <c r="AK501" s="36" t="s">
        <v>141</v>
      </c>
      <c r="AL501" s="36"/>
      <c r="AM501" s="117"/>
      <c r="AN501" s="117"/>
      <c r="AO501" s="117"/>
      <c r="AP501" s="117"/>
      <c r="AQ501" s="117"/>
      <c r="AR501" s="117"/>
      <c r="AS501" s="117" t="s">
        <v>141</v>
      </c>
      <c r="AT501" s="117"/>
      <c r="AU501" s="117"/>
      <c r="AV501" s="119">
        <f t="shared" si="7"/>
        <v>8</v>
      </c>
      <c r="AW501" s="119"/>
      <c r="AX501" s="119" t="s">
        <v>2145</v>
      </c>
    </row>
    <row r="502" spans="1:50">
      <c r="A502">
        <v>464</v>
      </c>
      <c r="B502">
        <v>1021</v>
      </c>
      <c r="C502">
        <v>502</v>
      </c>
      <c r="D502" s="7">
        <v>45928</v>
      </c>
      <c r="E502" s="7" t="s">
        <v>1713</v>
      </c>
      <c r="F502" s="10" t="s">
        <v>1712</v>
      </c>
      <c r="G502" s="36"/>
      <c r="H502" s="36"/>
      <c r="I502" s="36"/>
      <c r="J502" s="36" t="s">
        <v>141</v>
      </c>
      <c r="K502" s="36"/>
      <c r="L502" s="36"/>
      <c r="M502" s="36" t="s">
        <v>141</v>
      </c>
      <c r="N502" s="36"/>
      <c r="O502" s="117" t="s">
        <v>141</v>
      </c>
      <c r="P502" s="36" t="s">
        <v>141</v>
      </c>
      <c r="Q502" s="36"/>
      <c r="R502" s="36"/>
      <c r="S502" s="36"/>
      <c r="T502" s="36" t="s">
        <v>141</v>
      </c>
      <c r="U502" s="36" t="s">
        <v>141</v>
      </c>
      <c r="V502" s="36"/>
      <c r="W502" s="36"/>
      <c r="X502" s="36"/>
      <c r="Y502" s="36" t="s">
        <v>141</v>
      </c>
      <c r="Z502" s="36" t="s">
        <v>141</v>
      </c>
      <c r="AA502" s="117" t="s">
        <v>141</v>
      </c>
      <c r="AB502" s="36"/>
      <c r="AC502" s="117"/>
      <c r="AD502" s="36"/>
      <c r="AE502" s="36" t="s">
        <v>141</v>
      </c>
      <c r="AF502" s="117"/>
      <c r="AG502" s="36"/>
      <c r="AH502" s="36"/>
      <c r="AI502" s="117"/>
      <c r="AJ502" s="36" t="s">
        <v>141</v>
      </c>
      <c r="AK502" s="36" t="s">
        <v>141</v>
      </c>
      <c r="AL502" s="36"/>
      <c r="AM502" s="117"/>
      <c r="AN502" s="117"/>
      <c r="AO502" s="117"/>
      <c r="AP502" s="117" t="s">
        <v>141</v>
      </c>
      <c r="AQ502" s="117" t="s">
        <v>141</v>
      </c>
      <c r="AR502" s="117"/>
      <c r="AS502" s="117"/>
      <c r="AT502" s="117"/>
      <c r="AU502" s="117"/>
      <c r="AV502" s="119">
        <f t="shared" si="7"/>
        <v>14</v>
      </c>
      <c r="AW502" s="119"/>
      <c r="AX502" s="119" t="s">
        <v>2146</v>
      </c>
    </row>
    <row r="503" spans="1:50">
      <c r="A503">
        <v>465</v>
      </c>
      <c r="B503">
        <v>1022</v>
      </c>
      <c r="C503">
        <v>503</v>
      </c>
      <c r="D503" s="7">
        <v>45929</v>
      </c>
      <c r="E503" s="7" t="s">
        <v>1715</v>
      </c>
      <c r="F503" s="10" t="s">
        <v>1714</v>
      </c>
      <c r="G503" s="36"/>
      <c r="H503" s="36"/>
      <c r="I503" s="36"/>
      <c r="J503" s="36" t="s">
        <v>141</v>
      </c>
      <c r="K503" s="36"/>
      <c r="L503" s="36" t="s">
        <v>141</v>
      </c>
      <c r="M503" s="36"/>
      <c r="N503" s="36"/>
      <c r="O503" s="117" t="s">
        <v>141</v>
      </c>
      <c r="P503" s="36" t="s">
        <v>141</v>
      </c>
      <c r="Q503" s="36"/>
      <c r="R503" s="36"/>
      <c r="S503" s="36"/>
      <c r="T503" s="36" t="s">
        <v>141</v>
      </c>
      <c r="U503" s="36"/>
      <c r="V503" s="36"/>
      <c r="W503" s="36"/>
      <c r="X503" s="36"/>
      <c r="Y503" s="36" t="s">
        <v>141</v>
      </c>
      <c r="Z503" s="36"/>
      <c r="AA503" s="117" t="s">
        <v>141</v>
      </c>
      <c r="AB503" s="36"/>
      <c r="AC503" s="117"/>
      <c r="AD503" s="36"/>
      <c r="AE503" s="36"/>
      <c r="AF503" s="117"/>
      <c r="AG503" s="36" t="s">
        <v>141</v>
      </c>
      <c r="AH503" s="36"/>
      <c r="AI503" s="117" t="s">
        <v>141</v>
      </c>
      <c r="AJ503" s="36"/>
      <c r="AK503" s="36"/>
      <c r="AL503" s="36"/>
      <c r="AM503" s="117"/>
      <c r="AN503" s="117"/>
      <c r="AO503" s="117"/>
      <c r="AP503" s="117" t="s">
        <v>141</v>
      </c>
      <c r="AQ503" s="117"/>
      <c r="AR503" s="117"/>
      <c r="AS503" s="117"/>
      <c r="AT503" s="117"/>
      <c r="AU503" s="117"/>
      <c r="AV503" s="119">
        <f t="shared" si="7"/>
        <v>10</v>
      </c>
      <c r="AW503" s="119"/>
      <c r="AX503" s="119" t="s">
        <v>2146</v>
      </c>
    </row>
    <row r="504" spans="1:50">
      <c r="A504">
        <v>466</v>
      </c>
      <c r="B504">
        <v>1023</v>
      </c>
      <c r="C504">
        <v>504</v>
      </c>
      <c r="D504" s="7">
        <v>45929</v>
      </c>
      <c r="E504" s="7" t="s">
        <v>1717</v>
      </c>
      <c r="F504" s="10" t="s">
        <v>1716</v>
      </c>
      <c r="G504" s="36"/>
      <c r="H504" s="36"/>
      <c r="I504" s="36"/>
      <c r="J504" s="36" t="s">
        <v>141</v>
      </c>
      <c r="K504" s="36"/>
      <c r="L504" s="36" t="s">
        <v>141</v>
      </c>
      <c r="M504" s="36"/>
      <c r="N504" s="36"/>
      <c r="O504" s="117" t="s">
        <v>141</v>
      </c>
      <c r="P504" s="36" t="s">
        <v>141</v>
      </c>
      <c r="Q504" s="36"/>
      <c r="R504" s="36"/>
      <c r="S504" s="36"/>
      <c r="T504" s="36"/>
      <c r="U504" s="36"/>
      <c r="V504" s="36"/>
      <c r="W504" s="36"/>
      <c r="X504" s="36"/>
      <c r="Y504" s="36" t="s">
        <v>141</v>
      </c>
      <c r="Z504" s="36"/>
      <c r="AA504" s="117" t="s">
        <v>141</v>
      </c>
      <c r="AB504" s="36"/>
      <c r="AC504" s="117"/>
      <c r="AD504" s="36"/>
      <c r="AE504" s="36"/>
      <c r="AF504" s="117"/>
      <c r="AG504" s="36" t="s">
        <v>141</v>
      </c>
      <c r="AH504" s="36"/>
      <c r="AI504" s="117" t="s">
        <v>141</v>
      </c>
      <c r="AJ504" s="36"/>
      <c r="AK504" s="36"/>
      <c r="AL504" s="36"/>
      <c r="AM504" s="117"/>
      <c r="AN504" s="117"/>
      <c r="AO504" s="117"/>
      <c r="AP504" s="117" t="s">
        <v>141</v>
      </c>
      <c r="AQ504" s="117"/>
      <c r="AR504" s="117"/>
      <c r="AS504" s="117"/>
      <c r="AT504" s="117"/>
      <c r="AU504" s="117"/>
      <c r="AV504" s="119">
        <f t="shared" si="7"/>
        <v>9</v>
      </c>
      <c r="AW504" s="119"/>
      <c r="AX504" s="119" t="s">
        <v>2146</v>
      </c>
    </row>
    <row r="505" spans="1:50">
      <c r="A505">
        <v>467</v>
      </c>
      <c r="B505">
        <v>1024</v>
      </c>
      <c r="C505">
        <v>505</v>
      </c>
      <c r="D505" s="7">
        <v>45922</v>
      </c>
      <c r="E505" s="7" t="s">
        <v>672</v>
      </c>
      <c r="F505" s="10" t="s">
        <v>1718</v>
      </c>
      <c r="G505" s="36"/>
      <c r="H505" s="36"/>
      <c r="I505" s="36"/>
      <c r="J505" s="36" t="s">
        <v>141</v>
      </c>
      <c r="K505" s="36"/>
      <c r="L505" s="36" t="s">
        <v>141</v>
      </c>
      <c r="M505" s="36"/>
      <c r="N505" s="36"/>
      <c r="O505" s="117" t="s">
        <v>141</v>
      </c>
      <c r="P505" s="36" t="s">
        <v>141</v>
      </c>
      <c r="Q505" s="36"/>
      <c r="R505" s="36"/>
      <c r="S505" s="36"/>
      <c r="T505" s="36" t="s">
        <v>141</v>
      </c>
      <c r="U505" s="36"/>
      <c r="V505" s="36"/>
      <c r="W505" s="36"/>
      <c r="X505" s="36"/>
      <c r="Y505" s="36"/>
      <c r="Z505" s="36"/>
      <c r="AA505" s="117" t="s">
        <v>141</v>
      </c>
      <c r="AB505" s="36"/>
      <c r="AC505" s="117"/>
      <c r="AD505" s="36"/>
      <c r="AE505" s="36"/>
      <c r="AF505" s="117"/>
      <c r="AG505" s="36" t="s">
        <v>141</v>
      </c>
      <c r="AH505" s="36"/>
      <c r="AI505" s="117" t="s">
        <v>141</v>
      </c>
      <c r="AJ505" s="36"/>
      <c r="AK505" s="36" t="s">
        <v>141</v>
      </c>
      <c r="AL505" s="36"/>
      <c r="AM505" s="117"/>
      <c r="AN505" s="117"/>
      <c r="AO505" s="117"/>
      <c r="AP505" s="117" t="s">
        <v>141</v>
      </c>
      <c r="AQ505" s="117"/>
      <c r="AR505" s="117"/>
      <c r="AS505" s="117"/>
      <c r="AT505" s="117"/>
      <c r="AU505" s="117"/>
      <c r="AV505" s="119">
        <f t="shared" si="7"/>
        <v>10</v>
      </c>
      <c r="AW505" s="119"/>
      <c r="AX505" s="119" t="s">
        <v>2146</v>
      </c>
    </row>
    <row r="506" spans="1:50">
      <c r="A506">
        <v>468</v>
      </c>
      <c r="B506">
        <v>1025</v>
      </c>
      <c r="C506">
        <v>506</v>
      </c>
      <c r="D506" s="7">
        <v>45929</v>
      </c>
      <c r="E506" s="7" t="s">
        <v>1720</v>
      </c>
      <c r="F506" s="10" t="s">
        <v>1719</v>
      </c>
      <c r="G506" s="36" t="s">
        <v>141</v>
      </c>
      <c r="H506" s="36"/>
      <c r="I506" s="36"/>
      <c r="J506" s="36" t="s">
        <v>141</v>
      </c>
      <c r="K506" s="36"/>
      <c r="L506" s="36" t="s">
        <v>141</v>
      </c>
      <c r="M506" s="36"/>
      <c r="N506" s="36"/>
      <c r="O506" s="117" t="s">
        <v>141</v>
      </c>
      <c r="P506" s="36" t="s">
        <v>141</v>
      </c>
      <c r="Q506" s="36"/>
      <c r="R506" s="36"/>
      <c r="S506" s="36"/>
      <c r="T506" s="36" t="s">
        <v>141</v>
      </c>
      <c r="U506" s="36"/>
      <c r="V506" s="36"/>
      <c r="W506" s="36" t="s">
        <v>141</v>
      </c>
      <c r="X506" s="36"/>
      <c r="Y506" s="36" t="s">
        <v>141</v>
      </c>
      <c r="Z506" s="36" t="s">
        <v>141</v>
      </c>
      <c r="AA506" s="117" t="s">
        <v>141</v>
      </c>
      <c r="AB506" s="36"/>
      <c r="AC506" s="117" t="s">
        <v>141</v>
      </c>
      <c r="AD506" s="36"/>
      <c r="AE506" s="36" t="s">
        <v>141</v>
      </c>
      <c r="AF506" s="117"/>
      <c r="AG506" s="36"/>
      <c r="AH506" s="36" t="s">
        <v>141</v>
      </c>
      <c r="AI506" s="117" t="s">
        <v>141</v>
      </c>
      <c r="AJ506" s="36" t="s">
        <v>141</v>
      </c>
      <c r="AK506" s="36" t="s">
        <v>141</v>
      </c>
      <c r="AL506" s="36" t="s">
        <v>141</v>
      </c>
      <c r="AM506" s="117"/>
      <c r="AN506" s="117"/>
      <c r="AO506" s="117" t="s">
        <v>141</v>
      </c>
      <c r="AP506" s="117" t="s">
        <v>141</v>
      </c>
      <c r="AQ506" s="117"/>
      <c r="AR506" s="117"/>
      <c r="AS506" s="117" t="s">
        <v>141</v>
      </c>
      <c r="AT506" s="117"/>
      <c r="AU506" s="117"/>
      <c r="AV506" s="119">
        <f t="shared" si="7"/>
        <v>20</v>
      </c>
      <c r="AW506" s="119"/>
      <c r="AX506" s="119" t="s">
        <v>2145</v>
      </c>
    </row>
    <row r="507" spans="1:50">
      <c r="A507" t="s">
        <v>57</v>
      </c>
      <c r="B507" t="s">
        <v>57</v>
      </c>
      <c r="C507">
        <v>507</v>
      </c>
      <c r="D507" s="7">
        <v>45929</v>
      </c>
      <c r="E507" s="7" t="s">
        <v>2129</v>
      </c>
      <c r="F507" s="10" t="s">
        <v>2130</v>
      </c>
      <c r="G507" s="36" t="s">
        <v>141</v>
      </c>
      <c r="H507" s="36" t="s">
        <v>2131</v>
      </c>
      <c r="I507" s="36" t="s">
        <v>141</v>
      </c>
      <c r="J507" s="36" t="s">
        <v>141</v>
      </c>
      <c r="K507" s="36" t="s">
        <v>141</v>
      </c>
      <c r="L507" s="36" t="s">
        <v>141</v>
      </c>
      <c r="M507" s="36" t="s">
        <v>2131</v>
      </c>
      <c r="N507" s="36" t="s">
        <v>2131</v>
      </c>
      <c r="O507" s="117" t="s">
        <v>141</v>
      </c>
      <c r="P507" s="36" t="s">
        <v>141</v>
      </c>
      <c r="Q507" s="36" t="s">
        <v>141</v>
      </c>
      <c r="R507" s="36"/>
      <c r="S507" s="36" t="s">
        <v>2131</v>
      </c>
      <c r="T507" s="36" t="s">
        <v>141</v>
      </c>
      <c r="U507" s="36" t="s">
        <v>2131</v>
      </c>
      <c r="V507" s="36" t="s">
        <v>2131</v>
      </c>
      <c r="W507" s="36" t="s">
        <v>2131</v>
      </c>
      <c r="X507" s="36" t="s">
        <v>2131</v>
      </c>
      <c r="Y507" s="36" t="s">
        <v>141</v>
      </c>
      <c r="Z507" s="36" t="s">
        <v>141</v>
      </c>
      <c r="AA507" s="117" t="s">
        <v>141</v>
      </c>
      <c r="AB507" s="36" t="s">
        <v>141</v>
      </c>
      <c r="AC507" s="117" t="s">
        <v>141</v>
      </c>
      <c r="AD507" s="36" t="s">
        <v>2131</v>
      </c>
      <c r="AE507" s="36" t="s">
        <v>141</v>
      </c>
      <c r="AF507" s="117" t="s">
        <v>141</v>
      </c>
      <c r="AG507" s="36" t="s">
        <v>141</v>
      </c>
      <c r="AH507" s="36" t="s">
        <v>141</v>
      </c>
      <c r="AI507" s="117" t="s">
        <v>141</v>
      </c>
      <c r="AJ507" s="36" t="s">
        <v>141</v>
      </c>
      <c r="AK507" s="36" t="s">
        <v>141</v>
      </c>
      <c r="AL507" s="36" t="s">
        <v>141</v>
      </c>
      <c r="AM507" s="117" t="s">
        <v>2131</v>
      </c>
      <c r="AN507" s="117" t="s">
        <v>2131</v>
      </c>
      <c r="AO507" s="117" t="s">
        <v>141</v>
      </c>
      <c r="AP507" s="117" t="s">
        <v>141</v>
      </c>
      <c r="AQ507" s="117" t="s">
        <v>141</v>
      </c>
      <c r="AR507" s="117" t="s">
        <v>2131</v>
      </c>
      <c r="AS507" s="117" t="s">
        <v>141</v>
      </c>
      <c r="AT507" s="117"/>
      <c r="AU507" s="117"/>
      <c r="AV507" s="119">
        <f t="shared" si="7"/>
        <v>26</v>
      </c>
      <c r="AW507" s="119"/>
      <c r="AX507" s="119" t="s">
        <v>2146</v>
      </c>
    </row>
    <row r="508" spans="1:50">
      <c r="A508">
        <v>469</v>
      </c>
      <c r="B508">
        <v>1026</v>
      </c>
      <c r="C508">
        <v>508</v>
      </c>
      <c r="D508" s="7">
        <v>45930</v>
      </c>
      <c r="E508" s="7" t="s">
        <v>1722</v>
      </c>
      <c r="F508" s="10" t="s">
        <v>1721</v>
      </c>
      <c r="G508" s="36"/>
      <c r="H508" s="36"/>
      <c r="I508" s="36"/>
      <c r="J508" s="36" t="s">
        <v>141</v>
      </c>
      <c r="K508" s="36"/>
      <c r="L508" s="36" t="s">
        <v>141</v>
      </c>
      <c r="M508" s="36" t="s">
        <v>141</v>
      </c>
      <c r="N508" s="36"/>
      <c r="O508" s="117" t="s">
        <v>141</v>
      </c>
      <c r="P508" s="36"/>
      <c r="Q508" s="36"/>
      <c r="R508" s="36"/>
      <c r="S508" s="36"/>
      <c r="T508" s="36" t="s">
        <v>141</v>
      </c>
      <c r="U508" s="36"/>
      <c r="V508" s="36"/>
      <c r="W508" s="36" t="s">
        <v>141</v>
      </c>
      <c r="X508" s="36"/>
      <c r="Y508" s="36" t="s">
        <v>141</v>
      </c>
      <c r="Z508" s="36"/>
      <c r="AA508" s="117" t="s">
        <v>141</v>
      </c>
      <c r="AB508" s="36"/>
      <c r="AC508" s="117"/>
      <c r="AD508" s="36"/>
      <c r="AE508" s="36"/>
      <c r="AF508" s="117"/>
      <c r="AG508" s="36"/>
      <c r="AH508" s="36" t="s">
        <v>141</v>
      </c>
      <c r="AI508" s="117" t="s">
        <v>141</v>
      </c>
      <c r="AJ508" s="36"/>
      <c r="AK508" s="36" t="s">
        <v>141</v>
      </c>
      <c r="AL508" s="36"/>
      <c r="AM508" s="117"/>
      <c r="AN508" s="117"/>
      <c r="AO508" s="117"/>
      <c r="AP508" s="117"/>
      <c r="AQ508" s="117"/>
      <c r="AR508" s="117"/>
      <c r="AS508" s="117"/>
      <c r="AT508" s="117"/>
      <c r="AU508" s="117"/>
      <c r="AV508" s="119">
        <f t="shared" si="7"/>
        <v>11</v>
      </c>
      <c r="AW508" s="119"/>
      <c r="AX508" s="119" t="s">
        <v>2145</v>
      </c>
    </row>
    <row r="509" spans="1:50">
      <c r="A509">
        <v>470</v>
      </c>
      <c r="B509">
        <v>1027</v>
      </c>
      <c r="C509">
        <v>509</v>
      </c>
      <c r="D509" s="7">
        <v>45930</v>
      </c>
      <c r="E509" s="7" t="s">
        <v>1724</v>
      </c>
      <c r="F509" s="10" t="s">
        <v>1723</v>
      </c>
      <c r="G509" s="36"/>
      <c r="H509" s="36"/>
      <c r="I509" s="36"/>
      <c r="J509" s="36" t="s">
        <v>141</v>
      </c>
      <c r="K509" s="36"/>
      <c r="L509" s="36" t="s">
        <v>141</v>
      </c>
      <c r="M509" s="36" t="s">
        <v>141</v>
      </c>
      <c r="N509" s="36"/>
      <c r="O509" s="117" t="s">
        <v>141</v>
      </c>
      <c r="P509" s="36"/>
      <c r="Q509" s="36"/>
      <c r="R509" s="36"/>
      <c r="S509" s="36"/>
      <c r="T509" s="36" t="s">
        <v>141</v>
      </c>
      <c r="U509" s="36"/>
      <c r="V509" s="36"/>
      <c r="W509" s="36" t="s">
        <v>141</v>
      </c>
      <c r="X509" s="36"/>
      <c r="Y509" s="36" t="s">
        <v>141</v>
      </c>
      <c r="Z509" s="36"/>
      <c r="AA509" s="117" t="s">
        <v>141</v>
      </c>
      <c r="AB509" s="36"/>
      <c r="AC509" s="117"/>
      <c r="AD509" s="36"/>
      <c r="AE509" s="36"/>
      <c r="AF509" s="117"/>
      <c r="AG509" s="36"/>
      <c r="AH509" s="36" t="s">
        <v>141</v>
      </c>
      <c r="AI509" s="117" t="s">
        <v>141</v>
      </c>
      <c r="AJ509" s="36"/>
      <c r="AK509" s="36" t="s">
        <v>141</v>
      </c>
      <c r="AL509" s="36"/>
      <c r="AM509" s="117"/>
      <c r="AN509" s="117"/>
      <c r="AO509" s="117"/>
      <c r="AP509" s="117" t="s">
        <v>141</v>
      </c>
      <c r="AQ509" s="117"/>
      <c r="AR509" s="117"/>
      <c r="AS509" s="117"/>
      <c r="AT509" s="117"/>
      <c r="AU509" s="117"/>
      <c r="AV509" s="119">
        <f t="shared" si="7"/>
        <v>12</v>
      </c>
      <c r="AW509" s="119"/>
      <c r="AX509" s="119" t="s">
        <v>2145</v>
      </c>
    </row>
    <row r="510" spans="1:50">
      <c r="A510">
        <v>472</v>
      </c>
      <c r="B510">
        <v>1029</v>
      </c>
      <c r="C510">
        <v>511</v>
      </c>
      <c r="D510" s="7">
        <v>45930</v>
      </c>
      <c r="E510" s="7" t="s">
        <v>1727</v>
      </c>
      <c r="F510" s="10" t="s">
        <v>1726</v>
      </c>
      <c r="G510" s="36"/>
      <c r="H510" s="36"/>
      <c r="I510" s="36"/>
      <c r="J510" s="36" t="s">
        <v>141</v>
      </c>
      <c r="K510" s="36"/>
      <c r="L510" s="36" t="s">
        <v>141</v>
      </c>
      <c r="M510" s="36" t="s">
        <v>141</v>
      </c>
      <c r="N510" s="36"/>
      <c r="O510" s="117" t="s">
        <v>141</v>
      </c>
      <c r="P510" s="36"/>
      <c r="Q510" s="36"/>
      <c r="R510" s="36"/>
      <c r="S510" s="36"/>
      <c r="T510" s="36" t="s">
        <v>141</v>
      </c>
      <c r="U510" s="36"/>
      <c r="V510" s="36"/>
      <c r="W510" s="36" t="s">
        <v>141</v>
      </c>
      <c r="X510" s="36"/>
      <c r="Y510" s="36" t="s">
        <v>141</v>
      </c>
      <c r="Z510" s="36" t="s">
        <v>141</v>
      </c>
      <c r="AA510" s="117" t="s">
        <v>141</v>
      </c>
      <c r="AB510" s="36"/>
      <c r="AC510" s="117"/>
      <c r="AD510" s="36"/>
      <c r="AE510" s="36"/>
      <c r="AF510" s="117"/>
      <c r="AG510" s="36"/>
      <c r="AH510" s="36" t="s">
        <v>141</v>
      </c>
      <c r="AI510" s="117" t="s">
        <v>141</v>
      </c>
      <c r="AJ510" s="36"/>
      <c r="AK510" s="36" t="s">
        <v>141</v>
      </c>
      <c r="AL510" s="36"/>
      <c r="AM510" s="117"/>
      <c r="AN510" s="117"/>
      <c r="AO510" s="117"/>
      <c r="AP510" s="117" t="s">
        <v>141</v>
      </c>
      <c r="AQ510" s="117"/>
      <c r="AR510" s="117"/>
      <c r="AS510" s="117"/>
      <c r="AT510" s="117"/>
      <c r="AU510" s="117"/>
      <c r="AV510" s="119">
        <f t="shared" si="7"/>
        <v>13</v>
      </c>
      <c r="AW510" s="119"/>
      <c r="AX510" s="119" t="s">
        <v>2145</v>
      </c>
    </row>
    <row r="511" spans="1:50">
      <c r="A511">
        <v>473</v>
      </c>
      <c r="B511">
        <v>1030</v>
      </c>
      <c r="C511">
        <v>512</v>
      </c>
      <c r="D511" s="7">
        <v>45930</v>
      </c>
      <c r="E511" s="7" t="s">
        <v>1729</v>
      </c>
      <c r="F511" s="10" t="s">
        <v>1728</v>
      </c>
      <c r="G511" s="36" t="s">
        <v>141</v>
      </c>
      <c r="H511" s="36"/>
      <c r="I511" s="36"/>
      <c r="J511" s="36" t="s">
        <v>141</v>
      </c>
      <c r="K511" s="36"/>
      <c r="L511" s="36"/>
      <c r="M511" s="36" t="s">
        <v>141</v>
      </c>
      <c r="N511" s="36"/>
      <c r="O511" s="117"/>
      <c r="P511" s="36"/>
      <c r="Q511" s="36"/>
      <c r="R511" s="36"/>
      <c r="S511" s="36"/>
      <c r="T511" s="36" t="s">
        <v>141</v>
      </c>
      <c r="U511" s="36" t="s">
        <v>141</v>
      </c>
      <c r="V511" s="36"/>
      <c r="W511" s="36"/>
      <c r="X511" s="36"/>
      <c r="Y511" s="36" t="s">
        <v>141</v>
      </c>
      <c r="Z511" s="36"/>
      <c r="AA511" s="117"/>
      <c r="AB511" s="36"/>
      <c r="AC511" s="117" t="s">
        <v>141</v>
      </c>
      <c r="AD511" s="36"/>
      <c r="AE511" s="36"/>
      <c r="AF511" s="117"/>
      <c r="AG511" s="36"/>
      <c r="AH511" s="36" t="s">
        <v>141</v>
      </c>
      <c r="AI511" s="117" t="s">
        <v>141</v>
      </c>
      <c r="AJ511" s="36"/>
      <c r="AK511" s="36"/>
      <c r="AL511" s="36"/>
      <c r="AM511" s="117"/>
      <c r="AN511" s="117"/>
      <c r="AO511" s="117"/>
      <c r="AP511" s="117"/>
      <c r="AQ511" s="117"/>
      <c r="AR511" s="117"/>
      <c r="AS511" s="117"/>
      <c r="AT511" s="117"/>
      <c r="AU511" s="117"/>
      <c r="AV511" s="119">
        <f t="shared" si="7"/>
        <v>9</v>
      </c>
      <c r="AW511" s="119"/>
      <c r="AX511" s="119" t="s">
        <v>2145</v>
      </c>
    </row>
    <row r="512" spans="1:50">
      <c r="A512">
        <v>474</v>
      </c>
      <c r="B512">
        <v>1031</v>
      </c>
      <c r="C512">
        <v>513</v>
      </c>
      <c r="D512" s="7">
        <v>45930</v>
      </c>
      <c r="E512" s="7" t="s">
        <v>1731</v>
      </c>
      <c r="F512" s="10" t="s">
        <v>1730</v>
      </c>
      <c r="G512" s="36"/>
      <c r="H512" s="36"/>
      <c r="I512" s="36" t="s">
        <v>141</v>
      </c>
      <c r="J512" s="36" t="s">
        <v>141</v>
      </c>
      <c r="K512" s="36"/>
      <c r="L512" s="36"/>
      <c r="M512" s="36" t="s">
        <v>141</v>
      </c>
      <c r="N512" s="36"/>
      <c r="O512" s="117"/>
      <c r="P512" s="36" t="s">
        <v>141</v>
      </c>
      <c r="Q512" s="36" t="s">
        <v>141</v>
      </c>
      <c r="R512" s="36" t="s">
        <v>141</v>
      </c>
      <c r="S512" s="36"/>
      <c r="T512" s="36"/>
      <c r="U512" s="36"/>
      <c r="V512" s="36"/>
      <c r="W512" s="36"/>
      <c r="X512" s="36"/>
      <c r="Y512" s="36"/>
      <c r="Z512" s="36" t="s">
        <v>141</v>
      </c>
      <c r="AA512" s="117"/>
      <c r="AB512" s="36"/>
      <c r="AC512" s="117"/>
      <c r="AD512" s="36"/>
      <c r="AE512" s="36"/>
      <c r="AF512" s="117"/>
      <c r="AG512" s="36"/>
      <c r="AH512" s="36" t="s">
        <v>141</v>
      </c>
      <c r="AI512" s="117" t="s">
        <v>141</v>
      </c>
      <c r="AJ512" s="36"/>
      <c r="AK512" s="36"/>
      <c r="AL512" s="36"/>
      <c r="AM512" s="117"/>
      <c r="AN512" s="117"/>
      <c r="AO512" s="117"/>
      <c r="AP512" s="117"/>
      <c r="AQ512" s="117"/>
      <c r="AR512" s="117"/>
      <c r="AS512" s="117" t="s">
        <v>141</v>
      </c>
      <c r="AT512" s="117"/>
      <c r="AU512" s="117"/>
      <c r="AV512" s="119">
        <f t="shared" si="7"/>
        <v>10</v>
      </c>
      <c r="AW512" s="119"/>
      <c r="AX512" s="119" t="s">
        <v>2145</v>
      </c>
    </row>
    <row r="513" spans="1:50">
      <c r="A513">
        <v>475</v>
      </c>
      <c r="B513">
        <v>1032</v>
      </c>
      <c r="C513">
        <v>514</v>
      </c>
      <c r="D513" s="7">
        <v>45931</v>
      </c>
      <c r="E513" s="7" t="s">
        <v>1733</v>
      </c>
      <c r="F513" s="10" t="s">
        <v>1732</v>
      </c>
      <c r="G513" s="36" t="s">
        <v>141</v>
      </c>
      <c r="H513" s="36"/>
      <c r="I513" s="36"/>
      <c r="J513" s="36" t="s">
        <v>141</v>
      </c>
      <c r="K513" s="36"/>
      <c r="L513" s="36" t="s">
        <v>141</v>
      </c>
      <c r="M513" s="36" t="s">
        <v>141</v>
      </c>
      <c r="N513" s="36"/>
      <c r="O513" s="117"/>
      <c r="P513" s="36" t="s">
        <v>141</v>
      </c>
      <c r="Q513" s="36"/>
      <c r="R513" s="36"/>
      <c r="S513" s="36"/>
      <c r="T513" s="36" t="s">
        <v>141</v>
      </c>
      <c r="U513" s="36"/>
      <c r="V513" s="36"/>
      <c r="W513" s="36" t="s">
        <v>141</v>
      </c>
      <c r="X513" s="36"/>
      <c r="Y513" s="36" t="s">
        <v>141</v>
      </c>
      <c r="Z513" s="36"/>
      <c r="AA513" s="117" t="s">
        <v>141</v>
      </c>
      <c r="AB513" s="36"/>
      <c r="AC513" s="117"/>
      <c r="AD513" s="36" t="s">
        <v>141</v>
      </c>
      <c r="AE513" s="36"/>
      <c r="AF513" s="117"/>
      <c r="AG513" s="36"/>
      <c r="AH513" s="36"/>
      <c r="AI513" s="117" t="s">
        <v>141</v>
      </c>
      <c r="AJ513" s="36"/>
      <c r="AK513" s="36" t="s">
        <v>141</v>
      </c>
      <c r="AL513" s="36"/>
      <c r="AM513" s="117"/>
      <c r="AN513" s="117"/>
      <c r="AO513" s="117"/>
      <c r="AP513" s="117"/>
      <c r="AQ513" s="117"/>
      <c r="AR513" s="117"/>
      <c r="AS513" s="117" t="s">
        <v>141</v>
      </c>
      <c r="AT513" s="117"/>
      <c r="AU513" s="117"/>
      <c r="AV513" s="119">
        <f t="shared" si="7"/>
        <v>13</v>
      </c>
      <c r="AW513" s="119"/>
      <c r="AX513" s="119" t="s">
        <v>2145</v>
      </c>
    </row>
    <row r="514" spans="1:50">
      <c r="A514">
        <v>476</v>
      </c>
      <c r="B514">
        <v>1033</v>
      </c>
      <c r="C514">
        <v>515</v>
      </c>
      <c r="D514" s="7">
        <v>45932</v>
      </c>
      <c r="E514" s="7" t="s">
        <v>1736</v>
      </c>
      <c r="F514" s="10" t="s">
        <v>1735</v>
      </c>
      <c r="G514" s="36"/>
      <c r="H514" s="36"/>
      <c r="I514" s="36"/>
      <c r="J514" s="36" t="s">
        <v>141</v>
      </c>
      <c r="K514" s="36"/>
      <c r="L514" s="36"/>
      <c r="M514" s="36" t="s">
        <v>141</v>
      </c>
      <c r="N514" s="36"/>
      <c r="O514" s="117"/>
      <c r="P514" s="36" t="s">
        <v>141</v>
      </c>
      <c r="Q514" s="36"/>
      <c r="R514" s="36"/>
      <c r="S514" s="36"/>
      <c r="T514" s="36"/>
      <c r="U514" s="36"/>
      <c r="V514" s="36"/>
      <c r="W514" s="36" t="s">
        <v>141</v>
      </c>
      <c r="X514" s="36"/>
      <c r="Y514" s="36" t="s">
        <v>141</v>
      </c>
      <c r="Z514" s="36"/>
      <c r="AA514" s="117" t="s">
        <v>141</v>
      </c>
      <c r="AB514" s="36"/>
      <c r="AC514" s="117"/>
      <c r="AD514" s="36"/>
      <c r="AE514" s="36"/>
      <c r="AF514" s="117"/>
      <c r="AG514" s="36"/>
      <c r="AH514" s="36"/>
      <c r="AI514" s="117"/>
      <c r="AJ514" s="36" t="s">
        <v>141</v>
      </c>
      <c r="AK514" s="36" t="s">
        <v>141</v>
      </c>
      <c r="AL514" s="36" t="s">
        <v>141</v>
      </c>
      <c r="AM514" s="117"/>
      <c r="AN514" s="117"/>
      <c r="AO514" s="117" t="s">
        <v>141</v>
      </c>
      <c r="AP514" s="117"/>
      <c r="AQ514" s="117"/>
      <c r="AR514" s="117"/>
      <c r="AS514" s="117"/>
      <c r="AT514" s="117"/>
      <c r="AU514" s="117"/>
      <c r="AV514" s="119">
        <f t="shared" ref="AV514:AV565" si="8">COUNTIF($F514:$AS514, "I")</f>
        <v>10</v>
      </c>
      <c r="AW514" s="119"/>
      <c r="AX514" s="119" t="s">
        <v>2145</v>
      </c>
    </row>
    <row r="515" spans="1:50">
      <c r="A515">
        <v>477</v>
      </c>
      <c r="B515">
        <v>1034</v>
      </c>
      <c r="C515">
        <v>516</v>
      </c>
      <c r="D515" s="7">
        <v>45930</v>
      </c>
      <c r="E515" s="7" t="s">
        <v>1738</v>
      </c>
      <c r="F515" s="10" t="s">
        <v>1737</v>
      </c>
      <c r="G515" s="36" t="s">
        <v>141</v>
      </c>
      <c r="H515" s="36"/>
      <c r="I515" s="36" t="s">
        <v>141</v>
      </c>
      <c r="J515" s="36" t="s">
        <v>141</v>
      </c>
      <c r="K515" s="36"/>
      <c r="L515" s="36"/>
      <c r="M515" s="36"/>
      <c r="N515" s="36" t="s">
        <v>141</v>
      </c>
      <c r="O515" s="117"/>
      <c r="P515" s="36" t="s">
        <v>141</v>
      </c>
      <c r="Q515" s="36"/>
      <c r="R515" s="36" t="s">
        <v>141</v>
      </c>
      <c r="S515" s="36"/>
      <c r="T515" s="36" t="s">
        <v>141</v>
      </c>
      <c r="U515" s="36"/>
      <c r="V515" s="36"/>
      <c r="W515" s="36"/>
      <c r="X515" s="36" t="s">
        <v>141</v>
      </c>
      <c r="Y515" s="36" t="s">
        <v>141</v>
      </c>
      <c r="Z515" s="36" t="s">
        <v>141</v>
      </c>
      <c r="AA515" s="117"/>
      <c r="AB515" s="36"/>
      <c r="AC515" s="117" t="s">
        <v>141</v>
      </c>
      <c r="AD515" s="36"/>
      <c r="AE515" s="36" t="s">
        <v>141</v>
      </c>
      <c r="AF515" s="117" t="s">
        <v>141</v>
      </c>
      <c r="AG515" s="36"/>
      <c r="AH515" s="36"/>
      <c r="AI515" s="117"/>
      <c r="AJ515" s="36" t="s">
        <v>141</v>
      </c>
      <c r="AK515" s="36"/>
      <c r="AL515" s="36" t="s">
        <v>141</v>
      </c>
      <c r="AM515" s="117"/>
      <c r="AN515" s="117"/>
      <c r="AO515" s="117"/>
      <c r="AP515" s="117" t="s">
        <v>141</v>
      </c>
      <c r="AQ515" s="117" t="s">
        <v>141</v>
      </c>
      <c r="AR515" s="117"/>
      <c r="AS515" s="117" t="s">
        <v>141</v>
      </c>
      <c r="AT515" s="117"/>
      <c r="AU515" s="117"/>
      <c r="AV515" s="119">
        <f t="shared" si="8"/>
        <v>18</v>
      </c>
      <c r="AW515" s="119"/>
      <c r="AX515" s="119" t="s">
        <v>2146</v>
      </c>
    </row>
    <row r="516" spans="1:50">
      <c r="A516">
        <v>478</v>
      </c>
      <c r="B516">
        <v>1035</v>
      </c>
      <c r="C516">
        <v>517</v>
      </c>
      <c r="D516" s="7">
        <v>45934</v>
      </c>
      <c r="E516" s="7" t="s">
        <v>1740</v>
      </c>
      <c r="F516" s="10" t="s">
        <v>1739</v>
      </c>
      <c r="G516" s="36" t="s">
        <v>141</v>
      </c>
      <c r="H516" s="36"/>
      <c r="I516" s="36" t="s">
        <v>141</v>
      </c>
      <c r="J516" s="36"/>
      <c r="K516" s="36"/>
      <c r="L516" s="36"/>
      <c r="M516" s="36"/>
      <c r="N516" s="36" t="s">
        <v>141</v>
      </c>
      <c r="O516" s="117"/>
      <c r="P516" s="36" t="s">
        <v>141</v>
      </c>
      <c r="Q516" s="36" t="s">
        <v>141</v>
      </c>
      <c r="R516" s="36"/>
      <c r="S516" s="36"/>
      <c r="T516" s="36" t="s">
        <v>141</v>
      </c>
      <c r="U516" s="36"/>
      <c r="V516" s="36"/>
      <c r="W516" s="36"/>
      <c r="X516" s="36"/>
      <c r="Y516" s="36"/>
      <c r="Z516" s="36" t="s">
        <v>141</v>
      </c>
      <c r="AA516" s="117"/>
      <c r="AB516" s="36" t="s">
        <v>141</v>
      </c>
      <c r="AC516" s="117"/>
      <c r="AD516" s="36"/>
      <c r="AE516" s="36"/>
      <c r="AF516" s="117"/>
      <c r="AG516" s="36"/>
      <c r="AH516" s="36"/>
      <c r="AI516" s="117"/>
      <c r="AJ516" s="36" t="s">
        <v>141</v>
      </c>
      <c r="AK516" s="36"/>
      <c r="AL516" s="36"/>
      <c r="AM516" s="117"/>
      <c r="AN516" s="117"/>
      <c r="AO516" s="117"/>
      <c r="AP516" s="117" t="s">
        <v>141</v>
      </c>
      <c r="AQ516" s="117" t="s">
        <v>141</v>
      </c>
      <c r="AR516" s="117"/>
      <c r="AS516" s="117" t="s">
        <v>141</v>
      </c>
      <c r="AT516" s="117"/>
      <c r="AU516" s="117"/>
      <c r="AV516" s="119">
        <f t="shared" si="8"/>
        <v>12</v>
      </c>
      <c r="AW516" s="119"/>
      <c r="AX516" s="119" t="s">
        <v>2146</v>
      </c>
    </row>
    <row r="517" spans="1:50">
      <c r="A517">
        <v>479</v>
      </c>
      <c r="B517">
        <v>1036</v>
      </c>
      <c r="C517">
        <v>518</v>
      </c>
      <c r="D517" s="7">
        <v>45935</v>
      </c>
      <c r="E517" s="7" t="s">
        <v>1742</v>
      </c>
      <c r="F517" s="10" t="s">
        <v>1741</v>
      </c>
      <c r="G517" s="36" t="s">
        <v>141</v>
      </c>
      <c r="H517" s="36"/>
      <c r="I517" s="36"/>
      <c r="J517" s="36"/>
      <c r="K517" s="36"/>
      <c r="L517" s="36"/>
      <c r="M517" s="36"/>
      <c r="N517" s="36" t="s">
        <v>141</v>
      </c>
      <c r="O517" s="117"/>
      <c r="P517" s="36"/>
      <c r="Q517" s="36" t="s">
        <v>141</v>
      </c>
      <c r="R517" s="36"/>
      <c r="S517" s="36"/>
      <c r="T517" s="36" t="s">
        <v>141</v>
      </c>
      <c r="U517" s="36"/>
      <c r="V517" s="36"/>
      <c r="W517" s="36"/>
      <c r="X517" s="36"/>
      <c r="Y517" s="36"/>
      <c r="Z517" s="36" t="s">
        <v>141</v>
      </c>
      <c r="AA517" s="117" t="s">
        <v>141</v>
      </c>
      <c r="AB517" s="36" t="s">
        <v>141</v>
      </c>
      <c r="AC517" s="117"/>
      <c r="AD517" s="36"/>
      <c r="AE517" s="36"/>
      <c r="AF517" s="117" t="s">
        <v>141</v>
      </c>
      <c r="AG517" s="36"/>
      <c r="AH517" s="36"/>
      <c r="AI517" s="117" t="s">
        <v>141</v>
      </c>
      <c r="AJ517" s="36"/>
      <c r="AK517" s="36"/>
      <c r="AL517" s="36"/>
      <c r="AM517" s="117"/>
      <c r="AN517" s="117"/>
      <c r="AO517" s="117"/>
      <c r="AP517" s="117"/>
      <c r="AQ517" s="117" t="s">
        <v>141</v>
      </c>
      <c r="AR517" s="117"/>
      <c r="AS517" s="117" t="s">
        <v>141</v>
      </c>
      <c r="AT517" s="117"/>
      <c r="AU517" s="117"/>
      <c r="AV517" s="119">
        <f t="shared" si="8"/>
        <v>11</v>
      </c>
      <c r="AW517" s="119"/>
      <c r="AX517" s="119" t="s">
        <v>2146</v>
      </c>
    </row>
    <row r="518" spans="1:50">
      <c r="A518" t="s">
        <v>57</v>
      </c>
      <c r="B518" t="s">
        <v>57</v>
      </c>
      <c r="C518">
        <v>519</v>
      </c>
      <c r="D518" s="7">
        <v>45936</v>
      </c>
      <c r="E518" s="7" t="s">
        <v>2134</v>
      </c>
      <c r="F518" s="10" t="s">
        <v>2130</v>
      </c>
      <c r="G518" s="36" t="s">
        <v>141</v>
      </c>
      <c r="H518" s="36" t="s">
        <v>141</v>
      </c>
      <c r="I518" s="36" t="s">
        <v>141</v>
      </c>
      <c r="J518" s="36" t="s">
        <v>141</v>
      </c>
      <c r="K518" s="36" t="s">
        <v>141</v>
      </c>
      <c r="L518" s="36" t="s">
        <v>2131</v>
      </c>
      <c r="M518" s="36" t="s">
        <v>141</v>
      </c>
      <c r="N518" s="36" t="s">
        <v>141</v>
      </c>
      <c r="O518" s="117" t="s">
        <v>141</v>
      </c>
      <c r="P518" s="36" t="s">
        <v>141</v>
      </c>
      <c r="Q518" s="36" t="s">
        <v>141</v>
      </c>
      <c r="R518" s="36" t="s">
        <v>141</v>
      </c>
      <c r="S518" s="36" t="s">
        <v>141</v>
      </c>
      <c r="T518" s="36" t="s">
        <v>141</v>
      </c>
      <c r="U518" s="36" t="s">
        <v>141</v>
      </c>
      <c r="V518" s="36" t="s">
        <v>2131</v>
      </c>
      <c r="W518" s="36" t="s">
        <v>141</v>
      </c>
      <c r="X518" s="36" t="s">
        <v>141</v>
      </c>
      <c r="Y518" s="36" t="s">
        <v>141</v>
      </c>
      <c r="Z518" s="36" t="s">
        <v>141</v>
      </c>
      <c r="AA518" s="117" t="s">
        <v>141</v>
      </c>
      <c r="AB518" s="36" t="s">
        <v>141</v>
      </c>
      <c r="AC518" s="117" t="s">
        <v>2131</v>
      </c>
      <c r="AD518" s="36" t="s">
        <v>2131</v>
      </c>
      <c r="AE518" s="36" t="s">
        <v>141</v>
      </c>
      <c r="AF518" s="117"/>
      <c r="AG518" s="36" t="s">
        <v>141</v>
      </c>
      <c r="AH518" s="36"/>
      <c r="AI518" s="117" t="s">
        <v>141</v>
      </c>
      <c r="AJ518" s="36" t="s">
        <v>141</v>
      </c>
      <c r="AK518" s="36" t="s">
        <v>141</v>
      </c>
      <c r="AL518" s="36" t="s">
        <v>2131</v>
      </c>
      <c r="AM518" s="117" t="s">
        <v>141</v>
      </c>
      <c r="AN518" s="117" t="s">
        <v>141</v>
      </c>
      <c r="AO518" s="117" t="s">
        <v>141</v>
      </c>
      <c r="AP518" s="117" t="s">
        <v>141</v>
      </c>
      <c r="AQ518" s="117" t="s">
        <v>141</v>
      </c>
      <c r="AR518" s="117" t="s">
        <v>2131</v>
      </c>
      <c r="AS518" s="117" t="s">
        <v>141</v>
      </c>
      <c r="AT518" s="117"/>
      <c r="AU518" s="117"/>
      <c r="AV518" s="119">
        <f t="shared" si="8"/>
        <v>31</v>
      </c>
      <c r="AW518" s="119"/>
      <c r="AX518" s="119" t="s">
        <v>2142</v>
      </c>
    </row>
    <row r="519" spans="1:50">
      <c r="A519">
        <v>480</v>
      </c>
      <c r="B519">
        <v>1037</v>
      </c>
      <c r="C519">
        <v>520</v>
      </c>
      <c r="D519" s="7">
        <v>45937</v>
      </c>
      <c r="E519" s="7" t="s">
        <v>1744</v>
      </c>
      <c r="F519" s="10" t="s">
        <v>1743</v>
      </c>
      <c r="G519" s="36"/>
      <c r="H519" s="36"/>
      <c r="I519" s="36"/>
      <c r="J519" s="36" t="s">
        <v>141</v>
      </c>
      <c r="K519" s="36"/>
      <c r="L519" s="36"/>
      <c r="M519" s="36" t="s">
        <v>141</v>
      </c>
      <c r="N519" s="36"/>
      <c r="O519" s="117" t="s">
        <v>141</v>
      </c>
      <c r="P519" s="36"/>
      <c r="Q519" s="36" t="s">
        <v>141</v>
      </c>
      <c r="R519" s="36"/>
      <c r="S519" s="36"/>
      <c r="T519" s="36" t="s">
        <v>141</v>
      </c>
      <c r="U519" s="36"/>
      <c r="V519" s="36"/>
      <c r="W519" s="36"/>
      <c r="X519" s="36" t="s">
        <v>141</v>
      </c>
      <c r="Y519" s="36" t="s">
        <v>141</v>
      </c>
      <c r="Z519" s="36" t="s">
        <v>141</v>
      </c>
      <c r="AA519" s="117"/>
      <c r="AB519" s="36" t="s">
        <v>141</v>
      </c>
      <c r="AC519" s="117"/>
      <c r="AD519" s="36"/>
      <c r="AE519" s="36"/>
      <c r="AF519" s="117"/>
      <c r="AG519" s="36"/>
      <c r="AH519" s="36"/>
      <c r="AI519" s="117" t="s">
        <v>141</v>
      </c>
      <c r="AJ519" s="36" t="s">
        <v>141</v>
      </c>
      <c r="AK519" s="36" t="s">
        <v>141</v>
      </c>
      <c r="AL519" s="36"/>
      <c r="AM519" s="117" t="s">
        <v>141</v>
      </c>
      <c r="AN519" s="117" t="s">
        <v>141</v>
      </c>
      <c r="AO519" s="117"/>
      <c r="AP519" s="117" t="s">
        <v>141</v>
      </c>
      <c r="AQ519" s="117"/>
      <c r="AR519" s="117"/>
      <c r="AS519" s="117" t="s">
        <v>141</v>
      </c>
      <c r="AT519" s="117"/>
      <c r="AU519" s="117"/>
      <c r="AV519" s="119">
        <f t="shared" si="8"/>
        <v>16</v>
      </c>
      <c r="AW519" s="119"/>
      <c r="AX519" s="119" t="s">
        <v>2150</v>
      </c>
    </row>
    <row r="520" spans="1:50">
      <c r="A520">
        <v>481</v>
      </c>
      <c r="B520">
        <v>1038</v>
      </c>
      <c r="C520">
        <v>521</v>
      </c>
      <c r="D520" s="7">
        <v>45937</v>
      </c>
      <c r="E520" s="7" t="s">
        <v>1746</v>
      </c>
      <c r="F520" s="10" t="s">
        <v>1745</v>
      </c>
      <c r="G520" s="36"/>
      <c r="H520" s="36"/>
      <c r="I520" s="36"/>
      <c r="J520" s="36" t="s">
        <v>141</v>
      </c>
      <c r="K520" s="36"/>
      <c r="L520" s="36" t="s">
        <v>141</v>
      </c>
      <c r="M520" s="36" t="s">
        <v>141</v>
      </c>
      <c r="N520" s="36"/>
      <c r="O520" s="117"/>
      <c r="P520" s="36" t="s">
        <v>141</v>
      </c>
      <c r="Q520" s="36"/>
      <c r="R520" s="36"/>
      <c r="S520" s="36"/>
      <c r="T520" s="36" t="s">
        <v>141</v>
      </c>
      <c r="U520" s="36"/>
      <c r="V520" s="36"/>
      <c r="W520" s="36" t="s">
        <v>141</v>
      </c>
      <c r="X520" s="36"/>
      <c r="Y520" s="36"/>
      <c r="Z520" s="36" t="s">
        <v>141</v>
      </c>
      <c r="AA520" s="117" t="s">
        <v>141</v>
      </c>
      <c r="AB520" s="36"/>
      <c r="AC520" s="117"/>
      <c r="AD520" s="36"/>
      <c r="AE520" s="36"/>
      <c r="AF520" s="117"/>
      <c r="AG520" s="36"/>
      <c r="AH520" s="36"/>
      <c r="AI520" s="117"/>
      <c r="AJ520" s="36"/>
      <c r="AK520" s="36" t="s">
        <v>141</v>
      </c>
      <c r="AL520" s="36"/>
      <c r="AM520" s="117"/>
      <c r="AN520" s="117"/>
      <c r="AO520" s="117"/>
      <c r="AP520" s="117"/>
      <c r="AQ520" s="117"/>
      <c r="AR520" s="117"/>
      <c r="AS520" s="117" t="s">
        <v>141</v>
      </c>
      <c r="AT520" s="117"/>
      <c r="AU520" s="117"/>
      <c r="AV520" s="119">
        <f t="shared" si="8"/>
        <v>10</v>
      </c>
      <c r="AW520" s="119"/>
      <c r="AX520" s="119" t="s">
        <v>2142</v>
      </c>
    </row>
    <row r="521" spans="1:50">
      <c r="A521">
        <v>482</v>
      </c>
      <c r="B521">
        <v>1039</v>
      </c>
      <c r="C521">
        <v>522</v>
      </c>
      <c r="D521" s="7">
        <v>45935</v>
      </c>
      <c r="E521" s="7" t="s">
        <v>1749</v>
      </c>
      <c r="F521" s="10" t="s">
        <v>1748</v>
      </c>
      <c r="G521" s="36"/>
      <c r="H521" s="36" t="s">
        <v>141</v>
      </c>
      <c r="I521" s="36"/>
      <c r="J521" s="36" t="s">
        <v>141</v>
      </c>
      <c r="K521" s="36"/>
      <c r="L521" s="36"/>
      <c r="M521" s="36"/>
      <c r="N521" s="36"/>
      <c r="O521" s="117"/>
      <c r="P521" s="36" t="s">
        <v>141</v>
      </c>
      <c r="Q521" s="36" t="s">
        <v>141</v>
      </c>
      <c r="R521" s="36"/>
      <c r="S521" s="36"/>
      <c r="T521" s="36" t="s">
        <v>141</v>
      </c>
      <c r="U521" s="36"/>
      <c r="V521" s="36"/>
      <c r="W521" s="36" t="s">
        <v>141</v>
      </c>
      <c r="X521" s="36"/>
      <c r="Y521" s="36"/>
      <c r="Z521" s="36"/>
      <c r="AA521" s="117" t="s">
        <v>141</v>
      </c>
      <c r="AB521" s="36"/>
      <c r="AC521" s="117"/>
      <c r="AD521" s="36"/>
      <c r="AE521" s="36"/>
      <c r="AF521" s="117"/>
      <c r="AG521" s="36" t="s">
        <v>141</v>
      </c>
      <c r="AH521" s="36"/>
      <c r="AI521" s="117"/>
      <c r="AJ521" s="36"/>
      <c r="AK521" s="36"/>
      <c r="AL521" s="36"/>
      <c r="AM521" s="117"/>
      <c r="AN521" s="117"/>
      <c r="AO521" s="117"/>
      <c r="AP521" s="117"/>
      <c r="AQ521" s="117"/>
      <c r="AR521" s="117"/>
      <c r="AS521" s="117"/>
      <c r="AT521" s="117"/>
      <c r="AU521" s="117"/>
      <c r="AV521" s="119">
        <f t="shared" si="8"/>
        <v>8</v>
      </c>
      <c r="AW521" s="119"/>
      <c r="AX521" s="119" t="s">
        <v>2145</v>
      </c>
    </row>
    <row r="522" spans="1:50">
      <c r="A522">
        <v>483</v>
      </c>
      <c r="B522">
        <v>1040</v>
      </c>
      <c r="C522">
        <v>523</v>
      </c>
      <c r="D522" s="7">
        <v>45938</v>
      </c>
      <c r="E522" s="7" t="s">
        <v>1751</v>
      </c>
      <c r="F522" s="10" t="s">
        <v>1750</v>
      </c>
      <c r="G522" s="36"/>
      <c r="H522" s="36" t="s">
        <v>141</v>
      </c>
      <c r="I522" s="36"/>
      <c r="J522" s="36" t="s">
        <v>141</v>
      </c>
      <c r="K522" s="36"/>
      <c r="L522" s="36"/>
      <c r="M522" s="36"/>
      <c r="N522" s="36"/>
      <c r="O522" s="117"/>
      <c r="P522" s="36" t="s">
        <v>141</v>
      </c>
      <c r="Q522" s="36" t="s">
        <v>141</v>
      </c>
      <c r="R522" s="36"/>
      <c r="S522" s="36"/>
      <c r="T522" s="36" t="s">
        <v>141</v>
      </c>
      <c r="U522" s="36"/>
      <c r="V522" s="36"/>
      <c r="W522" s="36" t="s">
        <v>141</v>
      </c>
      <c r="X522" s="36"/>
      <c r="Y522" s="36"/>
      <c r="Z522" s="36"/>
      <c r="AA522" s="117" t="s">
        <v>141</v>
      </c>
      <c r="AB522" s="36"/>
      <c r="AC522" s="117"/>
      <c r="AD522" s="36"/>
      <c r="AE522" s="36"/>
      <c r="AF522" s="117"/>
      <c r="AG522" s="36" t="s">
        <v>141</v>
      </c>
      <c r="AH522" s="36"/>
      <c r="AI522" s="117"/>
      <c r="AJ522" s="36"/>
      <c r="AK522" s="36"/>
      <c r="AL522" s="36"/>
      <c r="AM522" s="117" t="s">
        <v>141</v>
      </c>
      <c r="AN522" s="117" t="s">
        <v>141</v>
      </c>
      <c r="AO522" s="117" t="s">
        <v>141</v>
      </c>
      <c r="AP522" s="117"/>
      <c r="AQ522" s="117"/>
      <c r="AR522" s="117"/>
      <c r="AS522" s="117"/>
      <c r="AT522" s="117"/>
      <c r="AU522" s="117"/>
      <c r="AV522" s="119">
        <f t="shared" si="8"/>
        <v>11</v>
      </c>
      <c r="AW522" s="119"/>
      <c r="AX522" s="119" t="s">
        <v>2146</v>
      </c>
    </row>
    <row r="523" spans="1:50">
      <c r="A523">
        <v>484</v>
      </c>
      <c r="B523">
        <v>1041</v>
      </c>
      <c r="C523">
        <v>524</v>
      </c>
      <c r="D523" s="7">
        <v>45938</v>
      </c>
      <c r="E523" s="7" t="s">
        <v>1753</v>
      </c>
      <c r="F523" s="10" t="s">
        <v>1752</v>
      </c>
      <c r="G523" s="36"/>
      <c r="H523" s="36" t="s">
        <v>141</v>
      </c>
      <c r="I523" s="36" t="s">
        <v>141</v>
      </c>
      <c r="J523" s="36"/>
      <c r="K523" s="36"/>
      <c r="L523" s="36" t="s">
        <v>141</v>
      </c>
      <c r="M523" s="36"/>
      <c r="N523" s="36"/>
      <c r="O523" s="117"/>
      <c r="P523" s="36"/>
      <c r="Q523" s="36"/>
      <c r="R523" s="36"/>
      <c r="S523" s="36"/>
      <c r="T523" s="36" t="s">
        <v>141</v>
      </c>
      <c r="U523" s="36"/>
      <c r="V523" s="36"/>
      <c r="W523" s="36"/>
      <c r="X523" s="36"/>
      <c r="Y523" s="36" t="s">
        <v>141</v>
      </c>
      <c r="Z523" s="36" t="s">
        <v>141</v>
      </c>
      <c r="AA523" s="117"/>
      <c r="AB523" s="36"/>
      <c r="AC523" s="117"/>
      <c r="AD523" s="36"/>
      <c r="AE523" s="36"/>
      <c r="AF523" s="117"/>
      <c r="AG523" s="36"/>
      <c r="AH523" s="36"/>
      <c r="AI523" s="117"/>
      <c r="AJ523" s="36"/>
      <c r="AK523" s="36" t="s">
        <v>141</v>
      </c>
      <c r="AL523" s="36"/>
      <c r="AM523" s="117" t="s">
        <v>141</v>
      </c>
      <c r="AN523" s="117" t="s">
        <v>141</v>
      </c>
      <c r="AO523" s="117" t="s">
        <v>141</v>
      </c>
      <c r="AP523" s="117" t="s">
        <v>141</v>
      </c>
      <c r="AQ523" s="117"/>
      <c r="AR523" s="117"/>
      <c r="AS523" s="117" t="s">
        <v>141</v>
      </c>
      <c r="AT523" s="117"/>
      <c r="AU523" s="117"/>
      <c r="AV523" s="119">
        <f t="shared" si="8"/>
        <v>12</v>
      </c>
      <c r="AW523" s="119"/>
      <c r="AX523" s="119" t="s">
        <v>2146</v>
      </c>
    </row>
    <row r="524" spans="1:50">
      <c r="A524">
        <v>485</v>
      </c>
      <c r="B524">
        <v>1042</v>
      </c>
      <c r="C524">
        <v>525</v>
      </c>
      <c r="D524" s="7">
        <v>45939</v>
      </c>
      <c r="E524" s="7" t="s">
        <v>1755</v>
      </c>
      <c r="F524" s="10" t="s">
        <v>1754</v>
      </c>
      <c r="G524" s="36"/>
      <c r="H524" s="36"/>
      <c r="I524" s="36"/>
      <c r="J524" s="36"/>
      <c r="K524" s="36"/>
      <c r="L524" s="36" t="s">
        <v>141</v>
      </c>
      <c r="M524" s="36" t="s">
        <v>141</v>
      </c>
      <c r="N524" s="36"/>
      <c r="O524" s="117"/>
      <c r="P524" s="36"/>
      <c r="Q524" s="36" t="s">
        <v>141</v>
      </c>
      <c r="R524" s="36"/>
      <c r="S524" s="36"/>
      <c r="T524" s="36" t="s">
        <v>141</v>
      </c>
      <c r="U524" s="36"/>
      <c r="V524" s="36"/>
      <c r="W524" s="36" t="s">
        <v>141</v>
      </c>
      <c r="X524" s="36"/>
      <c r="Y524" s="36" t="s">
        <v>141</v>
      </c>
      <c r="Z524" s="36"/>
      <c r="AA524" s="117" t="s">
        <v>141</v>
      </c>
      <c r="AB524" s="36"/>
      <c r="AC524" s="117"/>
      <c r="AD524" s="36"/>
      <c r="AE524" s="36"/>
      <c r="AF524" s="117" t="s">
        <v>141</v>
      </c>
      <c r="AG524" s="36"/>
      <c r="AH524" s="36"/>
      <c r="AI524" s="117"/>
      <c r="AJ524" s="36"/>
      <c r="AK524" s="36" t="s">
        <v>141</v>
      </c>
      <c r="AL524" s="36"/>
      <c r="AM524" s="117" t="s">
        <v>141</v>
      </c>
      <c r="AN524" s="117" t="s">
        <v>141</v>
      </c>
      <c r="AO524" s="117"/>
      <c r="AP524" s="117"/>
      <c r="AQ524" s="117"/>
      <c r="AR524" s="117"/>
      <c r="AS524" s="117" t="s">
        <v>141</v>
      </c>
      <c r="AT524" s="117"/>
      <c r="AU524" s="117"/>
      <c r="AV524" s="119">
        <f t="shared" si="8"/>
        <v>12</v>
      </c>
      <c r="AW524" s="119"/>
      <c r="AX524" s="119" t="s">
        <v>2146</v>
      </c>
    </row>
    <row r="525" spans="1:50">
      <c r="A525">
        <v>486</v>
      </c>
      <c r="B525">
        <v>1043</v>
      </c>
      <c r="C525">
        <v>526</v>
      </c>
      <c r="D525" s="7">
        <v>45940</v>
      </c>
      <c r="E525" s="7" t="s">
        <v>1758</v>
      </c>
      <c r="F525" s="10" t="s">
        <v>1757</v>
      </c>
      <c r="G525" s="36" t="s">
        <v>141</v>
      </c>
      <c r="H525" s="36"/>
      <c r="I525" s="36"/>
      <c r="J525" s="36" t="s">
        <v>141</v>
      </c>
      <c r="K525" s="36"/>
      <c r="L525" s="36" t="s">
        <v>141</v>
      </c>
      <c r="M525" s="36"/>
      <c r="N525" s="36"/>
      <c r="O525" s="117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117" t="s">
        <v>141</v>
      </c>
      <c r="AB525" s="36"/>
      <c r="AC525" s="117" t="s">
        <v>141</v>
      </c>
      <c r="AD525" s="36"/>
      <c r="AE525" s="36"/>
      <c r="AF525" s="117"/>
      <c r="AG525" s="36"/>
      <c r="AH525" s="36"/>
      <c r="AI525" s="117" t="s">
        <v>141</v>
      </c>
      <c r="AJ525" s="36"/>
      <c r="AK525" s="36"/>
      <c r="AL525" s="36"/>
      <c r="AM525" s="117" t="s">
        <v>141</v>
      </c>
      <c r="AN525" s="117" t="s">
        <v>141</v>
      </c>
      <c r="AO525" s="117"/>
      <c r="AP525" s="117"/>
      <c r="AQ525" s="117"/>
      <c r="AR525" s="117"/>
      <c r="AS525" s="117" t="s">
        <v>141</v>
      </c>
      <c r="AT525" s="117"/>
      <c r="AU525" s="117"/>
      <c r="AV525" s="119">
        <f t="shared" si="8"/>
        <v>9</v>
      </c>
      <c r="AW525" s="119"/>
      <c r="AX525" s="119" t="s">
        <v>2146</v>
      </c>
    </row>
    <row r="526" spans="1:50">
      <c r="A526">
        <v>487</v>
      </c>
      <c r="B526">
        <v>1044</v>
      </c>
      <c r="C526">
        <v>527</v>
      </c>
      <c r="D526" s="7">
        <v>45941</v>
      </c>
      <c r="E526" s="7" t="s">
        <v>1760</v>
      </c>
      <c r="F526" s="10" t="s">
        <v>1759</v>
      </c>
      <c r="G526" s="36" t="s">
        <v>141</v>
      </c>
      <c r="H526" s="36"/>
      <c r="I526" s="36" t="s">
        <v>141</v>
      </c>
      <c r="J526" s="36"/>
      <c r="K526" s="36"/>
      <c r="L526" s="36"/>
      <c r="M526" s="36"/>
      <c r="N526" s="36" t="s">
        <v>141</v>
      </c>
      <c r="O526" s="117" t="s">
        <v>141</v>
      </c>
      <c r="P526" s="36"/>
      <c r="Q526" s="36"/>
      <c r="R526" s="36"/>
      <c r="S526" s="36"/>
      <c r="T526" s="36" t="s">
        <v>141</v>
      </c>
      <c r="U526" s="36"/>
      <c r="V526" s="36"/>
      <c r="W526" s="36" t="s">
        <v>141</v>
      </c>
      <c r="X526" s="36" t="s">
        <v>141</v>
      </c>
      <c r="Y526" s="36"/>
      <c r="Z526" s="36"/>
      <c r="AA526" s="117"/>
      <c r="AB526" s="36" t="s">
        <v>141</v>
      </c>
      <c r="AC526" s="117"/>
      <c r="AD526" s="36"/>
      <c r="AE526" s="36"/>
      <c r="AF526" s="117"/>
      <c r="AG526" s="36"/>
      <c r="AH526" s="36"/>
      <c r="AI526" s="117"/>
      <c r="AJ526" s="36"/>
      <c r="AK526" s="36"/>
      <c r="AL526" s="36" t="s">
        <v>141</v>
      </c>
      <c r="AM526" s="117"/>
      <c r="AN526" s="117"/>
      <c r="AO526" s="117"/>
      <c r="AP526" s="117"/>
      <c r="AQ526" s="117" t="s">
        <v>141</v>
      </c>
      <c r="AR526" s="117"/>
      <c r="AS526" s="117" t="s">
        <v>141</v>
      </c>
      <c r="AT526" s="117"/>
      <c r="AU526" s="117"/>
      <c r="AV526" s="119">
        <f t="shared" si="8"/>
        <v>11</v>
      </c>
      <c r="AW526" s="119"/>
      <c r="AX526" s="119" t="s">
        <v>2146</v>
      </c>
    </row>
    <row r="527" spans="1:50">
      <c r="A527" t="s">
        <v>57</v>
      </c>
      <c r="B527" t="s">
        <v>57</v>
      </c>
      <c r="C527">
        <v>528</v>
      </c>
      <c r="D527" s="7">
        <v>45943</v>
      </c>
      <c r="E527" s="7" t="s">
        <v>2129</v>
      </c>
      <c r="F527" s="10" t="s">
        <v>2130</v>
      </c>
      <c r="G527" s="36" t="s">
        <v>141</v>
      </c>
      <c r="H527" s="36" t="s">
        <v>2131</v>
      </c>
      <c r="I527" s="36" t="s">
        <v>141</v>
      </c>
      <c r="J527" s="36" t="s">
        <v>141</v>
      </c>
      <c r="K527" s="36" t="s">
        <v>141</v>
      </c>
      <c r="L527" s="36" t="s">
        <v>2131</v>
      </c>
      <c r="M527" s="36" t="s">
        <v>141</v>
      </c>
      <c r="N527" s="36" t="s">
        <v>141</v>
      </c>
      <c r="O527" s="117" t="s">
        <v>141</v>
      </c>
      <c r="P527" s="36" t="s">
        <v>141</v>
      </c>
      <c r="Q527" s="36" t="s">
        <v>141</v>
      </c>
      <c r="R527" s="36" t="s">
        <v>141</v>
      </c>
      <c r="S527" s="36" t="s">
        <v>141</v>
      </c>
      <c r="T527" s="36" t="s">
        <v>141</v>
      </c>
      <c r="U527" s="36"/>
      <c r="V527" s="36" t="s">
        <v>2131</v>
      </c>
      <c r="W527" s="36" t="s">
        <v>141</v>
      </c>
      <c r="X527" s="36" t="s">
        <v>141</v>
      </c>
      <c r="Y527" s="36" t="s">
        <v>141</v>
      </c>
      <c r="Z527" s="36" t="s">
        <v>141</v>
      </c>
      <c r="AA527" s="117" t="s">
        <v>2131</v>
      </c>
      <c r="AB527" s="36" t="s">
        <v>141</v>
      </c>
      <c r="AC527" s="117" t="s">
        <v>2131</v>
      </c>
      <c r="AD527" s="36" t="s">
        <v>2131</v>
      </c>
      <c r="AE527" s="36" t="s">
        <v>141</v>
      </c>
      <c r="AF527" s="117" t="s">
        <v>2131</v>
      </c>
      <c r="AG527" s="36"/>
      <c r="AH527" s="36" t="s">
        <v>141</v>
      </c>
      <c r="AI527" s="117" t="s">
        <v>141</v>
      </c>
      <c r="AJ527" s="36" t="s">
        <v>141</v>
      </c>
      <c r="AK527" s="36" t="s">
        <v>141</v>
      </c>
      <c r="AL527" s="36" t="s">
        <v>141</v>
      </c>
      <c r="AM527" s="117" t="s">
        <v>2131</v>
      </c>
      <c r="AN527" s="117" t="s">
        <v>2131</v>
      </c>
      <c r="AO527" s="117" t="s">
        <v>141</v>
      </c>
      <c r="AP527" s="117" t="s">
        <v>141</v>
      </c>
      <c r="AQ527" s="117" t="s">
        <v>2131</v>
      </c>
      <c r="AR527" s="117" t="s">
        <v>2131</v>
      </c>
      <c r="AS527" s="117" t="s">
        <v>141</v>
      </c>
      <c r="AT527" s="117"/>
      <c r="AU527" s="117"/>
      <c r="AV527" s="119">
        <f t="shared" si="8"/>
        <v>26</v>
      </c>
      <c r="AW527" s="119"/>
      <c r="AX527" s="119" t="s">
        <v>2145</v>
      </c>
    </row>
    <row r="528" spans="1:50">
      <c r="A528">
        <v>488</v>
      </c>
      <c r="B528">
        <v>1045</v>
      </c>
      <c r="C528">
        <v>529</v>
      </c>
      <c r="D528" s="7">
        <v>45945</v>
      </c>
      <c r="E528" s="7" t="s">
        <v>1764</v>
      </c>
      <c r="F528" s="10" t="s">
        <v>1762</v>
      </c>
      <c r="G528" s="36"/>
      <c r="H528" s="36"/>
      <c r="I528" s="36"/>
      <c r="J528" s="36" t="s">
        <v>141</v>
      </c>
      <c r="K528" s="36"/>
      <c r="L528" s="36"/>
      <c r="M528" s="36" t="s">
        <v>141</v>
      </c>
      <c r="N528" s="36"/>
      <c r="O528" s="117"/>
      <c r="P528" s="36" t="s">
        <v>141</v>
      </c>
      <c r="Q528" s="36"/>
      <c r="R528" s="36"/>
      <c r="S528" s="36"/>
      <c r="T528" s="36" t="s">
        <v>141</v>
      </c>
      <c r="U528" s="36"/>
      <c r="V528" s="36"/>
      <c r="W528" s="36" t="s">
        <v>141</v>
      </c>
      <c r="X528" s="36"/>
      <c r="Y528" s="36"/>
      <c r="Z528" s="36" t="s">
        <v>141</v>
      </c>
      <c r="AA528" s="117"/>
      <c r="AB528" s="36" t="s">
        <v>141</v>
      </c>
      <c r="AC528" s="117"/>
      <c r="AD528" s="36"/>
      <c r="AE528" s="36"/>
      <c r="AF528" s="117"/>
      <c r="AG528" s="36"/>
      <c r="AH528" s="36"/>
      <c r="AI528" s="117" t="s">
        <v>141</v>
      </c>
      <c r="AJ528" s="36"/>
      <c r="AK528" s="36"/>
      <c r="AL528" s="36"/>
      <c r="AM528" s="117" t="s">
        <v>141</v>
      </c>
      <c r="AN528" s="117" t="s">
        <v>141</v>
      </c>
      <c r="AO528" s="117"/>
      <c r="AP528" s="117"/>
      <c r="AQ528" s="117"/>
      <c r="AR528" s="117"/>
      <c r="AS528" s="117" t="s">
        <v>141</v>
      </c>
      <c r="AT528" s="117"/>
      <c r="AU528" s="117"/>
      <c r="AV528" s="119">
        <f t="shared" si="8"/>
        <v>11</v>
      </c>
      <c r="AW528" s="119"/>
      <c r="AX528" s="119" t="s">
        <v>2145</v>
      </c>
    </row>
    <row r="529" spans="1:50">
      <c r="A529">
        <v>489</v>
      </c>
      <c r="B529">
        <v>1046</v>
      </c>
      <c r="C529">
        <v>530</v>
      </c>
      <c r="D529" s="7">
        <v>45945</v>
      </c>
      <c r="E529" s="7" t="s">
        <v>1766</v>
      </c>
      <c r="F529" s="10" t="s">
        <v>1765</v>
      </c>
      <c r="G529" s="36"/>
      <c r="H529" s="36" t="s">
        <v>141</v>
      </c>
      <c r="I529" s="36"/>
      <c r="J529" s="36" t="s">
        <v>141</v>
      </c>
      <c r="K529" s="36"/>
      <c r="L529" s="36"/>
      <c r="M529" s="36"/>
      <c r="N529" s="36" t="s">
        <v>141</v>
      </c>
      <c r="O529" s="117"/>
      <c r="P529" s="36"/>
      <c r="Q529" s="36"/>
      <c r="R529" s="36"/>
      <c r="S529" s="36" t="s">
        <v>141</v>
      </c>
      <c r="T529" s="36"/>
      <c r="U529" s="36"/>
      <c r="V529" s="36"/>
      <c r="W529" s="36" t="s">
        <v>141</v>
      </c>
      <c r="X529" s="36" t="s">
        <v>141</v>
      </c>
      <c r="Y529" s="36"/>
      <c r="Z529" s="36"/>
      <c r="AA529" s="117"/>
      <c r="AB529" s="36"/>
      <c r="AC529" s="117"/>
      <c r="AD529" s="36"/>
      <c r="AE529" s="36"/>
      <c r="AF529" s="117"/>
      <c r="AG529" s="36"/>
      <c r="AH529" s="36"/>
      <c r="AI529" s="117"/>
      <c r="AJ529" s="36"/>
      <c r="AK529" s="36"/>
      <c r="AL529" s="36"/>
      <c r="AM529" s="117"/>
      <c r="AN529" s="117"/>
      <c r="AO529" s="117"/>
      <c r="AP529" s="117" t="s">
        <v>141</v>
      </c>
      <c r="AQ529" s="117"/>
      <c r="AR529" s="117"/>
      <c r="AS529" s="117"/>
      <c r="AT529" s="117"/>
      <c r="AU529" s="117"/>
      <c r="AV529" s="119">
        <f t="shared" si="8"/>
        <v>7</v>
      </c>
      <c r="AW529" s="119"/>
      <c r="AX529" s="119" t="s">
        <v>2142</v>
      </c>
    </row>
    <row r="530" spans="1:50">
      <c r="A530">
        <v>490</v>
      </c>
      <c r="B530">
        <v>1047</v>
      </c>
      <c r="C530">
        <v>531</v>
      </c>
      <c r="D530" s="7">
        <v>45945</v>
      </c>
      <c r="E530" s="7" t="s">
        <v>1768</v>
      </c>
      <c r="F530" s="10" t="s">
        <v>1767</v>
      </c>
      <c r="G530" s="36"/>
      <c r="H530" s="36" t="s">
        <v>141</v>
      </c>
      <c r="I530" s="36"/>
      <c r="J530" s="36" t="s">
        <v>141</v>
      </c>
      <c r="K530" s="36"/>
      <c r="L530" s="36"/>
      <c r="M530" s="36"/>
      <c r="N530" s="36"/>
      <c r="O530" s="117" t="s">
        <v>141</v>
      </c>
      <c r="P530" s="36" t="s">
        <v>141</v>
      </c>
      <c r="Q530" s="36" t="s">
        <v>141</v>
      </c>
      <c r="R530" s="36"/>
      <c r="S530" s="36"/>
      <c r="T530" s="36" t="s">
        <v>141</v>
      </c>
      <c r="U530" s="36"/>
      <c r="V530" s="36"/>
      <c r="W530" s="36" t="s">
        <v>141</v>
      </c>
      <c r="X530" s="36"/>
      <c r="Y530" s="36"/>
      <c r="Z530" s="36"/>
      <c r="AA530" s="117"/>
      <c r="AB530" s="36"/>
      <c r="AC530" s="117"/>
      <c r="AD530" s="36"/>
      <c r="AE530" s="36"/>
      <c r="AF530" s="117"/>
      <c r="AG530" s="36"/>
      <c r="AH530" s="36"/>
      <c r="AI530" s="117"/>
      <c r="AJ530" s="36"/>
      <c r="AK530" s="36"/>
      <c r="AL530" s="36"/>
      <c r="AM530" s="117" t="s">
        <v>141</v>
      </c>
      <c r="AN530" s="117" t="s">
        <v>141</v>
      </c>
      <c r="AO530" s="117" t="s">
        <v>141</v>
      </c>
      <c r="AP530" s="117"/>
      <c r="AQ530" s="117"/>
      <c r="AR530" s="117"/>
      <c r="AS530" s="117"/>
      <c r="AT530" s="117"/>
      <c r="AU530" s="117"/>
      <c r="AV530" s="119">
        <f t="shared" si="8"/>
        <v>10</v>
      </c>
      <c r="AW530" s="119"/>
      <c r="AX530" s="119" t="s">
        <v>2146</v>
      </c>
    </row>
    <row r="531" spans="1:50">
      <c r="A531">
        <v>491</v>
      </c>
      <c r="B531">
        <v>1048</v>
      </c>
      <c r="C531">
        <v>532</v>
      </c>
      <c r="D531" s="7">
        <v>45946</v>
      </c>
      <c r="E531" s="7" t="s">
        <v>1770</v>
      </c>
      <c r="F531" s="10" t="s">
        <v>1769</v>
      </c>
      <c r="G531" s="36"/>
      <c r="H531" s="36" t="s">
        <v>141</v>
      </c>
      <c r="I531" s="36"/>
      <c r="J531" s="36" t="s">
        <v>141</v>
      </c>
      <c r="K531" s="36"/>
      <c r="L531" s="36"/>
      <c r="M531" s="36"/>
      <c r="N531" s="36"/>
      <c r="O531" s="117" t="s">
        <v>141</v>
      </c>
      <c r="P531" s="36"/>
      <c r="Q531" s="36"/>
      <c r="R531" s="36"/>
      <c r="S531" s="36"/>
      <c r="T531" s="36" t="s">
        <v>141</v>
      </c>
      <c r="U531" s="36"/>
      <c r="V531" s="36"/>
      <c r="W531" s="36"/>
      <c r="X531" s="36"/>
      <c r="Y531" s="36" t="s">
        <v>141</v>
      </c>
      <c r="Z531" s="36"/>
      <c r="AA531" s="117"/>
      <c r="AB531" s="36"/>
      <c r="AC531" s="117"/>
      <c r="AD531" s="36"/>
      <c r="AE531" s="36"/>
      <c r="AF531" s="117"/>
      <c r="AG531" s="36"/>
      <c r="AH531" s="36"/>
      <c r="AI531" s="117"/>
      <c r="AJ531" s="36"/>
      <c r="AK531" s="36"/>
      <c r="AL531" s="36"/>
      <c r="AM531" s="117"/>
      <c r="AN531" s="117"/>
      <c r="AO531" s="117" t="s">
        <v>141</v>
      </c>
      <c r="AP531" s="117"/>
      <c r="AQ531" s="117"/>
      <c r="AR531" s="117"/>
      <c r="AS531" s="117"/>
      <c r="AT531" s="117"/>
      <c r="AU531" s="117"/>
      <c r="AV531" s="119">
        <f t="shared" si="8"/>
        <v>6</v>
      </c>
      <c r="AW531" s="119"/>
      <c r="AX531" s="119" t="s">
        <v>2146</v>
      </c>
    </row>
    <row r="532" spans="1:50">
      <c r="A532">
        <v>492</v>
      </c>
      <c r="B532">
        <v>1049</v>
      </c>
      <c r="C532">
        <v>533</v>
      </c>
      <c r="D532" s="7">
        <v>45946</v>
      </c>
      <c r="E532" s="7" t="s">
        <v>1772</v>
      </c>
      <c r="F532" s="10" t="s">
        <v>1771</v>
      </c>
      <c r="G532" s="36"/>
      <c r="H532" s="36" t="s">
        <v>141</v>
      </c>
      <c r="I532" s="36" t="s">
        <v>141</v>
      </c>
      <c r="J532" s="36" t="s">
        <v>141</v>
      </c>
      <c r="K532" s="36" t="s">
        <v>141</v>
      </c>
      <c r="L532" s="36" t="s">
        <v>141</v>
      </c>
      <c r="M532" s="36"/>
      <c r="N532" s="36"/>
      <c r="O532" s="117" t="s">
        <v>141</v>
      </c>
      <c r="P532" s="36"/>
      <c r="Q532" s="36" t="s">
        <v>141</v>
      </c>
      <c r="R532" s="36"/>
      <c r="S532" s="36"/>
      <c r="T532" s="36"/>
      <c r="U532" s="36"/>
      <c r="V532" s="36"/>
      <c r="W532" s="36"/>
      <c r="X532" s="36" t="s">
        <v>141</v>
      </c>
      <c r="Y532" s="36"/>
      <c r="Z532" s="36"/>
      <c r="AA532" s="117"/>
      <c r="AB532" s="36" t="s">
        <v>141</v>
      </c>
      <c r="AC532" s="117" t="s">
        <v>141</v>
      </c>
      <c r="AD532" s="36"/>
      <c r="AE532" s="36" t="s">
        <v>141</v>
      </c>
      <c r="AF532" s="117"/>
      <c r="AG532" s="36"/>
      <c r="AH532" s="36"/>
      <c r="AI532" s="117"/>
      <c r="AJ532" s="36" t="s">
        <v>141</v>
      </c>
      <c r="AK532" s="36"/>
      <c r="AL532" s="36" t="s">
        <v>141</v>
      </c>
      <c r="AM532" s="117"/>
      <c r="AN532" s="117"/>
      <c r="AO532" s="117"/>
      <c r="AP532" s="117" t="s">
        <v>141</v>
      </c>
      <c r="AQ532" s="117"/>
      <c r="AR532" s="117"/>
      <c r="AS532" s="117" t="s">
        <v>141</v>
      </c>
      <c r="AT532" s="117"/>
      <c r="AU532" s="117"/>
      <c r="AV532" s="119">
        <f t="shared" si="8"/>
        <v>15</v>
      </c>
      <c r="AW532" s="119"/>
      <c r="AX532" s="119" t="s">
        <v>2146</v>
      </c>
    </row>
    <row r="533" spans="1:50">
      <c r="A533">
        <v>493</v>
      </c>
      <c r="B533">
        <v>1050</v>
      </c>
      <c r="C533">
        <v>534</v>
      </c>
      <c r="D533" s="7">
        <v>45949</v>
      </c>
      <c r="E533" s="7" t="s">
        <v>1775</v>
      </c>
      <c r="F533" s="10" t="s">
        <v>1774</v>
      </c>
      <c r="G533" s="36"/>
      <c r="H533" s="36"/>
      <c r="I533" s="36" t="s">
        <v>141</v>
      </c>
      <c r="J533" s="36" t="s">
        <v>141</v>
      </c>
      <c r="K533" s="36"/>
      <c r="L533" s="36"/>
      <c r="M533" s="36"/>
      <c r="N533" s="36"/>
      <c r="O533" s="117" t="s">
        <v>141</v>
      </c>
      <c r="P533" s="36"/>
      <c r="Q533" s="36" t="s">
        <v>141</v>
      </c>
      <c r="R533" s="36"/>
      <c r="S533" s="36"/>
      <c r="T533" s="36"/>
      <c r="U533" s="36"/>
      <c r="V533" s="36"/>
      <c r="W533" s="36" t="s">
        <v>141</v>
      </c>
      <c r="X533" s="36"/>
      <c r="Y533" s="36"/>
      <c r="Z533" s="36" t="s">
        <v>141</v>
      </c>
      <c r="AA533" s="117"/>
      <c r="AB533" s="36" t="s">
        <v>141</v>
      </c>
      <c r="AC533" s="117" t="s">
        <v>141</v>
      </c>
      <c r="AD533" s="36"/>
      <c r="AE533" s="36"/>
      <c r="AF533" s="117" t="s">
        <v>141</v>
      </c>
      <c r="AG533" s="36"/>
      <c r="AH533" s="36"/>
      <c r="AI533" s="117"/>
      <c r="AJ533" s="36" t="s">
        <v>141</v>
      </c>
      <c r="AK533" s="36"/>
      <c r="AL533" s="36"/>
      <c r="AM533" s="117" t="s">
        <v>141</v>
      </c>
      <c r="AN533" s="117" t="s">
        <v>141</v>
      </c>
      <c r="AO533" s="117"/>
      <c r="AP533" s="117" t="s">
        <v>141</v>
      </c>
      <c r="AQ533" s="117"/>
      <c r="AR533" s="117"/>
      <c r="AS533" s="117"/>
      <c r="AT533" s="117"/>
      <c r="AU533" s="117"/>
      <c r="AV533" s="119">
        <f t="shared" si="8"/>
        <v>13</v>
      </c>
      <c r="AW533" s="119"/>
      <c r="AX533" s="119" t="s">
        <v>2146</v>
      </c>
    </row>
    <row r="534" spans="1:50">
      <c r="A534">
        <v>494</v>
      </c>
      <c r="B534">
        <v>1051</v>
      </c>
      <c r="C534">
        <v>535</v>
      </c>
      <c r="D534" s="7">
        <v>45949</v>
      </c>
      <c r="E534" s="7" t="s">
        <v>1777</v>
      </c>
      <c r="F534" s="10" t="s">
        <v>1776</v>
      </c>
      <c r="G534" s="36"/>
      <c r="H534" s="36" t="s">
        <v>141</v>
      </c>
      <c r="I534" s="36" t="s">
        <v>141</v>
      </c>
      <c r="J534" s="36"/>
      <c r="K534" s="36"/>
      <c r="L534" s="36"/>
      <c r="M534" s="36"/>
      <c r="N534" s="36"/>
      <c r="O534" s="117" t="s">
        <v>141</v>
      </c>
      <c r="P534" s="36"/>
      <c r="Q534" s="36"/>
      <c r="R534" s="36" t="s">
        <v>141</v>
      </c>
      <c r="S534" s="36"/>
      <c r="T534" s="36"/>
      <c r="U534" s="36"/>
      <c r="V534" s="36"/>
      <c r="W534" s="36" t="s">
        <v>141</v>
      </c>
      <c r="X534" s="36"/>
      <c r="Y534" s="36" t="s">
        <v>141</v>
      </c>
      <c r="Z534" s="36"/>
      <c r="AA534" s="117"/>
      <c r="AB534" s="36"/>
      <c r="AC534" s="117" t="s">
        <v>141</v>
      </c>
      <c r="AD534" s="36"/>
      <c r="AE534" s="36"/>
      <c r="AF534" s="117"/>
      <c r="AG534" s="36"/>
      <c r="AH534" s="36"/>
      <c r="AI534" s="117"/>
      <c r="AJ534" s="36"/>
      <c r="AK534" s="36"/>
      <c r="AL534" s="36"/>
      <c r="AM534" s="117" t="s">
        <v>141</v>
      </c>
      <c r="AN534" s="117" t="s">
        <v>141</v>
      </c>
      <c r="AO534" s="117"/>
      <c r="AP534" s="117" t="s">
        <v>141</v>
      </c>
      <c r="AQ534" s="117"/>
      <c r="AR534" s="117"/>
      <c r="AS534" s="117"/>
      <c r="AT534" s="117"/>
      <c r="AU534" s="117"/>
      <c r="AV534" s="119">
        <f t="shared" si="8"/>
        <v>10</v>
      </c>
      <c r="AW534" s="119"/>
      <c r="AX534" s="119" t="s">
        <v>2146</v>
      </c>
    </row>
    <row r="535" spans="1:50">
      <c r="A535">
        <v>495</v>
      </c>
      <c r="B535">
        <v>1052</v>
      </c>
      <c r="C535">
        <v>536</v>
      </c>
      <c r="D535" s="7">
        <v>45950</v>
      </c>
      <c r="E535" s="7" t="s">
        <v>1779</v>
      </c>
      <c r="F535" s="10" t="s">
        <v>1778</v>
      </c>
      <c r="G535" s="36"/>
      <c r="H535" s="36"/>
      <c r="I535" s="36" t="s">
        <v>141</v>
      </c>
      <c r="J535" s="36"/>
      <c r="K535" s="36"/>
      <c r="L535" s="36"/>
      <c r="M535" s="36"/>
      <c r="N535" s="36" t="s">
        <v>141</v>
      </c>
      <c r="O535" s="117"/>
      <c r="P535" s="36"/>
      <c r="Q535" s="36" t="s">
        <v>141</v>
      </c>
      <c r="R535" s="36"/>
      <c r="S535" s="36"/>
      <c r="T535" s="36" t="s">
        <v>141</v>
      </c>
      <c r="U535" s="36"/>
      <c r="V535" s="36"/>
      <c r="W535" s="36" t="s">
        <v>141</v>
      </c>
      <c r="X535" s="36"/>
      <c r="Y535" s="36" t="s">
        <v>141</v>
      </c>
      <c r="Z535" s="36" t="s">
        <v>141</v>
      </c>
      <c r="AA535" s="117"/>
      <c r="AB535" s="36" t="s">
        <v>141</v>
      </c>
      <c r="AC535" s="117"/>
      <c r="AD535" s="36"/>
      <c r="AE535" s="36" t="s">
        <v>141</v>
      </c>
      <c r="AF535" s="117"/>
      <c r="AG535" s="36"/>
      <c r="AH535" s="36"/>
      <c r="AI535" s="117"/>
      <c r="AJ535" s="36"/>
      <c r="AK535" s="36"/>
      <c r="AL535" s="36"/>
      <c r="AM535" s="117" t="s">
        <v>141</v>
      </c>
      <c r="AN535" s="117" t="s">
        <v>141</v>
      </c>
      <c r="AO535" s="117"/>
      <c r="AP535" s="117"/>
      <c r="AQ535" s="117"/>
      <c r="AR535" s="117"/>
      <c r="AS535" s="117"/>
      <c r="AT535" s="117"/>
      <c r="AU535" s="117"/>
      <c r="AV535" s="119">
        <f t="shared" si="8"/>
        <v>11</v>
      </c>
      <c r="AW535" s="119"/>
      <c r="AX535" s="119" t="s">
        <v>2146</v>
      </c>
    </row>
    <row r="536" spans="1:50">
      <c r="A536" t="s">
        <v>57</v>
      </c>
      <c r="B536" t="s">
        <v>57</v>
      </c>
      <c r="C536">
        <v>537</v>
      </c>
      <c r="D536" s="7">
        <v>45950</v>
      </c>
      <c r="E536" s="7" t="s">
        <v>2129</v>
      </c>
      <c r="F536" s="10" t="s">
        <v>2130</v>
      </c>
      <c r="G536" s="36" t="s">
        <v>141</v>
      </c>
      <c r="H536" s="36" t="s">
        <v>141</v>
      </c>
      <c r="I536" s="36" t="s">
        <v>2131</v>
      </c>
      <c r="J536" s="36" t="s">
        <v>141</v>
      </c>
      <c r="K536" s="36" t="s">
        <v>141</v>
      </c>
      <c r="L536" s="36" t="s">
        <v>141</v>
      </c>
      <c r="M536" s="36" t="s">
        <v>141</v>
      </c>
      <c r="N536" s="36" t="s">
        <v>141</v>
      </c>
      <c r="O536" s="117" t="s">
        <v>2131</v>
      </c>
      <c r="P536" s="36" t="s">
        <v>141</v>
      </c>
      <c r="Q536" s="36" t="s">
        <v>141</v>
      </c>
      <c r="R536" s="36" t="s">
        <v>141</v>
      </c>
      <c r="S536" s="36" t="s">
        <v>2131</v>
      </c>
      <c r="T536" s="36" t="s">
        <v>141</v>
      </c>
      <c r="U536" s="36" t="s">
        <v>141</v>
      </c>
      <c r="V536" s="36" t="s">
        <v>2131</v>
      </c>
      <c r="W536" s="36" t="s">
        <v>141</v>
      </c>
      <c r="X536" s="36" t="s">
        <v>141</v>
      </c>
      <c r="Y536" s="36" t="s">
        <v>141</v>
      </c>
      <c r="Z536" s="36" t="s">
        <v>141</v>
      </c>
      <c r="AA536" s="117" t="s">
        <v>141</v>
      </c>
      <c r="AB536" s="36" t="s">
        <v>141</v>
      </c>
      <c r="AC536" s="117" t="s">
        <v>2131</v>
      </c>
      <c r="AD536" s="36" t="s">
        <v>141</v>
      </c>
      <c r="AE536" s="36" t="s">
        <v>141</v>
      </c>
      <c r="AF536" s="117" t="s">
        <v>141</v>
      </c>
      <c r="AG536" s="36" t="s">
        <v>2131</v>
      </c>
      <c r="AH536" s="36" t="s">
        <v>2131</v>
      </c>
      <c r="AI536" s="117" t="s">
        <v>141</v>
      </c>
      <c r="AJ536" s="36" t="s">
        <v>141</v>
      </c>
      <c r="AK536" s="36" t="s">
        <v>141</v>
      </c>
      <c r="AL536" s="36" t="s">
        <v>141</v>
      </c>
      <c r="AM536" s="117" t="s">
        <v>141</v>
      </c>
      <c r="AN536" s="117" t="s">
        <v>141</v>
      </c>
      <c r="AO536" s="117" t="s">
        <v>141</v>
      </c>
      <c r="AP536" s="117" t="s">
        <v>141</v>
      </c>
      <c r="AQ536" s="117" t="s">
        <v>141</v>
      </c>
      <c r="AR536" s="117" t="s">
        <v>2131</v>
      </c>
      <c r="AS536" s="117" t="s">
        <v>141</v>
      </c>
      <c r="AT536" s="117"/>
      <c r="AU536" s="117"/>
      <c r="AV536" s="119">
        <f t="shared" si="8"/>
        <v>31</v>
      </c>
      <c r="AW536" s="119"/>
      <c r="AX536" s="119" t="s">
        <v>2147</v>
      </c>
    </row>
    <row r="537" spans="1:50">
      <c r="A537">
        <v>496</v>
      </c>
      <c r="B537">
        <v>1053</v>
      </c>
      <c r="C537">
        <v>538</v>
      </c>
      <c r="D537" s="7">
        <v>45951</v>
      </c>
      <c r="E537" s="7" t="s">
        <v>1781</v>
      </c>
      <c r="F537" s="10" t="s">
        <v>1780</v>
      </c>
      <c r="G537" s="36"/>
      <c r="H537" s="36" t="s">
        <v>141</v>
      </c>
      <c r="I537" s="36"/>
      <c r="J537" s="36" t="s">
        <v>141</v>
      </c>
      <c r="K537" s="36"/>
      <c r="L537" s="36" t="s">
        <v>141</v>
      </c>
      <c r="M537" s="36" t="s">
        <v>141</v>
      </c>
      <c r="N537" s="36"/>
      <c r="O537" s="117" t="s">
        <v>141</v>
      </c>
      <c r="P537" s="36" t="s">
        <v>141</v>
      </c>
      <c r="Q537" s="36"/>
      <c r="R537" s="36" t="s">
        <v>141</v>
      </c>
      <c r="S537" s="36"/>
      <c r="T537" s="36" t="s">
        <v>141</v>
      </c>
      <c r="U537" s="36"/>
      <c r="V537" s="36"/>
      <c r="W537" s="36"/>
      <c r="X537" s="36"/>
      <c r="Y537" s="36" t="s">
        <v>141</v>
      </c>
      <c r="Z537" s="36"/>
      <c r="AA537" s="117"/>
      <c r="AB537" s="36"/>
      <c r="AC537" s="117"/>
      <c r="AD537" s="36"/>
      <c r="AE537" s="36" t="s">
        <v>141</v>
      </c>
      <c r="AF537" s="117"/>
      <c r="AG537" s="36"/>
      <c r="AH537" s="36"/>
      <c r="AI537" s="117" t="s">
        <v>141</v>
      </c>
      <c r="AJ537" s="36"/>
      <c r="AK537" s="36"/>
      <c r="AL537" s="36"/>
      <c r="AM537" s="117" t="s">
        <v>141</v>
      </c>
      <c r="AN537" s="117" t="s">
        <v>141</v>
      </c>
      <c r="AO537" s="117"/>
      <c r="AP537" s="117"/>
      <c r="AQ537" s="117"/>
      <c r="AR537" s="117"/>
      <c r="AS537" s="117" t="s">
        <v>141</v>
      </c>
      <c r="AT537" s="117"/>
      <c r="AU537" s="117"/>
      <c r="AV537" s="119">
        <f t="shared" si="8"/>
        <v>14</v>
      </c>
      <c r="AW537" s="119"/>
      <c r="AX537" s="119" t="s">
        <v>2145</v>
      </c>
    </row>
    <row r="538" spans="1:50">
      <c r="A538">
        <v>497</v>
      </c>
      <c r="B538">
        <v>1054</v>
      </c>
      <c r="C538">
        <v>539</v>
      </c>
      <c r="D538" s="7">
        <v>45952</v>
      </c>
      <c r="E538" s="7" t="s">
        <v>1783</v>
      </c>
      <c r="F538" s="10" t="s">
        <v>1782</v>
      </c>
      <c r="G538" s="36"/>
      <c r="H538" s="36"/>
      <c r="I538" s="36" t="s">
        <v>141</v>
      </c>
      <c r="J538" s="36" t="s">
        <v>141</v>
      </c>
      <c r="K538" s="36"/>
      <c r="L538" s="36"/>
      <c r="M538" s="36" t="s">
        <v>141</v>
      </c>
      <c r="N538" s="36"/>
      <c r="O538" s="117"/>
      <c r="P538" s="36" t="s">
        <v>141</v>
      </c>
      <c r="Q538" s="36" t="s">
        <v>141</v>
      </c>
      <c r="R538" s="36"/>
      <c r="S538" s="36"/>
      <c r="T538" s="36" t="s">
        <v>141</v>
      </c>
      <c r="U538" s="36"/>
      <c r="V538" s="36"/>
      <c r="W538" s="36" t="s">
        <v>141</v>
      </c>
      <c r="X538" s="36"/>
      <c r="Y538" s="36" t="s">
        <v>141</v>
      </c>
      <c r="Z538" s="36" t="s">
        <v>141</v>
      </c>
      <c r="AA538" s="117"/>
      <c r="AB538" s="36"/>
      <c r="AC538" s="117"/>
      <c r="AD538" s="36"/>
      <c r="AE538" s="36" t="s">
        <v>141</v>
      </c>
      <c r="AF538" s="117"/>
      <c r="AG538" s="36"/>
      <c r="AH538" s="36"/>
      <c r="AI538" s="117" t="s">
        <v>141</v>
      </c>
      <c r="AJ538" s="36"/>
      <c r="AK538" s="36"/>
      <c r="AL538" s="36"/>
      <c r="AM538" s="117" t="s">
        <v>141</v>
      </c>
      <c r="AN538" s="117" t="s">
        <v>141</v>
      </c>
      <c r="AO538" s="117"/>
      <c r="AP538" s="117" t="s">
        <v>141</v>
      </c>
      <c r="AQ538" s="117"/>
      <c r="AR538" s="117"/>
      <c r="AS538" s="117" t="s">
        <v>141</v>
      </c>
      <c r="AT538" s="117"/>
      <c r="AU538" s="117"/>
      <c r="AV538" s="119">
        <f t="shared" si="8"/>
        <v>15</v>
      </c>
      <c r="AW538" s="119"/>
      <c r="AX538" s="119" t="s">
        <v>2145</v>
      </c>
    </row>
    <row r="539" spans="1:50">
      <c r="A539">
        <v>498</v>
      </c>
      <c r="B539">
        <v>1055</v>
      </c>
      <c r="C539">
        <v>540</v>
      </c>
      <c r="D539" s="7">
        <v>45952</v>
      </c>
      <c r="E539" s="7" t="s">
        <v>1785</v>
      </c>
      <c r="F539" s="10" t="s">
        <v>1784</v>
      </c>
      <c r="G539" s="36"/>
      <c r="H539" s="36"/>
      <c r="I539" s="36"/>
      <c r="J539" s="36" t="s">
        <v>141</v>
      </c>
      <c r="K539" s="36"/>
      <c r="L539" s="36"/>
      <c r="M539" s="36" t="s">
        <v>141</v>
      </c>
      <c r="N539" s="36" t="s">
        <v>141</v>
      </c>
      <c r="O539" s="117"/>
      <c r="P539" s="36" t="s">
        <v>141</v>
      </c>
      <c r="Q539" s="36"/>
      <c r="R539" s="36"/>
      <c r="S539" s="36" t="s">
        <v>141</v>
      </c>
      <c r="T539" s="36"/>
      <c r="U539" s="36"/>
      <c r="V539" s="36"/>
      <c r="W539" s="36"/>
      <c r="X539" s="36"/>
      <c r="Y539" s="36" t="s">
        <v>141</v>
      </c>
      <c r="Z539" s="36"/>
      <c r="AA539" s="117"/>
      <c r="AB539" s="36" t="s">
        <v>141</v>
      </c>
      <c r="AC539" s="117"/>
      <c r="AD539" s="36" t="s">
        <v>141</v>
      </c>
      <c r="AE539" s="36" t="s">
        <v>141</v>
      </c>
      <c r="AF539" s="117"/>
      <c r="AG539" s="36"/>
      <c r="AH539" s="36" t="s">
        <v>141</v>
      </c>
      <c r="AI539" s="117"/>
      <c r="AJ539" s="36" t="s">
        <v>141</v>
      </c>
      <c r="AK539" s="36"/>
      <c r="AL539" s="36"/>
      <c r="AM539" s="117"/>
      <c r="AN539" s="117"/>
      <c r="AO539" s="117"/>
      <c r="AP539" s="117"/>
      <c r="AQ539" s="117"/>
      <c r="AR539" s="117"/>
      <c r="AS539" s="117" t="s">
        <v>141</v>
      </c>
      <c r="AT539" s="117"/>
      <c r="AU539" s="117"/>
      <c r="AV539" s="119">
        <f t="shared" si="8"/>
        <v>12</v>
      </c>
      <c r="AW539" s="119"/>
      <c r="AX539" s="119" t="s">
        <v>2145</v>
      </c>
    </row>
    <row r="540" spans="1:50">
      <c r="A540">
        <v>499</v>
      </c>
      <c r="B540">
        <v>1056</v>
      </c>
      <c r="C540">
        <v>541</v>
      </c>
      <c r="D540" s="7">
        <v>45952</v>
      </c>
      <c r="E540" s="7" t="s">
        <v>1787</v>
      </c>
      <c r="F540" s="10" t="s">
        <v>1786</v>
      </c>
      <c r="G540" s="36"/>
      <c r="H540" s="36" t="s">
        <v>141</v>
      </c>
      <c r="I540" s="36"/>
      <c r="J540" s="36" t="s">
        <v>141</v>
      </c>
      <c r="K540" s="36"/>
      <c r="L540" s="36"/>
      <c r="M540" s="36" t="s">
        <v>141</v>
      </c>
      <c r="N540" s="36"/>
      <c r="O540" s="117"/>
      <c r="P540" s="36" t="s">
        <v>141</v>
      </c>
      <c r="Q540" s="36"/>
      <c r="R540" s="36" t="s">
        <v>141</v>
      </c>
      <c r="S540" s="36" t="s">
        <v>141</v>
      </c>
      <c r="T540" s="36"/>
      <c r="U540" s="36"/>
      <c r="V540" s="36"/>
      <c r="W540" s="36"/>
      <c r="X540" s="36"/>
      <c r="Y540" s="36"/>
      <c r="Z540" s="36" t="s">
        <v>141</v>
      </c>
      <c r="AA540" s="117"/>
      <c r="AB540" s="36"/>
      <c r="AC540" s="117"/>
      <c r="AD540" s="36" t="s">
        <v>141</v>
      </c>
      <c r="AE540" s="36" t="s">
        <v>141</v>
      </c>
      <c r="AF540" s="117"/>
      <c r="AG540" s="36"/>
      <c r="AH540" s="36" t="s">
        <v>141</v>
      </c>
      <c r="AI540" s="117"/>
      <c r="AJ540" s="36"/>
      <c r="AK540" s="36" t="s">
        <v>141</v>
      </c>
      <c r="AL540" s="36" t="s">
        <v>141</v>
      </c>
      <c r="AM540" s="117"/>
      <c r="AN540" s="117"/>
      <c r="AO540" s="117"/>
      <c r="AP540" s="117"/>
      <c r="AQ540" s="117"/>
      <c r="AR540" s="117"/>
      <c r="AS540" s="117" t="s">
        <v>141</v>
      </c>
      <c r="AT540" s="117"/>
      <c r="AU540" s="117"/>
      <c r="AV540" s="119">
        <f t="shared" si="8"/>
        <v>13</v>
      </c>
      <c r="AW540" s="119"/>
      <c r="AX540" s="119" t="s">
        <v>2145</v>
      </c>
    </row>
    <row r="541" spans="1:50">
      <c r="A541">
        <v>500</v>
      </c>
      <c r="B541">
        <v>1057</v>
      </c>
      <c r="C541">
        <v>542</v>
      </c>
      <c r="D541" s="7">
        <v>45953</v>
      </c>
      <c r="E541" s="7" t="s">
        <v>1789</v>
      </c>
      <c r="F541" s="10" t="s">
        <v>1788</v>
      </c>
      <c r="G541" s="36"/>
      <c r="H541" s="36"/>
      <c r="I541" s="36"/>
      <c r="J541" s="36" t="s">
        <v>141</v>
      </c>
      <c r="K541" s="36"/>
      <c r="L541" s="36"/>
      <c r="M541" s="36" t="s">
        <v>141</v>
      </c>
      <c r="N541" s="36"/>
      <c r="O541" s="117"/>
      <c r="P541" s="36" t="s">
        <v>141</v>
      </c>
      <c r="Q541" s="36"/>
      <c r="R541" s="36" t="s">
        <v>141</v>
      </c>
      <c r="S541" s="36"/>
      <c r="T541" s="36" t="s">
        <v>141</v>
      </c>
      <c r="U541" s="36"/>
      <c r="V541" s="36"/>
      <c r="W541" s="36"/>
      <c r="X541" s="36"/>
      <c r="Y541" s="36"/>
      <c r="Z541" s="36" t="s">
        <v>141</v>
      </c>
      <c r="AA541" s="117"/>
      <c r="AB541" s="36" t="s">
        <v>141</v>
      </c>
      <c r="AC541" s="117"/>
      <c r="AD541" s="36"/>
      <c r="AE541" s="36"/>
      <c r="AF541" s="117"/>
      <c r="AG541" s="36"/>
      <c r="AH541" s="36"/>
      <c r="AI541" s="117" t="s">
        <v>141</v>
      </c>
      <c r="AJ541" s="36" t="s">
        <v>141</v>
      </c>
      <c r="AK541" s="36"/>
      <c r="AL541" s="36"/>
      <c r="AM541" s="117"/>
      <c r="AN541" s="117"/>
      <c r="AO541" s="117"/>
      <c r="AP541" s="117" t="s">
        <v>141</v>
      </c>
      <c r="AQ541" s="117" t="s">
        <v>141</v>
      </c>
      <c r="AR541" s="117"/>
      <c r="AS541" s="117" t="s">
        <v>141</v>
      </c>
      <c r="AT541" s="117"/>
      <c r="AU541" s="117"/>
      <c r="AV541" s="119">
        <f t="shared" si="8"/>
        <v>12</v>
      </c>
      <c r="AW541" s="119"/>
      <c r="AX541" s="119" t="s">
        <v>2145</v>
      </c>
    </row>
    <row r="542" spans="1:50">
      <c r="A542">
        <v>501</v>
      </c>
      <c r="B542">
        <v>1058</v>
      </c>
      <c r="C542">
        <v>543</v>
      </c>
      <c r="D542" s="7">
        <v>45953</v>
      </c>
      <c r="E542" s="7" t="s">
        <v>1791</v>
      </c>
      <c r="F542" s="10" t="s">
        <v>1790</v>
      </c>
      <c r="G542" s="36"/>
      <c r="H542" s="36" t="s">
        <v>141</v>
      </c>
      <c r="I542" s="36"/>
      <c r="J542" s="36" t="s">
        <v>141</v>
      </c>
      <c r="K542" s="36"/>
      <c r="L542" s="36"/>
      <c r="M542" s="36"/>
      <c r="N542" s="36"/>
      <c r="O542" s="117"/>
      <c r="P542" s="36" t="s">
        <v>141</v>
      </c>
      <c r="Q542" s="36"/>
      <c r="R542" s="36"/>
      <c r="S542" s="36" t="s">
        <v>141</v>
      </c>
      <c r="T542" s="36" t="s">
        <v>141</v>
      </c>
      <c r="U542" s="36"/>
      <c r="V542" s="36"/>
      <c r="W542" s="36"/>
      <c r="X542" s="36"/>
      <c r="Y542" s="36"/>
      <c r="Z542" s="36"/>
      <c r="AA542" s="117" t="s">
        <v>141</v>
      </c>
      <c r="AB542" s="36"/>
      <c r="AC542" s="117"/>
      <c r="AD542" s="36" t="s">
        <v>141</v>
      </c>
      <c r="AE542" s="36"/>
      <c r="AF542" s="117"/>
      <c r="AG542" s="36" t="s">
        <v>141</v>
      </c>
      <c r="AH542" s="36"/>
      <c r="AI542" s="117"/>
      <c r="AJ542" s="36"/>
      <c r="AK542" s="36"/>
      <c r="AL542" s="36"/>
      <c r="AM542" s="117" t="s">
        <v>141</v>
      </c>
      <c r="AN542" s="117" t="s">
        <v>141</v>
      </c>
      <c r="AO542" s="117"/>
      <c r="AP542" s="117" t="s">
        <v>141</v>
      </c>
      <c r="AQ542" s="117"/>
      <c r="AR542" s="117"/>
      <c r="AS542" s="117" t="s">
        <v>141</v>
      </c>
      <c r="AT542" s="117"/>
      <c r="AU542" s="117"/>
      <c r="AV542" s="119">
        <f t="shared" si="8"/>
        <v>12</v>
      </c>
      <c r="AW542" s="119"/>
      <c r="AX542" s="119" t="s">
        <v>2146</v>
      </c>
    </row>
    <row r="543" spans="1:50">
      <c r="A543">
        <v>502</v>
      </c>
      <c r="B543">
        <v>1059</v>
      </c>
      <c r="C543">
        <v>544</v>
      </c>
      <c r="D543" s="7">
        <v>45953</v>
      </c>
      <c r="E543" s="7" t="s">
        <v>1793</v>
      </c>
      <c r="F543" s="10" t="s">
        <v>1792</v>
      </c>
      <c r="G543" s="36"/>
      <c r="H543" s="36" t="s">
        <v>141</v>
      </c>
      <c r="I543" s="36"/>
      <c r="J543" s="36" t="s">
        <v>141</v>
      </c>
      <c r="K543" s="36"/>
      <c r="L543" s="36"/>
      <c r="M543" s="36"/>
      <c r="N543" s="36"/>
      <c r="O543" s="117"/>
      <c r="P543" s="36" t="s">
        <v>141</v>
      </c>
      <c r="Q543" s="36"/>
      <c r="R543" s="36"/>
      <c r="S543" s="36" t="s">
        <v>141</v>
      </c>
      <c r="T543" s="36" t="s">
        <v>141</v>
      </c>
      <c r="U543" s="36"/>
      <c r="V543" s="36"/>
      <c r="W543" s="36"/>
      <c r="X543" s="36"/>
      <c r="Y543" s="36"/>
      <c r="Z543" s="36"/>
      <c r="AA543" s="117" t="s">
        <v>141</v>
      </c>
      <c r="AB543" s="36"/>
      <c r="AC543" s="117"/>
      <c r="AD543" s="36" t="s">
        <v>141</v>
      </c>
      <c r="AE543" s="36"/>
      <c r="AF543" s="117"/>
      <c r="AG543" s="36" t="s">
        <v>141</v>
      </c>
      <c r="AH543" s="36"/>
      <c r="AI543" s="117"/>
      <c r="AJ543" s="36"/>
      <c r="AK543" s="36"/>
      <c r="AL543" s="36"/>
      <c r="AM543" s="117" t="s">
        <v>141</v>
      </c>
      <c r="AN543" s="117" t="s">
        <v>141</v>
      </c>
      <c r="AO543" s="117"/>
      <c r="AP543" s="117" t="s">
        <v>141</v>
      </c>
      <c r="AQ543" s="117"/>
      <c r="AR543" s="117"/>
      <c r="AS543" s="117" t="s">
        <v>141</v>
      </c>
      <c r="AT543" s="117"/>
      <c r="AU543" s="117"/>
      <c r="AV543" s="119">
        <f t="shared" si="8"/>
        <v>12</v>
      </c>
      <c r="AW543" s="119"/>
      <c r="AX543" s="119" t="s">
        <v>2146</v>
      </c>
    </row>
    <row r="544" spans="1:50">
      <c r="A544">
        <v>503</v>
      </c>
      <c r="B544">
        <v>1060</v>
      </c>
      <c r="C544">
        <v>545</v>
      </c>
      <c r="D544" s="7">
        <v>45953</v>
      </c>
      <c r="E544" s="7" t="s">
        <v>1795</v>
      </c>
      <c r="F544" s="10" t="s">
        <v>1794</v>
      </c>
      <c r="G544" s="36"/>
      <c r="H544" s="36" t="s">
        <v>141</v>
      </c>
      <c r="I544" s="36"/>
      <c r="J544" s="36" t="s">
        <v>141</v>
      </c>
      <c r="K544" s="36"/>
      <c r="L544" s="36"/>
      <c r="M544" s="36"/>
      <c r="N544" s="36" t="s">
        <v>141</v>
      </c>
      <c r="O544" s="117"/>
      <c r="P544" s="36"/>
      <c r="Q544" s="36"/>
      <c r="R544" s="36"/>
      <c r="S544" s="36" t="s">
        <v>141</v>
      </c>
      <c r="T544" s="36" t="s">
        <v>141</v>
      </c>
      <c r="U544" s="36"/>
      <c r="V544" s="36"/>
      <c r="W544" s="36"/>
      <c r="X544" s="36"/>
      <c r="Y544" s="36"/>
      <c r="Z544" s="36" t="s">
        <v>141</v>
      </c>
      <c r="AA544" s="117"/>
      <c r="AB544" s="36"/>
      <c r="AC544" s="117" t="s">
        <v>141</v>
      </c>
      <c r="AD544" s="36"/>
      <c r="AE544" s="36"/>
      <c r="AF544" s="117"/>
      <c r="AG544" s="36"/>
      <c r="AH544" s="36" t="s">
        <v>141</v>
      </c>
      <c r="AI544" s="117"/>
      <c r="AJ544" s="36"/>
      <c r="AK544" s="36"/>
      <c r="AL544" s="36"/>
      <c r="AM544" s="117"/>
      <c r="AN544" s="117"/>
      <c r="AO544" s="117"/>
      <c r="AP544" s="117"/>
      <c r="AQ544" s="117"/>
      <c r="AR544" s="117"/>
      <c r="AS544" s="117" t="s">
        <v>141</v>
      </c>
      <c r="AT544" s="117"/>
      <c r="AU544" s="117"/>
      <c r="AV544" s="119">
        <f t="shared" si="8"/>
        <v>9</v>
      </c>
      <c r="AW544" s="119"/>
      <c r="AX544" s="119" t="s">
        <v>2146</v>
      </c>
    </row>
    <row r="545" spans="1:50">
      <c r="A545">
        <v>504</v>
      </c>
      <c r="B545">
        <v>1061</v>
      </c>
      <c r="C545">
        <v>546</v>
      </c>
      <c r="D545" s="7">
        <v>45953</v>
      </c>
      <c r="E545" s="7" t="s">
        <v>1798</v>
      </c>
      <c r="F545" s="10" t="s">
        <v>1796</v>
      </c>
      <c r="G545" s="36"/>
      <c r="H545" s="36" t="s">
        <v>141</v>
      </c>
      <c r="I545" s="36"/>
      <c r="J545" s="36" t="s">
        <v>141</v>
      </c>
      <c r="K545" s="36" t="s">
        <v>141</v>
      </c>
      <c r="L545" s="36" t="s">
        <v>141</v>
      </c>
      <c r="M545" s="36"/>
      <c r="N545" s="36"/>
      <c r="O545" s="117" t="s">
        <v>141</v>
      </c>
      <c r="P545" s="36"/>
      <c r="Q545" s="36"/>
      <c r="R545" s="36" t="s">
        <v>141</v>
      </c>
      <c r="S545" s="36" t="s">
        <v>141</v>
      </c>
      <c r="T545" s="36" t="s">
        <v>141</v>
      </c>
      <c r="U545" s="36" t="s">
        <v>141</v>
      </c>
      <c r="V545" s="36"/>
      <c r="W545" s="36" t="s">
        <v>141</v>
      </c>
      <c r="X545" s="36"/>
      <c r="Y545" s="36"/>
      <c r="Z545" s="36" t="s">
        <v>141</v>
      </c>
      <c r="AA545" s="117"/>
      <c r="AB545" s="36" t="s">
        <v>141</v>
      </c>
      <c r="AC545" s="117" t="s">
        <v>141</v>
      </c>
      <c r="AD545" s="36" t="s">
        <v>141</v>
      </c>
      <c r="AE545" s="36"/>
      <c r="AF545" s="117"/>
      <c r="AG545" s="36"/>
      <c r="AH545" s="36"/>
      <c r="AI545" s="117"/>
      <c r="AJ545" s="36" t="s">
        <v>141</v>
      </c>
      <c r="AK545" s="36"/>
      <c r="AL545" s="36" t="s">
        <v>141</v>
      </c>
      <c r="AM545" s="117" t="s">
        <v>141</v>
      </c>
      <c r="AN545" s="117" t="s">
        <v>141</v>
      </c>
      <c r="AO545" s="117"/>
      <c r="AP545" s="117" t="s">
        <v>141</v>
      </c>
      <c r="AQ545" s="117" t="s">
        <v>141</v>
      </c>
      <c r="AR545" s="117"/>
      <c r="AS545" s="117" t="s">
        <v>141</v>
      </c>
      <c r="AT545" s="117"/>
      <c r="AU545" s="117"/>
      <c r="AV545" s="119">
        <f t="shared" si="8"/>
        <v>21</v>
      </c>
      <c r="AW545" s="119"/>
      <c r="AX545" s="119" t="s">
        <v>2146</v>
      </c>
    </row>
    <row r="546" spans="1:50">
      <c r="A546">
        <v>505</v>
      </c>
      <c r="B546">
        <v>1062</v>
      </c>
      <c r="C546">
        <v>547</v>
      </c>
      <c r="D546" s="7">
        <v>45953</v>
      </c>
      <c r="E546" s="7" t="s">
        <v>1800</v>
      </c>
      <c r="F546" s="10" t="s">
        <v>1799</v>
      </c>
      <c r="G546" s="36"/>
      <c r="H546" s="36" t="s">
        <v>141</v>
      </c>
      <c r="I546" s="36"/>
      <c r="J546" s="36" t="s">
        <v>141</v>
      </c>
      <c r="K546" s="36"/>
      <c r="L546" s="36"/>
      <c r="M546" s="36"/>
      <c r="N546" s="36"/>
      <c r="O546" s="117"/>
      <c r="P546" s="36" t="s">
        <v>141</v>
      </c>
      <c r="Q546" s="36"/>
      <c r="R546" s="36"/>
      <c r="S546" s="36" t="s">
        <v>141</v>
      </c>
      <c r="T546" s="36" t="s">
        <v>141</v>
      </c>
      <c r="U546" s="36"/>
      <c r="V546" s="36"/>
      <c r="W546" s="36"/>
      <c r="X546" s="36"/>
      <c r="Y546" s="36"/>
      <c r="Z546" s="36"/>
      <c r="AA546" s="117" t="s">
        <v>141</v>
      </c>
      <c r="AB546" s="36"/>
      <c r="AC546" s="117"/>
      <c r="AD546" s="36" t="s">
        <v>141</v>
      </c>
      <c r="AE546" s="36"/>
      <c r="AF546" s="117"/>
      <c r="AG546" s="36" t="s">
        <v>141</v>
      </c>
      <c r="AH546" s="36"/>
      <c r="AI546" s="117"/>
      <c r="AJ546" s="36"/>
      <c r="AK546" s="36"/>
      <c r="AL546" s="36"/>
      <c r="AM546" s="117" t="s">
        <v>141</v>
      </c>
      <c r="AN546" s="117" t="s">
        <v>141</v>
      </c>
      <c r="AO546" s="117"/>
      <c r="AP546" s="117" t="s">
        <v>141</v>
      </c>
      <c r="AQ546" s="117"/>
      <c r="AR546" s="117"/>
      <c r="AS546" s="117" t="s">
        <v>141</v>
      </c>
      <c r="AT546" s="117"/>
      <c r="AU546" s="117"/>
      <c r="AV546" s="119">
        <f t="shared" si="8"/>
        <v>12</v>
      </c>
      <c r="AW546" s="119"/>
      <c r="AX546" s="119" t="s">
        <v>2146</v>
      </c>
    </row>
    <row r="547" spans="1:50">
      <c r="A547">
        <v>506</v>
      </c>
      <c r="B547">
        <v>1063</v>
      </c>
      <c r="C547">
        <v>548</v>
      </c>
      <c r="D547" s="7">
        <v>45954</v>
      </c>
      <c r="E547" s="7" t="s">
        <v>1802</v>
      </c>
      <c r="F547" s="10" t="s">
        <v>1801</v>
      </c>
      <c r="G547" s="36"/>
      <c r="H547" s="36" t="s">
        <v>141</v>
      </c>
      <c r="I547" s="36"/>
      <c r="J547" s="36" t="s">
        <v>141</v>
      </c>
      <c r="K547" s="36"/>
      <c r="L547" s="36"/>
      <c r="M547" s="36"/>
      <c r="N547" s="36" t="s">
        <v>141</v>
      </c>
      <c r="O547" s="117"/>
      <c r="P547" s="36" t="s">
        <v>141</v>
      </c>
      <c r="Q547" s="36"/>
      <c r="R547" s="36"/>
      <c r="S547" s="36"/>
      <c r="T547" s="36" t="s">
        <v>141</v>
      </c>
      <c r="U547" s="36"/>
      <c r="V547" s="36"/>
      <c r="W547" s="36" t="s">
        <v>141</v>
      </c>
      <c r="X547" s="36"/>
      <c r="Y547" s="36"/>
      <c r="Z547" s="36"/>
      <c r="AA547" s="117"/>
      <c r="AB547" s="36" t="s">
        <v>141</v>
      </c>
      <c r="AC547" s="117" t="s">
        <v>141</v>
      </c>
      <c r="AD547" s="36" t="s">
        <v>141</v>
      </c>
      <c r="AE547" s="36"/>
      <c r="AF547" s="117"/>
      <c r="AG547" s="36"/>
      <c r="AH547" s="36"/>
      <c r="AI547" s="117"/>
      <c r="AJ547" s="36"/>
      <c r="AK547" s="36"/>
      <c r="AL547" s="36"/>
      <c r="AM547" s="117" t="s">
        <v>141</v>
      </c>
      <c r="AN547" s="117" t="s">
        <v>141</v>
      </c>
      <c r="AO547" s="117"/>
      <c r="AP547" s="117"/>
      <c r="AQ547" s="117"/>
      <c r="AR547" s="117"/>
      <c r="AS547" s="117" t="s">
        <v>141</v>
      </c>
      <c r="AT547" s="117"/>
      <c r="AU547" s="117"/>
      <c r="AV547" s="119">
        <f t="shared" si="8"/>
        <v>12</v>
      </c>
      <c r="AW547" s="119"/>
      <c r="AX547" s="119" t="s">
        <v>2146</v>
      </c>
    </row>
    <row r="548" spans="1:50">
      <c r="A548">
        <v>507</v>
      </c>
      <c r="B548">
        <v>1064</v>
      </c>
      <c r="C548">
        <v>549</v>
      </c>
      <c r="D548" s="7">
        <v>45954</v>
      </c>
      <c r="E548" s="7" t="s">
        <v>2151</v>
      </c>
      <c r="F548" s="10" t="s">
        <v>1803</v>
      </c>
      <c r="G548" s="36" t="s">
        <v>141</v>
      </c>
      <c r="H548" s="36" t="s">
        <v>141</v>
      </c>
      <c r="I548" s="36"/>
      <c r="J548" s="36" t="s">
        <v>141</v>
      </c>
      <c r="K548" s="36"/>
      <c r="L548" s="36"/>
      <c r="M548" s="36"/>
      <c r="N548" s="36"/>
      <c r="O548" s="117" t="s">
        <v>141</v>
      </c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 t="s">
        <v>141</v>
      </c>
      <c r="AA548" s="117"/>
      <c r="AB548" s="36" t="s">
        <v>141</v>
      </c>
      <c r="AC548" s="117" t="s">
        <v>141</v>
      </c>
      <c r="AD548" s="36"/>
      <c r="AE548" s="36" t="s">
        <v>141</v>
      </c>
      <c r="AF548" s="117"/>
      <c r="AG548" s="36"/>
      <c r="AH548" s="36"/>
      <c r="AI548" s="117"/>
      <c r="AJ548" s="36"/>
      <c r="AK548" s="36"/>
      <c r="AL548" s="36"/>
      <c r="AM548" s="117"/>
      <c r="AN548" s="117"/>
      <c r="AO548" s="117"/>
      <c r="AP548" s="117" t="s">
        <v>141</v>
      </c>
      <c r="AQ548" s="117"/>
      <c r="AR548" s="117"/>
      <c r="AS548" s="117" t="s">
        <v>141</v>
      </c>
      <c r="AT548" s="117"/>
      <c r="AU548" s="117"/>
      <c r="AV548" s="119">
        <f t="shared" si="8"/>
        <v>10</v>
      </c>
      <c r="AW548" s="119"/>
      <c r="AX548" s="119" t="s">
        <v>2145</v>
      </c>
    </row>
    <row r="549" spans="1:50">
      <c r="A549" t="s">
        <v>57</v>
      </c>
      <c r="B549" t="s">
        <v>57</v>
      </c>
      <c r="C549">
        <v>550</v>
      </c>
      <c r="D549" s="7">
        <v>45958</v>
      </c>
      <c r="E549" s="7" t="s">
        <v>2129</v>
      </c>
      <c r="F549" s="10" t="s">
        <v>2130</v>
      </c>
      <c r="G549" s="36" t="s">
        <v>141</v>
      </c>
      <c r="H549" s="36" t="s">
        <v>141</v>
      </c>
      <c r="I549" s="36" t="s">
        <v>141</v>
      </c>
      <c r="J549" s="36" t="s">
        <v>141</v>
      </c>
      <c r="K549" s="36" t="s">
        <v>2131</v>
      </c>
      <c r="L549" s="36" t="s">
        <v>141</v>
      </c>
      <c r="M549" s="36" t="s">
        <v>141</v>
      </c>
      <c r="N549" s="36" t="s">
        <v>141</v>
      </c>
      <c r="O549" s="117" t="s">
        <v>2131</v>
      </c>
      <c r="P549" s="36" t="s">
        <v>141</v>
      </c>
      <c r="Q549" s="36" t="s">
        <v>141</v>
      </c>
      <c r="R549" s="36" t="s">
        <v>141</v>
      </c>
      <c r="S549" s="36" t="s">
        <v>2131</v>
      </c>
      <c r="T549" s="36" t="s">
        <v>141</v>
      </c>
      <c r="U549" s="36" t="s">
        <v>2131</v>
      </c>
      <c r="V549" s="36" t="s">
        <v>2131</v>
      </c>
      <c r="W549" s="36" t="s">
        <v>141</v>
      </c>
      <c r="X549" s="36" t="s">
        <v>141</v>
      </c>
      <c r="Y549" s="36" t="s">
        <v>141</v>
      </c>
      <c r="Z549" s="36" t="s">
        <v>141</v>
      </c>
      <c r="AA549" s="117" t="s">
        <v>141</v>
      </c>
      <c r="AB549" s="36" t="s">
        <v>141</v>
      </c>
      <c r="AC549" s="117" t="s">
        <v>2131</v>
      </c>
      <c r="AD549" s="36" t="s">
        <v>141</v>
      </c>
      <c r="AE549" s="36" t="s">
        <v>141</v>
      </c>
      <c r="AF549" s="117" t="s">
        <v>141</v>
      </c>
      <c r="AG549" s="36" t="s">
        <v>2131</v>
      </c>
      <c r="AH549" s="36" t="s">
        <v>141</v>
      </c>
      <c r="AI549" s="117" t="s">
        <v>141</v>
      </c>
      <c r="AJ549" s="36" t="s">
        <v>141</v>
      </c>
      <c r="AK549" s="36" t="s">
        <v>2131</v>
      </c>
      <c r="AL549" s="36" t="s">
        <v>2131</v>
      </c>
      <c r="AM549" s="117" t="s">
        <v>141</v>
      </c>
      <c r="AN549" s="117" t="s">
        <v>141</v>
      </c>
      <c r="AO549" s="117" t="s">
        <v>2131</v>
      </c>
      <c r="AP549" s="117" t="s">
        <v>141</v>
      </c>
      <c r="AQ549" s="117" t="s">
        <v>2131</v>
      </c>
      <c r="AR549" s="117" t="s">
        <v>2131</v>
      </c>
      <c r="AS549" s="117" t="s">
        <v>141</v>
      </c>
      <c r="AT549" s="117"/>
      <c r="AU549" s="117"/>
      <c r="AV549" s="119">
        <f t="shared" si="8"/>
        <v>27</v>
      </c>
      <c r="AW549" s="119"/>
      <c r="AX549" s="119" t="s">
        <v>2145</v>
      </c>
    </row>
    <row r="550" spans="1:50">
      <c r="A550">
        <v>508</v>
      </c>
      <c r="B550">
        <v>1065</v>
      </c>
      <c r="C550">
        <v>551</v>
      </c>
      <c r="D550" s="7">
        <v>45959</v>
      </c>
      <c r="E550" s="7" t="s">
        <v>1807</v>
      </c>
      <c r="F550" s="10" t="s">
        <v>1806</v>
      </c>
      <c r="G550" s="36"/>
      <c r="H550" s="36" t="s">
        <v>141</v>
      </c>
      <c r="I550" s="36" t="s">
        <v>141</v>
      </c>
      <c r="J550" s="36"/>
      <c r="K550" s="36"/>
      <c r="L550" s="36"/>
      <c r="M550" s="36" t="s">
        <v>141</v>
      </c>
      <c r="N550" s="36"/>
      <c r="O550" s="117" t="s">
        <v>141</v>
      </c>
      <c r="P550" s="36" t="s">
        <v>141</v>
      </c>
      <c r="Q550" s="36" t="s">
        <v>141</v>
      </c>
      <c r="R550" s="36"/>
      <c r="S550" s="36"/>
      <c r="T550" s="36" t="s">
        <v>141</v>
      </c>
      <c r="U550" s="36"/>
      <c r="V550" s="36"/>
      <c r="W550" s="36"/>
      <c r="X550" s="36"/>
      <c r="Y550" s="36" t="s">
        <v>141</v>
      </c>
      <c r="Z550" s="36"/>
      <c r="AA550" s="117"/>
      <c r="AB550" s="36"/>
      <c r="AC550" s="117" t="s">
        <v>141</v>
      </c>
      <c r="AD550" s="36"/>
      <c r="AE550" s="36"/>
      <c r="AF550" s="117"/>
      <c r="AG550" s="36"/>
      <c r="AH550" s="36"/>
      <c r="AI550" s="117"/>
      <c r="AJ550" s="36"/>
      <c r="AK550" s="36"/>
      <c r="AL550" s="36"/>
      <c r="AM550" s="117"/>
      <c r="AN550" s="117"/>
      <c r="AO550" s="117" t="s">
        <v>141</v>
      </c>
      <c r="AP550" s="117"/>
      <c r="AQ550" s="117"/>
      <c r="AR550" s="117"/>
      <c r="AS550" s="117"/>
      <c r="AT550" s="117"/>
      <c r="AU550" s="117"/>
      <c r="AV550" s="119">
        <f t="shared" si="8"/>
        <v>10</v>
      </c>
      <c r="AW550" s="119"/>
      <c r="AX550" s="119" t="s">
        <v>2145</v>
      </c>
    </row>
    <row r="551" spans="1:50">
      <c r="A551">
        <v>509</v>
      </c>
      <c r="B551">
        <v>1066</v>
      </c>
      <c r="C551">
        <v>552</v>
      </c>
      <c r="D551" s="7">
        <v>45959</v>
      </c>
      <c r="E551" s="7" t="s">
        <v>1809</v>
      </c>
      <c r="F551" s="10" t="s">
        <v>1808</v>
      </c>
      <c r="G551" s="36" t="s">
        <v>141</v>
      </c>
      <c r="H551" s="36"/>
      <c r="I551" s="36"/>
      <c r="J551" s="36" t="s">
        <v>141</v>
      </c>
      <c r="K551" s="36"/>
      <c r="L551" s="36"/>
      <c r="M551" s="36"/>
      <c r="N551" s="36"/>
      <c r="O551" s="117" t="s">
        <v>141</v>
      </c>
      <c r="P551" s="36"/>
      <c r="Q551" s="36" t="s">
        <v>141</v>
      </c>
      <c r="R551" s="36"/>
      <c r="S551" s="36"/>
      <c r="T551" s="36" t="s">
        <v>141</v>
      </c>
      <c r="U551" s="36"/>
      <c r="V551" s="36"/>
      <c r="W551" s="36"/>
      <c r="X551" s="36"/>
      <c r="Y551" s="36" t="s">
        <v>141</v>
      </c>
      <c r="Z551" s="36"/>
      <c r="AA551" s="117" t="s">
        <v>141</v>
      </c>
      <c r="AB551" s="36" t="s">
        <v>141</v>
      </c>
      <c r="AC551" s="117" t="s">
        <v>141</v>
      </c>
      <c r="AD551" s="36" t="s">
        <v>141</v>
      </c>
      <c r="AE551" s="36"/>
      <c r="AF551" s="117"/>
      <c r="AG551" s="36"/>
      <c r="AH551" s="36"/>
      <c r="AI551" s="117"/>
      <c r="AJ551" s="36"/>
      <c r="AK551" s="36"/>
      <c r="AL551" s="36"/>
      <c r="AM551" s="117" t="s">
        <v>141</v>
      </c>
      <c r="AN551" s="117" t="s">
        <v>141</v>
      </c>
      <c r="AO551" s="117"/>
      <c r="AP551" s="117" t="s">
        <v>141</v>
      </c>
      <c r="AQ551" s="117"/>
      <c r="AR551" s="117"/>
      <c r="AS551" s="117"/>
      <c r="AT551" s="117"/>
      <c r="AU551" s="117"/>
      <c r="AV551" s="119">
        <f t="shared" si="8"/>
        <v>13</v>
      </c>
      <c r="AW551" s="119"/>
      <c r="AX551" s="119" t="s">
        <v>2147</v>
      </c>
    </row>
    <row r="552" spans="1:50">
      <c r="A552">
        <v>510</v>
      </c>
      <c r="B552">
        <v>1067</v>
      </c>
      <c r="C552">
        <v>553</v>
      </c>
      <c r="D552" s="7">
        <v>45959</v>
      </c>
      <c r="E552" s="7" t="s">
        <v>1811</v>
      </c>
      <c r="F552" s="10" t="s">
        <v>1810</v>
      </c>
      <c r="G552" s="36"/>
      <c r="H552" s="36"/>
      <c r="I552" s="36" t="s">
        <v>141</v>
      </c>
      <c r="J552" s="36" t="s">
        <v>141</v>
      </c>
      <c r="K552" s="36"/>
      <c r="L552" s="36"/>
      <c r="M552" s="36"/>
      <c r="N552" s="36"/>
      <c r="O552" s="117"/>
      <c r="P552" s="36" t="s">
        <v>141</v>
      </c>
      <c r="Q552" s="36" t="s">
        <v>141</v>
      </c>
      <c r="R552" s="36"/>
      <c r="S552" s="36"/>
      <c r="T552" s="36"/>
      <c r="U552" s="36"/>
      <c r="V552" s="36"/>
      <c r="W552" s="36"/>
      <c r="X552" s="36"/>
      <c r="Y552" s="36" t="s">
        <v>141</v>
      </c>
      <c r="Z552" s="36" t="s">
        <v>141</v>
      </c>
      <c r="AA552" s="117"/>
      <c r="AB552" s="36"/>
      <c r="AC552" s="117"/>
      <c r="AD552" s="36" t="s">
        <v>141</v>
      </c>
      <c r="AE552" s="36"/>
      <c r="AF552" s="117" t="s">
        <v>141</v>
      </c>
      <c r="AG552" s="36"/>
      <c r="AH552" s="36"/>
      <c r="AI552" s="117"/>
      <c r="AJ552" s="36"/>
      <c r="AK552" s="36"/>
      <c r="AL552" s="36"/>
      <c r="AM552" s="117"/>
      <c r="AN552" s="117"/>
      <c r="AO552" s="117"/>
      <c r="AP552" s="117"/>
      <c r="AQ552" s="117" t="s">
        <v>141</v>
      </c>
      <c r="AR552" s="117"/>
      <c r="AS552" s="117" t="s">
        <v>141</v>
      </c>
      <c r="AT552" s="117"/>
      <c r="AU552" s="117"/>
      <c r="AV552" s="119">
        <f t="shared" si="8"/>
        <v>10</v>
      </c>
      <c r="AW552" s="119"/>
      <c r="AX552" s="119" t="s">
        <v>2147</v>
      </c>
    </row>
    <row r="553" spans="1:50">
      <c r="A553">
        <v>511</v>
      </c>
      <c r="B553">
        <v>1068</v>
      </c>
      <c r="C553">
        <v>554</v>
      </c>
      <c r="D553" s="7">
        <v>45960</v>
      </c>
      <c r="E553" s="7" t="s">
        <v>1813</v>
      </c>
      <c r="F553" s="10" t="s">
        <v>1812</v>
      </c>
      <c r="G553" s="36"/>
      <c r="H553" s="36"/>
      <c r="I553" s="36"/>
      <c r="J553" s="36"/>
      <c r="K553" s="36"/>
      <c r="L553" s="36"/>
      <c r="M553" s="36"/>
      <c r="N553" s="36"/>
      <c r="O553" s="117"/>
      <c r="P553" s="36" t="s">
        <v>141</v>
      </c>
      <c r="Q553" s="36" t="s">
        <v>141</v>
      </c>
      <c r="R553" s="36"/>
      <c r="S553" s="36"/>
      <c r="T553" s="36" t="s">
        <v>141</v>
      </c>
      <c r="U553" s="36"/>
      <c r="V553" s="36"/>
      <c r="W553" s="36"/>
      <c r="X553" s="36"/>
      <c r="Y553" s="36"/>
      <c r="Z553" s="36"/>
      <c r="AA553" s="117" t="s">
        <v>141</v>
      </c>
      <c r="AB553" s="36"/>
      <c r="AC553" s="117" t="s">
        <v>141</v>
      </c>
      <c r="AD553" s="36" t="s">
        <v>141</v>
      </c>
      <c r="AE553" s="36" t="s">
        <v>141</v>
      </c>
      <c r="AF553" s="117"/>
      <c r="AG553" s="36"/>
      <c r="AH553" s="36"/>
      <c r="AI553" s="117"/>
      <c r="AJ553" s="36"/>
      <c r="AK553" s="36"/>
      <c r="AL553" s="36"/>
      <c r="AM553" s="117"/>
      <c r="AN553" s="117"/>
      <c r="AO553" s="117" t="s">
        <v>141</v>
      </c>
      <c r="AP553" s="117"/>
      <c r="AQ553" s="117"/>
      <c r="AR553" s="117"/>
      <c r="AS553" s="117"/>
      <c r="AT553" s="117"/>
      <c r="AU553" s="117"/>
      <c r="AV553" s="119">
        <f t="shared" si="8"/>
        <v>8</v>
      </c>
      <c r="AW553" s="119"/>
      <c r="AX553" s="119" t="s">
        <v>2146</v>
      </c>
    </row>
    <row r="554" spans="1:50">
      <c r="A554">
        <v>512</v>
      </c>
      <c r="B554">
        <v>1069</v>
      </c>
      <c r="C554">
        <v>555</v>
      </c>
      <c r="D554" s="7">
        <v>45960</v>
      </c>
      <c r="E554" s="7" t="s">
        <v>1815</v>
      </c>
      <c r="F554" s="10" t="s">
        <v>1814</v>
      </c>
      <c r="G554" s="36"/>
      <c r="H554" s="36"/>
      <c r="I554" s="36"/>
      <c r="J554" s="36" t="s">
        <v>141</v>
      </c>
      <c r="K554" s="36"/>
      <c r="L554" s="36"/>
      <c r="M554" s="36"/>
      <c r="N554" s="36" t="s">
        <v>141</v>
      </c>
      <c r="O554" s="117"/>
      <c r="P554" s="36" t="s">
        <v>141</v>
      </c>
      <c r="Q554" s="36" t="s">
        <v>141</v>
      </c>
      <c r="R554" s="36"/>
      <c r="S554" s="36"/>
      <c r="T554" s="36" t="s">
        <v>141</v>
      </c>
      <c r="U554" s="36"/>
      <c r="V554" s="36"/>
      <c r="W554" s="36"/>
      <c r="X554" s="36"/>
      <c r="Y554" s="36"/>
      <c r="Z554" s="36" t="s">
        <v>141</v>
      </c>
      <c r="AA554" s="117" t="s">
        <v>141</v>
      </c>
      <c r="AB554" s="36" t="s">
        <v>141</v>
      </c>
      <c r="AC554" s="117"/>
      <c r="AD554" s="36" t="s">
        <v>141</v>
      </c>
      <c r="AE554" s="36" t="s">
        <v>141</v>
      </c>
      <c r="AF554" s="117"/>
      <c r="AG554" s="36"/>
      <c r="AH554" s="36" t="s">
        <v>141</v>
      </c>
      <c r="AI554" s="117" t="s">
        <v>141</v>
      </c>
      <c r="AJ554" s="36"/>
      <c r="AK554" s="36"/>
      <c r="AL554" s="36"/>
      <c r="AM554" s="117" t="s">
        <v>141</v>
      </c>
      <c r="AN554" s="117" t="s">
        <v>141</v>
      </c>
      <c r="AO554" s="117"/>
      <c r="AP554" s="117"/>
      <c r="AQ554" s="117"/>
      <c r="AR554" s="117"/>
      <c r="AS554" s="117"/>
      <c r="AT554" s="117"/>
      <c r="AU554" s="117"/>
      <c r="AV554" s="119">
        <f t="shared" si="8"/>
        <v>14</v>
      </c>
      <c r="AW554" s="119"/>
      <c r="AX554" s="119" t="s">
        <v>2150</v>
      </c>
    </row>
    <row r="555" spans="1:50">
      <c r="A555">
        <v>513</v>
      </c>
      <c r="B555">
        <v>1070</v>
      </c>
      <c r="C555">
        <v>556</v>
      </c>
      <c r="D555" s="7">
        <v>45961</v>
      </c>
      <c r="E555" s="7" t="s">
        <v>1486</v>
      </c>
      <c r="F555" s="10" t="s">
        <v>1816</v>
      </c>
      <c r="G555" s="36" t="s">
        <v>141</v>
      </c>
      <c r="H555" s="36" t="s">
        <v>141</v>
      </c>
      <c r="I555" s="36"/>
      <c r="J555" s="36"/>
      <c r="K555" s="36"/>
      <c r="L555" s="36" t="s">
        <v>141</v>
      </c>
      <c r="M555" s="36"/>
      <c r="N555" s="36" t="s">
        <v>141</v>
      </c>
      <c r="O555" s="117"/>
      <c r="P555" s="36"/>
      <c r="Q555" s="36" t="s">
        <v>141</v>
      </c>
      <c r="R555" s="36"/>
      <c r="S555" s="36"/>
      <c r="T555" s="36"/>
      <c r="U555" s="36"/>
      <c r="V555" s="36"/>
      <c r="W555" s="36" t="s">
        <v>141</v>
      </c>
      <c r="X555" s="36"/>
      <c r="Y555" s="36" t="s">
        <v>141</v>
      </c>
      <c r="Z555" s="36"/>
      <c r="AA555" s="117"/>
      <c r="AB555" s="36" t="s">
        <v>141</v>
      </c>
      <c r="AC555" s="117"/>
      <c r="AD555" s="36" t="s">
        <v>141</v>
      </c>
      <c r="AE555" s="36"/>
      <c r="AF555" s="117"/>
      <c r="AG555" s="36"/>
      <c r="AH555" s="36"/>
      <c r="AI555" s="117"/>
      <c r="AJ555" s="36"/>
      <c r="AK555" s="36"/>
      <c r="AL555" s="36"/>
      <c r="AM555" s="117"/>
      <c r="AN555" s="117"/>
      <c r="AO555" s="117" t="s">
        <v>141</v>
      </c>
      <c r="AP555" s="117"/>
      <c r="AQ555" s="117"/>
      <c r="AR555" s="117"/>
      <c r="AS555" s="117"/>
      <c r="AT555" s="117"/>
      <c r="AU555" s="117"/>
      <c r="AV555" s="119">
        <f t="shared" si="8"/>
        <v>10</v>
      </c>
      <c r="AW555" s="119"/>
      <c r="AX555" s="119" t="s">
        <v>2146</v>
      </c>
    </row>
    <row r="556" spans="1:50">
      <c r="A556">
        <v>514</v>
      </c>
      <c r="B556">
        <v>1071</v>
      </c>
      <c r="C556">
        <v>557</v>
      </c>
      <c r="D556" s="7">
        <v>45962</v>
      </c>
      <c r="E556" s="7" t="s">
        <v>1818</v>
      </c>
      <c r="F556" s="10" t="s">
        <v>1817</v>
      </c>
      <c r="G556" s="36" t="s">
        <v>141</v>
      </c>
      <c r="H556" s="36" t="s">
        <v>141</v>
      </c>
      <c r="I556" s="36"/>
      <c r="J556" s="36" t="s">
        <v>141</v>
      </c>
      <c r="K556" s="36" t="s">
        <v>141</v>
      </c>
      <c r="L556" s="36"/>
      <c r="M556" s="36"/>
      <c r="N556" s="36"/>
      <c r="O556" s="117" t="s">
        <v>141</v>
      </c>
      <c r="P556" s="36" t="s">
        <v>141</v>
      </c>
      <c r="Q556" s="36"/>
      <c r="R556" s="36"/>
      <c r="S556" s="36"/>
      <c r="T556" s="36"/>
      <c r="U556" s="36"/>
      <c r="V556" s="36"/>
      <c r="W556" s="36" t="s">
        <v>141</v>
      </c>
      <c r="X556" s="36" t="s">
        <v>141</v>
      </c>
      <c r="Y556" s="36"/>
      <c r="Z556" s="36"/>
      <c r="AA556" s="117"/>
      <c r="AB556" s="36" t="s">
        <v>141</v>
      </c>
      <c r="AC556" s="117"/>
      <c r="AD556" s="36"/>
      <c r="AE556" s="36"/>
      <c r="AF556" s="117" t="s">
        <v>141</v>
      </c>
      <c r="AG556" s="36"/>
      <c r="AH556" s="36" t="s">
        <v>141</v>
      </c>
      <c r="AI556" s="117"/>
      <c r="AJ556" s="36"/>
      <c r="AK556" s="36"/>
      <c r="AL556" s="36"/>
      <c r="AM556" s="117"/>
      <c r="AN556" s="117"/>
      <c r="AO556" s="117"/>
      <c r="AP556" s="117"/>
      <c r="AQ556" s="117" t="s">
        <v>141</v>
      </c>
      <c r="AR556" s="117"/>
      <c r="AS556" s="117" t="s">
        <v>141</v>
      </c>
      <c r="AT556" s="117"/>
      <c r="AU556" s="117"/>
      <c r="AV556" s="119">
        <f t="shared" si="8"/>
        <v>13</v>
      </c>
      <c r="AW556" s="119"/>
      <c r="AX556" s="119" t="s">
        <v>2146</v>
      </c>
    </row>
    <row r="557" spans="1:50">
      <c r="A557">
        <v>515</v>
      </c>
      <c r="B557">
        <v>1072</v>
      </c>
      <c r="C557">
        <v>558</v>
      </c>
      <c r="D557" s="7">
        <v>45963</v>
      </c>
      <c r="E557" s="7" t="s">
        <v>1820</v>
      </c>
      <c r="F557" s="10" t="s">
        <v>1819</v>
      </c>
      <c r="G557" s="36" t="s">
        <v>141</v>
      </c>
      <c r="H557" s="36" t="s">
        <v>141</v>
      </c>
      <c r="I557" s="36"/>
      <c r="J557" s="36" t="s">
        <v>141</v>
      </c>
      <c r="K557" s="36" t="s">
        <v>141</v>
      </c>
      <c r="L557" s="36" t="s">
        <v>141</v>
      </c>
      <c r="M557" s="36"/>
      <c r="N557" s="36"/>
      <c r="O557" s="117" t="s">
        <v>141</v>
      </c>
      <c r="P557" s="36" t="s">
        <v>141</v>
      </c>
      <c r="Q557" s="36"/>
      <c r="R557" s="36"/>
      <c r="S557" s="36"/>
      <c r="T557" s="36"/>
      <c r="U557" s="36"/>
      <c r="V557" s="36"/>
      <c r="W557" s="36"/>
      <c r="X557" s="36" t="s">
        <v>141</v>
      </c>
      <c r="Y557" s="36"/>
      <c r="Z557" s="36"/>
      <c r="AA557" s="117"/>
      <c r="AB557" s="36"/>
      <c r="AC557" s="117"/>
      <c r="AD557" s="36" t="s">
        <v>141</v>
      </c>
      <c r="AE557" s="36"/>
      <c r="AF557" s="117"/>
      <c r="AG557" s="36"/>
      <c r="AH557" s="36"/>
      <c r="AI557" s="117"/>
      <c r="AJ557" s="36" t="s">
        <v>141</v>
      </c>
      <c r="AK557" s="36"/>
      <c r="AL557" s="36" t="s">
        <v>141</v>
      </c>
      <c r="AM557" s="117"/>
      <c r="AN557" s="117"/>
      <c r="AO557" s="117"/>
      <c r="AP557" s="117" t="s">
        <v>141</v>
      </c>
      <c r="AQ557" s="117" t="s">
        <v>141</v>
      </c>
      <c r="AR557" s="117"/>
      <c r="AS557" s="117" t="s">
        <v>141</v>
      </c>
      <c r="AT557" s="117"/>
      <c r="AU557" s="117"/>
      <c r="AV557" s="119">
        <f t="shared" si="8"/>
        <v>14</v>
      </c>
      <c r="AW557" s="119"/>
      <c r="AX557" s="119" t="s">
        <v>2146</v>
      </c>
    </row>
    <row r="558" spans="1:50">
      <c r="A558">
        <v>516</v>
      </c>
      <c r="B558">
        <v>1073</v>
      </c>
      <c r="C558">
        <v>559</v>
      </c>
      <c r="D558" s="7">
        <v>45964</v>
      </c>
      <c r="E558" s="7" t="s">
        <v>1822</v>
      </c>
      <c r="F558" s="10" t="s">
        <v>1821</v>
      </c>
      <c r="G558" s="36" t="s">
        <v>141</v>
      </c>
      <c r="H558" s="36"/>
      <c r="I558" s="36"/>
      <c r="J558" s="36"/>
      <c r="K558" s="36" t="s">
        <v>141</v>
      </c>
      <c r="L558" s="36"/>
      <c r="M558" s="36"/>
      <c r="N558" s="36"/>
      <c r="O558" s="117"/>
      <c r="P558" s="36" t="s">
        <v>141</v>
      </c>
      <c r="Q558" s="36"/>
      <c r="R558" s="36"/>
      <c r="S558" s="36"/>
      <c r="T558" s="36" t="s">
        <v>141</v>
      </c>
      <c r="U558" s="36"/>
      <c r="V558" s="36"/>
      <c r="W558" s="36"/>
      <c r="X558" s="36" t="s">
        <v>141</v>
      </c>
      <c r="Y558" s="36"/>
      <c r="Z558" s="36"/>
      <c r="AA558" s="117"/>
      <c r="AB558" s="36" t="s">
        <v>141</v>
      </c>
      <c r="AC558" s="117"/>
      <c r="AD558" s="36" t="s">
        <v>141</v>
      </c>
      <c r="AE558" s="36"/>
      <c r="AF558" s="117"/>
      <c r="AG558" s="36"/>
      <c r="AH558" s="36"/>
      <c r="AI558" s="117"/>
      <c r="AJ558" s="36" t="s">
        <v>141</v>
      </c>
      <c r="AK558" s="36"/>
      <c r="AL558" s="36"/>
      <c r="AM558" s="117"/>
      <c r="AN558" s="117"/>
      <c r="AO558" s="117"/>
      <c r="AP558" s="117"/>
      <c r="AQ558" s="117" t="s">
        <v>141</v>
      </c>
      <c r="AR558" s="117"/>
      <c r="AS558" s="117" t="s">
        <v>141</v>
      </c>
      <c r="AT558" s="117"/>
      <c r="AU558" s="117"/>
      <c r="AV558" s="119">
        <f t="shared" si="8"/>
        <v>10</v>
      </c>
      <c r="AW558" s="119"/>
      <c r="AX558" s="119" t="s">
        <v>2146</v>
      </c>
    </row>
    <row r="559" spans="1:50">
      <c r="A559" t="s">
        <v>57</v>
      </c>
      <c r="B559" t="s">
        <v>57</v>
      </c>
      <c r="C559">
        <v>560</v>
      </c>
      <c r="D559" s="7">
        <v>45964</v>
      </c>
      <c r="E559" s="7" t="s">
        <v>2129</v>
      </c>
      <c r="F559" s="10" t="s">
        <v>2130</v>
      </c>
      <c r="G559" s="36" t="s">
        <v>141</v>
      </c>
      <c r="H559" s="36" t="s">
        <v>141</v>
      </c>
      <c r="I559" s="36" t="s">
        <v>141</v>
      </c>
      <c r="J559" s="36" t="s">
        <v>141</v>
      </c>
      <c r="K559" s="36" t="s">
        <v>141</v>
      </c>
      <c r="L559" s="36" t="s">
        <v>141</v>
      </c>
      <c r="M559" s="36" t="s">
        <v>2131</v>
      </c>
      <c r="N559" s="36" t="s">
        <v>141</v>
      </c>
      <c r="O559" s="117" t="s">
        <v>141</v>
      </c>
      <c r="P559" s="36" t="s">
        <v>141</v>
      </c>
      <c r="Q559" s="36" t="s">
        <v>141</v>
      </c>
      <c r="R559" s="36" t="s">
        <v>141</v>
      </c>
      <c r="S559" s="36" t="s">
        <v>2131</v>
      </c>
      <c r="T559" s="36" t="s">
        <v>141</v>
      </c>
      <c r="U559" s="36" t="s">
        <v>2131</v>
      </c>
      <c r="V559" s="36" t="s">
        <v>2131</v>
      </c>
      <c r="W559" s="36" t="s">
        <v>2131</v>
      </c>
      <c r="X559" s="36" t="s">
        <v>141</v>
      </c>
      <c r="Y559" s="36" t="s">
        <v>2131</v>
      </c>
      <c r="Z559" s="36" t="s">
        <v>2131</v>
      </c>
      <c r="AA559" s="117" t="s">
        <v>2131</v>
      </c>
      <c r="AB559" s="36" t="s">
        <v>141</v>
      </c>
      <c r="AC559" s="117" t="s">
        <v>2131</v>
      </c>
      <c r="AD559" s="36" t="s">
        <v>141</v>
      </c>
      <c r="AE559" s="36" t="s">
        <v>2131</v>
      </c>
      <c r="AF559" s="117" t="s">
        <v>2131</v>
      </c>
      <c r="AG559" s="36" t="s">
        <v>141</v>
      </c>
      <c r="AH559" s="36" t="s">
        <v>141</v>
      </c>
      <c r="AI559" s="117" t="s">
        <v>2131</v>
      </c>
      <c r="AJ559" s="36" t="s">
        <v>141</v>
      </c>
      <c r="AK559" s="36" t="s">
        <v>141</v>
      </c>
      <c r="AL559" s="36" t="s">
        <v>141</v>
      </c>
      <c r="AM559" s="117" t="s">
        <v>2131</v>
      </c>
      <c r="AN559" s="117" t="s">
        <v>2131</v>
      </c>
      <c r="AO559" s="117" t="s">
        <v>141</v>
      </c>
      <c r="AP559" s="117" t="s">
        <v>141</v>
      </c>
      <c r="AQ559" s="117" t="s">
        <v>141</v>
      </c>
      <c r="AR559" s="117" t="s">
        <v>2131</v>
      </c>
      <c r="AS559" s="117" t="s">
        <v>141</v>
      </c>
      <c r="AT559" s="117"/>
      <c r="AU559" s="117"/>
      <c r="AV559" s="119">
        <f t="shared" si="8"/>
        <v>24</v>
      </c>
      <c r="AW559" s="119"/>
      <c r="AX559" s="119" t="s">
        <v>2147</v>
      </c>
    </row>
    <row r="560" spans="1:50">
      <c r="A560">
        <v>517</v>
      </c>
      <c r="B560">
        <v>1074</v>
      </c>
      <c r="C560">
        <v>561</v>
      </c>
      <c r="D560" s="7">
        <v>45964</v>
      </c>
      <c r="E560" s="7" t="s">
        <v>1824</v>
      </c>
      <c r="F560" s="10" t="s">
        <v>1823</v>
      </c>
      <c r="G560" s="36" t="s">
        <v>141</v>
      </c>
      <c r="H560" s="36" t="s">
        <v>141</v>
      </c>
      <c r="I560" s="36" t="s">
        <v>141</v>
      </c>
      <c r="J560" s="36" t="s">
        <v>141</v>
      </c>
      <c r="K560" s="36" t="s">
        <v>141</v>
      </c>
      <c r="L560" s="36" t="s">
        <v>141</v>
      </c>
      <c r="M560" s="36"/>
      <c r="N560" s="36" t="s">
        <v>141</v>
      </c>
      <c r="O560" s="117" t="s">
        <v>141</v>
      </c>
      <c r="P560" s="36" t="s">
        <v>141</v>
      </c>
      <c r="Q560" s="36" t="s">
        <v>141</v>
      </c>
      <c r="R560" s="36" t="s">
        <v>141</v>
      </c>
      <c r="S560" s="36"/>
      <c r="T560" s="36" t="s">
        <v>141</v>
      </c>
      <c r="U560" s="36"/>
      <c r="V560" s="36"/>
      <c r="W560" s="36"/>
      <c r="X560" s="36" t="s">
        <v>141</v>
      </c>
      <c r="Y560" s="36"/>
      <c r="Z560" s="36"/>
      <c r="AA560" s="117"/>
      <c r="AB560" s="36" t="s">
        <v>141</v>
      </c>
      <c r="AC560" s="117"/>
      <c r="AD560" s="36" t="s">
        <v>141</v>
      </c>
      <c r="AE560" s="36"/>
      <c r="AF560" s="117"/>
      <c r="AG560" s="36" t="s">
        <v>141</v>
      </c>
      <c r="AH560" s="36" t="s">
        <v>141</v>
      </c>
      <c r="AI560" s="117"/>
      <c r="AJ560" s="36" t="s">
        <v>141</v>
      </c>
      <c r="AK560" s="36" t="s">
        <v>141</v>
      </c>
      <c r="AL560" s="36" t="s">
        <v>141</v>
      </c>
      <c r="AM560" s="117"/>
      <c r="AN560" s="117"/>
      <c r="AO560" s="117" t="s">
        <v>141</v>
      </c>
      <c r="AP560" s="117" t="s">
        <v>141</v>
      </c>
      <c r="AQ560" s="117" t="s">
        <v>141</v>
      </c>
      <c r="AR560" s="117"/>
      <c r="AS560" s="117" t="s">
        <v>141</v>
      </c>
      <c r="AT560" s="117"/>
      <c r="AU560" s="117"/>
      <c r="AV560" s="119">
        <f t="shared" si="8"/>
        <v>24</v>
      </c>
      <c r="AW560" s="119"/>
      <c r="AX560" s="119" t="s">
        <v>2146</v>
      </c>
    </row>
    <row r="561" spans="1:50">
      <c r="A561">
        <v>518</v>
      </c>
      <c r="B561">
        <v>1075</v>
      </c>
      <c r="C561">
        <v>562</v>
      </c>
      <c r="D561" s="7">
        <v>45964</v>
      </c>
      <c r="E561" s="7" t="s">
        <v>1826</v>
      </c>
      <c r="F561" s="10" t="s">
        <v>1825</v>
      </c>
      <c r="G561" s="36"/>
      <c r="H561" s="36" t="s">
        <v>141</v>
      </c>
      <c r="I561" s="36"/>
      <c r="J561" s="36" t="s">
        <v>141</v>
      </c>
      <c r="K561" s="36" t="s">
        <v>141</v>
      </c>
      <c r="L561" s="36"/>
      <c r="M561" s="36"/>
      <c r="N561" s="36"/>
      <c r="O561" s="117" t="s">
        <v>141</v>
      </c>
      <c r="P561" s="36" t="s">
        <v>141</v>
      </c>
      <c r="Q561" s="36" t="s">
        <v>141</v>
      </c>
      <c r="R561" s="36"/>
      <c r="S561" s="36" t="s">
        <v>141</v>
      </c>
      <c r="T561" s="36" t="s">
        <v>141</v>
      </c>
      <c r="U561" s="36"/>
      <c r="V561" s="36"/>
      <c r="W561" s="36"/>
      <c r="X561" s="36"/>
      <c r="Y561" s="36"/>
      <c r="Z561" s="36"/>
      <c r="AA561" s="117"/>
      <c r="AB561" s="36"/>
      <c r="AC561" s="117"/>
      <c r="AD561" s="36" t="s">
        <v>141</v>
      </c>
      <c r="AE561" s="36"/>
      <c r="AF561" s="117"/>
      <c r="AG561" s="36"/>
      <c r="AH561" s="36"/>
      <c r="AI561" s="117"/>
      <c r="AJ561" s="36"/>
      <c r="AK561" s="36"/>
      <c r="AL561" s="36"/>
      <c r="AM561" s="117"/>
      <c r="AN561" s="117"/>
      <c r="AO561" s="117"/>
      <c r="AP561" s="117"/>
      <c r="AQ561" s="117"/>
      <c r="AR561" s="117"/>
      <c r="AS561" s="117" t="s">
        <v>141</v>
      </c>
      <c r="AT561" s="117"/>
      <c r="AU561" s="117"/>
      <c r="AV561" s="119">
        <f t="shared" si="8"/>
        <v>10</v>
      </c>
      <c r="AW561" s="119"/>
      <c r="AX561" s="119" t="s">
        <v>2146</v>
      </c>
    </row>
    <row r="562" spans="1:50">
      <c r="A562">
        <v>519</v>
      </c>
      <c r="B562">
        <v>1076</v>
      </c>
      <c r="C562">
        <v>563</v>
      </c>
      <c r="D562" s="7">
        <v>45965</v>
      </c>
      <c r="E562" s="7" t="s">
        <v>1828</v>
      </c>
      <c r="F562" s="10" t="s">
        <v>1827</v>
      </c>
      <c r="G562" s="36" t="s">
        <v>141</v>
      </c>
      <c r="H562" s="36"/>
      <c r="I562" s="36"/>
      <c r="J562" s="36" t="s">
        <v>141</v>
      </c>
      <c r="K562" s="36"/>
      <c r="L562" s="36"/>
      <c r="M562" s="36" t="s">
        <v>141</v>
      </c>
      <c r="N562" s="36" t="s">
        <v>141</v>
      </c>
      <c r="O562" s="117"/>
      <c r="P562" s="36"/>
      <c r="Q562" s="36"/>
      <c r="R562" s="36"/>
      <c r="S562" s="36"/>
      <c r="T562" s="36" t="s">
        <v>141</v>
      </c>
      <c r="U562" s="36"/>
      <c r="V562" s="36"/>
      <c r="W562" s="36"/>
      <c r="X562" s="36"/>
      <c r="Y562" s="36"/>
      <c r="Z562" s="36"/>
      <c r="AA562" s="117"/>
      <c r="AB562" s="36" t="s">
        <v>141</v>
      </c>
      <c r="AC562" s="117"/>
      <c r="AD562" s="36" t="s">
        <v>141</v>
      </c>
      <c r="AE562" s="36"/>
      <c r="AF562" s="117"/>
      <c r="AG562" s="36" t="s">
        <v>141</v>
      </c>
      <c r="AH562" s="36" t="s">
        <v>141</v>
      </c>
      <c r="AI562" s="117"/>
      <c r="AJ562" s="36" t="s">
        <v>141</v>
      </c>
      <c r="AK562" s="36"/>
      <c r="AL562" s="36"/>
      <c r="AM562" s="117"/>
      <c r="AN562" s="117"/>
      <c r="AO562" s="117"/>
      <c r="AP562" s="117" t="s">
        <v>141</v>
      </c>
      <c r="AQ562" s="117"/>
      <c r="AR562" s="117"/>
      <c r="AS562" s="117" t="s">
        <v>141</v>
      </c>
      <c r="AT562" s="117"/>
      <c r="AU562" s="117"/>
      <c r="AV562" s="119">
        <f t="shared" si="8"/>
        <v>12</v>
      </c>
      <c r="AW562" s="119"/>
      <c r="AX562" s="119" t="s">
        <v>2145</v>
      </c>
    </row>
    <row r="563" spans="1:50">
      <c r="A563">
        <v>520</v>
      </c>
      <c r="B563">
        <v>1077</v>
      </c>
      <c r="C563">
        <v>564</v>
      </c>
      <c r="D563" s="7">
        <v>45965</v>
      </c>
      <c r="E563" s="7" t="s">
        <v>1830</v>
      </c>
      <c r="F563" s="10" t="s">
        <v>1829</v>
      </c>
      <c r="G563" s="36" t="s">
        <v>141</v>
      </c>
      <c r="H563" s="36" t="s">
        <v>141</v>
      </c>
      <c r="I563" s="36" t="s">
        <v>141</v>
      </c>
      <c r="J563" s="36" t="s">
        <v>141</v>
      </c>
      <c r="K563" s="36" t="s">
        <v>141</v>
      </c>
      <c r="L563" s="36"/>
      <c r="M563" s="36" t="s">
        <v>141</v>
      </c>
      <c r="N563" s="36" t="s">
        <v>141</v>
      </c>
      <c r="O563" s="117"/>
      <c r="P563" s="36"/>
      <c r="Q563" s="36"/>
      <c r="R563" s="36"/>
      <c r="S563" s="36"/>
      <c r="T563" s="36" t="s">
        <v>141</v>
      </c>
      <c r="U563" s="36"/>
      <c r="V563" s="36"/>
      <c r="W563" s="36"/>
      <c r="X563" s="36" t="s">
        <v>141</v>
      </c>
      <c r="Y563" s="36"/>
      <c r="Z563" s="36"/>
      <c r="AA563" s="117"/>
      <c r="AB563" s="36"/>
      <c r="AC563" s="117"/>
      <c r="AD563" s="36" t="s">
        <v>141</v>
      </c>
      <c r="AE563" s="36"/>
      <c r="AF563" s="117"/>
      <c r="AG563" s="36"/>
      <c r="AH563" s="36" t="s">
        <v>141</v>
      </c>
      <c r="AI563" s="117"/>
      <c r="AJ563" s="36" t="s">
        <v>141</v>
      </c>
      <c r="AK563" s="36" t="s">
        <v>141</v>
      </c>
      <c r="AL563" s="36" t="s">
        <v>141</v>
      </c>
      <c r="AM563" s="117"/>
      <c r="AN563" s="117"/>
      <c r="AO563" s="117"/>
      <c r="AP563" s="117" t="s">
        <v>141</v>
      </c>
      <c r="AQ563" s="117"/>
      <c r="AR563" s="117"/>
      <c r="AS563" s="117" t="s">
        <v>141</v>
      </c>
      <c r="AT563" s="117"/>
      <c r="AU563" s="117"/>
      <c r="AV563" s="119">
        <f t="shared" si="8"/>
        <v>16</v>
      </c>
      <c r="AW563" s="119"/>
      <c r="AX563" s="119" t="s">
        <v>2145</v>
      </c>
    </row>
    <row r="564" spans="1:50">
      <c r="A564">
        <v>521</v>
      </c>
      <c r="B564">
        <v>1078</v>
      </c>
      <c r="C564">
        <v>565</v>
      </c>
      <c r="D564" s="7">
        <v>45965</v>
      </c>
      <c r="E564" s="7" t="s">
        <v>1832</v>
      </c>
      <c r="F564" s="10" t="s">
        <v>2152</v>
      </c>
      <c r="G564" s="36"/>
      <c r="H564" s="36" t="s">
        <v>141</v>
      </c>
      <c r="I564" s="36"/>
      <c r="J564" s="36" t="s">
        <v>141</v>
      </c>
      <c r="K564" s="36"/>
      <c r="L564" s="36"/>
      <c r="M564" s="36" t="s">
        <v>141</v>
      </c>
      <c r="N564" s="36"/>
      <c r="O564" s="117" t="s">
        <v>141</v>
      </c>
      <c r="P564" s="36" t="s">
        <v>141</v>
      </c>
      <c r="Q564" s="36" t="s">
        <v>141</v>
      </c>
      <c r="R564" s="36"/>
      <c r="S564" s="36"/>
      <c r="T564" s="36" t="s">
        <v>141</v>
      </c>
      <c r="U564" s="36"/>
      <c r="V564" s="36"/>
      <c r="W564" s="36"/>
      <c r="X564" s="36"/>
      <c r="Y564" s="36"/>
      <c r="Z564" s="36"/>
      <c r="AA564" s="117"/>
      <c r="AB564" s="36"/>
      <c r="AC564" s="117"/>
      <c r="AD564" s="36" t="s">
        <v>141</v>
      </c>
      <c r="AE564" s="36"/>
      <c r="AF564" s="117"/>
      <c r="AG564" s="36"/>
      <c r="AH564" s="36" t="s">
        <v>141</v>
      </c>
      <c r="AI564" s="117"/>
      <c r="AJ564" s="36"/>
      <c r="AK564" s="36" t="s">
        <v>141</v>
      </c>
      <c r="AL564" s="36"/>
      <c r="AM564" s="117"/>
      <c r="AN564" s="117"/>
      <c r="AO564" s="117" t="s">
        <v>141</v>
      </c>
      <c r="AP564" s="117"/>
      <c r="AQ564" s="117"/>
      <c r="AR564" s="117"/>
      <c r="AS564" s="117"/>
      <c r="AT564" s="117"/>
      <c r="AU564" s="117"/>
      <c r="AV564" s="119">
        <f t="shared" si="8"/>
        <v>11</v>
      </c>
      <c r="AW564" s="119"/>
      <c r="AX564" s="119" t="s">
        <v>2145</v>
      </c>
    </row>
    <row r="565" spans="1:50">
      <c r="A565">
        <v>522</v>
      </c>
      <c r="B565">
        <v>1079</v>
      </c>
      <c r="C565">
        <v>566</v>
      </c>
      <c r="D565" s="7">
        <v>45966</v>
      </c>
      <c r="E565" s="7" t="s">
        <v>1834</v>
      </c>
      <c r="F565" s="10" t="s">
        <v>1833</v>
      </c>
      <c r="G565" s="36"/>
      <c r="H565" s="36" t="s">
        <v>141</v>
      </c>
      <c r="I565" s="36"/>
      <c r="J565" s="36" t="s">
        <v>141</v>
      </c>
      <c r="K565" s="36"/>
      <c r="L565" s="36"/>
      <c r="M565" s="36"/>
      <c r="N565" s="36"/>
      <c r="O565" s="117" t="s">
        <v>141</v>
      </c>
      <c r="P565" s="36" t="s">
        <v>141</v>
      </c>
      <c r="Q565" s="36" t="s">
        <v>141</v>
      </c>
      <c r="R565" s="36"/>
      <c r="S565" s="36"/>
      <c r="T565" s="36" t="s">
        <v>141</v>
      </c>
      <c r="U565" s="36"/>
      <c r="V565" s="36"/>
      <c r="W565" s="36"/>
      <c r="X565" s="36"/>
      <c r="Y565" s="36"/>
      <c r="Z565" s="36"/>
      <c r="AA565" s="117"/>
      <c r="AB565" s="36"/>
      <c r="AC565" s="117"/>
      <c r="AD565" s="36" t="s">
        <v>141</v>
      </c>
      <c r="AE565" s="36"/>
      <c r="AF565" s="117"/>
      <c r="AG565" s="36"/>
      <c r="AH565" s="36" t="s">
        <v>141</v>
      </c>
      <c r="AI565" s="117"/>
      <c r="AJ565" s="36"/>
      <c r="AK565" s="36"/>
      <c r="AL565" s="36"/>
      <c r="AM565" s="117"/>
      <c r="AN565" s="117"/>
      <c r="AO565" s="117"/>
      <c r="AP565" s="117"/>
      <c r="AQ565" s="117"/>
      <c r="AR565" s="117"/>
      <c r="AS565" s="117"/>
      <c r="AT565" s="117"/>
      <c r="AU565" s="117"/>
      <c r="AV565" s="119">
        <f t="shared" si="8"/>
        <v>8</v>
      </c>
      <c r="AW565" s="119"/>
      <c r="AX565" s="119" t="s">
        <v>2147</v>
      </c>
    </row>
    <row r="566" spans="1:50">
      <c r="A566">
        <v>523</v>
      </c>
      <c r="B566">
        <v>1080</v>
      </c>
      <c r="C566">
        <v>567</v>
      </c>
      <c r="D566" s="7">
        <v>45967</v>
      </c>
      <c r="E566" s="7" t="s">
        <v>1836</v>
      </c>
      <c r="F566" s="10" t="s">
        <v>1835</v>
      </c>
      <c r="G566" s="36"/>
      <c r="H566" s="36" t="s">
        <v>141</v>
      </c>
      <c r="I566" s="36"/>
      <c r="J566" s="36"/>
      <c r="K566" s="36" t="s">
        <v>141</v>
      </c>
      <c r="L566" s="36"/>
      <c r="M566" s="36" t="s">
        <v>141</v>
      </c>
      <c r="N566" s="36" t="s">
        <v>141</v>
      </c>
      <c r="O566" s="117"/>
      <c r="P566" s="36" t="s">
        <v>141</v>
      </c>
      <c r="Q566" s="36" t="s">
        <v>141</v>
      </c>
      <c r="R566" s="36"/>
      <c r="S566" s="36"/>
      <c r="T566" s="36" t="s">
        <v>141</v>
      </c>
      <c r="U566" s="36"/>
      <c r="V566" s="36"/>
      <c r="W566" s="36"/>
      <c r="X566" s="36"/>
      <c r="Y566" s="36"/>
      <c r="Z566" s="36"/>
      <c r="AA566" s="117"/>
      <c r="AB566" s="36"/>
      <c r="AC566" s="117"/>
      <c r="AD566" s="36" t="s">
        <v>141</v>
      </c>
      <c r="AE566" s="36" t="s">
        <v>141</v>
      </c>
      <c r="AF566" s="117"/>
      <c r="AG566" s="36"/>
      <c r="AH566" s="36"/>
      <c r="AI566" s="117"/>
      <c r="AJ566" s="36"/>
      <c r="AK566" s="36"/>
      <c r="AL566" s="36"/>
      <c r="AM566" s="117"/>
      <c r="AN566" s="117"/>
      <c r="AO566" s="117" t="s">
        <v>141</v>
      </c>
      <c r="AP566" s="117"/>
      <c r="AQ566" s="117"/>
      <c r="AR566" s="117"/>
      <c r="AS566" s="117" t="s">
        <v>141</v>
      </c>
      <c r="AT566" s="117"/>
      <c r="AU566" s="117"/>
      <c r="AV566" s="119">
        <f t="shared" ref="AV566:AV577" si="9">COUNTIF($F566:$AS566, "I")</f>
        <v>11</v>
      </c>
      <c r="AW566" s="119"/>
      <c r="AX566" s="119" t="s">
        <v>2146</v>
      </c>
    </row>
    <row r="567" spans="1:50">
      <c r="A567">
        <v>524</v>
      </c>
      <c r="B567">
        <v>1081</v>
      </c>
      <c r="C567">
        <v>568</v>
      </c>
      <c r="D567" s="7">
        <v>45965</v>
      </c>
      <c r="E567" s="7" t="s">
        <v>1838</v>
      </c>
      <c r="F567" s="10" t="s">
        <v>1837</v>
      </c>
      <c r="G567" s="36"/>
      <c r="H567" s="36" t="s">
        <v>141</v>
      </c>
      <c r="I567" s="36"/>
      <c r="J567" s="36" t="s">
        <v>141</v>
      </c>
      <c r="K567" s="36"/>
      <c r="L567" s="36"/>
      <c r="M567" s="36" t="s">
        <v>141</v>
      </c>
      <c r="N567" s="36" t="s">
        <v>141</v>
      </c>
      <c r="O567" s="117" t="s">
        <v>141</v>
      </c>
      <c r="P567" s="36" t="s">
        <v>141</v>
      </c>
      <c r="Q567" s="36"/>
      <c r="R567" s="36"/>
      <c r="S567" s="36" t="s">
        <v>141</v>
      </c>
      <c r="T567" s="36" t="s">
        <v>141</v>
      </c>
      <c r="U567" s="36"/>
      <c r="V567" s="36"/>
      <c r="W567" s="36"/>
      <c r="X567" s="36"/>
      <c r="Y567" s="36"/>
      <c r="Z567" s="36"/>
      <c r="AA567" s="117"/>
      <c r="AB567" s="36"/>
      <c r="AC567" s="117"/>
      <c r="AD567" s="36" t="s">
        <v>141</v>
      </c>
      <c r="AE567" s="36"/>
      <c r="AF567" s="117"/>
      <c r="AG567" s="36"/>
      <c r="AH567" s="36"/>
      <c r="AI567" s="117"/>
      <c r="AJ567" s="36"/>
      <c r="AK567" s="36" t="s">
        <v>141</v>
      </c>
      <c r="AL567" s="36"/>
      <c r="AM567" s="117"/>
      <c r="AN567" s="117"/>
      <c r="AO567" s="117"/>
      <c r="AP567" s="117"/>
      <c r="AQ567" s="117"/>
      <c r="AR567" s="117"/>
      <c r="AS567" s="117"/>
      <c r="AT567" s="117"/>
      <c r="AU567" s="117"/>
      <c r="AV567" s="119">
        <f t="shared" si="9"/>
        <v>10</v>
      </c>
      <c r="AW567" s="119"/>
      <c r="AX567" s="119" t="s">
        <v>2145</v>
      </c>
    </row>
    <row r="568" spans="1:50">
      <c r="A568">
        <v>525</v>
      </c>
      <c r="B568">
        <v>1082</v>
      </c>
      <c r="C568">
        <v>569</v>
      </c>
      <c r="D568" s="7">
        <v>45967</v>
      </c>
      <c r="E568" s="7" t="s">
        <v>1840</v>
      </c>
      <c r="F568" s="10" t="s">
        <v>1839</v>
      </c>
      <c r="G568" s="36"/>
      <c r="H568" s="36" t="s">
        <v>141</v>
      </c>
      <c r="I568" s="36"/>
      <c r="J568" s="36" t="s">
        <v>141</v>
      </c>
      <c r="K568" s="36"/>
      <c r="L568" s="36"/>
      <c r="M568" s="36" t="s">
        <v>141</v>
      </c>
      <c r="N568" s="36" t="s">
        <v>141</v>
      </c>
      <c r="O568" s="117"/>
      <c r="P568" s="36" t="s">
        <v>141</v>
      </c>
      <c r="Q568" s="36"/>
      <c r="R568" s="36"/>
      <c r="S568" s="36" t="s">
        <v>141</v>
      </c>
      <c r="T568" s="36"/>
      <c r="U568" s="36"/>
      <c r="V568" s="36"/>
      <c r="W568" s="36"/>
      <c r="X568" s="36"/>
      <c r="Y568" s="36"/>
      <c r="Z568" s="36"/>
      <c r="AA568" s="117"/>
      <c r="AB568" s="36"/>
      <c r="AC568" s="117"/>
      <c r="AD568" s="36" t="s">
        <v>141</v>
      </c>
      <c r="AE568" s="36" t="s">
        <v>141</v>
      </c>
      <c r="AF568" s="117"/>
      <c r="AG568" s="36"/>
      <c r="AH568" s="36"/>
      <c r="AI568" s="117"/>
      <c r="AJ568" s="36"/>
      <c r="AK568" s="36" t="s">
        <v>141</v>
      </c>
      <c r="AL568" s="36"/>
      <c r="AM568" s="117"/>
      <c r="AN568" s="117"/>
      <c r="AO568" s="117"/>
      <c r="AP568" s="117"/>
      <c r="AQ568" s="117"/>
      <c r="AR568" s="117"/>
      <c r="AS568" s="117"/>
      <c r="AT568" s="117"/>
      <c r="AU568" s="117"/>
      <c r="AV568" s="119">
        <f t="shared" si="9"/>
        <v>9</v>
      </c>
      <c r="AW568" s="119"/>
      <c r="AX568" s="119" t="s">
        <v>2145</v>
      </c>
    </row>
    <row r="569" spans="1:50">
      <c r="A569">
        <v>526</v>
      </c>
      <c r="B569">
        <v>1083</v>
      </c>
      <c r="C569">
        <v>570</v>
      </c>
      <c r="D569" s="7">
        <v>45967</v>
      </c>
      <c r="E569" s="7" t="s">
        <v>796</v>
      </c>
      <c r="F569" s="10" t="s">
        <v>1841</v>
      </c>
      <c r="G569" s="36"/>
      <c r="H569" s="36"/>
      <c r="I569" s="36"/>
      <c r="J569" s="36" t="s">
        <v>141</v>
      </c>
      <c r="K569" s="36"/>
      <c r="L569" s="36"/>
      <c r="M569" s="36" t="s">
        <v>141</v>
      </c>
      <c r="N569" s="36" t="s">
        <v>141</v>
      </c>
      <c r="O569" s="117" t="s">
        <v>141</v>
      </c>
      <c r="P569" s="36" t="s">
        <v>141</v>
      </c>
      <c r="Q569" s="36"/>
      <c r="R569" s="36"/>
      <c r="S569" s="36" t="s">
        <v>141</v>
      </c>
      <c r="T569" s="36"/>
      <c r="U569" s="36"/>
      <c r="V569" s="36"/>
      <c r="W569" s="36"/>
      <c r="X569" s="36"/>
      <c r="Y569" s="36"/>
      <c r="Z569" s="36"/>
      <c r="AA569" s="117"/>
      <c r="AB569" s="36"/>
      <c r="AC569" s="117"/>
      <c r="AD569" s="36" t="s">
        <v>141</v>
      </c>
      <c r="AE569" s="36" t="s">
        <v>141</v>
      </c>
      <c r="AF569" s="117"/>
      <c r="AG569" s="36"/>
      <c r="AH569" s="36" t="s">
        <v>141</v>
      </c>
      <c r="AI569" s="117"/>
      <c r="AJ569" s="36"/>
      <c r="AK569" s="36"/>
      <c r="AL569" s="36"/>
      <c r="AM569" s="117"/>
      <c r="AN569" s="117"/>
      <c r="AO569" s="117"/>
      <c r="AP569" s="117"/>
      <c r="AQ569" s="117"/>
      <c r="AR569" s="117"/>
      <c r="AS569" s="117"/>
      <c r="AT569" s="117"/>
      <c r="AU569" s="117"/>
      <c r="AV569" s="119">
        <f t="shared" si="9"/>
        <v>9</v>
      </c>
      <c r="AW569" s="119"/>
      <c r="AX569" s="119" t="s">
        <v>2145</v>
      </c>
    </row>
    <row r="570" spans="1:50">
      <c r="A570">
        <v>527</v>
      </c>
      <c r="B570">
        <v>1084</v>
      </c>
      <c r="C570">
        <v>571</v>
      </c>
      <c r="D570" s="7">
        <v>45968</v>
      </c>
      <c r="E570" s="7" t="s">
        <v>1843</v>
      </c>
      <c r="F570" s="10" t="s">
        <v>1842</v>
      </c>
      <c r="G570" s="36" t="s">
        <v>141</v>
      </c>
      <c r="H570" s="36"/>
      <c r="I570" s="36"/>
      <c r="J570" s="36" t="s">
        <v>141</v>
      </c>
      <c r="K570" s="36"/>
      <c r="L570" s="36" t="s">
        <v>141</v>
      </c>
      <c r="M570" s="36" t="s">
        <v>141</v>
      </c>
      <c r="N570" s="36"/>
      <c r="O570" s="117"/>
      <c r="P570" s="36" t="s">
        <v>141</v>
      </c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117"/>
      <c r="AB570" s="36"/>
      <c r="AC570" s="117"/>
      <c r="AD570" s="36"/>
      <c r="AE570" s="36"/>
      <c r="AF570" s="117"/>
      <c r="AG570" s="36"/>
      <c r="AH570" s="36"/>
      <c r="AI570" s="117"/>
      <c r="AJ570" s="36"/>
      <c r="AK570" s="36"/>
      <c r="AL570" s="36"/>
      <c r="AM570" s="117"/>
      <c r="AN570" s="117"/>
      <c r="AO570" s="117"/>
      <c r="AP570" s="117"/>
      <c r="AQ570" s="117"/>
      <c r="AR570" s="117"/>
      <c r="AS570" s="117"/>
      <c r="AT570" s="117"/>
      <c r="AU570" s="117"/>
      <c r="AV570" s="119">
        <f t="shared" si="9"/>
        <v>5</v>
      </c>
      <c r="AW570" s="119"/>
      <c r="AX570" s="119" t="s">
        <v>2145</v>
      </c>
    </row>
    <row r="571" spans="1:50">
      <c r="A571">
        <v>528</v>
      </c>
      <c r="B571">
        <v>1085</v>
      </c>
      <c r="C571">
        <v>572</v>
      </c>
      <c r="D571" s="7">
        <v>45968</v>
      </c>
      <c r="E571" s="7" t="s">
        <v>1846</v>
      </c>
      <c r="F571" s="10" t="s">
        <v>1844</v>
      </c>
      <c r="G571" s="36" t="s">
        <v>141</v>
      </c>
      <c r="H571" s="36"/>
      <c r="I571" s="36"/>
      <c r="J571" s="36" t="s">
        <v>141</v>
      </c>
      <c r="K571" s="36"/>
      <c r="L571" s="36"/>
      <c r="M571" s="36" t="s">
        <v>141</v>
      </c>
      <c r="N571" s="36"/>
      <c r="O571" s="117"/>
      <c r="P571" s="36" t="s">
        <v>141</v>
      </c>
      <c r="Q571" s="36"/>
      <c r="R571" s="36"/>
      <c r="S571" s="36" t="s">
        <v>141</v>
      </c>
      <c r="T571" s="36"/>
      <c r="U571" s="36"/>
      <c r="V571" s="36"/>
      <c r="W571" s="36"/>
      <c r="X571" s="36"/>
      <c r="Y571" s="36"/>
      <c r="Z571" s="36"/>
      <c r="AA571" s="117"/>
      <c r="AB571" s="36"/>
      <c r="AC571" s="117"/>
      <c r="AD571" s="36" t="s">
        <v>141</v>
      </c>
      <c r="AE571" s="36"/>
      <c r="AF571" s="117"/>
      <c r="AG571" s="36"/>
      <c r="AH571" s="36"/>
      <c r="AI571" s="117"/>
      <c r="AJ571" s="36"/>
      <c r="AK571" s="36"/>
      <c r="AL571" s="36"/>
      <c r="AM571" s="117"/>
      <c r="AN571" s="117"/>
      <c r="AO571" s="117"/>
      <c r="AP571" s="117"/>
      <c r="AQ571" s="117"/>
      <c r="AR571" s="117"/>
      <c r="AS571" s="117"/>
      <c r="AT571" s="117"/>
      <c r="AU571" s="117"/>
      <c r="AV571" s="119">
        <f t="shared" si="9"/>
        <v>6</v>
      </c>
      <c r="AW571" s="119"/>
      <c r="AX571" s="119" t="s">
        <v>2145</v>
      </c>
    </row>
    <row r="572" spans="1:50">
      <c r="A572">
        <v>529</v>
      </c>
      <c r="B572">
        <v>1086</v>
      </c>
      <c r="C572">
        <v>573</v>
      </c>
      <c r="D572" s="7">
        <v>45968</v>
      </c>
      <c r="E572" s="7" t="s">
        <v>1848</v>
      </c>
      <c r="F572" s="10" t="s">
        <v>1847</v>
      </c>
      <c r="G572" s="36" t="s">
        <v>141</v>
      </c>
      <c r="H572" s="36"/>
      <c r="I572" s="36"/>
      <c r="J572" s="36" t="s">
        <v>141</v>
      </c>
      <c r="K572" s="36"/>
      <c r="L572" s="36"/>
      <c r="M572" s="36" t="s">
        <v>141</v>
      </c>
      <c r="N572" s="36"/>
      <c r="O572" s="117"/>
      <c r="P572" s="36" t="s">
        <v>141</v>
      </c>
      <c r="Q572" s="36" t="s">
        <v>141</v>
      </c>
      <c r="R572" s="36"/>
      <c r="S572" s="36"/>
      <c r="T572" s="36"/>
      <c r="U572" s="36"/>
      <c r="V572" s="36"/>
      <c r="W572" s="36"/>
      <c r="X572" s="36"/>
      <c r="Y572" s="36" t="s">
        <v>141</v>
      </c>
      <c r="Z572" s="36"/>
      <c r="AA572" s="117" t="s">
        <v>141</v>
      </c>
      <c r="AB572" s="36"/>
      <c r="AC572" s="117"/>
      <c r="AD572" s="36" t="s">
        <v>141</v>
      </c>
      <c r="AE572" s="36"/>
      <c r="AF572" s="117" t="s">
        <v>141</v>
      </c>
      <c r="AG572" s="36"/>
      <c r="AH572" s="36" t="s">
        <v>141</v>
      </c>
      <c r="AI572" s="117"/>
      <c r="AJ572" s="36" t="s">
        <v>141</v>
      </c>
      <c r="AK572" s="36"/>
      <c r="AL572" s="36" t="s">
        <v>141</v>
      </c>
      <c r="AM572" s="117"/>
      <c r="AN572" s="117"/>
      <c r="AO572" s="117"/>
      <c r="AP572" s="117" t="s">
        <v>141</v>
      </c>
      <c r="AQ572" s="117"/>
      <c r="AR572" s="117"/>
      <c r="AS572" s="117" t="s">
        <v>141</v>
      </c>
      <c r="AT572" s="117"/>
      <c r="AU572" s="117"/>
      <c r="AV572" s="119">
        <f t="shared" si="9"/>
        <v>14</v>
      </c>
      <c r="AW572" s="119"/>
      <c r="AX572" s="119" t="s">
        <v>2145</v>
      </c>
    </row>
    <row r="573" spans="1:50">
      <c r="A573">
        <v>530</v>
      </c>
      <c r="B573">
        <v>1087</v>
      </c>
      <c r="C573">
        <v>574</v>
      </c>
      <c r="D573" s="7">
        <v>45968</v>
      </c>
      <c r="E573" s="7" t="s">
        <v>1850</v>
      </c>
      <c r="F573" s="10" t="s">
        <v>1849</v>
      </c>
      <c r="G573" s="36"/>
      <c r="H573" s="36"/>
      <c r="I573" s="36"/>
      <c r="J573" s="36" t="s">
        <v>141</v>
      </c>
      <c r="K573" s="36"/>
      <c r="L573" s="36"/>
      <c r="M573" s="36" t="s">
        <v>141</v>
      </c>
      <c r="N573" s="36"/>
      <c r="O573" s="117"/>
      <c r="P573" s="36" t="s">
        <v>141</v>
      </c>
      <c r="Q573" s="36"/>
      <c r="R573" s="36" t="s">
        <v>141</v>
      </c>
      <c r="S573" s="36"/>
      <c r="T573" s="36"/>
      <c r="U573" s="36"/>
      <c r="V573" s="36"/>
      <c r="W573" s="36"/>
      <c r="X573" s="36"/>
      <c r="Y573" s="36"/>
      <c r="Z573" s="36"/>
      <c r="AA573" s="117"/>
      <c r="AB573" s="36" t="s">
        <v>141</v>
      </c>
      <c r="AC573" s="117"/>
      <c r="AD573" s="36"/>
      <c r="AE573" s="36"/>
      <c r="AF573" s="117"/>
      <c r="AG573" s="36"/>
      <c r="AH573" s="36"/>
      <c r="AI573" s="117"/>
      <c r="AJ573" s="36"/>
      <c r="AK573" s="36"/>
      <c r="AL573" s="36"/>
      <c r="AM573" s="117"/>
      <c r="AN573" s="117"/>
      <c r="AO573" s="117"/>
      <c r="AP573" s="117" t="s">
        <v>141</v>
      </c>
      <c r="AQ573" s="117"/>
      <c r="AR573" s="117"/>
      <c r="AS573" s="117" t="s">
        <v>141</v>
      </c>
      <c r="AT573" s="117"/>
      <c r="AU573" s="117"/>
      <c r="AV573" s="119">
        <f t="shared" si="9"/>
        <v>7</v>
      </c>
      <c r="AW573" s="119"/>
      <c r="AX573" s="119" t="s">
        <v>2145</v>
      </c>
    </row>
    <row r="574" spans="1:50">
      <c r="A574">
        <v>531</v>
      </c>
      <c r="B574">
        <v>1088</v>
      </c>
      <c r="C574">
        <v>575</v>
      </c>
      <c r="D574" s="7">
        <v>45968</v>
      </c>
      <c r="E574" s="7" t="s">
        <v>1820</v>
      </c>
      <c r="F574" s="10" t="s">
        <v>1851</v>
      </c>
      <c r="G574" s="36"/>
      <c r="H574" s="36"/>
      <c r="I574" s="36"/>
      <c r="J574" s="36" t="s">
        <v>141</v>
      </c>
      <c r="K574" s="36"/>
      <c r="L574" s="36"/>
      <c r="M574" s="36" t="s">
        <v>141</v>
      </c>
      <c r="N574" s="36"/>
      <c r="O574" s="117"/>
      <c r="P574" s="36" t="s">
        <v>141</v>
      </c>
      <c r="Q574" s="36"/>
      <c r="R574" s="36" t="s">
        <v>141</v>
      </c>
      <c r="S574" s="36"/>
      <c r="T574" s="36"/>
      <c r="U574" s="36"/>
      <c r="V574" s="36"/>
      <c r="W574" s="36"/>
      <c r="X574" s="36"/>
      <c r="Y574" s="36"/>
      <c r="Z574" s="36"/>
      <c r="AA574" s="117"/>
      <c r="AB574" s="36" t="s">
        <v>141</v>
      </c>
      <c r="AC574" s="117"/>
      <c r="AD574" s="36"/>
      <c r="AE574" s="36"/>
      <c r="AF574" s="117"/>
      <c r="AG574" s="36"/>
      <c r="AH574" s="36"/>
      <c r="AI574" s="117"/>
      <c r="AJ574" s="36"/>
      <c r="AK574" s="36"/>
      <c r="AL574" s="36"/>
      <c r="AM574" s="117"/>
      <c r="AN574" s="117"/>
      <c r="AO574" s="117"/>
      <c r="AP574" s="117" t="s">
        <v>141</v>
      </c>
      <c r="AQ574" s="117"/>
      <c r="AR574" s="117"/>
      <c r="AS574" s="117" t="s">
        <v>141</v>
      </c>
      <c r="AT574" s="117"/>
      <c r="AU574" s="117"/>
      <c r="AV574" s="119">
        <f t="shared" si="9"/>
        <v>7</v>
      </c>
      <c r="AW574" s="119"/>
      <c r="AX574" s="119" t="s">
        <v>2145</v>
      </c>
    </row>
    <row r="575" spans="1:50">
      <c r="A575">
        <v>532</v>
      </c>
      <c r="B575">
        <v>1089</v>
      </c>
      <c r="C575">
        <v>576</v>
      </c>
      <c r="D575" s="7">
        <v>45969</v>
      </c>
      <c r="E575" s="7" t="s">
        <v>1854</v>
      </c>
      <c r="F575" s="10" t="s">
        <v>1853</v>
      </c>
      <c r="G575" s="36"/>
      <c r="H575" s="36"/>
      <c r="I575" s="36"/>
      <c r="J575" s="36" t="s">
        <v>141</v>
      </c>
      <c r="K575" s="36"/>
      <c r="L575" s="36"/>
      <c r="M575" s="36" t="s">
        <v>141</v>
      </c>
      <c r="N575" s="36"/>
      <c r="O575" s="117"/>
      <c r="P575" s="36" t="s">
        <v>141</v>
      </c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117"/>
      <c r="AB575" s="36" t="s">
        <v>141</v>
      </c>
      <c r="AC575" s="117"/>
      <c r="AD575" s="36"/>
      <c r="AE575" s="36"/>
      <c r="AF575" s="117"/>
      <c r="AG575" s="36"/>
      <c r="AH575" s="36"/>
      <c r="AI575" s="117"/>
      <c r="AJ575" s="36" t="s">
        <v>141</v>
      </c>
      <c r="AK575" s="36"/>
      <c r="AL575" s="36"/>
      <c r="AM575" s="117"/>
      <c r="AN575" s="117"/>
      <c r="AO575" s="117"/>
      <c r="AP575" s="117" t="s">
        <v>141</v>
      </c>
      <c r="AQ575" s="117"/>
      <c r="AR575" s="117"/>
      <c r="AS575" s="117" t="s">
        <v>141</v>
      </c>
      <c r="AT575" s="117"/>
      <c r="AU575" s="117"/>
      <c r="AV575" s="119">
        <f t="shared" si="9"/>
        <v>7</v>
      </c>
      <c r="AW575" s="119"/>
      <c r="AX575" s="119" t="s">
        <v>2145</v>
      </c>
    </row>
    <row r="576" spans="1:50">
      <c r="A576">
        <v>533</v>
      </c>
      <c r="B576">
        <v>1090</v>
      </c>
      <c r="C576">
        <v>577</v>
      </c>
      <c r="D576" s="7">
        <v>45969</v>
      </c>
      <c r="E576" s="7" t="s">
        <v>1857</v>
      </c>
      <c r="F576" s="10" t="s">
        <v>1856</v>
      </c>
      <c r="G576" s="36" t="s">
        <v>141</v>
      </c>
      <c r="H576" s="36"/>
      <c r="I576" s="36" t="s">
        <v>141</v>
      </c>
      <c r="J576" s="36" t="s">
        <v>141</v>
      </c>
      <c r="K576" s="36"/>
      <c r="L576" s="36"/>
      <c r="M576" s="36" t="s">
        <v>141</v>
      </c>
      <c r="N576" s="36"/>
      <c r="O576" s="117"/>
      <c r="P576" s="36" t="s">
        <v>141</v>
      </c>
      <c r="Q576" s="36" t="s">
        <v>141</v>
      </c>
      <c r="R576" s="36"/>
      <c r="S576" s="36"/>
      <c r="T576" s="36"/>
      <c r="U576" s="36"/>
      <c r="V576" s="36"/>
      <c r="W576" s="36"/>
      <c r="X576" s="36"/>
      <c r="Y576" s="36"/>
      <c r="Z576" s="36"/>
      <c r="AA576" s="117"/>
      <c r="AB576" s="36" t="s">
        <v>141</v>
      </c>
      <c r="AC576" s="117"/>
      <c r="AD576" s="36"/>
      <c r="AE576" s="36"/>
      <c r="AF576" s="117"/>
      <c r="AG576" s="36"/>
      <c r="AH576" s="36"/>
      <c r="AI576" s="117"/>
      <c r="AJ576" s="36" t="s">
        <v>141</v>
      </c>
      <c r="AK576" s="36"/>
      <c r="AL576" s="36"/>
      <c r="AM576" s="117"/>
      <c r="AN576" s="117"/>
      <c r="AO576" s="117"/>
      <c r="AP576" s="117" t="s">
        <v>141</v>
      </c>
      <c r="AQ576" s="117"/>
      <c r="AR576" s="117"/>
      <c r="AS576" s="117" t="s">
        <v>141</v>
      </c>
      <c r="AT576" s="117"/>
      <c r="AU576" s="117"/>
      <c r="AV576" s="119">
        <f t="shared" si="9"/>
        <v>10</v>
      </c>
      <c r="AW576" s="119"/>
      <c r="AX576" s="119" t="s">
        <v>2145</v>
      </c>
    </row>
    <row r="577" spans="1:50">
      <c r="A577">
        <v>534</v>
      </c>
      <c r="B577">
        <v>1091</v>
      </c>
      <c r="C577">
        <v>578</v>
      </c>
      <c r="D577" s="7">
        <v>45970</v>
      </c>
      <c r="E577" s="7" t="s">
        <v>1859</v>
      </c>
      <c r="F577" s="10" t="s">
        <v>1858</v>
      </c>
      <c r="G577" s="36" t="s">
        <v>141</v>
      </c>
      <c r="H577" s="36"/>
      <c r="I577" s="36" t="s">
        <v>141</v>
      </c>
      <c r="J577" s="36"/>
      <c r="K577" s="36"/>
      <c r="L577" s="36"/>
      <c r="M577" s="36"/>
      <c r="N577" s="36"/>
      <c r="O577" s="117" t="s">
        <v>141</v>
      </c>
      <c r="P577" s="36" t="s">
        <v>141</v>
      </c>
      <c r="Q577" s="36"/>
      <c r="R577" s="36"/>
      <c r="S577" s="36"/>
      <c r="T577" s="36"/>
      <c r="U577" s="36" t="s">
        <v>141</v>
      </c>
      <c r="V577" s="36"/>
      <c r="W577" s="36" t="s">
        <v>141</v>
      </c>
      <c r="X577" s="36"/>
      <c r="Y577" s="36"/>
      <c r="Z577" s="36" t="s">
        <v>141</v>
      </c>
      <c r="AA577" s="117"/>
      <c r="AB577" s="36" t="s">
        <v>141</v>
      </c>
      <c r="AC577" s="117"/>
      <c r="AD577" s="36"/>
      <c r="AE577" s="36"/>
      <c r="AF577" s="117"/>
      <c r="AG577" s="36"/>
      <c r="AH577" s="36" t="s">
        <v>141</v>
      </c>
      <c r="AI577" s="117" t="s">
        <v>141</v>
      </c>
      <c r="AJ577" s="36" t="s">
        <v>141</v>
      </c>
      <c r="AK577" s="36"/>
      <c r="AL577" s="36"/>
      <c r="AM577" s="117"/>
      <c r="AN577" s="117"/>
      <c r="AO577" s="117"/>
      <c r="AP577" s="117" t="s">
        <v>141</v>
      </c>
      <c r="AQ577" s="117" t="s">
        <v>141</v>
      </c>
      <c r="AR577" s="117"/>
      <c r="AS577" s="117" t="s">
        <v>141</v>
      </c>
      <c r="AT577" s="117"/>
      <c r="AU577" s="117"/>
      <c r="AV577" s="119">
        <f t="shared" si="9"/>
        <v>14</v>
      </c>
      <c r="AW577" s="119"/>
      <c r="AX577" s="119" t="s">
        <v>2147</v>
      </c>
    </row>
    <row r="578" spans="1:50">
      <c r="A578">
        <v>535</v>
      </c>
      <c r="B578">
        <v>1092</v>
      </c>
      <c r="C578">
        <v>579</v>
      </c>
      <c r="D578" s="7">
        <v>45971</v>
      </c>
      <c r="E578" s="7" t="s">
        <v>1861</v>
      </c>
      <c r="F578" s="10" t="s">
        <v>1860</v>
      </c>
      <c r="G578" s="36"/>
      <c r="H578" s="36" t="s">
        <v>141</v>
      </c>
      <c r="I578" s="36"/>
      <c r="J578" s="36" t="s">
        <v>141</v>
      </c>
      <c r="K578" s="36"/>
      <c r="L578" s="36"/>
      <c r="M578" s="36"/>
      <c r="N578" s="36"/>
      <c r="O578" s="117"/>
      <c r="P578" s="36" t="s">
        <v>141</v>
      </c>
      <c r="Q578" s="36"/>
      <c r="R578" s="36"/>
      <c r="S578" s="36"/>
      <c r="T578" s="36" t="s">
        <v>141</v>
      </c>
      <c r="U578" s="36"/>
      <c r="V578" s="36"/>
      <c r="W578" s="36" t="s">
        <v>141</v>
      </c>
      <c r="X578" s="36"/>
      <c r="Y578" s="36" t="s">
        <v>141</v>
      </c>
      <c r="Z578" s="36"/>
      <c r="AA578" s="117" t="s">
        <v>141</v>
      </c>
      <c r="AB578" s="36"/>
      <c r="AC578" s="117"/>
      <c r="AD578" s="36" t="s">
        <v>141</v>
      </c>
      <c r="AE578" s="36" t="s">
        <v>141</v>
      </c>
      <c r="AF578" s="117"/>
      <c r="AG578" s="36" t="s">
        <v>141</v>
      </c>
      <c r="AH578" s="36"/>
      <c r="AI578" s="117"/>
      <c r="AJ578" s="36"/>
      <c r="AK578" s="36"/>
      <c r="AL578" s="36"/>
      <c r="AM578" s="117"/>
      <c r="AN578" s="117"/>
      <c r="AO578" s="117"/>
      <c r="AP578" s="117"/>
      <c r="AQ578" s="117"/>
      <c r="AR578" s="117"/>
      <c r="AS578" s="117"/>
      <c r="AT578" s="117"/>
      <c r="AU578" s="117"/>
      <c r="AV578" s="119">
        <f t="shared" ref="AV578:AV584" si="10">COUNTIF($F578:$AS578, "I")</f>
        <v>10</v>
      </c>
      <c r="AW578" s="119"/>
      <c r="AX578" s="119" t="s">
        <v>2147</v>
      </c>
    </row>
    <row r="579" spans="1:50">
      <c r="A579">
        <v>536</v>
      </c>
      <c r="B579">
        <v>1093</v>
      </c>
      <c r="C579">
        <v>580</v>
      </c>
      <c r="D579" s="7">
        <v>45969</v>
      </c>
      <c r="E579" s="7" t="s">
        <v>1051</v>
      </c>
      <c r="F579" s="10" t="s">
        <v>1862</v>
      </c>
      <c r="G579" s="36"/>
      <c r="H579" s="36" t="s">
        <v>141</v>
      </c>
      <c r="I579" s="36"/>
      <c r="J579" s="36" t="s">
        <v>141</v>
      </c>
      <c r="K579" s="36"/>
      <c r="L579" s="36"/>
      <c r="M579" s="36"/>
      <c r="N579" s="36" t="s">
        <v>141</v>
      </c>
      <c r="O579" s="117"/>
      <c r="P579" s="36" t="s">
        <v>141</v>
      </c>
      <c r="Q579" s="36"/>
      <c r="R579" s="36"/>
      <c r="S579" s="36"/>
      <c r="T579" s="36" t="s">
        <v>141</v>
      </c>
      <c r="U579" s="36"/>
      <c r="V579" s="36"/>
      <c r="W579" s="36" t="s">
        <v>141</v>
      </c>
      <c r="X579" s="36"/>
      <c r="Y579" s="36" t="s">
        <v>141</v>
      </c>
      <c r="Z579" s="36" t="s">
        <v>141</v>
      </c>
      <c r="AA579" s="117"/>
      <c r="AB579" s="36"/>
      <c r="AC579" s="117"/>
      <c r="AD579" s="36" t="s">
        <v>141</v>
      </c>
      <c r="AE579" s="36"/>
      <c r="AF579" s="117"/>
      <c r="AG579" s="36"/>
      <c r="AH579" s="36"/>
      <c r="AI579" s="117"/>
      <c r="AJ579" s="36"/>
      <c r="AK579" s="36"/>
      <c r="AL579" s="36"/>
      <c r="AM579" s="117"/>
      <c r="AN579" s="117"/>
      <c r="AO579" s="117"/>
      <c r="AP579" s="117"/>
      <c r="AQ579" s="117"/>
      <c r="AR579" s="117"/>
      <c r="AS579" s="117"/>
      <c r="AT579" s="117"/>
      <c r="AU579" s="117"/>
      <c r="AV579" s="119">
        <f t="shared" si="10"/>
        <v>9</v>
      </c>
      <c r="AW579" s="119"/>
      <c r="AX579" s="119" t="s">
        <v>2147</v>
      </c>
    </row>
    <row r="580" spans="1:50">
      <c r="A580">
        <v>537</v>
      </c>
      <c r="B580">
        <v>1094</v>
      </c>
      <c r="C580">
        <v>581</v>
      </c>
      <c r="D580" s="7">
        <v>45971</v>
      </c>
      <c r="E580" s="7" t="s">
        <v>1864</v>
      </c>
      <c r="F580" s="10" t="s">
        <v>1863</v>
      </c>
      <c r="G580" s="36" t="s">
        <v>141</v>
      </c>
      <c r="H580" s="36" t="s">
        <v>141</v>
      </c>
      <c r="I580" s="36" t="s">
        <v>141</v>
      </c>
      <c r="J580" s="36" t="s">
        <v>141</v>
      </c>
      <c r="K580" s="36" t="s">
        <v>141</v>
      </c>
      <c r="L580" s="36"/>
      <c r="M580" s="36" t="s">
        <v>141</v>
      </c>
      <c r="N580" s="36" t="s">
        <v>141</v>
      </c>
      <c r="O580" s="117"/>
      <c r="P580" s="36" t="s">
        <v>141</v>
      </c>
      <c r="Q580" s="36"/>
      <c r="R580" s="36" t="s">
        <v>141</v>
      </c>
      <c r="S580" s="36" t="s">
        <v>141</v>
      </c>
      <c r="T580" s="36" t="s">
        <v>141</v>
      </c>
      <c r="U580" s="36" t="s">
        <v>141</v>
      </c>
      <c r="V580" s="36"/>
      <c r="W580" s="36" t="s">
        <v>141</v>
      </c>
      <c r="X580" s="36" t="s">
        <v>141</v>
      </c>
      <c r="Y580" s="36" t="s">
        <v>141</v>
      </c>
      <c r="Z580" s="36" t="s">
        <v>141</v>
      </c>
      <c r="AA580" s="117"/>
      <c r="AB580" s="36" t="s">
        <v>141</v>
      </c>
      <c r="AC580" s="117" t="s">
        <v>141</v>
      </c>
      <c r="AD580" s="36" t="s">
        <v>141</v>
      </c>
      <c r="AE580" s="36"/>
      <c r="AF580" s="117" t="s">
        <v>141</v>
      </c>
      <c r="AG580" s="36" t="s">
        <v>141</v>
      </c>
      <c r="AH580" s="36" t="s">
        <v>141</v>
      </c>
      <c r="AI580" s="117" t="s">
        <v>141</v>
      </c>
      <c r="AJ580" s="36" t="s">
        <v>141</v>
      </c>
      <c r="AK580" s="36" t="s">
        <v>141</v>
      </c>
      <c r="AL580" s="36" t="s">
        <v>141</v>
      </c>
      <c r="AM580" s="117" t="s">
        <v>141</v>
      </c>
      <c r="AN580" s="117" t="s">
        <v>141</v>
      </c>
      <c r="AO580" s="117"/>
      <c r="AP580" s="117"/>
      <c r="AQ580" s="117" t="s">
        <v>141</v>
      </c>
      <c r="AR580" s="117"/>
      <c r="AS580" s="117" t="s">
        <v>141</v>
      </c>
      <c r="AT580" s="117"/>
      <c r="AU580" s="117"/>
      <c r="AV580" s="119">
        <f t="shared" si="10"/>
        <v>30</v>
      </c>
      <c r="AW580" s="119"/>
      <c r="AX580" s="119" t="s">
        <v>2147</v>
      </c>
    </row>
    <row r="581" spans="1:50">
      <c r="A581" t="s">
        <v>57</v>
      </c>
      <c r="B581" t="s">
        <v>57</v>
      </c>
      <c r="C581">
        <v>582</v>
      </c>
      <c r="D581" s="7">
        <v>45971</v>
      </c>
      <c r="E581" s="7" t="s">
        <v>2129</v>
      </c>
      <c r="F581" s="10" t="s">
        <v>2130</v>
      </c>
      <c r="G581" s="36" t="s">
        <v>141</v>
      </c>
      <c r="H581" s="36" t="s">
        <v>141</v>
      </c>
      <c r="I581" s="36" t="s">
        <v>141</v>
      </c>
      <c r="J581" s="36" t="s">
        <v>141</v>
      </c>
      <c r="K581" s="36" t="s">
        <v>141</v>
      </c>
      <c r="L581" s="36" t="s">
        <v>2131</v>
      </c>
      <c r="M581" s="36" t="s">
        <v>141</v>
      </c>
      <c r="N581" s="36" t="s">
        <v>141</v>
      </c>
      <c r="O581" s="117" t="s">
        <v>2131</v>
      </c>
      <c r="P581" s="36" t="s">
        <v>141</v>
      </c>
      <c r="Q581" s="36" t="s">
        <v>2131</v>
      </c>
      <c r="R581" s="36" t="s">
        <v>141</v>
      </c>
      <c r="S581" s="36" t="s">
        <v>141</v>
      </c>
      <c r="T581" s="36" t="s">
        <v>141</v>
      </c>
      <c r="U581" s="36" t="s">
        <v>141</v>
      </c>
      <c r="V581" s="36" t="s">
        <v>2131</v>
      </c>
      <c r="W581" s="36" t="s">
        <v>141</v>
      </c>
      <c r="X581" s="36" t="s">
        <v>141</v>
      </c>
      <c r="Y581" s="36" t="s">
        <v>141</v>
      </c>
      <c r="Z581" s="36" t="s">
        <v>141</v>
      </c>
      <c r="AA581" s="117" t="s">
        <v>2131</v>
      </c>
      <c r="AB581" s="36" t="s">
        <v>141</v>
      </c>
      <c r="AC581" s="117" t="s">
        <v>141</v>
      </c>
      <c r="AD581" s="36" t="s">
        <v>141</v>
      </c>
      <c r="AE581" s="36" t="s">
        <v>2131</v>
      </c>
      <c r="AF581" s="117" t="s">
        <v>141</v>
      </c>
      <c r="AG581" s="36" t="s">
        <v>141</v>
      </c>
      <c r="AH581" s="36" t="s">
        <v>141</v>
      </c>
      <c r="AI581" s="117" t="s">
        <v>141</v>
      </c>
      <c r="AJ581" s="36" t="s">
        <v>141</v>
      </c>
      <c r="AK581" s="36" t="s">
        <v>141</v>
      </c>
      <c r="AL581" s="36" t="s">
        <v>141</v>
      </c>
      <c r="AM581" s="117" t="s">
        <v>141</v>
      </c>
      <c r="AN581" s="117" t="s">
        <v>141</v>
      </c>
      <c r="AO581" s="117" t="s">
        <v>2131</v>
      </c>
      <c r="AP581" s="117" t="s">
        <v>2131</v>
      </c>
      <c r="AQ581" s="117" t="s">
        <v>141</v>
      </c>
      <c r="AR581" s="117" t="s">
        <v>2131</v>
      </c>
      <c r="AS581" s="117" t="s">
        <v>141</v>
      </c>
      <c r="AT581" s="117"/>
      <c r="AU581" s="117"/>
      <c r="AV581" s="119">
        <f t="shared" si="10"/>
        <v>30</v>
      </c>
      <c r="AW581" s="119"/>
      <c r="AX581" s="119" t="s">
        <v>2147</v>
      </c>
    </row>
    <row r="582" spans="1:50">
      <c r="A582">
        <v>538</v>
      </c>
      <c r="B582">
        <v>1095</v>
      </c>
      <c r="C582">
        <v>583</v>
      </c>
      <c r="D582" s="7">
        <v>45971</v>
      </c>
      <c r="E582" s="7" t="s">
        <v>1866</v>
      </c>
      <c r="F582" s="10" t="s">
        <v>1865</v>
      </c>
      <c r="G582" s="36"/>
      <c r="H582" s="36" t="s">
        <v>141</v>
      </c>
      <c r="I582" s="36" t="s">
        <v>141</v>
      </c>
      <c r="J582" s="36" t="s">
        <v>141</v>
      </c>
      <c r="K582" s="36" t="s">
        <v>141</v>
      </c>
      <c r="L582" s="36"/>
      <c r="M582" s="36" t="s">
        <v>141</v>
      </c>
      <c r="N582" s="36" t="s">
        <v>141</v>
      </c>
      <c r="O582" s="117"/>
      <c r="P582" s="36" t="s">
        <v>141</v>
      </c>
      <c r="Q582" s="36"/>
      <c r="R582" s="36" t="s">
        <v>141</v>
      </c>
      <c r="S582" s="36" t="s">
        <v>141</v>
      </c>
      <c r="T582" s="36" t="s">
        <v>141</v>
      </c>
      <c r="U582" s="36" t="s">
        <v>141</v>
      </c>
      <c r="V582" s="36"/>
      <c r="W582" s="36" t="s">
        <v>141</v>
      </c>
      <c r="X582" s="36" t="s">
        <v>141</v>
      </c>
      <c r="Y582" s="36" t="s">
        <v>141</v>
      </c>
      <c r="Z582" s="36" t="s">
        <v>141</v>
      </c>
      <c r="AA582" s="117"/>
      <c r="AB582" s="36" t="s">
        <v>141</v>
      </c>
      <c r="AC582" s="117" t="s">
        <v>141</v>
      </c>
      <c r="AD582" s="36" t="s">
        <v>141</v>
      </c>
      <c r="AE582" s="36"/>
      <c r="AF582" s="117" t="s">
        <v>141</v>
      </c>
      <c r="AG582" s="36" t="s">
        <v>141</v>
      </c>
      <c r="AH582" s="36" t="s">
        <v>141</v>
      </c>
      <c r="AI582" s="117" t="s">
        <v>141</v>
      </c>
      <c r="AJ582" s="36" t="s">
        <v>141</v>
      </c>
      <c r="AK582" s="36" t="s">
        <v>141</v>
      </c>
      <c r="AL582" s="36" t="s">
        <v>141</v>
      </c>
      <c r="AM582" s="117" t="s">
        <v>141</v>
      </c>
      <c r="AN582" s="117" t="s">
        <v>141</v>
      </c>
      <c r="AO582" s="117"/>
      <c r="AP582" s="117"/>
      <c r="AQ582" s="117"/>
      <c r="AR582" s="117"/>
      <c r="AS582" s="117" t="s">
        <v>141</v>
      </c>
      <c r="AT582" s="117"/>
      <c r="AU582" s="117"/>
      <c r="AV582" s="119">
        <f t="shared" si="10"/>
        <v>28</v>
      </c>
      <c r="AW582" s="119"/>
      <c r="AX582" s="119" t="s">
        <v>2145</v>
      </c>
    </row>
    <row r="583" spans="1:50">
      <c r="A583">
        <v>539</v>
      </c>
      <c r="B583">
        <v>1096</v>
      </c>
      <c r="C583">
        <v>584</v>
      </c>
      <c r="D583" s="7">
        <v>45971</v>
      </c>
      <c r="E583" s="7" t="s">
        <v>1868</v>
      </c>
      <c r="F583" s="10" t="s">
        <v>1867</v>
      </c>
      <c r="G583" s="36"/>
      <c r="H583" s="36"/>
      <c r="I583" s="36"/>
      <c r="J583" s="36"/>
      <c r="K583" s="36"/>
      <c r="L583" s="36"/>
      <c r="M583" s="36"/>
      <c r="N583" s="36" t="s">
        <v>141</v>
      </c>
      <c r="O583" s="117"/>
      <c r="P583" s="36" t="s">
        <v>141</v>
      </c>
      <c r="Q583" s="36" t="s">
        <v>141</v>
      </c>
      <c r="R583" s="36"/>
      <c r="S583" s="36" t="s">
        <v>141</v>
      </c>
      <c r="T583" s="36" t="s">
        <v>141</v>
      </c>
      <c r="U583" s="36"/>
      <c r="V583" s="36"/>
      <c r="W583" s="36" t="s">
        <v>141</v>
      </c>
      <c r="X583" s="36"/>
      <c r="Y583" s="36"/>
      <c r="Z583" s="36"/>
      <c r="AA583" s="117"/>
      <c r="AB583" s="36"/>
      <c r="AC583" s="117"/>
      <c r="AD583" s="36"/>
      <c r="AE583" s="36" t="s">
        <v>141</v>
      </c>
      <c r="AF583" s="117"/>
      <c r="AG583" s="36"/>
      <c r="AH583" s="36"/>
      <c r="AI583" s="117"/>
      <c r="AJ583" s="36"/>
      <c r="AK583" s="36"/>
      <c r="AL583" s="36"/>
      <c r="AM583" s="117"/>
      <c r="AN583" s="117"/>
      <c r="AO583" s="117" t="s">
        <v>141</v>
      </c>
      <c r="AP583" s="117"/>
      <c r="AQ583" s="117"/>
      <c r="AR583" s="117"/>
      <c r="AS583" s="117"/>
      <c r="AT583" s="117"/>
      <c r="AU583" s="117"/>
      <c r="AV583" s="119">
        <f t="shared" si="10"/>
        <v>8</v>
      </c>
      <c r="AW583" s="119"/>
      <c r="AX583" s="119" t="s">
        <v>2146</v>
      </c>
    </row>
    <row r="584" spans="1:50">
      <c r="A584">
        <v>540</v>
      </c>
      <c r="B584">
        <v>1097</v>
      </c>
      <c r="C584">
        <v>585</v>
      </c>
      <c r="D584" s="7">
        <v>45972</v>
      </c>
      <c r="E584" s="7" t="s">
        <v>1871</v>
      </c>
      <c r="F584" s="10" t="s">
        <v>1869</v>
      </c>
      <c r="G584" s="36" t="s">
        <v>141</v>
      </c>
      <c r="H584" s="36" t="s">
        <v>141</v>
      </c>
      <c r="I584" s="36"/>
      <c r="J584" s="36" t="s">
        <v>141</v>
      </c>
      <c r="K584" s="36"/>
      <c r="L584" s="36"/>
      <c r="M584" s="36"/>
      <c r="N584" s="36"/>
      <c r="O584" s="117"/>
      <c r="P584" s="36" t="s">
        <v>141</v>
      </c>
      <c r="Q584" s="36" t="s">
        <v>141</v>
      </c>
      <c r="R584" s="36"/>
      <c r="S584" s="36" t="s">
        <v>141</v>
      </c>
      <c r="T584" s="36" t="s">
        <v>141</v>
      </c>
      <c r="U584" s="36"/>
      <c r="V584" s="36"/>
      <c r="W584" s="36" t="s">
        <v>141</v>
      </c>
      <c r="X584" s="36" t="s">
        <v>141</v>
      </c>
      <c r="Y584" s="36" t="s">
        <v>141</v>
      </c>
      <c r="Z584" s="36" t="s">
        <v>141</v>
      </c>
      <c r="AA584" s="117"/>
      <c r="AB584" s="36"/>
      <c r="AC584" s="117" t="s">
        <v>141</v>
      </c>
      <c r="AD584" s="36" t="s">
        <v>141</v>
      </c>
      <c r="AE584" s="36"/>
      <c r="AF584" s="117"/>
      <c r="AG584" s="36"/>
      <c r="AH584" s="36"/>
      <c r="AI584" s="117"/>
      <c r="AJ584" s="36"/>
      <c r="AK584" s="36"/>
      <c r="AL584" s="36" t="s">
        <v>141</v>
      </c>
      <c r="AM584" s="117"/>
      <c r="AN584" s="117" t="s">
        <v>141</v>
      </c>
      <c r="AO584" s="117"/>
      <c r="AP584" s="117"/>
      <c r="AQ584" s="117"/>
      <c r="AR584" s="117"/>
      <c r="AS584" s="117"/>
      <c r="AT584" s="117"/>
      <c r="AU584" s="117"/>
      <c r="AV584" s="119">
        <f t="shared" si="10"/>
        <v>15</v>
      </c>
      <c r="AW584" s="119"/>
      <c r="AX584" s="119" t="s">
        <v>2147</v>
      </c>
    </row>
    <row r="585" spans="1:50">
      <c r="A585">
        <v>541</v>
      </c>
      <c r="B585">
        <v>1098</v>
      </c>
      <c r="C585">
        <v>586</v>
      </c>
      <c r="D585" s="7">
        <v>45972</v>
      </c>
      <c r="E585" s="7" t="s">
        <v>1873</v>
      </c>
      <c r="F585" s="10" t="s">
        <v>1872</v>
      </c>
      <c r="G585" s="36" t="s">
        <v>141</v>
      </c>
      <c r="H585" s="36" t="s">
        <v>141</v>
      </c>
      <c r="I585" s="36" t="s">
        <v>141</v>
      </c>
      <c r="J585" s="36" t="s">
        <v>141</v>
      </c>
      <c r="K585" s="36" t="s">
        <v>141</v>
      </c>
      <c r="L585" s="36"/>
      <c r="M585" s="36"/>
      <c r="N585" s="36"/>
      <c r="O585" s="117"/>
      <c r="P585" s="36" t="s">
        <v>141</v>
      </c>
      <c r="Q585" s="36"/>
      <c r="R585" s="36" t="s">
        <v>141</v>
      </c>
      <c r="S585" s="36"/>
      <c r="T585" s="36"/>
      <c r="U585" s="36"/>
      <c r="V585" s="36"/>
      <c r="W585" s="36" t="s">
        <v>141</v>
      </c>
      <c r="X585" s="36" t="s">
        <v>141</v>
      </c>
      <c r="Y585" s="36"/>
      <c r="Z585" s="36" t="s">
        <v>141</v>
      </c>
      <c r="AA585" s="117" t="s">
        <v>141</v>
      </c>
      <c r="AB585" s="36"/>
      <c r="AC585" s="117"/>
      <c r="AD585" s="36" t="s">
        <v>141</v>
      </c>
      <c r="AE585" s="36"/>
      <c r="AF585" s="117"/>
      <c r="AG585" s="36" t="s">
        <v>141</v>
      </c>
      <c r="AH585" s="36"/>
      <c r="AI585" s="117" t="s">
        <v>141</v>
      </c>
      <c r="AJ585" s="36"/>
      <c r="AK585" s="36" t="s">
        <v>141</v>
      </c>
      <c r="AL585" s="36"/>
      <c r="AM585" s="117" t="s">
        <v>141</v>
      </c>
      <c r="AN585" s="117" t="s">
        <v>141</v>
      </c>
      <c r="AO585" s="117"/>
      <c r="AP585" s="117"/>
      <c r="AQ585" s="117"/>
      <c r="AR585" s="117"/>
      <c r="AS585" s="117" t="s">
        <v>141</v>
      </c>
      <c r="AT585" s="117"/>
      <c r="AU585" s="117"/>
      <c r="AV585" s="119">
        <f t="shared" ref="AV585:AV595" si="11">COUNTIF($F585:$AS585, "I")</f>
        <v>18</v>
      </c>
      <c r="AW585" s="119"/>
      <c r="AX585" s="119" t="s">
        <v>2146</v>
      </c>
    </row>
    <row r="586" spans="1:50">
      <c r="A586">
        <v>542</v>
      </c>
      <c r="B586">
        <v>1099</v>
      </c>
      <c r="C586">
        <v>587</v>
      </c>
      <c r="D586" s="7">
        <v>45973</v>
      </c>
      <c r="E586" s="7" t="s">
        <v>1875</v>
      </c>
      <c r="F586" s="10" t="s">
        <v>1874</v>
      </c>
      <c r="G586" s="36" t="s">
        <v>141</v>
      </c>
      <c r="H586" s="36"/>
      <c r="I586" s="36"/>
      <c r="J586" s="36"/>
      <c r="K586" s="36"/>
      <c r="L586" s="36"/>
      <c r="M586" s="36"/>
      <c r="N586" s="36" t="s">
        <v>141</v>
      </c>
      <c r="O586" s="117"/>
      <c r="P586" s="36"/>
      <c r="Q586" s="36"/>
      <c r="R586" s="36"/>
      <c r="S586" s="36"/>
      <c r="T586" s="36" t="s">
        <v>141</v>
      </c>
      <c r="U586" s="36"/>
      <c r="V586" s="36"/>
      <c r="W586" s="36"/>
      <c r="X586" s="36"/>
      <c r="Y586" s="36" t="s">
        <v>141</v>
      </c>
      <c r="Z586" s="36" t="s">
        <v>141</v>
      </c>
      <c r="AA586" s="117"/>
      <c r="AB586" s="36"/>
      <c r="AC586" s="117"/>
      <c r="AD586" s="36" t="s">
        <v>141</v>
      </c>
      <c r="AE586" s="36" t="s">
        <v>141</v>
      </c>
      <c r="AF586" s="117"/>
      <c r="AG586" s="36"/>
      <c r="AH586" s="36"/>
      <c r="AI586" s="117"/>
      <c r="AJ586" s="36"/>
      <c r="AK586" s="36" t="s">
        <v>141</v>
      </c>
      <c r="AL586" s="36"/>
      <c r="AM586" s="117"/>
      <c r="AN586" s="117"/>
      <c r="AO586" s="117"/>
      <c r="AP586" s="117"/>
      <c r="AQ586" s="117" t="s">
        <v>141</v>
      </c>
      <c r="AR586" s="117"/>
      <c r="AS586" s="117" t="s">
        <v>141</v>
      </c>
      <c r="AT586" s="117"/>
      <c r="AU586" s="117"/>
      <c r="AV586" s="119">
        <f t="shared" si="11"/>
        <v>10</v>
      </c>
      <c r="AW586" s="119"/>
      <c r="AX586" s="119" t="s">
        <v>2147</v>
      </c>
    </row>
    <row r="587" spans="1:50">
      <c r="A587">
        <v>543</v>
      </c>
      <c r="B587">
        <v>1100</v>
      </c>
      <c r="C587">
        <v>588</v>
      </c>
      <c r="D587" s="7">
        <v>45972</v>
      </c>
      <c r="E587" s="7" t="s">
        <v>1878</v>
      </c>
      <c r="F587" s="10" t="s">
        <v>1877</v>
      </c>
      <c r="G587" s="36"/>
      <c r="H587" s="36" t="s">
        <v>141</v>
      </c>
      <c r="I587" s="36"/>
      <c r="J587" s="36" t="s">
        <v>141</v>
      </c>
      <c r="K587" s="36" t="s">
        <v>141</v>
      </c>
      <c r="L587" s="36"/>
      <c r="M587" s="36"/>
      <c r="N587" s="36" t="s">
        <v>141</v>
      </c>
      <c r="O587" s="117"/>
      <c r="P587" s="36" t="s">
        <v>141</v>
      </c>
      <c r="Q587" s="36"/>
      <c r="R587" s="36"/>
      <c r="S587" s="36"/>
      <c r="T587" s="36" t="s">
        <v>141</v>
      </c>
      <c r="U587" s="36"/>
      <c r="V587" s="36"/>
      <c r="W587" s="36" t="s">
        <v>141</v>
      </c>
      <c r="X587" s="36"/>
      <c r="Y587" s="36"/>
      <c r="Z587" s="36" t="s">
        <v>141</v>
      </c>
      <c r="AA587" s="117"/>
      <c r="AB587" s="36"/>
      <c r="AC587" s="117"/>
      <c r="AD587" s="36"/>
      <c r="AE587" s="36"/>
      <c r="AF587" s="117"/>
      <c r="AG587" s="36"/>
      <c r="AH587" s="36" t="s">
        <v>141</v>
      </c>
      <c r="AI587" s="117"/>
      <c r="AJ587" s="36"/>
      <c r="AK587" s="36"/>
      <c r="AL587" s="36"/>
      <c r="AM587" s="117" t="s">
        <v>141</v>
      </c>
      <c r="AN587" s="117"/>
      <c r="AO587" s="117"/>
      <c r="AP587" s="117"/>
      <c r="AQ587" s="117"/>
      <c r="AR587" s="117"/>
      <c r="AS587" s="117"/>
      <c r="AT587" s="117"/>
      <c r="AU587" s="117"/>
      <c r="AV587" s="119">
        <f t="shared" si="11"/>
        <v>10</v>
      </c>
      <c r="AW587" s="119"/>
      <c r="AX587" s="119" t="s">
        <v>2147</v>
      </c>
    </row>
    <row r="588" spans="1:50">
      <c r="A588">
        <v>544</v>
      </c>
      <c r="B588">
        <v>1101</v>
      </c>
      <c r="C588">
        <v>589</v>
      </c>
      <c r="D588" s="7">
        <v>45974</v>
      </c>
      <c r="E588" s="7" t="s">
        <v>1880</v>
      </c>
      <c r="F588" s="10" t="s">
        <v>1879</v>
      </c>
      <c r="G588" s="36" t="s">
        <v>141</v>
      </c>
      <c r="H588" s="36" t="s">
        <v>141</v>
      </c>
      <c r="I588" s="36"/>
      <c r="J588" s="36" t="s">
        <v>141</v>
      </c>
      <c r="K588" s="36" t="s">
        <v>141</v>
      </c>
      <c r="L588" s="36"/>
      <c r="M588" s="36"/>
      <c r="N588" s="36" t="s">
        <v>141</v>
      </c>
      <c r="O588" s="117"/>
      <c r="P588" s="36"/>
      <c r="Q588" s="36"/>
      <c r="R588" s="36"/>
      <c r="S588" s="36"/>
      <c r="T588" s="36"/>
      <c r="U588" s="36"/>
      <c r="V588" s="36"/>
      <c r="W588" s="36" t="s">
        <v>141</v>
      </c>
      <c r="X588" s="36"/>
      <c r="Y588" s="36"/>
      <c r="Z588" s="36"/>
      <c r="AA588" s="117"/>
      <c r="AB588" s="36"/>
      <c r="AC588" s="117"/>
      <c r="AD588" s="36" t="s">
        <v>141</v>
      </c>
      <c r="AE588" s="36" t="s">
        <v>141</v>
      </c>
      <c r="AF588" s="117"/>
      <c r="AG588" s="36" t="s">
        <v>141</v>
      </c>
      <c r="AH588" s="36"/>
      <c r="AI588" s="117"/>
      <c r="AJ588" s="36" t="s">
        <v>141</v>
      </c>
      <c r="AK588" s="36"/>
      <c r="AL588" s="36"/>
      <c r="AM588" s="117"/>
      <c r="AN588" s="117" t="s">
        <v>141</v>
      </c>
      <c r="AO588" s="117"/>
      <c r="AP588" s="117"/>
      <c r="AQ588" s="117" t="s">
        <v>141</v>
      </c>
      <c r="AR588" s="117"/>
      <c r="AS588" s="117" t="s">
        <v>141</v>
      </c>
      <c r="AT588" s="117"/>
      <c r="AU588" s="117"/>
      <c r="AV588" s="119">
        <f t="shared" si="11"/>
        <v>13</v>
      </c>
      <c r="AW588" s="119"/>
      <c r="AX588" s="119" t="s">
        <v>2147</v>
      </c>
    </row>
    <row r="589" spans="1:50">
      <c r="A589">
        <v>545</v>
      </c>
      <c r="B589">
        <v>1102</v>
      </c>
      <c r="C589">
        <v>590</v>
      </c>
      <c r="D589" s="7">
        <v>45974</v>
      </c>
      <c r="E589" s="7" t="s">
        <v>1882</v>
      </c>
      <c r="F589" s="10" t="s">
        <v>1881</v>
      </c>
      <c r="G589" s="36"/>
      <c r="H589" s="36"/>
      <c r="I589" s="36"/>
      <c r="J589" s="36"/>
      <c r="K589" s="36" t="s">
        <v>141</v>
      </c>
      <c r="L589" s="36"/>
      <c r="M589" s="36"/>
      <c r="N589" s="36" t="s">
        <v>141</v>
      </c>
      <c r="O589" s="117"/>
      <c r="P589" s="36"/>
      <c r="Q589" s="36"/>
      <c r="R589" s="36"/>
      <c r="S589" s="36"/>
      <c r="T589" s="36" t="s">
        <v>141</v>
      </c>
      <c r="U589" s="36"/>
      <c r="V589" s="36"/>
      <c r="W589" s="36"/>
      <c r="X589" s="36"/>
      <c r="Y589" s="36"/>
      <c r="Z589" s="36" t="s">
        <v>141</v>
      </c>
      <c r="AA589" s="117"/>
      <c r="AB589" s="36"/>
      <c r="AC589" s="117"/>
      <c r="AD589" s="36" t="s">
        <v>141</v>
      </c>
      <c r="AE589" s="36" t="s">
        <v>141</v>
      </c>
      <c r="AF589" s="117"/>
      <c r="AG589" s="36"/>
      <c r="AH589" s="36"/>
      <c r="AI589" s="117"/>
      <c r="AJ589" s="36"/>
      <c r="AK589" s="36"/>
      <c r="AL589" s="36"/>
      <c r="AM589" s="117"/>
      <c r="AN589" s="117"/>
      <c r="AO589" s="117"/>
      <c r="AP589" s="117" t="s">
        <v>141</v>
      </c>
      <c r="AQ589" s="117" t="s">
        <v>141</v>
      </c>
      <c r="AR589" s="117"/>
      <c r="AS589" s="117" t="s">
        <v>141</v>
      </c>
      <c r="AT589" s="117"/>
      <c r="AU589" s="117"/>
      <c r="AV589" s="119">
        <f t="shared" si="11"/>
        <v>9</v>
      </c>
      <c r="AW589" s="119"/>
      <c r="AX589" s="119" t="s">
        <v>2146</v>
      </c>
    </row>
    <row r="590" spans="1:50">
      <c r="A590">
        <v>546</v>
      </c>
      <c r="B590">
        <v>1103</v>
      </c>
      <c r="C590">
        <v>591</v>
      </c>
      <c r="D590" s="7">
        <v>45975</v>
      </c>
      <c r="E590" s="7" t="s">
        <v>471</v>
      </c>
      <c r="F590" s="10" t="s">
        <v>1883</v>
      </c>
      <c r="G590" s="36" t="s">
        <v>141</v>
      </c>
      <c r="H590" s="36" t="s">
        <v>141</v>
      </c>
      <c r="I590" s="36"/>
      <c r="J590" s="36" t="s">
        <v>141</v>
      </c>
      <c r="K590" s="36"/>
      <c r="L590" s="36"/>
      <c r="M590" s="36"/>
      <c r="N590" s="36"/>
      <c r="O590" s="117" t="s">
        <v>141</v>
      </c>
      <c r="P590" s="36" t="s">
        <v>141</v>
      </c>
      <c r="Q590" s="36"/>
      <c r="R590" s="36"/>
      <c r="S590" s="36"/>
      <c r="T590" s="36" t="s">
        <v>141</v>
      </c>
      <c r="U590" s="36"/>
      <c r="V590" s="36"/>
      <c r="W590" s="36"/>
      <c r="X590" s="36"/>
      <c r="Y590" s="36" t="s">
        <v>141</v>
      </c>
      <c r="Z590" s="36"/>
      <c r="AA590" s="117"/>
      <c r="AB590" s="36"/>
      <c r="AC590" s="117"/>
      <c r="AD590" s="36" t="s">
        <v>141</v>
      </c>
      <c r="AE590" s="36"/>
      <c r="AF590" s="117" t="s">
        <v>141</v>
      </c>
      <c r="AG590" s="36" t="s">
        <v>141</v>
      </c>
      <c r="AH590" s="36"/>
      <c r="AI590" s="117"/>
      <c r="AJ590" s="36"/>
      <c r="AK590" s="36"/>
      <c r="AL590" s="36"/>
      <c r="AM590" s="117" t="s">
        <v>141</v>
      </c>
      <c r="AN590" s="117"/>
      <c r="AO590" s="117"/>
      <c r="AP590" s="117"/>
      <c r="AQ590" s="117"/>
      <c r="AR590" s="117"/>
      <c r="AS590" s="117" t="s">
        <v>141</v>
      </c>
      <c r="AT590" s="117"/>
      <c r="AU590" s="117"/>
      <c r="AV590" s="119">
        <f t="shared" si="11"/>
        <v>12</v>
      </c>
      <c r="AW590" s="119"/>
      <c r="AX590" s="119" t="s">
        <v>2146</v>
      </c>
    </row>
    <row r="591" spans="1:50">
      <c r="A591">
        <v>547</v>
      </c>
      <c r="B591">
        <v>1104</v>
      </c>
      <c r="C591">
        <v>592</v>
      </c>
      <c r="D591" s="7">
        <v>45975</v>
      </c>
      <c r="E591" s="7" t="s">
        <v>1885</v>
      </c>
      <c r="F591" s="10" t="s">
        <v>1884</v>
      </c>
      <c r="G591" s="36" t="s">
        <v>141</v>
      </c>
      <c r="H591" s="36" t="s">
        <v>141</v>
      </c>
      <c r="I591" s="36"/>
      <c r="J591" s="36" t="s">
        <v>141</v>
      </c>
      <c r="K591" s="36"/>
      <c r="L591" s="36"/>
      <c r="M591" s="36"/>
      <c r="N591" s="36"/>
      <c r="O591" s="117" t="s">
        <v>141</v>
      </c>
      <c r="P591" s="36" t="s">
        <v>141</v>
      </c>
      <c r="Q591" s="36"/>
      <c r="R591" s="36"/>
      <c r="S591" s="36"/>
      <c r="T591" s="36" t="s">
        <v>141</v>
      </c>
      <c r="U591" s="36"/>
      <c r="V591" s="36"/>
      <c r="W591" s="36"/>
      <c r="X591" s="36" t="s">
        <v>141</v>
      </c>
      <c r="Y591" s="36"/>
      <c r="Z591" s="36" t="s">
        <v>141</v>
      </c>
      <c r="AA591" s="117"/>
      <c r="AB591" s="36"/>
      <c r="AC591" s="117"/>
      <c r="AD591" s="36" t="s">
        <v>141</v>
      </c>
      <c r="AE591" s="36"/>
      <c r="AF591" s="117"/>
      <c r="AG591" s="36" t="s">
        <v>141</v>
      </c>
      <c r="AH591" s="36"/>
      <c r="AI591" s="117"/>
      <c r="AJ591" s="36"/>
      <c r="AK591" s="36"/>
      <c r="AL591" s="36"/>
      <c r="AM591" s="117"/>
      <c r="AN591" s="117"/>
      <c r="AO591" s="117"/>
      <c r="AP591" s="117"/>
      <c r="AQ591" s="117"/>
      <c r="AR591" s="117"/>
      <c r="AS591" s="117"/>
      <c r="AT591" s="117"/>
      <c r="AU591" s="117"/>
      <c r="AV591" s="119">
        <f t="shared" si="11"/>
        <v>10</v>
      </c>
      <c r="AW591" s="119"/>
      <c r="AX591" s="119" t="s">
        <v>2146</v>
      </c>
    </row>
    <row r="592" spans="1:50">
      <c r="A592">
        <v>548</v>
      </c>
      <c r="B592">
        <v>1105</v>
      </c>
      <c r="C592">
        <v>593</v>
      </c>
      <c r="D592" s="7">
        <v>45976</v>
      </c>
      <c r="E592" s="7" t="s">
        <v>1888</v>
      </c>
      <c r="F592" s="10" t="s">
        <v>1886</v>
      </c>
      <c r="G592" s="36"/>
      <c r="H592" s="36" t="s">
        <v>141</v>
      </c>
      <c r="I592" s="36" t="s">
        <v>141</v>
      </c>
      <c r="J592" s="36" t="s">
        <v>141</v>
      </c>
      <c r="K592" s="36" t="s">
        <v>141</v>
      </c>
      <c r="L592" s="36"/>
      <c r="M592" s="36"/>
      <c r="N592" s="36"/>
      <c r="O592" s="117" t="s">
        <v>141</v>
      </c>
      <c r="P592" s="36"/>
      <c r="Q592" s="36"/>
      <c r="R592" s="36"/>
      <c r="S592" s="36"/>
      <c r="T592" s="36"/>
      <c r="U592" s="36" t="s">
        <v>141</v>
      </c>
      <c r="V592" s="36"/>
      <c r="W592" s="36" t="s">
        <v>141</v>
      </c>
      <c r="X592" s="36" t="s">
        <v>141</v>
      </c>
      <c r="Y592" s="36"/>
      <c r="Z592" s="36" t="s">
        <v>141</v>
      </c>
      <c r="AA592" s="117"/>
      <c r="AB592" s="36"/>
      <c r="AC592" s="117"/>
      <c r="AD592" s="36" t="s">
        <v>141</v>
      </c>
      <c r="AE592" s="36"/>
      <c r="AF592" s="117" t="s">
        <v>141</v>
      </c>
      <c r="AG592" s="36"/>
      <c r="AH592" s="36"/>
      <c r="AI592" s="117" t="s">
        <v>141</v>
      </c>
      <c r="AJ592" s="36"/>
      <c r="AK592" s="36"/>
      <c r="AL592" s="36"/>
      <c r="AM592" s="117"/>
      <c r="AN592" s="117" t="s">
        <v>141</v>
      </c>
      <c r="AO592" s="117"/>
      <c r="AP592" s="117"/>
      <c r="AQ592" s="117" t="s">
        <v>141</v>
      </c>
      <c r="AR592" s="117"/>
      <c r="AS592" s="117" t="s">
        <v>141</v>
      </c>
      <c r="AT592" s="117"/>
      <c r="AU592" s="117"/>
      <c r="AV592" s="119">
        <f t="shared" si="11"/>
        <v>15</v>
      </c>
      <c r="AW592" s="119"/>
      <c r="AX592" s="119" t="s">
        <v>2146</v>
      </c>
    </row>
    <row r="593" spans="1:50">
      <c r="A593">
        <v>549</v>
      </c>
      <c r="B593">
        <v>1106</v>
      </c>
      <c r="C593">
        <v>594</v>
      </c>
      <c r="D593" s="7">
        <v>45978</v>
      </c>
      <c r="E593" s="7" t="s">
        <v>1890</v>
      </c>
      <c r="F593" s="10" t="s">
        <v>1889</v>
      </c>
      <c r="G593" s="36"/>
      <c r="H593" s="36" t="s">
        <v>141</v>
      </c>
      <c r="I593" s="36"/>
      <c r="J593" s="36" t="s">
        <v>141</v>
      </c>
      <c r="K593" s="36"/>
      <c r="L593" s="36"/>
      <c r="M593" s="36"/>
      <c r="N593" s="36"/>
      <c r="O593" s="117" t="s">
        <v>141</v>
      </c>
      <c r="P593" s="36" t="s">
        <v>141</v>
      </c>
      <c r="Q593" s="36"/>
      <c r="R593" s="36"/>
      <c r="S593" s="36"/>
      <c r="T593" s="36" t="s">
        <v>141</v>
      </c>
      <c r="U593" s="36"/>
      <c r="V593" s="36"/>
      <c r="W593" s="36"/>
      <c r="X593" s="36"/>
      <c r="Y593" s="36" t="s">
        <v>141</v>
      </c>
      <c r="Z593" s="36" t="s">
        <v>141</v>
      </c>
      <c r="AA593" s="117"/>
      <c r="AB593" s="36"/>
      <c r="AC593" s="117"/>
      <c r="AD593" s="36" t="s">
        <v>141</v>
      </c>
      <c r="AE593" s="36"/>
      <c r="AF593" s="117"/>
      <c r="AG593" s="36" t="s">
        <v>141</v>
      </c>
      <c r="AH593" s="36" t="s">
        <v>141</v>
      </c>
      <c r="AI593" s="117"/>
      <c r="AJ593" s="36"/>
      <c r="AK593" s="36"/>
      <c r="AL593" s="36"/>
      <c r="AM593" s="117"/>
      <c r="AN593" s="117"/>
      <c r="AO593" s="117"/>
      <c r="AP593" s="117"/>
      <c r="AQ593" s="117"/>
      <c r="AR593" s="117"/>
      <c r="AS593" s="117" t="s">
        <v>141</v>
      </c>
      <c r="AT593" s="117"/>
      <c r="AU593" s="117"/>
      <c r="AV593" s="119">
        <f t="shared" si="11"/>
        <v>11</v>
      </c>
      <c r="AW593" s="119"/>
      <c r="AX593" s="119" t="s">
        <v>2146</v>
      </c>
    </row>
    <row r="594" spans="1:50">
      <c r="A594">
        <v>550</v>
      </c>
      <c r="B594">
        <v>1107</v>
      </c>
      <c r="C594">
        <v>595</v>
      </c>
      <c r="D594" s="7">
        <v>45976</v>
      </c>
      <c r="E594" s="7" t="s">
        <v>1893</v>
      </c>
      <c r="F594" s="10" t="s">
        <v>1892</v>
      </c>
      <c r="G594" s="36"/>
      <c r="H594" s="36"/>
      <c r="I594" s="36"/>
      <c r="J594" s="36" t="s">
        <v>141</v>
      </c>
      <c r="K594" s="36"/>
      <c r="L594" s="36"/>
      <c r="M594" s="36"/>
      <c r="N594" s="36" t="s">
        <v>141</v>
      </c>
      <c r="O594" s="117"/>
      <c r="P594" s="36"/>
      <c r="Q594" s="36"/>
      <c r="R594" s="36"/>
      <c r="S594" s="36"/>
      <c r="T594" s="36" t="s">
        <v>141</v>
      </c>
      <c r="U594" s="36"/>
      <c r="V594" s="36"/>
      <c r="W594" s="36" t="s">
        <v>141</v>
      </c>
      <c r="X594" s="36"/>
      <c r="Y594" s="36" t="s">
        <v>141</v>
      </c>
      <c r="Z594" s="36"/>
      <c r="AA594" s="117" t="s">
        <v>141</v>
      </c>
      <c r="AB594" s="36"/>
      <c r="AC594" s="117"/>
      <c r="AD594" s="36" t="s">
        <v>141</v>
      </c>
      <c r="AE594" s="36"/>
      <c r="AF594" s="117"/>
      <c r="AG594" s="36" t="s">
        <v>141</v>
      </c>
      <c r="AH594" s="36"/>
      <c r="AI594" s="117"/>
      <c r="AJ594" s="36"/>
      <c r="AK594" s="36" t="s">
        <v>141</v>
      </c>
      <c r="AL594" s="36"/>
      <c r="AM594" s="117"/>
      <c r="AN594" s="117"/>
      <c r="AO594" s="117"/>
      <c r="AP594" s="117"/>
      <c r="AQ594" s="117"/>
      <c r="AR594" s="117"/>
      <c r="AS594" s="117" t="s">
        <v>141</v>
      </c>
      <c r="AT594" s="117"/>
      <c r="AU594" s="117"/>
      <c r="AV594" s="119">
        <f t="shared" si="11"/>
        <v>10</v>
      </c>
      <c r="AW594" s="119"/>
      <c r="AX594" s="119" t="s">
        <v>2146</v>
      </c>
    </row>
    <row r="595" spans="1:50">
      <c r="A595">
        <v>551</v>
      </c>
      <c r="B595">
        <v>1108</v>
      </c>
      <c r="C595">
        <v>596</v>
      </c>
      <c r="D595" s="7">
        <v>45976</v>
      </c>
      <c r="E595" s="7" t="s">
        <v>1895</v>
      </c>
      <c r="F595" s="10" t="s">
        <v>1894</v>
      </c>
      <c r="G595" s="36"/>
      <c r="H595" s="36"/>
      <c r="I595" s="36"/>
      <c r="J595" s="36" t="s">
        <v>141</v>
      </c>
      <c r="K595" s="36"/>
      <c r="L595" s="36"/>
      <c r="M595" s="36"/>
      <c r="N595" s="36" t="s">
        <v>141</v>
      </c>
      <c r="O595" s="117"/>
      <c r="P595" s="36"/>
      <c r="Q595" s="36"/>
      <c r="R595" s="36"/>
      <c r="S595" s="36"/>
      <c r="T595" s="36" t="s">
        <v>141</v>
      </c>
      <c r="U595" s="36"/>
      <c r="V595" s="36"/>
      <c r="W595" s="36" t="s">
        <v>141</v>
      </c>
      <c r="X595" s="36"/>
      <c r="Y595" s="36" t="s">
        <v>141</v>
      </c>
      <c r="Z595" s="36"/>
      <c r="AA595" s="117" t="s">
        <v>141</v>
      </c>
      <c r="AB595" s="36"/>
      <c r="AC595" s="117"/>
      <c r="AD595" s="36" t="s">
        <v>141</v>
      </c>
      <c r="AE595" s="36"/>
      <c r="AF595" s="117"/>
      <c r="AG595" s="36" t="s">
        <v>141</v>
      </c>
      <c r="AH595" s="36"/>
      <c r="AI595" s="117"/>
      <c r="AJ595" s="36"/>
      <c r="AK595" s="36" t="s">
        <v>141</v>
      </c>
      <c r="AL595" s="36"/>
      <c r="AM595" s="117"/>
      <c r="AN595" s="117"/>
      <c r="AO595" s="117"/>
      <c r="AP595" s="117"/>
      <c r="AQ595" s="117"/>
      <c r="AR595" s="117"/>
      <c r="AS595" s="117" t="s">
        <v>141</v>
      </c>
      <c r="AT595" s="117"/>
      <c r="AU595" s="117"/>
      <c r="AV595" s="119">
        <f t="shared" si="11"/>
        <v>10</v>
      </c>
      <c r="AW595" s="119"/>
      <c r="AX595" s="119" t="s">
        <v>2146</v>
      </c>
    </row>
    <row r="596" spans="1:50">
      <c r="A596">
        <v>552</v>
      </c>
      <c r="B596">
        <v>1109</v>
      </c>
      <c r="C596">
        <v>597</v>
      </c>
      <c r="D596" s="7">
        <v>45978</v>
      </c>
      <c r="E596" s="7" t="s">
        <v>1897</v>
      </c>
      <c r="F596" s="10" t="s">
        <v>1896</v>
      </c>
      <c r="G596" s="36" t="s">
        <v>141</v>
      </c>
      <c r="H596" s="36" t="s">
        <v>141</v>
      </c>
      <c r="I596" s="36" t="s">
        <v>141</v>
      </c>
      <c r="J596" s="36" t="s">
        <v>141</v>
      </c>
      <c r="K596" s="36" t="s">
        <v>141</v>
      </c>
      <c r="L596" s="36" t="s">
        <v>141</v>
      </c>
      <c r="M596" s="36"/>
      <c r="N596" s="36" t="s">
        <v>141</v>
      </c>
      <c r="O596" s="117" t="s">
        <v>141</v>
      </c>
      <c r="P596" s="36" t="s">
        <v>141</v>
      </c>
      <c r="Q596" s="36"/>
      <c r="R596" s="36" t="s">
        <v>141</v>
      </c>
      <c r="S596" s="36" t="s">
        <v>141</v>
      </c>
      <c r="T596" s="36" t="s">
        <v>141</v>
      </c>
      <c r="U596" s="36"/>
      <c r="V596" s="36"/>
      <c r="W596" s="36"/>
      <c r="X596" s="36" t="s">
        <v>141</v>
      </c>
      <c r="Y596" s="36"/>
      <c r="Z596" s="36" t="s">
        <v>141</v>
      </c>
      <c r="AA596" s="117"/>
      <c r="AB596" s="36"/>
      <c r="AC596" s="117" t="s">
        <v>141</v>
      </c>
      <c r="AD596" s="36" t="s">
        <v>141</v>
      </c>
      <c r="AE596" s="36" t="s">
        <v>141</v>
      </c>
      <c r="AF596" s="117"/>
      <c r="AG596" s="36" t="s">
        <v>141</v>
      </c>
      <c r="AH596" s="36" t="s">
        <v>141</v>
      </c>
      <c r="AI596" s="117" t="s">
        <v>141</v>
      </c>
      <c r="AJ596" s="36"/>
      <c r="AK596" s="36"/>
      <c r="AL596" s="36"/>
      <c r="AM596" s="117" t="s">
        <v>141</v>
      </c>
      <c r="AN596" s="117" t="s">
        <v>141</v>
      </c>
      <c r="AO596" s="117" t="s">
        <v>141</v>
      </c>
      <c r="AP596" s="117" t="s">
        <v>141</v>
      </c>
      <c r="AQ596" s="117"/>
      <c r="AR596" s="117"/>
      <c r="AS596" s="117" t="s">
        <v>141</v>
      </c>
      <c r="AT596" s="117"/>
      <c r="AU596" s="117"/>
      <c r="AV596" s="119">
        <f t="shared" ref="AV596:AV610" si="12">COUNTIF($F596:$AS596, "I")</f>
        <v>25</v>
      </c>
      <c r="AW596" s="119"/>
      <c r="AX596" s="119" t="s">
        <v>2146</v>
      </c>
    </row>
    <row r="597" spans="1:50">
      <c r="A597" t="s">
        <v>57</v>
      </c>
      <c r="B597" t="s">
        <v>57</v>
      </c>
      <c r="C597">
        <v>598</v>
      </c>
      <c r="D597" s="7">
        <v>45978</v>
      </c>
      <c r="E597" s="7" t="s">
        <v>2129</v>
      </c>
      <c r="F597" s="10" t="s">
        <v>2130</v>
      </c>
      <c r="G597" s="36" t="s">
        <v>141</v>
      </c>
      <c r="H597" s="36" t="s">
        <v>141</v>
      </c>
      <c r="I597" s="36" t="s">
        <v>141</v>
      </c>
      <c r="J597" s="36" t="s">
        <v>141</v>
      </c>
      <c r="K597" s="36" t="s">
        <v>141</v>
      </c>
      <c r="L597" s="36" t="s">
        <v>141</v>
      </c>
      <c r="M597" s="36" t="s">
        <v>2131</v>
      </c>
      <c r="N597" s="36" t="s">
        <v>141</v>
      </c>
      <c r="O597" s="117" t="s">
        <v>141</v>
      </c>
      <c r="P597" s="36" t="s">
        <v>141</v>
      </c>
      <c r="Q597" s="36" t="s">
        <v>2131</v>
      </c>
      <c r="R597" s="36" t="s">
        <v>141</v>
      </c>
      <c r="S597" s="36" t="s">
        <v>141</v>
      </c>
      <c r="T597" s="36" t="s">
        <v>141</v>
      </c>
      <c r="U597" s="36" t="s">
        <v>141</v>
      </c>
      <c r="V597" s="36" t="s">
        <v>2131</v>
      </c>
      <c r="W597" s="36" t="s">
        <v>2131</v>
      </c>
      <c r="X597" s="36" t="s">
        <v>141</v>
      </c>
      <c r="Y597" s="36" t="s">
        <v>2131</v>
      </c>
      <c r="Z597" s="36" t="s">
        <v>141</v>
      </c>
      <c r="AA597" s="117" t="s">
        <v>2131</v>
      </c>
      <c r="AB597" s="36" t="s">
        <v>2131</v>
      </c>
      <c r="AC597" s="117" t="s">
        <v>141</v>
      </c>
      <c r="AD597" s="36" t="s">
        <v>141</v>
      </c>
      <c r="AE597" s="36" t="s">
        <v>141</v>
      </c>
      <c r="AF597" s="117" t="s">
        <v>2131</v>
      </c>
      <c r="AG597" s="36" t="s">
        <v>141</v>
      </c>
      <c r="AH597" s="36" t="s">
        <v>141</v>
      </c>
      <c r="AI597" s="117" t="s">
        <v>141</v>
      </c>
      <c r="AJ597" s="36" t="s">
        <v>2131</v>
      </c>
      <c r="AK597" s="36" t="s">
        <v>2131</v>
      </c>
      <c r="AL597" s="36" t="s">
        <v>2131</v>
      </c>
      <c r="AM597" s="117" t="s">
        <v>141</v>
      </c>
      <c r="AN597" s="117" t="s">
        <v>141</v>
      </c>
      <c r="AO597" s="117" t="s">
        <v>141</v>
      </c>
      <c r="AP597" s="117" t="s">
        <v>141</v>
      </c>
      <c r="AQ597" s="117" t="s">
        <v>141</v>
      </c>
      <c r="AR597" s="117" t="s">
        <v>2131</v>
      </c>
      <c r="AS597" s="117" t="s">
        <v>141</v>
      </c>
      <c r="AT597" s="117" t="s">
        <v>141</v>
      </c>
      <c r="AU597" s="117" t="s">
        <v>2131</v>
      </c>
      <c r="AV597" s="119">
        <f t="shared" si="12"/>
        <v>27</v>
      </c>
      <c r="AW597" s="119"/>
      <c r="AX597" s="119" t="s">
        <v>2147</v>
      </c>
    </row>
    <row r="598" spans="1:50">
      <c r="A598">
        <v>553</v>
      </c>
      <c r="B598">
        <v>1110</v>
      </c>
      <c r="C598">
        <v>599</v>
      </c>
      <c r="D598" s="7">
        <v>45979</v>
      </c>
      <c r="E598" s="7" t="s">
        <v>1899</v>
      </c>
      <c r="F598" s="10" t="s">
        <v>1898</v>
      </c>
      <c r="G598" s="36"/>
      <c r="H598" s="36" t="s">
        <v>141</v>
      </c>
      <c r="I598" s="36"/>
      <c r="J598" s="36"/>
      <c r="K598" s="36"/>
      <c r="L598" s="36" t="s">
        <v>141</v>
      </c>
      <c r="M598" s="36"/>
      <c r="N598" s="36"/>
      <c r="O598" s="117" t="s">
        <v>141</v>
      </c>
      <c r="P598" s="36"/>
      <c r="Q598" s="36"/>
      <c r="R598" s="36"/>
      <c r="S598" s="36"/>
      <c r="T598" s="36" t="s">
        <v>141</v>
      </c>
      <c r="U598" s="36"/>
      <c r="V598" s="36"/>
      <c r="W598" s="36"/>
      <c r="X598" s="36"/>
      <c r="Y598" s="36"/>
      <c r="Z598" s="36"/>
      <c r="AA598" s="117"/>
      <c r="AB598" s="36"/>
      <c r="AC598" s="117" t="s">
        <v>141</v>
      </c>
      <c r="AD598" s="36"/>
      <c r="AE598" s="36"/>
      <c r="AF598" s="117"/>
      <c r="AG598" s="36"/>
      <c r="AH598" s="36"/>
      <c r="AI598" s="117"/>
      <c r="AJ598" s="36"/>
      <c r="AK598" s="36"/>
      <c r="AL598" s="36"/>
      <c r="AM598" s="117" t="s">
        <v>141</v>
      </c>
      <c r="AN598" s="117"/>
      <c r="AO598" s="117"/>
      <c r="AP598" s="117" t="s">
        <v>141</v>
      </c>
      <c r="AQ598" s="117"/>
      <c r="AR598" s="117"/>
      <c r="AS598" s="117" t="s">
        <v>141</v>
      </c>
      <c r="AT598" s="117"/>
      <c r="AU598" s="117"/>
      <c r="AV598" s="119">
        <f t="shared" si="12"/>
        <v>8</v>
      </c>
      <c r="AW598" s="119"/>
      <c r="AX598" s="119" t="s">
        <v>2146</v>
      </c>
    </row>
    <row r="599" spans="1:50">
      <c r="A599">
        <v>554</v>
      </c>
      <c r="B599">
        <v>1111</v>
      </c>
      <c r="C599">
        <v>600</v>
      </c>
      <c r="D599" s="7">
        <v>45979</v>
      </c>
      <c r="E599" s="7" t="s">
        <v>1901</v>
      </c>
      <c r="F599" s="10" t="s">
        <v>1900</v>
      </c>
      <c r="G599" s="36"/>
      <c r="H599" s="36" t="s">
        <v>141</v>
      </c>
      <c r="I599" s="36"/>
      <c r="J599" s="36" t="s">
        <v>141</v>
      </c>
      <c r="K599" s="36"/>
      <c r="L599" s="36"/>
      <c r="M599" s="36"/>
      <c r="N599" s="36"/>
      <c r="O599" s="117"/>
      <c r="P599" s="36" t="s">
        <v>141</v>
      </c>
      <c r="Q599" s="36"/>
      <c r="R599" s="36"/>
      <c r="S599" s="36" t="s">
        <v>141</v>
      </c>
      <c r="T599" s="36" t="s">
        <v>141</v>
      </c>
      <c r="U599" s="36"/>
      <c r="V599" s="36"/>
      <c r="W599" s="36" t="s">
        <v>141</v>
      </c>
      <c r="X599" s="36"/>
      <c r="Y599" s="36" t="s">
        <v>141</v>
      </c>
      <c r="Z599" s="36"/>
      <c r="AA599" s="117" t="s">
        <v>141</v>
      </c>
      <c r="AB599" s="36"/>
      <c r="AC599" s="117"/>
      <c r="AD599" s="36"/>
      <c r="AE599" s="36" t="s">
        <v>141</v>
      </c>
      <c r="AF599" s="117"/>
      <c r="AG599" s="36" t="s">
        <v>141</v>
      </c>
      <c r="AH599" s="36" t="s">
        <v>141</v>
      </c>
      <c r="AI599" s="117"/>
      <c r="AJ599" s="36"/>
      <c r="AK599" s="36"/>
      <c r="AL599" s="36"/>
      <c r="AM599" s="117"/>
      <c r="AN599" s="117"/>
      <c r="AO599" s="117"/>
      <c r="AP599" s="117"/>
      <c r="AQ599" s="117"/>
      <c r="AR599" s="117"/>
      <c r="AS599" s="117" t="s">
        <v>141</v>
      </c>
      <c r="AT599" s="117"/>
      <c r="AU599" s="117"/>
      <c r="AV599" s="119">
        <f t="shared" si="12"/>
        <v>12</v>
      </c>
      <c r="AW599" s="119"/>
      <c r="AX599" s="119" t="s">
        <v>2146</v>
      </c>
    </row>
    <row r="600" spans="1:50">
      <c r="A600">
        <v>555</v>
      </c>
      <c r="B600">
        <v>1112</v>
      </c>
      <c r="C600">
        <v>601</v>
      </c>
      <c r="D600" s="7">
        <v>45980</v>
      </c>
      <c r="E600" s="7" t="s">
        <v>1903</v>
      </c>
      <c r="F600" s="10" t="s">
        <v>1902</v>
      </c>
      <c r="G600" s="36" t="s">
        <v>141</v>
      </c>
      <c r="H600" s="36" t="s">
        <v>141</v>
      </c>
      <c r="I600" s="36"/>
      <c r="J600" s="36" t="s">
        <v>141</v>
      </c>
      <c r="K600" s="36" t="s">
        <v>141</v>
      </c>
      <c r="L600" s="36" t="s">
        <v>141</v>
      </c>
      <c r="M600" s="36"/>
      <c r="N600" s="36"/>
      <c r="O600" s="117"/>
      <c r="P600" s="36" t="s">
        <v>141</v>
      </c>
      <c r="Q600" s="36"/>
      <c r="R600" s="36"/>
      <c r="S600" s="36"/>
      <c r="T600" s="36"/>
      <c r="U600" s="36"/>
      <c r="V600" s="36"/>
      <c r="W600" s="36" t="s">
        <v>141</v>
      </c>
      <c r="X600" s="36"/>
      <c r="Y600" s="36"/>
      <c r="Z600" s="36" t="s">
        <v>141</v>
      </c>
      <c r="AA600" s="117"/>
      <c r="AB600" s="36"/>
      <c r="AC600" s="117"/>
      <c r="AD600" s="36"/>
      <c r="AE600" s="36"/>
      <c r="AF600" s="117"/>
      <c r="AG600" s="36" t="s">
        <v>141</v>
      </c>
      <c r="AH600" s="36"/>
      <c r="AI600" s="117"/>
      <c r="AJ600" s="36" t="s">
        <v>141</v>
      </c>
      <c r="AK600" s="36" t="s">
        <v>141</v>
      </c>
      <c r="AL600" s="36"/>
      <c r="AM600" s="117" t="s">
        <v>141</v>
      </c>
      <c r="AN600" s="117" t="s">
        <v>141</v>
      </c>
      <c r="AO600" s="117"/>
      <c r="AP600" s="117"/>
      <c r="AQ600" s="117"/>
      <c r="AR600" s="117"/>
      <c r="AS600" s="117" t="s">
        <v>141</v>
      </c>
      <c r="AT600" s="117"/>
      <c r="AU600" s="117"/>
      <c r="AV600" s="119">
        <f t="shared" si="12"/>
        <v>14</v>
      </c>
      <c r="AW600" s="119"/>
      <c r="AX600" s="119" t="s">
        <v>2145</v>
      </c>
    </row>
    <row r="601" spans="1:50">
      <c r="A601">
        <v>556</v>
      </c>
      <c r="B601">
        <v>1113</v>
      </c>
      <c r="C601">
        <v>602</v>
      </c>
      <c r="D601" s="7">
        <v>45980</v>
      </c>
      <c r="E601" s="7" t="s">
        <v>1905</v>
      </c>
      <c r="F601" s="10" t="s">
        <v>1904</v>
      </c>
      <c r="G601" s="36"/>
      <c r="H601" s="36" t="s">
        <v>141</v>
      </c>
      <c r="I601" s="36"/>
      <c r="J601" s="36" t="s">
        <v>141</v>
      </c>
      <c r="K601" s="36"/>
      <c r="L601" s="36" t="s">
        <v>141</v>
      </c>
      <c r="M601" s="36" t="s">
        <v>141</v>
      </c>
      <c r="N601" s="36"/>
      <c r="O601" s="117" t="s">
        <v>141</v>
      </c>
      <c r="P601" s="36" t="s">
        <v>141</v>
      </c>
      <c r="Q601" s="36"/>
      <c r="R601" s="36"/>
      <c r="S601" s="36" t="s">
        <v>141</v>
      </c>
      <c r="T601" s="36" t="s">
        <v>141</v>
      </c>
      <c r="U601" s="36"/>
      <c r="V601" s="36"/>
      <c r="W601" s="36"/>
      <c r="X601" s="36"/>
      <c r="Y601" s="36"/>
      <c r="Z601" s="36"/>
      <c r="AA601" s="117"/>
      <c r="AB601" s="36"/>
      <c r="AC601" s="117"/>
      <c r="AD601" s="36" t="s">
        <v>141</v>
      </c>
      <c r="AE601" s="36"/>
      <c r="AF601" s="117"/>
      <c r="AG601" s="36"/>
      <c r="AH601" s="36" t="s">
        <v>141</v>
      </c>
      <c r="AI601" s="117"/>
      <c r="AJ601" s="36"/>
      <c r="AK601" s="36" t="s">
        <v>141</v>
      </c>
      <c r="AL601" s="36"/>
      <c r="AM601" s="117" t="s">
        <v>141</v>
      </c>
      <c r="AN601" s="117"/>
      <c r="AO601" s="117"/>
      <c r="AP601" s="117"/>
      <c r="AQ601" s="117"/>
      <c r="AR601" s="117"/>
      <c r="AS601" s="117"/>
      <c r="AT601" s="117"/>
      <c r="AU601" s="117"/>
      <c r="AV601" s="119">
        <f t="shared" si="12"/>
        <v>12</v>
      </c>
      <c r="AW601" s="119"/>
      <c r="AX601" s="119" t="s">
        <v>2145</v>
      </c>
    </row>
    <row r="602" spans="1:50">
      <c r="A602">
        <v>557</v>
      </c>
      <c r="B602">
        <v>1114</v>
      </c>
      <c r="C602">
        <v>603</v>
      </c>
      <c r="D602" s="7">
        <v>45981</v>
      </c>
      <c r="E602" s="7" t="s">
        <v>1118</v>
      </c>
      <c r="F602" s="10" t="s">
        <v>1906</v>
      </c>
      <c r="G602" s="36"/>
      <c r="H602" s="36" t="s">
        <v>141</v>
      </c>
      <c r="I602" s="36"/>
      <c r="J602" s="36" t="s">
        <v>141</v>
      </c>
      <c r="K602" s="36"/>
      <c r="L602" s="36"/>
      <c r="M602" s="36"/>
      <c r="N602" s="36"/>
      <c r="O602" s="117" t="s">
        <v>141</v>
      </c>
      <c r="P602" s="36" t="s">
        <v>141</v>
      </c>
      <c r="Q602" s="36"/>
      <c r="R602" s="36"/>
      <c r="S602" s="36" t="s">
        <v>141</v>
      </c>
      <c r="T602" s="36" t="s">
        <v>141</v>
      </c>
      <c r="U602" s="36"/>
      <c r="V602" s="36"/>
      <c r="W602" s="36"/>
      <c r="X602" s="36"/>
      <c r="Y602" s="36"/>
      <c r="Z602" s="36"/>
      <c r="AA602" s="117"/>
      <c r="AB602" s="36"/>
      <c r="AC602" s="117"/>
      <c r="AD602" s="36" t="s">
        <v>141</v>
      </c>
      <c r="AE602" s="36"/>
      <c r="AF602" s="117"/>
      <c r="AG602" s="36"/>
      <c r="AH602" s="36" t="s">
        <v>141</v>
      </c>
      <c r="AI602" s="117"/>
      <c r="AJ602" s="36"/>
      <c r="AK602" s="36" t="s">
        <v>141</v>
      </c>
      <c r="AL602" s="36"/>
      <c r="AM602" s="117" t="s">
        <v>141</v>
      </c>
      <c r="AN602" s="117"/>
      <c r="AO602" s="117"/>
      <c r="AP602" s="117"/>
      <c r="AQ602" s="117"/>
      <c r="AR602" s="117"/>
      <c r="AS602" s="117"/>
      <c r="AT602" s="117"/>
      <c r="AU602" s="117"/>
      <c r="AV602" s="119">
        <f t="shared" si="12"/>
        <v>10</v>
      </c>
      <c r="AW602" s="119"/>
      <c r="AX602" s="119" t="s">
        <v>2145</v>
      </c>
    </row>
    <row r="603" spans="1:50">
      <c r="A603">
        <v>558</v>
      </c>
      <c r="B603">
        <v>1115</v>
      </c>
      <c r="C603">
        <v>604</v>
      </c>
      <c r="D603" s="7">
        <v>45981</v>
      </c>
      <c r="E603" s="7" t="s">
        <v>1908</v>
      </c>
      <c r="F603" s="10" t="s">
        <v>1907</v>
      </c>
      <c r="G603" s="36"/>
      <c r="H603" s="36" t="s">
        <v>141</v>
      </c>
      <c r="I603" s="36"/>
      <c r="J603" s="36" t="s">
        <v>141</v>
      </c>
      <c r="K603" s="36"/>
      <c r="L603" s="36"/>
      <c r="M603" s="36" t="s">
        <v>141</v>
      </c>
      <c r="N603" s="36"/>
      <c r="O603" s="117" t="s">
        <v>141</v>
      </c>
      <c r="P603" s="36" t="s">
        <v>141</v>
      </c>
      <c r="Q603" s="36"/>
      <c r="R603" s="36"/>
      <c r="S603" s="36" t="s">
        <v>141</v>
      </c>
      <c r="T603" s="36" t="s">
        <v>141</v>
      </c>
      <c r="U603" s="36"/>
      <c r="V603" s="36"/>
      <c r="W603" s="36"/>
      <c r="X603" s="36"/>
      <c r="Y603" s="36"/>
      <c r="Z603" s="36"/>
      <c r="AA603" s="117"/>
      <c r="AB603" s="36"/>
      <c r="AC603" s="117"/>
      <c r="AD603" s="36"/>
      <c r="AE603" s="36"/>
      <c r="AF603" s="117"/>
      <c r="AG603" s="36"/>
      <c r="AH603" s="36" t="s">
        <v>141</v>
      </c>
      <c r="AI603" s="117"/>
      <c r="AJ603" s="36"/>
      <c r="AK603" s="36" t="s">
        <v>141</v>
      </c>
      <c r="AL603" s="36"/>
      <c r="AM603" s="117"/>
      <c r="AN603" s="117" t="s">
        <v>141</v>
      </c>
      <c r="AO603" s="117"/>
      <c r="AP603" s="117"/>
      <c r="AQ603" s="117"/>
      <c r="AR603" s="117"/>
      <c r="AS603" s="117"/>
      <c r="AT603" s="117"/>
      <c r="AU603" s="117"/>
      <c r="AV603" s="119">
        <f t="shared" si="12"/>
        <v>10</v>
      </c>
      <c r="AW603" s="119"/>
      <c r="AX603" s="119" t="s">
        <v>2145</v>
      </c>
    </row>
    <row r="604" spans="1:50">
      <c r="A604">
        <v>559</v>
      </c>
      <c r="B604">
        <v>1116</v>
      </c>
      <c r="C604">
        <v>605</v>
      </c>
      <c r="D604" s="7">
        <v>45982</v>
      </c>
      <c r="E604" s="7" t="s">
        <v>1910</v>
      </c>
      <c r="F604" s="10" t="s">
        <v>1909</v>
      </c>
      <c r="G604" s="36" t="s">
        <v>141</v>
      </c>
      <c r="H604" s="36"/>
      <c r="I604" s="36"/>
      <c r="J604" s="36" t="s">
        <v>141</v>
      </c>
      <c r="K604" s="36"/>
      <c r="L604" s="36"/>
      <c r="M604" s="36" t="s">
        <v>141</v>
      </c>
      <c r="N604" s="36"/>
      <c r="O604" s="117"/>
      <c r="P604" s="36"/>
      <c r="Q604" s="36"/>
      <c r="R604" s="36"/>
      <c r="S604" s="36"/>
      <c r="T604" s="36"/>
      <c r="U604" s="36"/>
      <c r="V604" s="36"/>
      <c r="W604" s="36" t="s">
        <v>141</v>
      </c>
      <c r="X604" s="36"/>
      <c r="Y604" s="36"/>
      <c r="Z604" s="36" t="s">
        <v>141</v>
      </c>
      <c r="AA604" s="117"/>
      <c r="AB604" s="36"/>
      <c r="AC604" s="117" t="s">
        <v>141</v>
      </c>
      <c r="AD604" s="36"/>
      <c r="AE604" s="36"/>
      <c r="AF604" s="117" t="s">
        <v>141</v>
      </c>
      <c r="AG604" s="36"/>
      <c r="AH604" s="36"/>
      <c r="AI604" s="117"/>
      <c r="AJ604" s="36"/>
      <c r="AK604" s="36"/>
      <c r="AL604" s="36"/>
      <c r="AM604" s="117"/>
      <c r="AN604" s="117"/>
      <c r="AO604" s="117"/>
      <c r="AP604" s="117"/>
      <c r="AQ604" s="117" t="s">
        <v>141</v>
      </c>
      <c r="AR604" s="117"/>
      <c r="AS604" s="117" t="s">
        <v>141</v>
      </c>
      <c r="AT604" s="117"/>
      <c r="AU604" s="117"/>
      <c r="AV604" s="119">
        <f t="shared" si="12"/>
        <v>9</v>
      </c>
      <c r="AW604" s="119"/>
      <c r="AX604" s="119" t="s">
        <v>2145</v>
      </c>
    </row>
    <row r="605" spans="1:50">
      <c r="A605">
        <v>560</v>
      </c>
      <c r="B605">
        <v>1117</v>
      </c>
      <c r="C605">
        <v>606</v>
      </c>
      <c r="D605" s="7">
        <v>45983</v>
      </c>
      <c r="E605" s="7" t="s">
        <v>1913</v>
      </c>
      <c r="F605" s="10" t="s">
        <v>1911</v>
      </c>
      <c r="G605" s="36"/>
      <c r="H605" s="36" t="s">
        <v>141</v>
      </c>
      <c r="I605" s="36"/>
      <c r="J605" s="36" t="s">
        <v>141</v>
      </c>
      <c r="K605" s="36" t="s">
        <v>141</v>
      </c>
      <c r="L605" s="36"/>
      <c r="M605" s="36" t="s">
        <v>141</v>
      </c>
      <c r="N605" s="36"/>
      <c r="O605" s="117"/>
      <c r="P605" s="36" t="s">
        <v>141</v>
      </c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117"/>
      <c r="AB605" s="36"/>
      <c r="AC605" s="117" t="s">
        <v>141</v>
      </c>
      <c r="AD605" s="36"/>
      <c r="AE605" s="36" t="s">
        <v>141</v>
      </c>
      <c r="AF605" s="117" t="s">
        <v>141</v>
      </c>
      <c r="AG605" s="36"/>
      <c r="AH605" s="36"/>
      <c r="AI605" s="117"/>
      <c r="AJ605" s="36"/>
      <c r="AK605" s="36"/>
      <c r="AL605" s="36"/>
      <c r="AM605" s="117" t="s">
        <v>141</v>
      </c>
      <c r="AN605" s="117"/>
      <c r="AO605" s="117"/>
      <c r="AP605" s="117"/>
      <c r="AQ605" s="117" t="s">
        <v>141</v>
      </c>
      <c r="AR605" s="117"/>
      <c r="AS605" s="117" t="s">
        <v>141</v>
      </c>
      <c r="AT605" s="117"/>
      <c r="AU605" s="117"/>
      <c r="AV605" s="119">
        <f t="shared" si="12"/>
        <v>11</v>
      </c>
      <c r="AW605" s="119"/>
      <c r="AX605" s="119" t="s">
        <v>2145</v>
      </c>
    </row>
    <row r="606" spans="1:50">
      <c r="A606" t="s">
        <v>57</v>
      </c>
      <c r="B606" t="s">
        <v>57</v>
      </c>
      <c r="C606">
        <v>607</v>
      </c>
      <c r="D606" s="7">
        <v>45985</v>
      </c>
      <c r="E606" s="7" t="s">
        <v>2129</v>
      </c>
      <c r="F606" s="10" t="s">
        <v>2130</v>
      </c>
      <c r="G606" s="36" t="s">
        <v>2131</v>
      </c>
      <c r="H606" s="36" t="s">
        <v>141</v>
      </c>
      <c r="I606" s="36" t="s">
        <v>141</v>
      </c>
      <c r="J606" s="36" t="s">
        <v>141</v>
      </c>
      <c r="K606" s="36" t="s">
        <v>141</v>
      </c>
      <c r="L606" s="36" t="s">
        <v>2131</v>
      </c>
      <c r="M606" s="36" t="s">
        <v>141</v>
      </c>
      <c r="N606" s="36" t="s">
        <v>141</v>
      </c>
      <c r="O606" s="117" t="s">
        <v>2131</v>
      </c>
      <c r="P606" s="36" t="s">
        <v>141</v>
      </c>
      <c r="Q606" s="36" t="s">
        <v>141</v>
      </c>
      <c r="R606" s="36" t="s">
        <v>2131</v>
      </c>
      <c r="S606" s="36" t="s">
        <v>2131</v>
      </c>
      <c r="T606" s="36" t="s">
        <v>141</v>
      </c>
      <c r="U606" s="36" t="s">
        <v>2131</v>
      </c>
      <c r="V606" s="36" t="s">
        <v>2131</v>
      </c>
      <c r="W606" s="36" t="s">
        <v>2131</v>
      </c>
      <c r="X606" s="36" t="s">
        <v>141</v>
      </c>
      <c r="Y606" s="36" t="s">
        <v>141</v>
      </c>
      <c r="Z606" s="36" t="s">
        <v>141</v>
      </c>
      <c r="AA606" s="117" t="s">
        <v>141</v>
      </c>
      <c r="AB606" s="36" t="s">
        <v>141</v>
      </c>
      <c r="AC606" s="117" t="s">
        <v>2131</v>
      </c>
      <c r="AD606" s="36" t="s">
        <v>141</v>
      </c>
      <c r="AE606" s="36" t="s">
        <v>141</v>
      </c>
      <c r="AF606" s="117" t="s">
        <v>141</v>
      </c>
      <c r="AG606" s="36" t="s">
        <v>141</v>
      </c>
      <c r="AH606" s="36" t="s">
        <v>141</v>
      </c>
      <c r="AI606" s="117" t="s">
        <v>2131</v>
      </c>
      <c r="AJ606" s="36" t="s">
        <v>141</v>
      </c>
      <c r="AK606" s="36" t="s">
        <v>2131</v>
      </c>
      <c r="AL606" s="36" t="s">
        <v>141</v>
      </c>
      <c r="AM606" s="117" t="s">
        <v>141</v>
      </c>
      <c r="AN606" s="117" t="s">
        <v>141</v>
      </c>
      <c r="AO606" s="117"/>
      <c r="AP606" s="117" t="s">
        <v>2131</v>
      </c>
      <c r="AQ606" s="117" t="s">
        <v>141</v>
      </c>
      <c r="AR606" s="117" t="s">
        <v>2131</v>
      </c>
      <c r="AS606" s="117" t="s">
        <v>141</v>
      </c>
      <c r="AT606" s="117" t="s">
        <v>141</v>
      </c>
      <c r="AU606" s="117" t="s">
        <v>141</v>
      </c>
      <c r="AV606" s="119">
        <f t="shared" si="12"/>
        <v>25</v>
      </c>
      <c r="AW606" s="119"/>
      <c r="AX606" s="119" t="s">
        <v>2147</v>
      </c>
    </row>
    <row r="607" spans="1:50">
      <c r="A607">
        <v>561</v>
      </c>
      <c r="B607">
        <v>1118</v>
      </c>
      <c r="C607">
        <v>608</v>
      </c>
      <c r="D607" s="7">
        <v>45985</v>
      </c>
      <c r="E607" s="7" t="s">
        <v>1916</v>
      </c>
      <c r="F607" s="10" t="s">
        <v>1914</v>
      </c>
      <c r="G607" s="36"/>
      <c r="H607" s="36" t="s">
        <v>141</v>
      </c>
      <c r="I607" s="36" t="s">
        <v>141</v>
      </c>
      <c r="J607" s="36"/>
      <c r="K607" s="36"/>
      <c r="L607" s="36"/>
      <c r="M607" s="36" t="s">
        <v>141</v>
      </c>
      <c r="N607" s="36"/>
      <c r="O607" s="117"/>
      <c r="P607" s="36"/>
      <c r="Q607" s="36"/>
      <c r="R607" s="36"/>
      <c r="S607" s="36"/>
      <c r="T607" s="36" t="s">
        <v>141</v>
      </c>
      <c r="U607" s="36"/>
      <c r="V607" s="36"/>
      <c r="W607" s="36"/>
      <c r="X607" s="36" t="s">
        <v>141</v>
      </c>
      <c r="Y607" s="36" t="s">
        <v>141</v>
      </c>
      <c r="Z607" s="36" t="s">
        <v>141</v>
      </c>
      <c r="AA607" s="117"/>
      <c r="AB607" s="36" t="s">
        <v>141</v>
      </c>
      <c r="AC607" s="117"/>
      <c r="AD607" s="36" t="s">
        <v>141</v>
      </c>
      <c r="AE607" s="36"/>
      <c r="AF607" s="117"/>
      <c r="AG607" s="36"/>
      <c r="AH607" s="36"/>
      <c r="AI607" s="117"/>
      <c r="AJ607" s="36" t="s">
        <v>141</v>
      </c>
      <c r="AK607" s="36"/>
      <c r="AL607" s="36"/>
      <c r="AM607" s="117" t="s">
        <v>141</v>
      </c>
      <c r="AN607" s="117" t="s">
        <v>141</v>
      </c>
      <c r="AO607" s="117"/>
      <c r="AP607" s="117"/>
      <c r="AQ607" s="117" t="s">
        <v>141</v>
      </c>
      <c r="AR607" s="117"/>
      <c r="AS607" s="117" t="s">
        <v>141</v>
      </c>
      <c r="AT607" s="117"/>
      <c r="AU607" s="117"/>
      <c r="AV607" s="119">
        <f t="shared" si="12"/>
        <v>14</v>
      </c>
      <c r="AW607" s="119"/>
      <c r="AX607" s="119" t="s">
        <v>2145</v>
      </c>
    </row>
    <row r="608" spans="1:50">
      <c r="A608">
        <v>562</v>
      </c>
      <c r="B608">
        <v>1119</v>
      </c>
      <c r="C608">
        <v>609</v>
      </c>
      <c r="D608" s="7">
        <v>45986</v>
      </c>
      <c r="E608" s="7" t="s">
        <v>1919</v>
      </c>
      <c r="F608" s="10" t="s">
        <v>1918</v>
      </c>
      <c r="G608" s="36"/>
      <c r="H608" s="36" t="s">
        <v>141</v>
      </c>
      <c r="I608" s="36" t="s">
        <v>141</v>
      </c>
      <c r="J608" s="36" t="s">
        <v>141</v>
      </c>
      <c r="K608" s="36"/>
      <c r="L608" s="36"/>
      <c r="M608" s="36"/>
      <c r="N608" s="36"/>
      <c r="O608" s="117"/>
      <c r="P608" s="36" t="s">
        <v>141</v>
      </c>
      <c r="Q608" s="36"/>
      <c r="R608" s="36" t="s">
        <v>141</v>
      </c>
      <c r="S608" s="36"/>
      <c r="T608" s="36" t="s">
        <v>141</v>
      </c>
      <c r="U608" s="36"/>
      <c r="V608" s="36"/>
      <c r="W608" s="36" t="s">
        <v>141</v>
      </c>
      <c r="X608" s="36" t="s">
        <v>141</v>
      </c>
      <c r="Y608" s="36"/>
      <c r="Z608" s="36" t="s">
        <v>141</v>
      </c>
      <c r="AA608" s="117" t="s">
        <v>141</v>
      </c>
      <c r="AB608" s="36"/>
      <c r="AC608" s="117"/>
      <c r="AD608" s="36"/>
      <c r="AE608" s="36"/>
      <c r="AF608" s="117"/>
      <c r="AG608" s="36"/>
      <c r="AH608" s="36" t="s">
        <v>141</v>
      </c>
      <c r="AI608" s="117"/>
      <c r="AJ608" s="36" t="s">
        <v>141</v>
      </c>
      <c r="AK608" s="36"/>
      <c r="AL608" s="36"/>
      <c r="AM608" s="117"/>
      <c r="AN608" s="117"/>
      <c r="AO608" s="117"/>
      <c r="AP608" s="117"/>
      <c r="AQ608" s="117"/>
      <c r="AR608" s="117"/>
      <c r="AS608" s="117"/>
      <c r="AT608" s="117"/>
      <c r="AU608" s="117"/>
      <c r="AV608" s="119">
        <f t="shared" si="12"/>
        <v>12</v>
      </c>
      <c r="AW608" s="119"/>
      <c r="AX608" s="119" t="s">
        <v>2147</v>
      </c>
    </row>
    <row r="609" spans="1:50">
      <c r="A609">
        <v>563</v>
      </c>
      <c r="B609">
        <v>1120</v>
      </c>
      <c r="C609">
        <v>610</v>
      </c>
      <c r="D609" s="7">
        <v>45988</v>
      </c>
      <c r="E609" s="7" t="s">
        <v>1921</v>
      </c>
      <c r="F609" s="10" t="s">
        <v>1920</v>
      </c>
      <c r="G609" s="36"/>
      <c r="H609" s="36" t="s">
        <v>141</v>
      </c>
      <c r="I609" s="36"/>
      <c r="J609" s="36" t="s">
        <v>141</v>
      </c>
      <c r="K609" s="36"/>
      <c r="L609" s="36"/>
      <c r="M609" s="36"/>
      <c r="N609" s="36"/>
      <c r="O609" s="117"/>
      <c r="P609" s="36" t="s">
        <v>141</v>
      </c>
      <c r="Q609" s="36"/>
      <c r="R609" s="36"/>
      <c r="S609" s="36" t="s">
        <v>141</v>
      </c>
      <c r="T609" s="36" t="s">
        <v>141</v>
      </c>
      <c r="U609" s="36"/>
      <c r="V609" s="36"/>
      <c r="W609" s="36"/>
      <c r="X609" s="36"/>
      <c r="Y609" s="36"/>
      <c r="Z609" s="36"/>
      <c r="AA609" s="117" t="s">
        <v>141</v>
      </c>
      <c r="AB609" s="36" t="s">
        <v>141</v>
      </c>
      <c r="AC609" s="117"/>
      <c r="AD609" s="36" t="s">
        <v>141</v>
      </c>
      <c r="AE609" s="36"/>
      <c r="AF609" s="117"/>
      <c r="AG609" s="36"/>
      <c r="AH609" s="36" t="s">
        <v>141</v>
      </c>
      <c r="AI609" s="117"/>
      <c r="AJ609" s="36"/>
      <c r="AK609" s="36" t="s">
        <v>141</v>
      </c>
      <c r="AL609" s="36"/>
      <c r="AM609" s="117"/>
      <c r="AN609" s="117"/>
      <c r="AO609" s="117"/>
      <c r="AP609" s="117"/>
      <c r="AQ609" s="117"/>
      <c r="AR609" s="117"/>
      <c r="AS609" s="117"/>
      <c r="AT609" s="117"/>
      <c r="AU609" s="117"/>
      <c r="AV609" s="119">
        <f t="shared" si="12"/>
        <v>10</v>
      </c>
      <c r="AW609" s="119"/>
      <c r="AX609" s="119" t="s">
        <v>2146</v>
      </c>
    </row>
    <row r="610" spans="1:50">
      <c r="A610">
        <v>564</v>
      </c>
      <c r="B610">
        <v>1121</v>
      </c>
      <c r="C610">
        <v>611</v>
      </c>
      <c r="D610" s="7">
        <v>45987</v>
      </c>
      <c r="E610" s="7" t="s">
        <v>1923</v>
      </c>
      <c r="F610" s="10" t="s">
        <v>1922</v>
      </c>
      <c r="G610" s="36"/>
      <c r="H610" s="36" t="s">
        <v>141</v>
      </c>
      <c r="I610" s="36"/>
      <c r="J610" s="36"/>
      <c r="K610" s="36"/>
      <c r="L610" s="36"/>
      <c r="M610" s="36"/>
      <c r="N610" s="36"/>
      <c r="O610" s="117"/>
      <c r="P610" s="36" t="s">
        <v>141</v>
      </c>
      <c r="Q610" s="36" t="s">
        <v>141</v>
      </c>
      <c r="R610" s="36"/>
      <c r="S610" s="36"/>
      <c r="T610" s="36" t="s">
        <v>141</v>
      </c>
      <c r="U610" s="36"/>
      <c r="V610" s="36"/>
      <c r="W610" s="36" t="s">
        <v>141</v>
      </c>
      <c r="X610" s="36"/>
      <c r="Y610" s="36"/>
      <c r="Z610" s="36"/>
      <c r="AA610" s="117" t="s">
        <v>141</v>
      </c>
      <c r="AB610" s="36"/>
      <c r="AC610" s="117"/>
      <c r="AD610" s="36" t="s">
        <v>141</v>
      </c>
      <c r="AE610" s="36"/>
      <c r="AF610" s="117"/>
      <c r="AG610" s="36"/>
      <c r="AH610" s="36"/>
      <c r="AI610" s="117" t="s">
        <v>141</v>
      </c>
      <c r="AJ610" s="36"/>
      <c r="AK610" s="36"/>
      <c r="AL610" s="36"/>
      <c r="AM610" s="117" t="s">
        <v>141</v>
      </c>
      <c r="AN610" s="117"/>
      <c r="AO610" s="117" t="s">
        <v>141</v>
      </c>
      <c r="AP610" s="117"/>
      <c r="AQ610" s="117"/>
      <c r="AR610" s="117"/>
      <c r="AS610" s="117"/>
      <c r="AT610" s="117"/>
      <c r="AU610" s="117"/>
      <c r="AV610" s="119">
        <f t="shared" si="12"/>
        <v>10</v>
      </c>
      <c r="AW610" s="119"/>
      <c r="AX610" s="119" t="s">
        <v>2146</v>
      </c>
    </row>
    <row r="611" spans="1:50">
      <c r="A611">
        <v>565</v>
      </c>
      <c r="B611">
        <v>1122</v>
      </c>
      <c r="C611">
        <v>612</v>
      </c>
      <c r="D611" s="7">
        <v>45988</v>
      </c>
      <c r="E611" s="7" t="s">
        <v>1768</v>
      </c>
      <c r="F611" s="10" t="s">
        <v>1924</v>
      </c>
      <c r="G611" s="36"/>
      <c r="H611" s="36" t="s">
        <v>141</v>
      </c>
      <c r="I611" s="36" t="s">
        <v>141</v>
      </c>
      <c r="J611" s="36" t="s">
        <v>141</v>
      </c>
      <c r="K611" s="36" t="s">
        <v>141</v>
      </c>
      <c r="L611" s="36"/>
      <c r="M611" s="36"/>
      <c r="N611" s="36"/>
      <c r="O611" s="117" t="s">
        <v>141</v>
      </c>
      <c r="P611" s="36"/>
      <c r="Q611" s="36" t="s">
        <v>141</v>
      </c>
      <c r="R611" s="36"/>
      <c r="S611" s="36"/>
      <c r="T611" s="36" t="s">
        <v>141</v>
      </c>
      <c r="U611" s="36"/>
      <c r="V611" s="36"/>
      <c r="W611" s="36"/>
      <c r="X611" s="36"/>
      <c r="Y611" s="36" t="s">
        <v>141</v>
      </c>
      <c r="Z611" s="36"/>
      <c r="AA611" s="117"/>
      <c r="AB611" s="36" t="s">
        <v>141</v>
      </c>
      <c r="AC611" s="117"/>
      <c r="AD611" s="36" t="s">
        <v>141</v>
      </c>
      <c r="AE611" s="36"/>
      <c r="AF611" s="117"/>
      <c r="AG611" s="36"/>
      <c r="AH611" s="36"/>
      <c r="AI611" s="117"/>
      <c r="AJ611" s="36"/>
      <c r="AK611" s="36"/>
      <c r="AL611" s="36"/>
      <c r="AM611" s="117" t="s">
        <v>141</v>
      </c>
      <c r="AN611" s="117"/>
      <c r="AO611" s="117"/>
      <c r="AP611" s="117" t="s">
        <v>141</v>
      </c>
      <c r="AQ611" s="117"/>
      <c r="AR611" s="117"/>
      <c r="AS611" s="117" t="s">
        <v>141</v>
      </c>
      <c r="AT611" s="117"/>
      <c r="AU611" s="117"/>
      <c r="AV611" s="119">
        <f t="shared" ref="AV611:AV616" si="13">COUNTIF($F611:$AS611, "I")</f>
        <v>13</v>
      </c>
      <c r="AW611" s="119"/>
      <c r="AX611" s="119" t="s">
        <v>2146</v>
      </c>
    </row>
    <row r="612" spans="1:50">
      <c r="A612">
        <v>566</v>
      </c>
      <c r="B612">
        <v>1123</v>
      </c>
      <c r="C612">
        <v>613</v>
      </c>
      <c r="D612" s="7">
        <v>45989</v>
      </c>
      <c r="E612" s="7" t="s">
        <v>1926</v>
      </c>
      <c r="F612" s="10" t="s">
        <v>1925</v>
      </c>
      <c r="G612" s="36"/>
      <c r="H612" s="36" t="s">
        <v>141</v>
      </c>
      <c r="I612" s="36"/>
      <c r="J612" s="36" t="s">
        <v>141</v>
      </c>
      <c r="K612" s="36"/>
      <c r="L612" s="36"/>
      <c r="M612" s="36"/>
      <c r="N612" s="36"/>
      <c r="O612" s="117"/>
      <c r="P612" s="36" t="s">
        <v>141</v>
      </c>
      <c r="Q612" s="36"/>
      <c r="R612" s="36"/>
      <c r="S612" s="36"/>
      <c r="T612" s="36" t="s">
        <v>141</v>
      </c>
      <c r="U612" s="36"/>
      <c r="V612" s="36"/>
      <c r="W612" s="36" t="s">
        <v>141</v>
      </c>
      <c r="X612" s="36"/>
      <c r="Y612" s="36"/>
      <c r="Z612" s="36"/>
      <c r="AA612" s="117"/>
      <c r="AB612" s="36"/>
      <c r="AC612" s="117" t="s">
        <v>141</v>
      </c>
      <c r="AD612" s="36"/>
      <c r="AE612" s="36" t="s">
        <v>141</v>
      </c>
      <c r="AF612" s="117"/>
      <c r="AG612" s="36"/>
      <c r="AH612" s="36" t="s">
        <v>141</v>
      </c>
      <c r="AI612" s="117"/>
      <c r="AJ612" s="36"/>
      <c r="AK612" s="36" t="s">
        <v>141</v>
      </c>
      <c r="AL612" s="36"/>
      <c r="AM612" s="117" t="s">
        <v>141</v>
      </c>
      <c r="AN612" s="117" t="s">
        <v>141</v>
      </c>
      <c r="AO612" s="117"/>
      <c r="AP612" s="117"/>
      <c r="AQ612" s="117"/>
      <c r="AR612" s="117"/>
      <c r="AS612" s="117"/>
      <c r="AT612" s="117"/>
      <c r="AU612" s="117"/>
      <c r="AV612" s="119">
        <f t="shared" si="13"/>
        <v>11</v>
      </c>
      <c r="AW612" s="119"/>
      <c r="AX612" s="119" t="s">
        <v>2145</v>
      </c>
    </row>
    <row r="613" spans="1:50">
      <c r="A613">
        <v>567</v>
      </c>
      <c r="B613">
        <v>1124</v>
      </c>
      <c r="C613">
        <v>614</v>
      </c>
      <c r="D613" s="7">
        <v>45989</v>
      </c>
      <c r="E613" s="7" t="s">
        <v>1929</v>
      </c>
      <c r="F613" s="10" t="s">
        <v>1928</v>
      </c>
      <c r="G613" s="36"/>
      <c r="H613" s="36" t="s">
        <v>141</v>
      </c>
      <c r="I613" s="36"/>
      <c r="J613" s="36" t="s">
        <v>141</v>
      </c>
      <c r="K613" s="36"/>
      <c r="L613" s="36"/>
      <c r="M613" s="36"/>
      <c r="N613" s="36"/>
      <c r="O613" s="117"/>
      <c r="P613" s="36" t="s">
        <v>141</v>
      </c>
      <c r="Q613" s="36"/>
      <c r="R613" s="36"/>
      <c r="S613" s="36"/>
      <c r="T613" s="36" t="s">
        <v>141</v>
      </c>
      <c r="U613" s="36"/>
      <c r="V613" s="36"/>
      <c r="W613" s="36" t="s">
        <v>141</v>
      </c>
      <c r="X613" s="36"/>
      <c r="Y613" s="36"/>
      <c r="Z613" s="36"/>
      <c r="AA613" s="117"/>
      <c r="AB613" s="36"/>
      <c r="AC613" s="117" t="s">
        <v>141</v>
      </c>
      <c r="AD613" s="36"/>
      <c r="AE613" s="36" t="s">
        <v>141</v>
      </c>
      <c r="AF613" s="117"/>
      <c r="AG613" s="36"/>
      <c r="AH613" s="36" t="s">
        <v>141</v>
      </c>
      <c r="AI613" s="117"/>
      <c r="AJ613" s="36"/>
      <c r="AK613" s="36" t="s">
        <v>141</v>
      </c>
      <c r="AL613" s="36"/>
      <c r="AM613" s="117" t="s">
        <v>141</v>
      </c>
      <c r="AN613" s="117" t="s">
        <v>141</v>
      </c>
      <c r="AO613" s="117"/>
      <c r="AP613" s="117"/>
      <c r="AQ613" s="117"/>
      <c r="AR613" s="117"/>
      <c r="AS613" s="117"/>
      <c r="AT613" s="117"/>
      <c r="AU613" s="117"/>
      <c r="AV613" s="119">
        <f t="shared" si="13"/>
        <v>11</v>
      </c>
      <c r="AW613" s="119"/>
      <c r="AX613" s="119" t="s">
        <v>2145</v>
      </c>
    </row>
    <row r="614" spans="1:50">
      <c r="A614">
        <v>568</v>
      </c>
      <c r="B614">
        <v>1125</v>
      </c>
      <c r="C614">
        <v>615</v>
      </c>
      <c r="D614" s="7">
        <v>45989</v>
      </c>
      <c r="E614" s="7" t="s">
        <v>1931</v>
      </c>
      <c r="F614" s="10" t="s">
        <v>1930</v>
      </c>
      <c r="G614" s="36"/>
      <c r="H614" s="36" t="s">
        <v>141</v>
      </c>
      <c r="I614" s="36"/>
      <c r="J614" s="36" t="s">
        <v>141</v>
      </c>
      <c r="K614" s="36"/>
      <c r="L614" s="36"/>
      <c r="M614" s="36"/>
      <c r="N614" s="36"/>
      <c r="O614" s="117"/>
      <c r="P614" s="36" t="s">
        <v>141</v>
      </c>
      <c r="Q614" s="36"/>
      <c r="R614" s="36"/>
      <c r="S614" s="36"/>
      <c r="T614" s="36" t="s">
        <v>141</v>
      </c>
      <c r="U614" s="36"/>
      <c r="V614" s="36"/>
      <c r="W614" s="36" t="s">
        <v>141</v>
      </c>
      <c r="X614" s="36"/>
      <c r="Y614" s="36"/>
      <c r="Z614" s="36" t="s">
        <v>141</v>
      </c>
      <c r="AA614" s="117"/>
      <c r="AB614" s="36"/>
      <c r="AC614" s="117" t="s">
        <v>141</v>
      </c>
      <c r="AD614" s="36" t="s">
        <v>141</v>
      </c>
      <c r="AE614" s="36" t="s">
        <v>141</v>
      </c>
      <c r="AF614" s="117"/>
      <c r="AG614" s="36"/>
      <c r="AH614" s="36" t="s">
        <v>141</v>
      </c>
      <c r="AI614" s="117"/>
      <c r="AJ614" s="36"/>
      <c r="AK614" s="36"/>
      <c r="AL614" s="36"/>
      <c r="AM614" s="117" t="s">
        <v>141</v>
      </c>
      <c r="AN614" s="117"/>
      <c r="AO614" s="117"/>
      <c r="AP614" s="117"/>
      <c r="AQ614" s="117"/>
      <c r="AR614" s="117"/>
      <c r="AS614" s="117"/>
      <c r="AT614" s="117"/>
      <c r="AU614" s="117"/>
      <c r="AV614" s="119">
        <f t="shared" si="13"/>
        <v>11</v>
      </c>
      <c r="AW614" s="119"/>
      <c r="AX614" s="119" t="s">
        <v>2146</v>
      </c>
    </row>
    <row r="615" spans="1:50">
      <c r="A615">
        <v>569</v>
      </c>
      <c r="B615">
        <v>1126</v>
      </c>
      <c r="C615">
        <v>616</v>
      </c>
      <c r="D615" s="7">
        <v>45989</v>
      </c>
      <c r="E615" s="7" t="s">
        <v>1933</v>
      </c>
      <c r="F615" s="10" t="s">
        <v>1932</v>
      </c>
      <c r="G615" s="36" t="s">
        <v>141</v>
      </c>
      <c r="H615" s="36"/>
      <c r="I615" s="36"/>
      <c r="J615" s="36" t="s">
        <v>141</v>
      </c>
      <c r="K615" s="36"/>
      <c r="L615" s="36"/>
      <c r="M615" s="36"/>
      <c r="N615" s="36"/>
      <c r="O615" s="117"/>
      <c r="P615" s="36" t="s">
        <v>141</v>
      </c>
      <c r="Q615" s="36"/>
      <c r="R615" s="36"/>
      <c r="S615" s="36"/>
      <c r="T615" s="36"/>
      <c r="U615" s="36"/>
      <c r="V615" s="36"/>
      <c r="W615" s="36"/>
      <c r="X615" s="36" t="s">
        <v>141</v>
      </c>
      <c r="Y615" s="36"/>
      <c r="Z615" s="36"/>
      <c r="AA615" s="117" t="s">
        <v>141</v>
      </c>
      <c r="AB615" s="36" t="s">
        <v>141</v>
      </c>
      <c r="AC615" s="117" t="s">
        <v>141</v>
      </c>
      <c r="AD615" s="36"/>
      <c r="AE615" s="36" t="s">
        <v>141</v>
      </c>
      <c r="AF615" s="117" t="s">
        <v>141</v>
      </c>
      <c r="AG615" s="36" t="s">
        <v>141</v>
      </c>
      <c r="AH615" s="36"/>
      <c r="AI615" s="117"/>
      <c r="AJ615" s="36"/>
      <c r="AK615" s="36"/>
      <c r="AL615" s="36"/>
      <c r="AM615" s="117"/>
      <c r="AN615" s="117" t="s">
        <v>141</v>
      </c>
      <c r="AO615" s="117"/>
      <c r="AP615" s="117"/>
      <c r="AQ615" s="117"/>
      <c r="AR615" s="117"/>
      <c r="AS615" s="117" t="s">
        <v>141</v>
      </c>
      <c r="AT615" s="117"/>
      <c r="AU615" s="117"/>
      <c r="AV615" s="119">
        <f t="shared" si="13"/>
        <v>12</v>
      </c>
      <c r="AW615" s="119"/>
      <c r="AX615" s="119" t="s">
        <v>2146</v>
      </c>
    </row>
    <row r="616" spans="1:50">
      <c r="A616">
        <v>570</v>
      </c>
      <c r="B616">
        <v>1127</v>
      </c>
      <c r="C616">
        <v>617</v>
      </c>
      <c r="D616" s="7">
        <v>45990</v>
      </c>
      <c r="E616" s="7" t="s">
        <v>1935</v>
      </c>
      <c r="F616" s="10" t="s">
        <v>1934</v>
      </c>
      <c r="G616" s="36" t="s">
        <v>141</v>
      </c>
      <c r="H616" s="36"/>
      <c r="I616" s="36"/>
      <c r="J616" s="36" t="s">
        <v>141</v>
      </c>
      <c r="K616" s="36" t="s">
        <v>141</v>
      </c>
      <c r="L616" s="36"/>
      <c r="M616" s="36"/>
      <c r="N616" s="36"/>
      <c r="O616" s="117"/>
      <c r="P616" s="36" t="s">
        <v>141</v>
      </c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117" t="s">
        <v>141</v>
      </c>
      <c r="AB616" s="36"/>
      <c r="AC616" s="117" t="s">
        <v>141</v>
      </c>
      <c r="AD616" s="36"/>
      <c r="AE616" s="36" t="s">
        <v>141</v>
      </c>
      <c r="AF616" s="117"/>
      <c r="AG616" s="36" t="s">
        <v>141</v>
      </c>
      <c r="AH616" s="36"/>
      <c r="AI616" s="117"/>
      <c r="AJ616" s="36"/>
      <c r="AK616" s="36"/>
      <c r="AL616" s="36"/>
      <c r="AM616" s="117"/>
      <c r="AN616" s="117" t="s">
        <v>141</v>
      </c>
      <c r="AO616" s="117"/>
      <c r="AP616" s="117"/>
      <c r="AQ616" s="117"/>
      <c r="AR616" s="117"/>
      <c r="AS616" s="117" t="s">
        <v>141</v>
      </c>
      <c r="AT616" s="117"/>
      <c r="AU616" s="117"/>
      <c r="AV616" s="119">
        <f t="shared" si="13"/>
        <v>10</v>
      </c>
      <c r="AW616" s="119"/>
      <c r="AX616" s="119" t="s">
        <v>2145</v>
      </c>
    </row>
    <row r="617" spans="1:50">
      <c r="A617">
        <v>571</v>
      </c>
      <c r="B617">
        <v>1128</v>
      </c>
      <c r="C617">
        <v>618</v>
      </c>
      <c r="D617" s="7">
        <v>45991</v>
      </c>
      <c r="E617" s="7" t="s">
        <v>1937</v>
      </c>
      <c r="F617" s="10" t="s">
        <v>1936</v>
      </c>
      <c r="G617" s="36" t="s">
        <v>141</v>
      </c>
      <c r="H617" s="36" t="s">
        <v>141</v>
      </c>
      <c r="I617" s="36" t="s">
        <v>141</v>
      </c>
      <c r="J617" s="36" t="s">
        <v>141</v>
      </c>
      <c r="K617" s="36"/>
      <c r="L617" s="36" t="s">
        <v>141</v>
      </c>
      <c r="M617" s="36"/>
      <c r="N617" s="36"/>
      <c r="O617" s="117" t="s">
        <v>141</v>
      </c>
      <c r="P617" s="36" t="s">
        <v>141</v>
      </c>
      <c r="Q617" s="36"/>
      <c r="R617" s="36"/>
      <c r="S617" s="36"/>
      <c r="T617" s="36" t="s">
        <v>141</v>
      </c>
      <c r="U617" s="36" t="s">
        <v>141</v>
      </c>
      <c r="V617" s="36"/>
      <c r="W617" s="36" t="s">
        <v>141</v>
      </c>
      <c r="X617" s="36" t="s">
        <v>141</v>
      </c>
      <c r="Y617" s="36"/>
      <c r="Z617" s="36"/>
      <c r="AA617" s="117"/>
      <c r="AB617" s="36" t="s">
        <v>141</v>
      </c>
      <c r="AC617" s="117" t="s">
        <v>141</v>
      </c>
      <c r="AD617" s="36"/>
      <c r="AE617" s="36" t="s">
        <v>141</v>
      </c>
      <c r="AF617" s="117"/>
      <c r="AG617" s="36"/>
      <c r="AH617" s="36"/>
      <c r="AI617" s="117"/>
      <c r="AJ617" s="36"/>
      <c r="AK617" s="36"/>
      <c r="AL617" s="36"/>
      <c r="AM617" s="117" t="s">
        <v>141</v>
      </c>
      <c r="AN617" s="117" t="s">
        <v>141</v>
      </c>
      <c r="AO617" s="117"/>
      <c r="AP617" s="117" t="s">
        <v>141</v>
      </c>
      <c r="AQ617" s="117"/>
      <c r="AR617" s="117"/>
      <c r="AS617" s="117"/>
      <c r="AT617" s="117"/>
      <c r="AU617" s="117"/>
      <c r="AV617" s="119">
        <f t="shared" ref="AV617:AV628" si="14">COUNTIF($F617:$AS617, "I")</f>
        <v>17</v>
      </c>
      <c r="AW617" s="119"/>
      <c r="AX617" s="119" t="s">
        <v>2145</v>
      </c>
    </row>
    <row r="618" spans="1:50">
      <c r="A618">
        <v>572</v>
      </c>
      <c r="B618">
        <v>1129</v>
      </c>
      <c r="C618">
        <v>619</v>
      </c>
      <c r="D618" s="7">
        <v>45992</v>
      </c>
      <c r="E618" s="7" t="s">
        <v>1939</v>
      </c>
      <c r="F618" s="10" t="s">
        <v>1938</v>
      </c>
      <c r="G618" s="36"/>
      <c r="H618" s="36" t="s">
        <v>141</v>
      </c>
      <c r="I618" s="36"/>
      <c r="J618" s="36" t="s">
        <v>141</v>
      </c>
      <c r="K618" s="36"/>
      <c r="L618" s="36" t="s">
        <v>141</v>
      </c>
      <c r="M618" s="36" t="s">
        <v>141</v>
      </c>
      <c r="N618" s="36"/>
      <c r="O618" s="117" t="s">
        <v>141</v>
      </c>
      <c r="P618" s="36"/>
      <c r="Q618" s="36"/>
      <c r="R618" s="36"/>
      <c r="S618" s="36"/>
      <c r="T618" s="36" t="s">
        <v>141</v>
      </c>
      <c r="U618" s="36"/>
      <c r="V618" s="36"/>
      <c r="W618" s="36"/>
      <c r="X618" s="36"/>
      <c r="Y618" s="36"/>
      <c r="Z618" s="36"/>
      <c r="AA618" s="117"/>
      <c r="AB618" s="36"/>
      <c r="AC618" s="117"/>
      <c r="AD618" s="36"/>
      <c r="AE618" s="36" t="s">
        <v>141</v>
      </c>
      <c r="AF618" s="117"/>
      <c r="AG618" s="36"/>
      <c r="AH618" s="36"/>
      <c r="AI618" s="117"/>
      <c r="AJ618" s="36"/>
      <c r="AK618" s="36"/>
      <c r="AL618" s="36"/>
      <c r="AM618" s="117" t="s">
        <v>141</v>
      </c>
      <c r="AN618" s="117"/>
      <c r="AO618" s="117"/>
      <c r="AP618" s="117"/>
      <c r="AQ618" s="117"/>
      <c r="AR618" s="117"/>
      <c r="AS618" s="117" t="s">
        <v>141</v>
      </c>
      <c r="AT618" s="117"/>
      <c r="AU618" s="117"/>
      <c r="AV618" s="119">
        <f t="shared" si="14"/>
        <v>9</v>
      </c>
      <c r="AW618" s="119"/>
      <c r="AX618" s="119" t="s">
        <v>2145</v>
      </c>
    </row>
    <row r="619" spans="1:50">
      <c r="A619">
        <v>573</v>
      </c>
      <c r="B619">
        <v>1130</v>
      </c>
      <c r="C619">
        <v>620</v>
      </c>
      <c r="D619" s="7">
        <v>45992</v>
      </c>
      <c r="E619" s="7" t="s">
        <v>1941</v>
      </c>
      <c r="F619" s="10" t="s">
        <v>1940</v>
      </c>
      <c r="G619" s="36"/>
      <c r="H619" s="36" t="s">
        <v>141</v>
      </c>
      <c r="I619" s="36"/>
      <c r="J619" s="36" t="s">
        <v>141</v>
      </c>
      <c r="K619" s="36"/>
      <c r="L619" s="36"/>
      <c r="M619" s="36" t="s">
        <v>141</v>
      </c>
      <c r="N619" s="36"/>
      <c r="O619" s="117" t="s">
        <v>141</v>
      </c>
      <c r="P619" s="36" t="s">
        <v>141</v>
      </c>
      <c r="Q619" s="36"/>
      <c r="R619" s="36"/>
      <c r="S619" s="36"/>
      <c r="T619" s="36" t="s">
        <v>141</v>
      </c>
      <c r="U619" s="36"/>
      <c r="V619" s="36"/>
      <c r="W619" s="36"/>
      <c r="X619" s="36"/>
      <c r="Y619" s="36"/>
      <c r="Z619" s="36" t="s">
        <v>141</v>
      </c>
      <c r="AA619" s="117"/>
      <c r="AB619" s="36" t="s">
        <v>141</v>
      </c>
      <c r="AC619" s="117"/>
      <c r="AD619" s="36" t="s">
        <v>141</v>
      </c>
      <c r="AE619" s="36"/>
      <c r="AF619" s="117"/>
      <c r="AG619" s="36"/>
      <c r="AH619" s="36" t="s">
        <v>141</v>
      </c>
      <c r="AI619" s="117"/>
      <c r="AJ619" s="36"/>
      <c r="AK619" s="36"/>
      <c r="AL619" s="36"/>
      <c r="AM619" s="117" t="s">
        <v>141</v>
      </c>
      <c r="AN619" s="117"/>
      <c r="AO619" s="117"/>
      <c r="AP619" s="117"/>
      <c r="AQ619" s="117"/>
      <c r="AR619" s="117"/>
      <c r="AS619" s="117"/>
      <c r="AT619" s="117"/>
      <c r="AU619" s="117"/>
      <c r="AV619" s="119">
        <f t="shared" si="14"/>
        <v>11</v>
      </c>
      <c r="AW619" s="119"/>
      <c r="AX619" s="119" t="s">
        <v>2145</v>
      </c>
    </row>
    <row r="620" spans="1:50">
      <c r="A620" t="s">
        <v>57</v>
      </c>
      <c r="B620" t="s">
        <v>57</v>
      </c>
      <c r="C620">
        <v>621</v>
      </c>
      <c r="D620" s="7">
        <v>45992</v>
      </c>
      <c r="E620" s="7" t="s">
        <v>2129</v>
      </c>
      <c r="F620" s="10" t="s">
        <v>2130</v>
      </c>
      <c r="G620" s="36" t="s">
        <v>141</v>
      </c>
      <c r="H620" s="36" t="s">
        <v>141</v>
      </c>
      <c r="I620" s="36" t="s">
        <v>141</v>
      </c>
      <c r="J620" s="36" t="s">
        <v>141</v>
      </c>
      <c r="K620" s="36" t="s">
        <v>141</v>
      </c>
      <c r="L620" s="36" t="s">
        <v>141</v>
      </c>
      <c r="M620" s="36" t="s">
        <v>141</v>
      </c>
      <c r="N620" s="36" t="s">
        <v>2131</v>
      </c>
      <c r="O620" s="117" t="s">
        <v>141</v>
      </c>
      <c r="P620" s="36" t="s">
        <v>141</v>
      </c>
      <c r="Q620" s="36" t="s">
        <v>141</v>
      </c>
      <c r="R620" s="36" t="s">
        <v>141</v>
      </c>
      <c r="S620" s="36" t="s">
        <v>141</v>
      </c>
      <c r="T620" s="36" t="s">
        <v>141</v>
      </c>
      <c r="U620" s="36" t="s">
        <v>141</v>
      </c>
      <c r="V620" s="36" t="s">
        <v>2131</v>
      </c>
      <c r="W620" s="36" t="s">
        <v>141</v>
      </c>
      <c r="X620" s="36" t="s">
        <v>141</v>
      </c>
      <c r="Y620" s="36" t="s">
        <v>141</v>
      </c>
      <c r="Z620" s="36" t="s">
        <v>141</v>
      </c>
      <c r="AA620" s="117" t="s">
        <v>141</v>
      </c>
      <c r="AB620" s="36" t="s">
        <v>141</v>
      </c>
      <c r="AC620" s="117" t="s">
        <v>141</v>
      </c>
      <c r="AD620" s="36" t="s">
        <v>2131</v>
      </c>
      <c r="AE620" s="36" t="s">
        <v>141</v>
      </c>
      <c r="AF620" s="117" t="s">
        <v>141</v>
      </c>
      <c r="AG620" s="36" t="s">
        <v>2131</v>
      </c>
      <c r="AH620" s="36" t="s">
        <v>141</v>
      </c>
      <c r="AI620" s="117" t="s">
        <v>2131</v>
      </c>
      <c r="AJ620" s="36" t="s">
        <v>141</v>
      </c>
      <c r="AK620" s="36" t="s">
        <v>141</v>
      </c>
      <c r="AL620" s="36" t="s">
        <v>141</v>
      </c>
      <c r="AM620" s="117" t="s">
        <v>141</v>
      </c>
      <c r="AN620" s="117" t="s">
        <v>141</v>
      </c>
      <c r="AO620" s="117" t="s">
        <v>141</v>
      </c>
      <c r="AP620" s="117" t="s">
        <v>141</v>
      </c>
      <c r="AQ620" s="117" t="s">
        <v>141</v>
      </c>
      <c r="AR620" s="117" t="s">
        <v>2131</v>
      </c>
      <c r="AS620" s="117" t="s">
        <v>141</v>
      </c>
      <c r="AT620" s="117" t="s">
        <v>141</v>
      </c>
      <c r="AU620" s="117" t="s">
        <v>2131</v>
      </c>
      <c r="AV620" s="119">
        <f t="shared" si="14"/>
        <v>33</v>
      </c>
      <c r="AW620" s="119"/>
      <c r="AX620" s="119" t="s">
        <v>2146</v>
      </c>
    </row>
    <row r="621" spans="1:50">
      <c r="A621">
        <v>574</v>
      </c>
      <c r="B621">
        <v>1131</v>
      </c>
      <c r="C621">
        <v>622</v>
      </c>
      <c r="D621" s="7">
        <v>45993</v>
      </c>
      <c r="E621" s="7" t="s">
        <v>1943</v>
      </c>
      <c r="F621" s="10" t="s">
        <v>1942</v>
      </c>
      <c r="G621" s="36"/>
      <c r="H621" s="36" t="s">
        <v>141</v>
      </c>
      <c r="I621" s="36"/>
      <c r="J621" s="36" t="s">
        <v>141</v>
      </c>
      <c r="K621" s="36"/>
      <c r="L621" s="36"/>
      <c r="M621" s="36" t="s">
        <v>141</v>
      </c>
      <c r="N621" s="36"/>
      <c r="O621" s="117"/>
      <c r="P621" s="36" t="s">
        <v>141</v>
      </c>
      <c r="Q621" s="36"/>
      <c r="R621" s="36"/>
      <c r="S621" s="36"/>
      <c r="T621" s="36"/>
      <c r="U621" s="36"/>
      <c r="V621" s="36"/>
      <c r="W621" s="36" t="s">
        <v>141</v>
      </c>
      <c r="X621" s="36"/>
      <c r="Y621" s="36"/>
      <c r="Z621" s="36" t="s">
        <v>141</v>
      </c>
      <c r="AA621" s="117" t="s">
        <v>141</v>
      </c>
      <c r="AB621" s="36"/>
      <c r="AC621" s="117"/>
      <c r="AD621" s="36"/>
      <c r="AE621" s="36"/>
      <c r="AF621" s="117"/>
      <c r="AG621" s="36"/>
      <c r="AH621" s="36"/>
      <c r="AI621" s="117"/>
      <c r="AJ621" s="36"/>
      <c r="AK621" s="36"/>
      <c r="AL621" s="36"/>
      <c r="AM621" s="117"/>
      <c r="AN621" s="117"/>
      <c r="AO621" s="117"/>
      <c r="AP621" s="117"/>
      <c r="AQ621" s="117"/>
      <c r="AR621" s="117"/>
      <c r="AS621" s="117"/>
      <c r="AT621" s="117"/>
      <c r="AU621" s="117"/>
      <c r="AV621" s="119">
        <f t="shared" si="14"/>
        <v>7</v>
      </c>
      <c r="AW621" s="119"/>
      <c r="AX621" s="119" t="s">
        <v>2145</v>
      </c>
    </row>
    <row r="622" spans="1:50">
      <c r="A622">
        <v>575</v>
      </c>
      <c r="B622">
        <v>1132</v>
      </c>
      <c r="C622">
        <v>623</v>
      </c>
      <c r="D622" s="7">
        <v>45993</v>
      </c>
      <c r="E622" s="7" t="s">
        <v>1945</v>
      </c>
      <c r="F622" s="10" t="s">
        <v>1944</v>
      </c>
      <c r="G622" s="36" t="s">
        <v>141</v>
      </c>
      <c r="H622" s="36" t="s">
        <v>141</v>
      </c>
      <c r="I622" s="36"/>
      <c r="J622" s="36" t="s">
        <v>141</v>
      </c>
      <c r="K622" s="36"/>
      <c r="L622" s="36"/>
      <c r="M622" s="36" t="s">
        <v>141</v>
      </c>
      <c r="N622" s="36"/>
      <c r="O622" s="117"/>
      <c r="P622" s="36" t="s">
        <v>141</v>
      </c>
      <c r="Q622" s="36"/>
      <c r="R622" s="36"/>
      <c r="S622" s="36"/>
      <c r="T622" s="36" t="s">
        <v>141</v>
      </c>
      <c r="U622" s="36"/>
      <c r="V622" s="36"/>
      <c r="W622" s="36" t="s">
        <v>141</v>
      </c>
      <c r="X622" s="36" t="s">
        <v>141</v>
      </c>
      <c r="Y622" s="36" t="s">
        <v>141</v>
      </c>
      <c r="Z622" s="36" t="s">
        <v>141</v>
      </c>
      <c r="AA622" s="117"/>
      <c r="AB622" s="36"/>
      <c r="AC622" s="117"/>
      <c r="AD622" s="36"/>
      <c r="AE622" s="36"/>
      <c r="AF622" s="117"/>
      <c r="AG622" s="36"/>
      <c r="AH622" s="36"/>
      <c r="AI622" s="117"/>
      <c r="AJ622" s="36"/>
      <c r="AK622" s="36"/>
      <c r="AL622" s="36"/>
      <c r="AM622" s="117" t="s">
        <v>141</v>
      </c>
      <c r="AN622" s="117" t="s">
        <v>141</v>
      </c>
      <c r="AO622" s="117"/>
      <c r="AP622" s="117"/>
      <c r="AQ622" s="117"/>
      <c r="AR622" s="117"/>
      <c r="AS622" s="117"/>
      <c r="AT622" s="117"/>
      <c r="AU622" s="117"/>
      <c r="AV622" s="119">
        <f t="shared" si="14"/>
        <v>12</v>
      </c>
      <c r="AW622" s="119"/>
      <c r="AX622" s="119" t="s">
        <v>2145</v>
      </c>
    </row>
    <row r="623" spans="1:50">
      <c r="A623">
        <v>576</v>
      </c>
      <c r="B623">
        <v>1133</v>
      </c>
      <c r="C623">
        <v>624</v>
      </c>
      <c r="D623" s="7">
        <v>45993</v>
      </c>
      <c r="E623" s="7" t="s">
        <v>1947</v>
      </c>
      <c r="F623" s="10" t="s">
        <v>1946</v>
      </c>
      <c r="G623" s="36" t="s">
        <v>141</v>
      </c>
      <c r="H623" s="36" t="s">
        <v>141</v>
      </c>
      <c r="I623" s="36"/>
      <c r="J623" s="36" t="s">
        <v>141</v>
      </c>
      <c r="K623" s="36"/>
      <c r="L623" s="36"/>
      <c r="M623" s="36" t="s">
        <v>141</v>
      </c>
      <c r="N623" s="36"/>
      <c r="O623" s="117"/>
      <c r="P623" s="36" t="s">
        <v>141</v>
      </c>
      <c r="Q623" s="36"/>
      <c r="R623" s="36"/>
      <c r="S623" s="36"/>
      <c r="T623" s="36" t="s">
        <v>141</v>
      </c>
      <c r="U623" s="36"/>
      <c r="V623" s="36"/>
      <c r="W623" s="36" t="s">
        <v>141</v>
      </c>
      <c r="X623" s="36" t="s">
        <v>141</v>
      </c>
      <c r="Y623" s="36" t="s">
        <v>141</v>
      </c>
      <c r="Z623" s="36" t="s">
        <v>141</v>
      </c>
      <c r="AA623" s="117"/>
      <c r="AB623" s="36"/>
      <c r="AC623" s="117"/>
      <c r="AD623" s="36"/>
      <c r="AE623" s="36"/>
      <c r="AF623" s="117"/>
      <c r="AG623" s="36"/>
      <c r="AH623" s="36"/>
      <c r="AI623" s="117"/>
      <c r="AJ623" s="36"/>
      <c r="AK623" s="36"/>
      <c r="AL623" s="36"/>
      <c r="AM623" s="117" t="s">
        <v>141</v>
      </c>
      <c r="AN623" s="117" t="s">
        <v>141</v>
      </c>
      <c r="AO623" s="117"/>
      <c r="AP623" s="117" t="s">
        <v>141</v>
      </c>
      <c r="AQ623" s="117"/>
      <c r="AR623" s="117"/>
      <c r="AS623" s="117"/>
      <c r="AT623" s="117"/>
      <c r="AU623" s="117"/>
      <c r="AV623" s="119">
        <f t="shared" si="14"/>
        <v>13</v>
      </c>
      <c r="AW623" s="119"/>
      <c r="AX623" s="119" t="s">
        <v>2145</v>
      </c>
    </row>
    <row r="624" spans="1:50">
      <c r="A624">
        <v>577</v>
      </c>
      <c r="B624">
        <v>1134</v>
      </c>
      <c r="C624">
        <v>625</v>
      </c>
      <c r="D624" s="7">
        <v>45993</v>
      </c>
      <c r="E624" s="7" t="s">
        <v>1949</v>
      </c>
      <c r="F624" s="10" t="s">
        <v>1948</v>
      </c>
      <c r="G624" s="36" t="s">
        <v>141</v>
      </c>
      <c r="H624" s="36" t="s">
        <v>141</v>
      </c>
      <c r="I624" s="36"/>
      <c r="J624" s="36" t="s">
        <v>141</v>
      </c>
      <c r="K624" s="36"/>
      <c r="L624" s="36"/>
      <c r="M624" s="36" t="s">
        <v>141</v>
      </c>
      <c r="N624" s="36"/>
      <c r="O624" s="117"/>
      <c r="P624" s="36" t="s">
        <v>141</v>
      </c>
      <c r="Q624" s="36"/>
      <c r="R624" s="36" t="s">
        <v>141</v>
      </c>
      <c r="S624" s="36"/>
      <c r="T624" s="36"/>
      <c r="U624" s="36"/>
      <c r="V624" s="36"/>
      <c r="W624" s="36"/>
      <c r="X624" s="36"/>
      <c r="Y624" s="36" t="s">
        <v>141</v>
      </c>
      <c r="Z624" s="36" t="s">
        <v>141</v>
      </c>
      <c r="AA624" s="117"/>
      <c r="AB624" s="36"/>
      <c r="AC624" s="117"/>
      <c r="AD624" s="36"/>
      <c r="AE624" s="36"/>
      <c r="AF624" s="117"/>
      <c r="AG624" s="36"/>
      <c r="AH624" s="36"/>
      <c r="AI624" s="117"/>
      <c r="AJ624" s="36" t="s">
        <v>141</v>
      </c>
      <c r="AK624" s="36"/>
      <c r="AL624" s="36"/>
      <c r="AM624" s="117"/>
      <c r="AN624" s="117" t="s">
        <v>141</v>
      </c>
      <c r="AO624" s="117" t="s">
        <v>141</v>
      </c>
      <c r="AP624" s="117"/>
      <c r="AQ624" s="117"/>
      <c r="AR624" s="117"/>
      <c r="AS624" s="117"/>
      <c r="AT624" s="117"/>
      <c r="AU624" s="117"/>
      <c r="AV624" s="119">
        <f t="shared" si="14"/>
        <v>11</v>
      </c>
      <c r="AW624" s="119"/>
      <c r="AX624" s="119" t="s">
        <v>2145</v>
      </c>
    </row>
    <row r="625" spans="1:50">
      <c r="A625">
        <v>578</v>
      </c>
      <c r="B625">
        <v>1135</v>
      </c>
      <c r="C625">
        <v>626</v>
      </c>
      <c r="D625" s="7">
        <v>45994</v>
      </c>
      <c r="E625" s="7" t="s">
        <v>1952</v>
      </c>
      <c r="F625" s="10" t="s">
        <v>2153</v>
      </c>
      <c r="G625" s="36"/>
      <c r="H625" s="36" t="s">
        <v>141</v>
      </c>
      <c r="I625" s="36"/>
      <c r="J625" s="36" t="s">
        <v>141</v>
      </c>
      <c r="K625" s="36"/>
      <c r="L625" s="36" t="s">
        <v>141</v>
      </c>
      <c r="M625" s="36" t="s">
        <v>141</v>
      </c>
      <c r="N625" s="36"/>
      <c r="O625" s="117"/>
      <c r="P625" s="36"/>
      <c r="Q625" s="36"/>
      <c r="R625" s="36"/>
      <c r="S625" s="36"/>
      <c r="T625" s="36"/>
      <c r="U625" s="36"/>
      <c r="V625" s="36"/>
      <c r="W625" s="36"/>
      <c r="X625" s="36"/>
      <c r="Y625" s="36" t="s">
        <v>141</v>
      </c>
      <c r="Z625" s="36" t="s">
        <v>141</v>
      </c>
      <c r="AA625" s="117"/>
      <c r="AB625" s="36" t="s">
        <v>141</v>
      </c>
      <c r="AC625" s="117" t="s">
        <v>141</v>
      </c>
      <c r="AD625" s="36"/>
      <c r="AE625" s="36"/>
      <c r="AF625" s="117" t="s">
        <v>141</v>
      </c>
      <c r="AG625" s="36"/>
      <c r="AH625" s="36" t="s">
        <v>141</v>
      </c>
      <c r="AI625" s="117"/>
      <c r="AJ625" s="36" t="s">
        <v>141</v>
      </c>
      <c r="AK625" s="36"/>
      <c r="AL625" s="36" t="s">
        <v>141</v>
      </c>
      <c r="AM625" s="117"/>
      <c r="AN625" s="117"/>
      <c r="AO625" s="117"/>
      <c r="AP625" s="117"/>
      <c r="AQ625" s="117"/>
      <c r="AR625" s="117"/>
      <c r="AS625" s="117"/>
      <c r="AT625" s="117"/>
      <c r="AU625" s="117"/>
      <c r="AV625" s="119">
        <f t="shared" si="14"/>
        <v>12</v>
      </c>
      <c r="AW625" s="119"/>
      <c r="AX625" s="119" t="s">
        <v>2145</v>
      </c>
    </row>
    <row r="626" spans="1:50">
      <c r="A626">
        <v>579</v>
      </c>
      <c r="B626">
        <v>1136</v>
      </c>
      <c r="C626">
        <v>627</v>
      </c>
      <c r="D626" s="7">
        <v>45993</v>
      </c>
      <c r="E626" s="7" t="s">
        <v>1954</v>
      </c>
      <c r="F626" s="10" t="s">
        <v>1953</v>
      </c>
      <c r="G626" s="36"/>
      <c r="H626" s="36" t="s">
        <v>141</v>
      </c>
      <c r="I626" s="36"/>
      <c r="J626" s="36" t="s">
        <v>141</v>
      </c>
      <c r="K626" s="36"/>
      <c r="L626" s="36"/>
      <c r="M626" s="36"/>
      <c r="N626" s="36"/>
      <c r="O626" s="117" t="s">
        <v>141</v>
      </c>
      <c r="P626" s="36" t="s">
        <v>141</v>
      </c>
      <c r="Q626" s="36"/>
      <c r="R626" s="36"/>
      <c r="S626" s="36"/>
      <c r="T626" s="36"/>
      <c r="U626" s="36"/>
      <c r="V626" s="36"/>
      <c r="W626" s="36" t="s">
        <v>141</v>
      </c>
      <c r="X626" s="36"/>
      <c r="Y626" s="36"/>
      <c r="Z626" s="36" t="s">
        <v>141</v>
      </c>
      <c r="AA626" s="117" t="s">
        <v>141</v>
      </c>
      <c r="AB626" s="36"/>
      <c r="AC626" s="117"/>
      <c r="AD626" s="36"/>
      <c r="AE626" s="36" t="s">
        <v>141</v>
      </c>
      <c r="AF626" s="117"/>
      <c r="AG626" s="36"/>
      <c r="AH626" s="36"/>
      <c r="AI626" s="117" t="s">
        <v>141</v>
      </c>
      <c r="AJ626" s="36"/>
      <c r="AK626" s="36"/>
      <c r="AL626" s="36"/>
      <c r="AM626" s="117"/>
      <c r="AN626" s="117"/>
      <c r="AO626" s="117"/>
      <c r="AP626" s="117"/>
      <c r="AQ626" s="117" t="s">
        <v>141</v>
      </c>
      <c r="AR626" s="117"/>
      <c r="AS626" s="117"/>
      <c r="AT626" s="117"/>
      <c r="AU626" s="117"/>
      <c r="AV626" s="119">
        <f t="shared" si="14"/>
        <v>10</v>
      </c>
      <c r="AW626" s="119"/>
      <c r="AX626" s="119" t="s">
        <v>2146</v>
      </c>
    </row>
    <row r="627" spans="1:50">
      <c r="A627">
        <v>580</v>
      </c>
      <c r="B627">
        <v>1137</v>
      </c>
      <c r="C627">
        <v>628</v>
      </c>
      <c r="D627" s="7">
        <v>45998</v>
      </c>
      <c r="E627" s="7" t="s">
        <v>1957</v>
      </c>
      <c r="F627" s="10" t="s">
        <v>1955</v>
      </c>
      <c r="G627" s="36"/>
      <c r="H627" s="36"/>
      <c r="I627" s="36" t="s">
        <v>141</v>
      </c>
      <c r="J627" s="36"/>
      <c r="K627" s="36"/>
      <c r="L627" s="36"/>
      <c r="M627" s="36"/>
      <c r="N627" s="36"/>
      <c r="O627" s="117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 t="s">
        <v>141</v>
      </c>
      <c r="AA627" s="117" t="s">
        <v>141</v>
      </c>
      <c r="AB627" s="36"/>
      <c r="AC627" s="117"/>
      <c r="AD627" s="36" t="s">
        <v>141</v>
      </c>
      <c r="AE627" s="36"/>
      <c r="AF627" s="117"/>
      <c r="AG627" s="36"/>
      <c r="AH627" s="36"/>
      <c r="AI627" s="117" t="s">
        <v>141</v>
      </c>
      <c r="AJ627" s="36"/>
      <c r="AK627" s="36"/>
      <c r="AL627" s="36"/>
      <c r="AM627" s="117" t="s">
        <v>141</v>
      </c>
      <c r="AN627" s="117"/>
      <c r="AO627" s="117"/>
      <c r="AP627" s="117" t="s">
        <v>141</v>
      </c>
      <c r="AQ627" s="117" t="s">
        <v>141</v>
      </c>
      <c r="AR627" s="117"/>
      <c r="AS627" s="117" t="s">
        <v>141</v>
      </c>
      <c r="AT627" s="117"/>
      <c r="AU627" s="117"/>
      <c r="AV627" s="119">
        <f t="shared" si="14"/>
        <v>9</v>
      </c>
      <c r="AW627" s="119"/>
      <c r="AX627" s="119" t="s">
        <v>2146</v>
      </c>
    </row>
    <row r="628" spans="1:50">
      <c r="A628">
        <v>581</v>
      </c>
      <c r="B628">
        <v>1138</v>
      </c>
      <c r="C628">
        <v>629</v>
      </c>
      <c r="D628" s="7">
        <v>45998</v>
      </c>
      <c r="E628" s="7" t="s">
        <v>1959</v>
      </c>
      <c r="F628" s="10" t="s">
        <v>1958</v>
      </c>
      <c r="G628" s="36"/>
      <c r="H628" s="36" t="s">
        <v>141</v>
      </c>
      <c r="I628" s="36" t="s">
        <v>141</v>
      </c>
      <c r="J628" s="36"/>
      <c r="K628" s="36"/>
      <c r="L628" s="36"/>
      <c r="M628" s="36"/>
      <c r="N628" s="36"/>
      <c r="O628" s="117"/>
      <c r="P628" s="36" t="s">
        <v>141</v>
      </c>
      <c r="Q628" s="36"/>
      <c r="R628" s="36" t="s">
        <v>141</v>
      </c>
      <c r="S628" s="36"/>
      <c r="T628" s="36"/>
      <c r="U628" s="36"/>
      <c r="V628" s="36"/>
      <c r="W628" s="36"/>
      <c r="X628" s="36"/>
      <c r="Y628" s="36"/>
      <c r="Z628" s="36"/>
      <c r="AA628" s="117"/>
      <c r="AB628" s="36" t="s">
        <v>141</v>
      </c>
      <c r="AC628" s="117" t="s">
        <v>141</v>
      </c>
      <c r="AD628" s="36" t="s">
        <v>141</v>
      </c>
      <c r="AE628" s="36"/>
      <c r="AF628" s="117" t="s">
        <v>141</v>
      </c>
      <c r="AG628" s="36"/>
      <c r="AH628" s="36" t="s">
        <v>141</v>
      </c>
      <c r="AI628" s="117"/>
      <c r="AJ628" s="36"/>
      <c r="AK628" s="36"/>
      <c r="AL628" s="36"/>
      <c r="AM628" s="117" t="s">
        <v>141</v>
      </c>
      <c r="AN628" s="117" t="s">
        <v>141</v>
      </c>
      <c r="AO628" s="117"/>
      <c r="AP628" s="117"/>
      <c r="AQ628" s="117" t="s">
        <v>141</v>
      </c>
      <c r="AR628" s="117"/>
      <c r="AS628" s="117" t="s">
        <v>141</v>
      </c>
      <c r="AT628" s="117"/>
      <c r="AU628" s="117"/>
      <c r="AV628" s="119">
        <f t="shared" si="14"/>
        <v>13</v>
      </c>
      <c r="AW628" s="119"/>
      <c r="AX628" s="119" t="s">
        <v>2146</v>
      </c>
    </row>
    <row r="629" spans="1:50">
      <c r="A629" t="s">
        <v>57</v>
      </c>
      <c r="B629" t="s">
        <v>57</v>
      </c>
      <c r="C629">
        <v>630</v>
      </c>
      <c r="D629" s="7">
        <v>45999</v>
      </c>
      <c r="E629" s="7" t="s">
        <v>2129</v>
      </c>
      <c r="F629" s="10" t="s">
        <v>2130</v>
      </c>
      <c r="G629" s="36" t="s">
        <v>141</v>
      </c>
      <c r="H629" s="36" t="s">
        <v>141</v>
      </c>
      <c r="I629" s="36" t="s">
        <v>141</v>
      </c>
      <c r="J629" s="36" t="s">
        <v>141</v>
      </c>
      <c r="K629" s="36" t="s">
        <v>141</v>
      </c>
      <c r="L629" s="36" t="s">
        <v>2131</v>
      </c>
      <c r="M629" s="36" t="s">
        <v>2131</v>
      </c>
      <c r="N629" s="36" t="s">
        <v>2131</v>
      </c>
      <c r="O629" s="117" t="s">
        <v>141</v>
      </c>
      <c r="P629" s="36" t="s">
        <v>141</v>
      </c>
      <c r="Q629" s="36" t="s">
        <v>141</v>
      </c>
      <c r="R629" s="36" t="s">
        <v>141</v>
      </c>
      <c r="S629" s="36" t="s">
        <v>141</v>
      </c>
      <c r="T629" s="36" t="s">
        <v>141</v>
      </c>
      <c r="U629" s="36" t="s">
        <v>2131</v>
      </c>
      <c r="V629" s="36" t="s">
        <v>2131</v>
      </c>
      <c r="W629" s="36" t="s">
        <v>141</v>
      </c>
      <c r="X629" s="36" t="s">
        <v>141</v>
      </c>
      <c r="Y629" s="36" t="s">
        <v>141</v>
      </c>
      <c r="Z629" s="36" t="s">
        <v>141</v>
      </c>
      <c r="AA629" s="117" t="s">
        <v>141</v>
      </c>
      <c r="AB629" s="36" t="s">
        <v>141</v>
      </c>
      <c r="AC629" s="117"/>
      <c r="AD629" s="36" t="s">
        <v>141</v>
      </c>
      <c r="AE629" s="36" t="s">
        <v>141</v>
      </c>
      <c r="AF629" s="117" t="s">
        <v>141</v>
      </c>
      <c r="AG629" s="36" t="s">
        <v>2131</v>
      </c>
      <c r="AH629" s="36" t="s">
        <v>141</v>
      </c>
      <c r="AI629" s="117" t="s">
        <v>141</v>
      </c>
      <c r="AJ629" s="36" t="s">
        <v>141</v>
      </c>
      <c r="AK629" s="36" t="s">
        <v>141</v>
      </c>
      <c r="AL629" s="36" t="s">
        <v>2131</v>
      </c>
      <c r="AM629" s="117" t="s">
        <v>141</v>
      </c>
      <c r="AN629" s="117" t="s">
        <v>141</v>
      </c>
      <c r="AO629" s="117" t="s">
        <v>141</v>
      </c>
      <c r="AP629" s="117" t="s">
        <v>141</v>
      </c>
      <c r="AQ629" s="117" t="s">
        <v>141</v>
      </c>
      <c r="AR629" s="117" t="s">
        <v>2131</v>
      </c>
      <c r="AS629" s="117" t="s">
        <v>141</v>
      </c>
      <c r="AT629" s="117" t="s">
        <v>141</v>
      </c>
      <c r="AU629" s="117" t="s">
        <v>141</v>
      </c>
      <c r="AV629" s="119">
        <f t="shared" ref="AV629:AV634" si="15">COUNTIF($F629:$AS629, "I")</f>
        <v>30</v>
      </c>
      <c r="AW629" s="119"/>
      <c r="AX629" s="119" t="s">
        <v>2147</v>
      </c>
    </row>
    <row r="630" spans="1:50">
      <c r="A630">
        <v>582</v>
      </c>
      <c r="B630">
        <v>1139</v>
      </c>
      <c r="C630">
        <v>631</v>
      </c>
      <c r="D630" s="7">
        <v>46002</v>
      </c>
      <c r="E630" s="7" t="s">
        <v>1961</v>
      </c>
      <c r="F630" s="10" t="s">
        <v>1960</v>
      </c>
      <c r="G630" s="36"/>
      <c r="H630" s="36"/>
      <c r="I630" s="36"/>
      <c r="J630" s="36" t="s">
        <v>141</v>
      </c>
      <c r="K630" s="36"/>
      <c r="L630" s="36"/>
      <c r="M630" s="36"/>
      <c r="N630" s="36"/>
      <c r="O630" s="117"/>
      <c r="P630" s="36" t="s">
        <v>141</v>
      </c>
      <c r="Q630" s="36"/>
      <c r="R630" s="36"/>
      <c r="S630" s="36" t="s">
        <v>141</v>
      </c>
      <c r="T630" s="36" t="s">
        <v>141</v>
      </c>
      <c r="U630" s="36"/>
      <c r="V630" s="36"/>
      <c r="W630" s="36" t="s">
        <v>141</v>
      </c>
      <c r="X630" s="36"/>
      <c r="Y630" s="36"/>
      <c r="Z630" s="36"/>
      <c r="AA630" s="117" t="s">
        <v>141</v>
      </c>
      <c r="AB630" s="36"/>
      <c r="AC630" s="117" t="s">
        <v>141</v>
      </c>
      <c r="AD630" s="36"/>
      <c r="AE630" s="36"/>
      <c r="AF630" s="117"/>
      <c r="AG630" s="36"/>
      <c r="AH630" s="36" t="s">
        <v>141</v>
      </c>
      <c r="AI630" s="117"/>
      <c r="AJ630" s="36"/>
      <c r="AK630" s="36"/>
      <c r="AL630" s="36"/>
      <c r="AM630" s="117"/>
      <c r="AN630" s="117"/>
      <c r="AO630" s="117"/>
      <c r="AP630" s="117"/>
      <c r="AQ630" s="117"/>
      <c r="AR630" s="117"/>
      <c r="AS630" s="117" t="s">
        <v>141</v>
      </c>
      <c r="AT630" s="117"/>
      <c r="AU630" s="117"/>
      <c r="AV630" s="119">
        <f t="shared" si="15"/>
        <v>9</v>
      </c>
      <c r="AW630" s="119"/>
      <c r="AX630" s="119" t="s">
        <v>2146</v>
      </c>
    </row>
    <row r="631" spans="1:50">
      <c r="A631">
        <v>583</v>
      </c>
      <c r="B631">
        <v>1140</v>
      </c>
      <c r="C631">
        <v>632</v>
      </c>
      <c r="D631" s="7">
        <v>46003</v>
      </c>
      <c r="E631" s="7" t="s">
        <v>1963</v>
      </c>
      <c r="F631" s="10" t="s">
        <v>1962</v>
      </c>
      <c r="G631" s="36"/>
      <c r="H631" s="36"/>
      <c r="I631" s="36"/>
      <c r="J631" s="36" t="s">
        <v>141</v>
      </c>
      <c r="K631" s="36"/>
      <c r="L631" s="36" t="s">
        <v>141</v>
      </c>
      <c r="M631" s="36"/>
      <c r="N631" s="36"/>
      <c r="O631" s="117"/>
      <c r="P631" s="36" t="s">
        <v>141</v>
      </c>
      <c r="Q631" s="36" t="s">
        <v>141</v>
      </c>
      <c r="R631" s="36"/>
      <c r="S631" s="36"/>
      <c r="T631" s="36" t="s">
        <v>141</v>
      </c>
      <c r="U631" s="36"/>
      <c r="V631" s="36"/>
      <c r="W631" s="36" t="s">
        <v>141</v>
      </c>
      <c r="X631" s="36"/>
      <c r="Y631" s="36"/>
      <c r="Z631" s="36"/>
      <c r="AA631" s="117"/>
      <c r="AB631" s="36"/>
      <c r="AC631" s="117"/>
      <c r="AD631" s="36" t="s">
        <v>141</v>
      </c>
      <c r="AE631" s="36"/>
      <c r="AF631" s="117"/>
      <c r="AG631" s="36"/>
      <c r="AH631" s="36"/>
      <c r="AI631" s="117"/>
      <c r="AJ631" s="36"/>
      <c r="AK631" s="36"/>
      <c r="AL631" s="36"/>
      <c r="AM631" s="117" t="s">
        <v>141</v>
      </c>
      <c r="AN631" s="117"/>
      <c r="AO631" s="117"/>
      <c r="AP631" s="117"/>
      <c r="AQ631" s="117"/>
      <c r="AR631" s="117"/>
      <c r="AS631" s="117"/>
      <c r="AT631" s="117"/>
      <c r="AU631" s="117"/>
      <c r="AV631" s="119">
        <f t="shared" si="15"/>
        <v>8</v>
      </c>
      <c r="AW631" s="119"/>
      <c r="AX631" s="119" t="s">
        <v>2146</v>
      </c>
    </row>
    <row r="632" spans="1:50">
      <c r="A632">
        <v>584</v>
      </c>
      <c r="B632">
        <v>1141</v>
      </c>
      <c r="C632">
        <v>633</v>
      </c>
      <c r="D632" s="7">
        <v>46003</v>
      </c>
      <c r="E632" s="7" t="s">
        <v>1965</v>
      </c>
      <c r="F632" s="10" t="s">
        <v>1964</v>
      </c>
      <c r="G632" s="36" t="s">
        <v>141</v>
      </c>
      <c r="H632" s="36"/>
      <c r="I632" s="36"/>
      <c r="J632" s="36" t="s">
        <v>141</v>
      </c>
      <c r="K632" s="36" t="s">
        <v>141</v>
      </c>
      <c r="L632" s="36" t="s">
        <v>141</v>
      </c>
      <c r="M632" s="36"/>
      <c r="N632" s="36"/>
      <c r="O632" s="117"/>
      <c r="P632" s="36" t="s">
        <v>141</v>
      </c>
      <c r="Q632" s="36" t="s">
        <v>141</v>
      </c>
      <c r="R632" s="36"/>
      <c r="S632" s="36"/>
      <c r="T632" s="36" t="s">
        <v>141</v>
      </c>
      <c r="U632" s="36"/>
      <c r="V632" s="36"/>
      <c r="W632" s="36" t="s">
        <v>141</v>
      </c>
      <c r="X632" s="36"/>
      <c r="Y632" s="36"/>
      <c r="Z632" s="36"/>
      <c r="AA632" s="117"/>
      <c r="AB632" s="36"/>
      <c r="AC632" s="117"/>
      <c r="AD632" s="36" t="s">
        <v>141</v>
      </c>
      <c r="AE632" s="36"/>
      <c r="AF632" s="117"/>
      <c r="AG632" s="36"/>
      <c r="AH632" s="36"/>
      <c r="AI632" s="117"/>
      <c r="AJ632" s="36"/>
      <c r="AK632" s="36"/>
      <c r="AL632" s="36"/>
      <c r="AM632" s="117" t="s">
        <v>141</v>
      </c>
      <c r="AN632" s="117"/>
      <c r="AO632" s="117"/>
      <c r="AP632" s="117"/>
      <c r="AQ632" s="117"/>
      <c r="AR632" s="117"/>
      <c r="AS632" s="117"/>
      <c r="AT632" s="117"/>
      <c r="AU632" s="117"/>
      <c r="AV632" s="119">
        <f t="shared" si="15"/>
        <v>10</v>
      </c>
      <c r="AW632" s="119"/>
      <c r="AX632" s="119" t="s">
        <v>2146</v>
      </c>
    </row>
    <row r="633" spans="1:50">
      <c r="A633">
        <v>585</v>
      </c>
      <c r="B633">
        <v>1142</v>
      </c>
      <c r="C633">
        <v>634</v>
      </c>
      <c r="D633" s="7">
        <v>46004</v>
      </c>
      <c r="E633" s="7" t="s">
        <v>1967</v>
      </c>
      <c r="F633" s="10" t="s">
        <v>1966</v>
      </c>
      <c r="G633" s="36" t="s">
        <v>141</v>
      </c>
      <c r="H633" s="36"/>
      <c r="I633" s="36" t="s">
        <v>141</v>
      </c>
      <c r="J633" s="36" t="s">
        <v>141</v>
      </c>
      <c r="K633" s="36" t="s">
        <v>141</v>
      </c>
      <c r="L633" s="36"/>
      <c r="M633" s="36"/>
      <c r="N633" s="36"/>
      <c r="O633" s="117"/>
      <c r="P633" s="36"/>
      <c r="Q633" s="36"/>
      <c r="R633" s="36"/>
      <c r="S633" s="36"/>
      <c r="T633" s="36" t="s">
        <v>141</v>
      </c>
      <c r="U633" s="36"/>
      <c r="V633" s="36"/>
      <c r="W633" s="36" t="s">
        <v>141</v>
      </c>
      <c r="X633" s="36"/>
      <c r="Y633" s="36"/>
      <c r="Z633" s="36"/>
      <c r="AA633" s="117"/>
      <c r="AB633" s="36" t="s">
        <v>141</v>
      </c>
      <c r="AC633" s="117"/>
      <c r="AD633" s="36"/>
      <c r="AE633" s="36" t="s">
        <v>141</v>
      </c>
      <c r="AF633" s="117"/>
      <c r="AG633" s="36"/>
      <c r="AH633" s="36"/>
      <c r="AI633" s="117"/>
      <c r="AJ633" s="36"/>
      <c r="AK633" s="36" t="s">
        <v>141</v>
      </c>
      <c r="AL633" s="36"/>
      <c r="AM633" s="117" t="s">
        <v>141</v>
      </c>
      <c r="AN633" s="117"/>
      <c r="AO633" s="117"/>
      <c r="AP633" s="117"/>
      <c r="AQ633" s="117"/>
      <c r="AR633" s="117"/>
      <c r="AS633" s="117" t="s">
        <v>141</v>
      </c>
      <c r="AT633" s="117"/>
      <c r="AU633" s="117"/>
      <c r="AV633" s="119">
        <f t="shared" si="15"/>
        <v>11</v>
      </c>
      <c r="AW633" s="119"/>
      <c r="AX633" s="119" t="s">
        <v>2145</v>
      </c>
    </row>
    <row r="634" spans="1:50">
      <c r="A634">
        <v>586</v>
      </c>
      <c r="B634">
        <v>1143</v>
      </c>
      <c r="C634">
        <v>635</v>
      </c>
      <c r="D634" s="7">
        <v>46004</v>
      </c>
      <c r="E634" s="7" t="s">
        <v>1970</v>
      </c>
      <c r="F634" s="10" t="s">
        <v>1969</v>
      </c>
      <c r="G634" s="36"/>
      <c r="H634" s="36"/>
      <c r="I634" s="36" t="s">
        <v>141</v>
      </c>
      <c r="J634" s="36"/>
      <c r="K634" s="36"/>
      <c r="L634" s="36"/>
      <c r="M634" s="36" t="s">
        <v>141</v>
      </c>
      <c r="N634" s="36"/>
      <c r="O634" s="117"/>
      <c r="P634" s="36" t="s">
        <v>141</v>
      </c>
      <c r="Q634" s="36"/>
      <c r="R634" s="36" t="s">
        <v>141</v>
      </c>
      <c r="S634" s="36"/>
      <c r="T634" s="36" t="s">
        <v>141</v>
      </c>
      <c r="U634" s="36"/>
      <c r="V634" s="36"/>
      <c r="W634" s="36"/>
      <c r="X634" s="36" t="s">
        <v>141</v>
      </c>
      <c r="Y634" s="36"/>
      <c r="Z634" s="36" t="s">
        <v>141</v>
      </c>
      <c r="AA634" s="117" t="s">
        <v>141</v>
      </c>
      <c r="AB634" s="36"/>
      <c r="AC634" s="117" t="s">
        <v>141</v>
      </c>
      <c r="AD634" s="36"/>
      <c r="AE634" s="36"/>
      <c r="AF634" s="117" t="s">
        <v>141</v>
      </c>
      <c r="AG634" s="36"/>
      <c r="AH634" s="36"/>
      <c r="AI634" s="117"/>
      <c r="AJ634" s="36"/>
      <c r="AK634" s="36"/>
      <c r="AL634" s="36" t="s">
        <v>141</v>
      </c>
      <c r="AM634" s="117"/>
      <c r="AN634" s="117"/>
      <c r="AO634" s="117"/>
      <c r="AP634" s="117" t="s">
        <v>141</v>
      </c>
      <c r="AQ634" s="117"/>
      <c r="AR634" s="117"/>
      <c r="AS634" s="117" t="s">
        <v>141</v>
      </c>
      <c r="AT634" s="117"/>
      <c r="AU634" s="117"/>
      <c r="AV634" s="119">
        <f t="shared" si="15"/>
        <v>13</v>
      </c>
      <c r="AW634" s="119"/>
      <c r="AX634" s="119" t="s">
        <v>2145</v>
      </c>
    </row>
    <row r="635" spans="1:50">
      <c r="A635">
        <v>587</v>
      </c>
      <c r="B635">
        <v>1144</v>
      </c>
      <c r="C635">
        <v>636</v>
      </c>
      <c r="D635" s="7">
        <v>46004</v>
      </c>
      <c r="E635" s="7" t="s">
        <v>2154</v>
      </c>
      <c r="F635" s="10" t="s">
        <v>1971</v>
      </c>
      <c r="G635" s="36" t="s">
        <v>141</v>
      </c>
      <c r="H635" s="36" t="s">
        <v>141</v>
      </c>
      <c r="I635" s="36" t="s">
        <v>141</v>
      </c>
      <c r="J635" s="36" t="s">
        <v>141</v>
      </c>
      <c r="K635" s="36"/>
      <c r="L635" s="36"/>
      <c r="M635" s="36" t="s">
        <v>141</v>
      </c>
      <c r="N635" s="36"/>
      <c r="O635" s="117"/>
      <c r="P635" s="36" t="s">
        <v>141</v>
      </c>
      <c r="Q635" s="36"/>
      <c r="R635" s="36" t="s">
        <v>141</v>
      </c>
      <c r="S635" s="36"/>
      <c r="T635" s="36" t="s">
        <v>141</v>
      </c>
      <c r="U635" s="36"/>
      <c r="V635" s="36"/>
      <c r="W635" s="36" t="s">
        <v>141</v>
      </c>
      <c r="X635" s="36" t="s">
        <v>141</v>
      </c>
      <c r="Y635" s="36"/>
      <c r="Z635" s="36" t="s">
        <v>141</v>
      </c>
      <c r="AA635" s="117"/>
      <c r="AB635" s="36"/>
      <c r="AC635" s="117"/>
      <c r="AD635" s="36"/>
      <c r="AE635" s="36"/>
      <c r="AF635" s="117" t="s">
        <v>141</v>
      </c>
      <c r="AG635" s="36"/>
      <c r="AH635" s="36"/>
      <c r="AI635" s="117"/>
      <c r="AJ635" s="36"/>
      <c r="AK635" s="36"/>
      <c r="AL635" s="36"/>
      <c r="AM635" s="117"/>
      <c r="AN635" s="117"/>
      <c r="AO635" s="117"/>
      <c r="AP635" s="117" t="s">
        <v>141</v>
      </c>
      <c r="AQ635" s="117"/>
      <c r="AR635" s="117"/>
      <c r="AS635" s="117"/>
      <c r="AT635" s="117"/>
      <c r="AU635" s="117"/>
      <c r="AV635" s="119">
        <f t="shared" ref="AV635:AV642" si="16">COUNTIF($F635:$AS635, "I")</f>
        <v>13</v>
      </c>
      <c r="AW635" s="119"/>
      <c r="AX635" s="119" t="s">
        <v>2145</v>
      </c>
    </row>
    <row r="636" spans="1:50">
      <c r="A636">
        <v>588</v>
      </c>
      <c r="B636">
        <v>1145</v>
      </c>
      <c r="C636">
        <v>637</v>
      </c>
      <c r="D636" s="7">
        <v>46004</v>
      </c>
      <c r="E636" s="7" t="s">
        <v>346</v>
      </c>
      <c r="F636" s="10" t="s">
        <v>1973</v>
      </c>
      <c r="G636" s="36" t="s">
        <v>141</v>
      </c>
      <c r="H636" s="36" t="s">
        <v>141</v>
      </c>
      <c r="I636" s="36" t="s">
        <v>141</v>
      </c>
      <c r="J636" s="36"/>
      <c r="K636" s="36"/>
      <c r="L636" s="36"/>
      <c r="M636" s="36" t="s">
        <v>141</v>
      </c>
      <c r="N636" s="36"/>
      <c r="O636" s="117"/>
      <c r="P636" s="36" t="s">
        <v>141</v>
      </c>
      <c r="Q636" s="36"/>
      <c r="R636" s="36" t="s">
        <v>141</v>
      </c>
      <c r="S636" s="36"/>
      <c r="T636" s="36" t="s">
        <v>141</v>
      </c>
      <c r="U636" s="36"/>
      <c r="V636" s="36"/>
      <c r="W636" s="36" t="s">
        <v>141</v>
      </c>
      <c r="X636" s="36" t="s">
        <v>141</v>
      </c>
      <c r="Y636" s="36" t="s">
        <v>141</v>
      </c>
      <c r="Z636" s="36" t="s">
        <v>141</v>
      </c>
      <c r="AA636" s="117"/>
      <c r="AB636" s="36" t="s">
        <v>141</v>
      </c>
      <c r="AC636" s="117" t="s">
        <v>141</v>
      </c>
      <c r="AD636" s="36"/>
      <c r="AE636" s="36"/>
      <c r="AF636" s="117" t="s">
        <v>141</v>
      </c>
      <c r="AG636" s="36"/>
      <c r="AH636" s="36"/>
      <c r="AI636" s="117"/>
      <c r="AJ636" s="36"/>
      <c r="AK636" s="36"/>
      <c r="AL636" s="36"/>
      <c r="AM636" s="117"/>
      <c r="AN636" s="117"/>
      <c r="AO636" s="117"/>
      <c r="AP636" s="117" t="s">
        <v>141</v>
      </c>
      <c r="AQ636" s="117"/>
      <c r="AR636" s="117"/>
      <c r="AS636" s="117"/>
      <c r="AT636" s="117"/>
      <c r="AU636" s="117"/>
      <c r="AV636" s="119">
        <f t="shared" si="16"/>
        <v>15</v>
      </c>
      <c r="AW636" s="119"/>
      <c r="AX636" s="119" t="s">
        <v>2145</v>
      </c>
    </row>
    <row r="637" spans="1:50">
      <c r="A637">
        <v>589</v>
      </c>
      <c r="B637">
        <v>1146</v>
      </c>
      <c r="C637">
        <v>638</v>
      </c>
      <c r="D637" s="7">
        <v>46004</v>
      </c>
      <c r="E637" s="7" t="s">
        <v>1975</v>
      </c>
      <c r="F637" s="10" t="s">
        <v>1974</v>
      </c>
      <c r="G637" s="36"/>
      <c r="H637" s="36" t="s">
        <v>141</v>
      </c>
      <c r="I637" s="36"/>
      <c r="J637" s="36" t="s">
        <v>141</v>
      </c>
      <c r="K637" s="36" t="s">
        <v>141</v>
      </c>
      <c r="L637" s="36"/>
      <c r="M637" s="36"/>
      <c r="N637" s="36"/>
      <c r="O637" s="117"/>
      <c r="P637" s="36" t="s">
        <v>141</v>
      </c>
      <c r="Q637" s="36" t="s">
        <v>141</v>
      </c>
      <c r="R637" s="36"/>
      <c r="S637" s="36"/>
      <c r="T637" s="36" t="s">
        <v>141</v>
      </c>
      <c r="U637" s="36" t="s">
        <v>141</v>
      </c>
      <c r="V637" s="36"/>
      <c r="W637" s="36" t="s">
        <v>141</v>
      </c>
      <c r="X637" s="36" t="s">
        <v>141</v>
      </c>
      <c r="Y637" s="36"/>
      <c r="Z637" s="36"/>
      <c r="AA637" s="117" t="s">
        <v>141</v>
      </c>
      <c r="AB637" s="36"/>
      <c r="AC637" s="117" t="s">
        <v>141</v>
      </c>
      <c r="AD637" s="36"/>
      <c r="AE637" s="36"/>
      <c r="AF637" s="117"/>
      <c r="AG637" s="36"/>
      <c r="AH637" s="36"/>
      <c r="AI637" s="117"/>
      <c r="AJ637" s="36"/>
      <c r="AK637" s="36"/>
      <c r="AL637" s="36"/>
      <c r="AM637" s="117"/>
      <c r="AN637" s="117"/>
      <c r="AO637" s="117"/>
      <c r="AP637" s="117"/>
      <c r="AQ637" s="117"/>
      <c r="AR637" s="117"/>
      <c r="AS637" s="117"/>
      <c r="AT637" s="117"/>
      <c r="AU637" s="117"/>
      <c r="AV637" s="119">
        <f t="shared" si="16"/>
        <v>11</v>
      </c>
      <c r="AW637" s="119"/>
      <c r="AX637" s="119" t="s">
        <v>2145</v>
      </c>
    </row>
    <row r="638" spans="1:50">
      <c r="A638">
        <v>590</v>
      </c>
      <c r="B638">
        <v>1147</v>
      </c>
      <c r="C638">
        <v>639</v>
      </c>
      <c r="D638" s="7">
        <v>46005</v>
      </c>
      <c r="E638" s="7" t="s">
        <v>1977</v>
      </c>
      <c r="F638" s="10" t="s">
        <v>1976</v>
      </c>
      <c r="G638" s="36" t="s">
        <v>141</v>
      </c>
      <c r="H638" s="36" t="s">
        <v>141</v>
      </c>
      <c r="I638" s="36"/>
      <c r="J638" s="36" t="s">
        <v>141</v>
      </c>
      <c r="K638" s="36"/>
      <c r="L638" s="36"/>
      <c r="M638" s="36"/>
      <c r="N638" s="36"/>
      <c r="O638" s="117" t="s">
        <v>141</v>
      </c>
      <c r="P638" s="36" t="s">
        <v>141</v>
      </c>
      <c r="Q638" s="36" t="s">
        <v>141</v>
      </c>
      <c r="R638" s="36"/>
      <c r="S638" s="36"/>
      <c r="T638" s="36" t="s">
        <v>141</v>
      </c>
      <c r="U638" s="36"/>
      <c r="V638" s="36"/>
      <c r="W638" s="36" t="s">
        <v>141</v>
      </c>
      <c r="X638" s="36" t="s">
        <v>141</v>
      </c>
      <c r="Y638" s="36" t="s">
        <v>141</v>
      </c>
      <c r="Z638" s="36" t="s">
        <v>141</v>
      </c>
      <c r="AA638" s="117"/>
      <c r="AB638" s="36" t="s">
        <v>141</v>
      </c>
      <c r="AC638" s="117"/>
      <c r="AD638" s="36" t="s">
        <v>141</v>
      </c>
      <c r="AE638" s="36"/>
      <c r="AF638" s="117" t="s">
        <v>141</v>
      </c>
      <c r="AG638" s="36"/>
      <c r="AH638" s="36"/>
      <c r="AI638" s="117"/>
      <c r="AJ638" s="36"/>
      <c r="AK638" s="36"/>
      <c r="AL638" s="36" t="s">
        <v>141</v>
      </c>
      <c r="AM638" s="117"/>
      <c r="AN638" s="117"/>
      <c r="AO638" s="117"/>
      <c r="AP638" s="117" t="s">
        <v>141</v>
      </c>
      <c r="AQ638" s="117"/>
      <c r="AR638" s="117"/>
      <c r="AS638" s="117" t="s">
        <v>141</v>
      </c>
      <c r="AT638" s="117"/>
      <c r="AU638" s="117"/>
      <c r="AV638" s="119">
        <f t="shared" si="16"/>
        <v>17</v>
      </c>
      <c r="AW638" s="119"/>
      <c r="AX638" s="119" t="s">
        <v>2145</v>
      </c>
    </row>
    <row r="639" spans="1:50">
      <c r="A639">
        <v>591</v>
      </c>
      <c r="B639">
        <v>1148</v>
      </c>
      <c r="C639">
        <v>640</v>
      </c>
      <c r="D639" s="7">
        <v>46005</v>
      </c>
      <c r="E639" s="7" t="s">
        <v>1979</v>
      </c>
      <c r="F639" s="10" t="s">
        <v>1978</v>
      </c>
      <c r="G639" s="36"/>
      <c r="H639" s="36" t="s">
        <v>141</v>
      </c>
      <c r="I639" s="36" t="s">
        <v>141</v>
      </c>
      <c r="J639" s="36"/>
      <c r="K639" s="36"/>
      <c r="L639" s="36"/>
      <c r="M639" s="36" t="s">
        <v>141</v>
      </c>
      <c r="N639" s="36"/>
      <c r="O639" s="117" t="s">
        <v>141</v>
      </c>
      <c r="P639" s="36" t="s">
        <v>141</v>
      </c>
      <c r="Q639" s="36" t="s">
        <v>141</v>
      </c>
      <c r="R639" s="36"/>
      <c r="S639" s="36"/>
      <c r="T639" s="36"/>
      <c r="U639" s="36" t="s">
        <v>141</v>
      </c>
      <c r="V639" s="36"/>
      <c r="W639" s="36"/>
      <c r="X639" s="36" t="s">
        <v>141</v>
      </c>
      <c r="Y639" s="36"/>
      <c r="Z639" s="36" t="s">
        <v>141</v>
      </c>
      <c r="AA639" s="117"/>
      <c r="AB639" s="36"/>
      <c r="AC639" s="117"/>
      <c r="AD639" s="36" t="s">
        <v>141</v>
      </c>
      <c r="AE639" s="36"/>
      <c r="AF639" s="117" t="s">
        <v>141</v>
      </c>
      <c r="AG639" s="36"/>
      <c r="AH639" s="36"/>
      <c r="AI639" s="117" t="s">
        <v>141</v>
      </c>
      <c r="AJ639" s="36"/>
      <c r="AK639" s="36"/>
      <c r="AL639" s="36"/>
      <c r="AM639" s="117" t="s">
        <v>141</v>
      </c>
      <c r="AN639" s="117"/>
      <c r="AO639" s="117" t="s">
        <v>141</v>
      </c>
      <c r="AP639" s="117" t="s">
        <v>141</v>
      </c>
      <c r="AQ639" s="117" t="s">
        <v>141</v>
      </c>
      <c r="AR639" s="117"/>
      <c r="AS639" s="117"/>
      <c r="AT639" s="117"/>
      <c r="AU639" s="117"/>
      <c r="AV639" s="119">
        <f t="shared" si="16"/>
        <v>16</v>
      </c>
      <c r="AW639" s="119"/>
      <c r="AX639" s="119" t="s">
        <v>2145</v>
      </c>
    </row>
    <row r="640" spans="1:50">
      <c r="A640">
        <v>592</v>
      </c>
      <c r="B640">
        <v>1149</v>
      </c>
      <c r="C640">
        <v>641</v>
      </c>
      <c r="D640" s="7">
        <v>46005</v>
      </c>
      <c r="E640" s="7" t="s">
        <v>1981</v>
      </c>
      <c r="F640" s="10" t="s">
        <v>1980</v>
      </c>
      <c r="G640" s="36"/>
      <c r="H640" s="36" t="s">
        <v>141</v>
      </c>
      <c r="I640" s="36" t="s">
        <v>141</v>
      </c>
      <c r="J640" s="36"/>
      <c r="K640" s="36" t="s">
        <v>141</v>
      </c>
      <c r="L640" s="36"/>
      <c r="M640" s="36" t="s">
        <v>141</v>
      </c>
      <c r="N640" s="36"/>
      <c r="O640" s="117" t="s">
        <v>141</v>
      </c>
      <c r="P640" s="36" t="s">
        <v>141</v>
      </c>
      <c r="Q640" s="36" t="s">
        <v>141</v>
      </c>
      <c r="R640" s="36" t="s">
        <v>141</v>
      </c>
      <c r="S640" s="36"/>
      <c r="T640" s="36" t="s">
        <v>141</v>
      </c>
      <c r="U640" s="36" t="s">
        <v>141</v>
      </c>
      <c r="V640" s="36"/>
      <c r="W640" s="36"/>
      <c r="X640" s="36" t="s">
        <v>141</v>
      </c>
      <c r="Y640" s="36"/>
      <c r="Z640" s="36" t="s">
        <v>141</v>
      </c>
      <c r="AA640" s="117"/>
      <c r="AB640" s="36"/>
      <c r="AC640" s="117" t="s">
        <v>141</v>
      </c>
      <c r="AD640" s="36" t="s">
        <v>141</v>
      </c>
      <c r="AE640" s="36"/>
      <c r="AF640" s="117" t="s">
        <v>141</v>
      </c>
      <c r="AG640" s="36"/>
      <c r="AH640" s="36"/>
      <c r="AI640" s="117" t="s">
        <v>141</v>
      </c>
      <c r="AJ640" s="36" t="s">
        <v>141</v>
      </c>
      <c r="AK640" s="36"/>
      <c r="AL640" s="36" t="s">
        <v>141</v>
      </c>
      <c r="AM640" s="117" t="s">
        <v>141</v>
      </c>
      <c r="AN640" s="117" t="s">
        <v>141</v>
      </c>
      <c r="AO640" s="117" t="s">
        <v>141</v>
      </c>
      <c r="AP640" s="117" t="s">
        <v>141</v>
      </c>
      <c r="AQ640" s="117" t="s">
        <v>141</v>
      </c>
      <c r="AR640" s="117"/>
      <c r="AS640" s="117"/>
      <c r="AT640" s="117"/>
      <c r="AU640" s="117"/>
      <c r="AV640" s="119">
        <f t="shared" si="16"/>
        <v>23</v>
      </c>
      <c r="AW640" s="119"/>
      <c r="AX640" s="119" t="s">
        <v>2145</v>
      </c>
    </row>
    <row r="641" spans="1:50">
      <c r="A641">
        <v>593</v>
      </c>
      <c r="B641">
        <v>1150</v>
      </c>
      <c r="C641">
        <v>642</v>
      </c>
      <c r="D641" s="7">
        <v>46005</v>
      </c>
      <c r="E641" s="7" t="s">
        <v>1984</v>
      </c>
      <c r="F641" s="10" t="s">
        <v>1983</v>
      </c>
      <c r="G641" s="36" t="s">
        <v>141</v>
      </c>
      <c r="H641" s="36"/>
      <c r="I641" s="36" t="s">
        <v>141</v>
      </c>
      <c r="J641" s="36" t="s">
        <v>141</v>
      </c>
      <c r="K641" s="36"/>
      <c r="L641" s="36"/>
      <c r="M641" s="36"/>
      <c r="N641" s="36"/>
      <c r="O641" s="117"/>
      <c r="P641" s="36" t="s">
        <v>141</v>
      </c>
      <c r="Q641" s="36" t="s">
        <v>141</v>
      </c>
      <c r="R641" s="36"/>
      <c r="S641" s="36"/>
      <c r="T641" s="36"/>
      <c r="U641" s="36" t="s">
        <v>141</v>
      </c>
      <c r="V641" s="36"/>
      <c r="W641" s="36" t="s">
        <v>141</v>
      </c>
      <c r="X641" s="36" t="s">
        <v>141</v>
      </c>
      <c r="Y641" s="36"/>
      <c r="Z641" s="36" t="s">
        <v>141</v>
      </c>
      <c r="AA641" s="117" t="s">
        <v>141</v>
      </c>
      <c r="AB641" s="36" t="s">
        <v>141</v>
      </c>
      <c r="AC641" s="117"/>
      <c r="AD641" s="36" t="s">
        <v>141</v>
      </c>
      <c r="AE641" s="36"/>
      <c r="AF641" s="117" t="s">
        <v>141</v>
      </c>
      <c r="AG641" s="36"/>
      <c r="AH641" s="36" t="s">
        <v>141</v>
      </c>
      <c r="AI641" s="117"/>
      <c r="AJ641" s="36" t="s">
        <v>141</v>
      </c>
      <c r="AK641" s="36"/>
      <c r="AL641" s="36" t="s">
        <v>141</v>
      </c>
      <c r="AM641" s="117"/>
      <c r="AN641" s="117"/>
      <c r="AO641" s="117"/>
      <c r="AP641" s="117" t="s">
        <v>141</v>
      </c>
      <c r="AQ641" s="117" t="s">
        <v>141</v>
      </c>
      <c r="AR641" s="117"/>
      <c r="AS641" s="117" t="s">
        <v>141</v>
      </c>
      <c r="AT641" s="117"/>
      <c r="AU641" s="117"/>
      <c r="AV641" s="119">
        <f t="shared" si="16"/>
        <v>19</v>
      </c>
      <c r="AW641" s="119"/>
      <c r="AX641" s="119" t="s">
        <v>2145</v>
      </c>
    </row>
    <row r="642" spans="1:50">
      <c r="A642">
        <v>594</v>
      </c>
      <c r="B642">
        <v>1151</v>
      </c>
      <c r="C642">
        <v>643</v>
      </c>
      <c r="D642" s="7">
        <v>46006</v>
      </c>
      <c r="E642" s="7" t="s">
        <v>1988</v>
      </c>
      <c r="F642" s="10" t="s">
        <v>1986</v>
      </c>
      <c r="G642" s="36" t="s">
        <v>141</v>
      </c>
      <c r="H642" s="36"/>
      <c r="I642" s="36" t="s">
        <v>141</v>
      </c>
      <c r="J642" s="36" t="s">
        <v>141</v>
      </c>
      <c r="K642" s="36"/>
      <c r="L642" s="36" t="s">
        <v>141</v>
      </c>
      <c r="M642" s="36" t="s">
        <v>141</v>
      </c>
      <c r="N642" s="36"/>
      <c r="O642" s="117"/>
      <c r="P642" s="36" t="s">
        <v>141</v>
      </c>
      <c r="Q642" s="36"/>
      <c r="R642" s="36"/>
      <c r="S642" s="36"/>
      <c r="T642" s="36" t="s">
        <v>141</v>
      </c>
      <c r="U642" s="36"/>
      <c r="V642" s="36"/>
      <c r="W642" s="36" t="s">
        <v>141</v>
      </c>
      <c r="X642" s="36" t="s">
        <v>141</v>
      </c>
      <c r="Y642" s="36"/>
      <c r="Z642" s="36"/>
      <c r="AA642" s="117"/>
      <c r="AB642" s="36"/>
      <c r="AC642" s="117" t="s">
        <v>141</v>
      </c>
      <c r="AD642" s="36" t="s">
        <v>141</v>
      </c>
      <c r="AE642" s="36" t="s">
        <v>141</v>
      </c>
      <c r="AF642" s="117" t="s">
        <v>141</v>
      </c>
      <c r="AG642" s="36"/>
      <c r="AH642" s="36" t="s">
        <v>141</v>
      </c>
      <c r="AI642" s="117"/>
      <c r="AJ642" s="36"/>
      <c r="AK642" s="36"/>
      <c r="AL642" s="36"/>
      <c r="AM642" s="117"/>
      <c r="AN642" s="117"/>
      <c r="AO642" s="117"/>
      <c r="AP642" s="117" t="s">
        <v>141</v>
      </c>
      <c r="AQ642" s="117"/>
      <c r="AR642" s="117"/>
      <c r="AS642" s="117"/>
      <c r="AT642" s="117"/>
      <c r="AU642" s="117"/>
      <c r="AV642" s="119">
        <f t="shared" si="16"/>
        <v>15</v>
      </c>
      <c r="AW642" s="119"/>
      <c r="AX642" s="119" t="s">
        <v>2145</v>
      </c>
    </row>
    <row r="643" spans="1:50">
      <c r="A643" t="s">
        <v>57</v>
      </c>
      <c r="B643" t="s">
        <v>57</v>
      </c>
      <c r="C643">
        <v>644</v>
      </c>
      <c r="D643" s="7">
        <v>46006</v>
      </c>
      <c r="E643" s="7" t="s">
        <v>2129</v>
      </c>
      <c r="F643" s="10" t="s">
        <v>2130</v>
      </c>
      <c r="G643" s="36" t="s">
        <v>141</v>
      </c>
      <c r="H643" s="36" t="s">
        <v>141</v>
      </c>
      <c r="I643" s="36" t="s">
        <v>141</v>
      </c>
      <c r="J643" s="36" t="s">
        <v>141</v>
      </c>
      <c r="K643" s="36" t="s">
        <v>141</v>
      </c>
      <c r="L643" s="36" t="s">
        <v>141</v>
      </c>
      <c r="M643" s="36" t="s">
        <v>141</v>
      </c>
      <c r="N643" s="36" t="s">
        <v>2131</v>
      </c>
      <c r="O643" s="117" t="s">
        <v>2131</v>
      </c>
      <c r="P643" s="36" t="s">
        <v>141</v>
      </c>
      <c r="Q643" s="36" t="s">
        <v>2131</v>
      </c>
      <c r="R643" s="36" t="s">
        <v>141</v>
      </c>
      <c r="S643" s="36" t="s">
        <v>141</v>
      </c>
      <c r="T643" s="36" t="s">
        <v>141</v>
      </c>
      <c r="U643" s="36" t="s">
        <v>141</v>
      </c>
      <c r="V643" s="36" t="s">
        <v>2131</v>
      </c>
      <c r="W643" s="36" t="s">
        <v>141</v>
      </c>
      <c r="X643" s="36" t="s">
        <v>141</v>
      </c>
      <c r="Y643" s="36" t="s">
        <v>141</v>
      </c>
      <c r="Z643" s="36" t="s">
        <v>141</v>
      </c>
      <c r="AA643" s="117" t="s">
        <v>141</v>
      </c>
      <c r="AB643" s="36" t="s">
        <v>141</v>
      </c>
      <c r="AC643" s="117" t="s">
        <v>141</v>
      </c>
      <c r="AD643" s="36" t="s">
        <v>141</v>
      </c>
      <c r="AE643" s="36" t="s">
        <v>141</v>
      </c>
      <c r="AF643" s="117" t="s">
        <v>141</v>
      </c>
      <c r="AG643" s="36" t="s">
        <v>141</v>
      </c>
      <c r="AH643" s="36" t="s">
        <v>141</v>
      </c>
      <c r="AI643" s="117" t="s">
        <v>2131</v>
      </c>
      <c r="AJ643" s="36" t="s">
        <v>141</v>
      </c>
      <c r="AK643" s="36" t="s">
        <v>141</v>
      </c>
      <c r="AL643" s="36" t="s">
        <v>141</v>
      </c>
      <c r="AM643" s="117" t="s">
        <v>141</v>
      </c>
      <c r="AN643" s="117" t="s">
        <v>141</v>
      </c>
      <c r="AO643" s="117" t="s">
        <v>2131</v>
      </c>
      <c r="AP643" s="117" t="s">
        <v>141</v>
      </c>
      <c r="AQ643" s="117" t="s">
        <v>141</v>
      </c>
      <c r="AR643" s="117" t="s">
        <v>2131</v>
      </c>
      <c r="AS643" s="117" t="s">
        <v>141</v>
      </c>
      <c r="AT643" s="117" t="s">
        <v>141</v>
      </c>
      <c r="AU643" s="117" t="s">
        <v>2131</v>
      </c>
      <c r="AV643" s="119">
        <f t="shared" ref="AV643:AV648" si="17">COUNTIF($F643:$AS643, "I")</f>
        <v>32</v>
      </c>
      <c r="AW643" s="119"/>
      <c r="AX643" s="119" t="s">
        <v>2147</v>
      </c>
    </row>
    <row r="644" spans="1:50">
      <c r="A644">
        <v>595</v>
      </c>
      <c r="B644">
        <v>1152</v>
      </c>
      <c r="C644">
        <v>645</v>
      </c>
      <c r="D644" s="7">
        <v>46007</v>
      </c>
      <c r="E644" s="7" t="s">
        <v>1990</v>
      </c>
      <c r="F644" s="10" t="s">
        <v>1989</v>
      </c>
      <c r="G644" s="36"/>
      <c r="H644" s="36"/>
      <c r="I644" s="36"/>
      <c r="J644" s="36" t="s">
        <v>141</v>
      </c>
      <c r="K644" s="36"/>
      <c r="L644" s="36" t="s">
        <v>141</v>
      </c>
      <c r="M644" s="36" t="s">
        <v>141</v>
      </c>
      <c r="N644" s="36"/>
      <c r="O644" s="117"/>
      <c r="P644" s="36" t="s">
        <v>141</v>
      </c>
      <c r="Q644" s="36"/>
      <c r="R644" s="36"/>
      <c r="S644" s="36"/>
      <c r="T644" s="36" t="s">
        <v>141</v>
      </c>
      <c r="U644" s="36"/>
      <c r="V644" s="36"/>
      <c r="W644" s="36"/>
      <c r="X644" s="36"/>
      <c r="Y644" s="36" t="s">
        <v>141</v>
      </c>
      <c r="Z644" s="36"/>
      <c r="AA644" s="117" t="s">
        <v>141</v>
      </c>
      <c r="AB644" s="36"/>
      <c r="AC644" s="117"/>
      <c r="AD644" s="36" t="s">
        <v>141</v>
      </c>
      <c r="AE644" s="36" t="s">
        <v>141</v>
      </c>
      <c r="AF644" s="117"/>
      <c r="AG644" s="36" t="s">
        <v>141</v>
      </c>
      <c r="AH644" s="36"/>
      <c r="AI644" s="117"/>
      <c r="AJ644" s="36"/>
      <c r="AK644" s="36"/>
      <c r="AL644" s="36"/>
      <c r="AM644" s="117"/>
      <c r="AN644" s="117" t="s">
        <v>141</v>
      </c>
      <c r="AO644" s="117"/>
      <c r="AP644" s="117"/>
      <c r="AQ644" s="117"/>
      <c r="AR644" s="117"/>
      <c r="AS644" s="117" t="s">
        <v>141</v>
      </c>
      <c r="AT644" s="117"/>
      <c r="AU644" s="117"/>
      <c r="AV644" s="119">
        <f t="shared" si="17"/>
        <v>12</v>
      </c>
      <c r="AW644" s="119"/>
      <c r="AX644" s="119" t="s">
        <v>2145</v>
      </c>
    </row>
    <row r="645" spans="1:50">
      <c r="A645">
        <v>596</v>
      </c>
      <c r="B645">
        <v>1153</v>
      </c>
      <c r="C645">
        <v>646</v>
      </c>
      <c r="D645" s="7">
        <v>46007</v>
      </c>
      <c r="E645" s="7" t="s">
        <v>1992</v>
      </c>
      <c r="F645" s="10" t="s">
        <v>1991</v>
      </c>
      <c r="G645" s="36"/>
      <c r="H645" s="36"/>
      <c r="I645" s="36"/>
      <c r="J645" s="36" t="s">
        <v>141</v>
      </c>
      <c r="K645" s="36"/>
      <c r="L645" s="36"/>
      <c r="M645" s="36" t="s">
        <v>141</v>
      </c>
      <c r="N645" s="36"/>
      <c r="O645" s="117"/>
      <c r="P645" s="36" t="s">
        <v>141</v>
      </c>
      <c r="Q645" s="36"/>
      <c r="R645" s="36"/>
      <c r="S645" s="36"/>
      <c r="T645" s="36" t="s">
        <v>141</v>
      </c>
      <c r="U645" s="36"/>
      <c r="V645" s="36"/>
      <c r="W645" s="36"/>
      <c r="X645" s="36" t="s">
        <v>141</v>
      </c>
      <c r="Y645" s="36" t="s">
        <v>141</v>
      </c>
      <c r="Z645" s="36"/>
      <c r="AA645" s="117"/>
      <c r="AB645" s="36"/>
      <c r="AC645" s="117"/>
      <c r="AD645" s="36"/>
      <c r="AE645" s="36" t="s">
        <v>141</v>
      </c>
      <c r="AF645" s="117"/>
      <c r="AG645" s="36"/>
      <c r="AH645" s="36"/>
      <c r="AI645" s="117"/>
      <c r="AJ645" s="36"/>
      <c r="AK645" s="36" t="s">
        <v>141</v>
      </c>
      <c r="AL645" s="36"/>
      <c r="AM645" s="117"/>
      <c r="AN645" s="117"/>
      <c r="AO645" s="117"/>
      <c r="AP645" s="117"/>
      <c r="AQ645" s="117"/>
      <c r="AR645" s="117"/>
      <c r="AS645" s="117" t="s">
        <v>141</v>
      </c>
      <c r="AT645" s="117"/>
      <c r="AU645" s="117"/>
      <c r="AV645" s="119">
        <f t="shared" si="17"/>
        <v>9</v>
      </c>
      <c r="AW645" s="119"/>
      <c r="AX645" s="119" t="s">
        <v>2145</v>
      </c>
    </row>
    <row r="646" spans="1:50">
      <c r="A646">
        <v>597</v>
      </c>
      <c r="B646">
        <v>1154</v>
      </c>
      <c r="C646">
        <v>647</v>
      </c>
      <c r="D646" s="7">
        <v>46008</v>
      </c>
      <c r="E646" s="7" t="s">
        <v>1994</v>
      </c>
      <c r="F646" s="10" t="s">
        <v>1993</v>
      </c>
      <c r="G646" s="36"/>
      <c r="H646" s="36"/>
      <c r="I646" s="36"/>
      <c r="J646" s="36" t="s">
        <v>141</v>
      </c>
      <c r="K646" s="36" t="s">
        <v>141</v>
      </c>
      <c r="L646" s="36" t="s">
        <v>141</v>
      </c>
      <c r="M646" s="36" t="s">
        <v>141</v>
      </c>
      <c r="N646" s="36" t="s">
        <v>141</v>
      </c>
      <c r="O646" s="117"/>
      <c r="P646" s="36" t="s">
        <v>141</v>
      </c>
      <c r="Q646" s="36" t="s">
        <v>141</v>
      </c>
      <c r="R646" s="36"/>
      <c r="S646" s="36" t="s">
        <v>141</v>
      </c>
      <c r="T646" s="36" t="s">
        <v>141</v>
      </c>
      <c r="U646" s="36"/>
      <c r="V646" s="36"/>
      <c r="W646" s="36"/>
      <c r="X646" s="36" t="s">
        <v>141</v>
      </c>
      <c r="Y646" s="36" t="s">
        <v>141</v>
      </c>
      <c r="Z646" s="36"/>
      <c r="AA646" s="117"/>
      <c r="AB646" s="36" t="s">
        <v>141</v>
      </c>
      <c r="AC646" s="117"/>
      <c r="AD646" s="36"/>
      <c r="AE646" s="36" t="s">
        <v>141</v>
      </c>
      <c r="AF646" s="117"/>
      <c r="AG646" s="36"/>
      <c r="AH646" s="36" t="s">
        <v>141</v>
      </c>
      <c r="AI646" s="117"/>
      <c r="AJ646" s="36"/>
      <c r="AK646" s="36"/>
      <c r="AL646" s="36"/>
      <c r="AM646" s="117"/>
      <c r="AN646" s="117"/>
      <c r="AO646" s="117"/>
      <c r="AP646" s="117"/>
      <c r="AQ646" s="117"/>
      <c r="AR646" s="117"/>
      <c r="AS646" s="117" t="s">
        <v>141</v>
      </c>
      <c r="AT646" s="117"/>
      <c r="AU646" s="117"/>
      <c r="AV646" s="119">
        <f t="shared" si="17"/>
        <v>15</v>
      </c>
      <c r="AW646" s="119"/>
      <c r="AX646" s="119" t="s">
        <v>2146</v>
      </c>
    </row>
    <row r="647" spans="1:50">
      <c r="A647">
        <v>598</v>
      </c>
      <c r="B647">
        <v>1155</v>
      </c>
      <c r="C647">
        <v>648</v>
      </c>
      <c r="D647" s="7">
        <v>46009</v>
      </c>
      <c r="E647" s="7" t="s">
        <v>1996</v>
      </c>
      <c r="F647" s="10" t="s">
        <v>1995</v>
      </c>
      <c r="G647" s="36"/>
      <c r="H647" s="36" t="s">
        <v>141</v>
      </c>
      <c r="I647" s="36"/>
      <c r="J647" s="36" t="s">
        <v>141</v>
      </c>
      <c r="K647" s="36"/>
      <c r="L647" s="36"/>
      <c r="M647" s="36"/>
      <c r="N647" s="36"/>
      <c r="O647" s="117"/>
      <c r="P647" s="36"/>
      <c r="Q647" s="36" t="s">
        <v>141</v>
      </c>
      <c r="R647" s="36"/>
      <c r="S647" s="36"/>
      <c r="T647" s="36"/>
      <c r="U647" s="36"/>
      <c r="V647" s="36"/>
      <c r="W647" s="36"/>
      <c r="X647" s="36"/>
      <c r="Y647" s="36"/>
      <c r="Z647" s="36" t="s">
        <v>141</v>
      </c>
      <c r="AA647" s="117" t="s">
        <v>141</v>
      </c>
      <c r="AB647" s="36"/>
      <c r="AC647" s="117"/>
      <c r="AD647" s="36"/>
      <c r="AE647" s="36" t="s">
        <v>141</v>
      </c>
      <c r="AF647" s="117"/>
      <c r="AG647" s="36"/>
      <c r="AH647" s="36"/>
      <c r="AI647" s="117"/>
      <c r="AJ647" s="36" t="s">
        <v>141</v>
      </c>
      <c r="AK647" s="36"/>
      <c r="AL647" s="36" t="s">
        <v>141</v>
      </c>
      <c r="AM647" s="117"/>
      <c r="AN647" s="117" t="s">
        <v>141</v>
      </c>
      <c r="AO647" s="117"/>
      <c r="AP647" s="117"/>
      <c r="AQ647" s="117"/>
      <c r="AR647" s="117"/>
      <c r="AS647" s="117" t="s">
        <v>141</v>
      </c>
      <c r="AT647" s="117"/>
      <c r="AU647" s="117"/>
      <c r="AV647" s="119">
        <f t="shared" si="17"/>
        <v>10</v>
      </c>
      <c r="AW647" s="119"/>
      <c r="AX647" s="119" t="s">
        <v>2146</v>
      </c>
    </row>
    <row r="648" spans="1:50">
      <c r="A648">
        <v>599</v>
      </c>
      <c r="B648">
        <v>1156</v>
      </c>
      <c r="C648">
        <v>649</v>
      </c>
      <c r="D648" s="7">
        <v>46010</v>
      </c>
      <c r="E648" s="7" t="s">
        <v>1998</v>
      </c>
      <c r="F648" s="10" t="s">
        <v>1997</v>
      </c>
      <c r="G648" s="36" t="s">
        <v>141</v>
      </c>
      <c r="H648" s="36" t="s">
        <v>141</v>
      </c>
      <c r="I648" s="36"/>
      <c r="J648" s="36" t="s">
        <v>141</v>
      </c>
      <c r="K648" s="36"/>
      <c r="L648" s="36" t="s">
        <v>141</v>
      </c>
      <c r="M648" s="36"/>
      <c r="N648" s="36"/>
      <c r="O648" s="117"/>
      <c r="P648" s="36"/>
      <c r="Q648" s="36" t="s">
        <v>141</v>
      </c>
      <c r="R648" s="36"/>
      <c r="S648" s="36"/>
      <c r="T648" s="36" t="s">
        <v>141</v>
      </c>
      <c r="U648" s="36"/>
      <c r="V648" s="36"/>
      <c r="W648" s="36"/>
      <c r="X648" s="36"/>
      <c r="Y648" s="36"/>
      <c r="Z648" s="36" t="s">
        <v>141</v>
      </c>
      <c r="AA648" s="117"/>
      <c r="AB648" s="36" t="s">
        <v>141</v>
      </c>
      <c r="AC648" s="117"/>
      <c r="AD648" s="36"/>
      <c r="AE648" s="36"/>
      <c r="AF648" s="117"/>
      <c r="AG648" s="36"/>
      <c r="AH648" s="36"/>
      <c r="AI648" s="117"/>
      <c r="AJ648" s="36"/>
      <c r="AK648" s="36" t="s">
        <v>141</v>
      </c>
      <c r="AL648" s="36"/>
      <c r="AM648" s="117"/>
      <c r="AN648" s="117"/>
      <c r="AO648" s="117"/>
      <c r="AP648" s="117"/>
      <c r="AQ648" s="117"/>
      <c r="AR648" s="117"/>
      <c r="AS648" s="117" t="s">
        <v>141</v>
      </c>
      <c r="AT648" s="117"/>
      <c r="AU648" s="117"/>
      <c r="AV648" s="119">
        <f t="shared" si="17"/>
        <v>10</v>
      </c>
      <c r="AW648" s="119"/>
      <c r="AX648" s="119" t="s">
        <v>2146</v>
      </c>
    </row>
    <row r="649" spans="1:50">
      <c r="A649">
        <v>600</v>
      </c>
      <c r="B649">
        <v>1157</v>
      </c>
      <c r="C649">
        <v>650</v>
      </c>
      <c r="D649" s="7">
        <v>46010</v>
      </c>
      <c r="E649" s="7" t="s">
        <v>2000</v>
      </c>
      <c r="F649" s="10" t="s">
        <v>1999</v>
      </c>
      <c r="G649" s="36" t="s">
        <v>141</v>
      </c>
      <c r="H649" s="36"/>
      <c r="I649" s="36"/>
      <c r="J649" s="36" t="s">
        <v>141</v>
      </c>
      <c r="K649" s="36"/>
      <c r="L649" s="36"/>
      <c r="M649" s="36"/>
      <c r="N649" s="36" t="s">
        <v>141</v>
      </c>
      <c r="O649" s="117"/>
      <c r="P649" s="36" t="s">
        <v>141</v>
      </c>
      <c r="Q649" s="36"/>
      <c r="R649" s="36"/>
      <c r="S649" s="36"/>
      <c r="T649" s="36" t="s">
        <v>141</v>
      </c>
      <c r="U649" s="36"/>
      <c r="V649" s="36"/>
      <c r="W649" s="36"/>
      <c r="X649" s="36"/>
      <c r="Y649" s="36"/>
      <c r="Z649" s="36"/>
      <c r="AA649" s="117" t="s">
        <v>141</v>
      </c>
      <c r="AB649" s="36" t="s">
        <v>141</v>
      </c>
      <c r="AC649" s="117"/>
      <c r="AD649" s="36"/>
      <c r="AE649" s="36"/>
      <c r="AF649" s="117"/>
      <c r="AG649" s="36"/>
      <c r="AH649" s="36"/>
      <c r="AI649" s="117"/>
      <c r="AJ649" s="36"/>
      <c r="AK649" s="36"/>
      <c r="AL649" s="36"/>
      <c r="AM649" s="117"/>
      <c r="AN649" s="117"/>
      <c r="AO649" s="117"/>
      <c r="AP649" s="117" t="s">
        <v>141</v>
      </c>
      <c r="AQ649" s="117"/>
      <c r="AR649" s="117"/>
      <c r="AS649" s="117" t="s">
        <v>141</v>
      </c>
      <c r="AT649" s="117"/>
      <c r="AU649" s="117"/>
      <c r="AV649" s="119">
        <f t="shared" ref="AV649:AV655" si="18">COUNTIF($F649:$AS649, "I")</f>
        <v>9</v>
      </c>
      <c r="AW649" s="119"/>
      <c r="AX649" s="119" t="s">
        <v>2146</v>
      </c>
    </row>
    <row r="650" spans="1:50">
      <c r="A650">
        <v>601</v>
      </c>
      <c r="B650">
        <v>1158</v>
      </c>
      <c r="C650">
        <v>651</v>
      </c>
      <c r="D650" s="7">
        <v>46010</v>
      </c>
      <c r="E650" s="7" t="s">
        <v>1214</v>
      </c>
      <c r="F650" s="10" t="s">
        <v>2001</v>
      </c>
      <c r="G650" s="36"/>
      <c r="H650" s="36"/>
      <c r="I650" s="36"/>
      <c r="J650" s="36" t="s">
        <v>141</v>
      </c>
      <c r="K650" s="36"/>
      <c r="L650" s="36" t="s">
        <v>141</v>
      </c>
      <c r="M650" s="36"/>
      <c r="N650" s="36" t="s">
        <v>141</v>
      </c>
      <c r="O650" s="117"/>
      <c r="P650" s="36"/>
      <c r="Q650" s="36"/>
      <c r="R650" s="36"/>
      <c r="S650" s="36"/>
      <c r="T650" s="36" t="s">
        <v>141</v>
      </c>
      <c r="U650" s="36"/>
      <c r="V650" s="36"/>
      <c r="W650" s="36" t="s">
        <v>141</v>
      </c>
      <c r="X650" s="36"/>
      <c r="Y650" s="36" t="s">
        <v>141</v>
      </c>
      <c r="Z650" s="36"/>
      <c r="AA650" s="117" t="s">
        <v>141</v>
      </c>
      <c r="AB650" s="36"/>
      <c r="AC650" s="117"/>
      <c r="AD650" s="36"/>
      <c r="AE650" s="36"/>
      <c r="AF650" s="117"/>
      <c r="AG650" s="36"/>
      <c r="AH650" s="36"/>
      <c r="AI650" s="117"/>
      <c r="AJ650" s="36"/>
      <c r="AK650" s="36" t="s">
        <v>141</v>
      </c>
      <c r="AL650" s="36"/>
      <c r="AM650" s="117" t="s">
        <v>141</v>
      </c>
      <c r="AN650" s="117" t="s">
        <v>141</v>
      </c>
      <c r="AO650" s="117"/>
      <c r="AP650" s="117"/>
      <c r="AQ650" s="117"/>
      <c r="AR650" s="117"/>
      <c r="AS650" s="117" t="s">
        <v>141</v>
      </c>
      <c r="AT650" s="117"/>
      <c r="AU650" s="117"/>
      <c r="AV650" s="119">
        <f t="shared" si="18"/>
        <v>11</v>
      </c>
      <c r="AW650" s="119"/>
      <c r="AX650" s="119" t="s">
        <v>2146</v>
      </c>
    </row>
    <row r="651" spans="1:50">
      <c r="A651">
        <v>602</v>
      </c>
      <c r="B651">
        <v>1159</v>
      </c>
      <c r="C651">
        <v>652</v>
      </c>
      <c r="D651" s="7">
        <v>46010</v>
      </c>
      <c r="E651" s="7" t="s">
        <v>2003</v>
      </c>
      <c r="F651" s="10" t="s">
        <v>2002</v>
      </c>
      <c r="G651" s="36" t="s">
        <v>141</v>
      </c>
      <c r="H651" s="36" t="s">
        <v>141</v>
      </c>
      <c r="I651" s="36"/>
      <c r="J651" s="36" t="s">
        <v>141</v>
      </c>
      <c r="K651" s="36"/>
      <c r="L651" s="36"/>
      <c r="M651" s="36"/>
      <c r="N651" s="36"/>
      <c r="O651" s="117" t="s">
        <v>141</v>
      </c>
      <c r="P651" s="36" t="s">
        <v>141</v>
      </c>
      <c r="Q651" s="36" t="s">
        <v>141</v>
      </c>
      <c r="R651" s="36"/>
      <c r="S651" s="36"/>
      <c r="T651" s="36" t="s">
        <v>141</v>
      </c>
      <c r="U651" s="36"/>
      <c r="V651" s="36"/>
      <c r="W651" s="36"/>
      <c r="X651" s="36"/>
      <c r="Y651" s="36" t="s">
        <v>141</v>
      </c>
      <c r="Z651" s="36"/>
      <c r="AA651" s="117"/>
      <c r="AB651" s="36"/>
      <c r="AC651" s="117"/>
      <c r="AD651" s="36" t="s">
        <v>141</v>
      </c>
      <c r="AE651" s="36"/>
      <c r="AF651" s="117"/>
      <c r="AG651" s="36"/>
      <c r="AH651" s="36" t="s">
        <v>141</v>
      </c>
      <c r="AI651" s="117"/>
      <c r="AJ651" s="36" t="s">
        <v>141</v>
      </c>
      <c r="AK651" s="36"/>
      <c r="AL651" s="36" t="s">
        <v>141</v>
      </c>
      <c r="AM651" s="117"/>
      <c r="AN651" s="117" t="s">
        <v>141</v>
      </c>
      <c r="AO651" s="117"/>
      <c r="AP651" s="117"/>
      <c r="AQ651" s="117"/>
      <c r="AR651" s="117"/>
      <c r="AS651" s="117" t="s">
        <v>141</v>
      </c>
      <c r="AT651" s="117"/>
      <c r="AU651" s="117"/>
      <c r="AV651" s="119">
        <f t="shared" si="18"/>
        <v>14</v>
      </c>
      <c r="AW651" s="119"/>
      <c r="AX651" s="119" t="s">
        <v>2146</v>
      </c>
    </row>
    <row r="652" spans="1:50">
      <c r="A652">
        <v>603</v>
      </c>
      <c r="B652">
        <v>1160</v>
      </c>
      <c r="C652">
        <v>653</v>
      </c>
      <c r="D652" s="7">
        <v>46009</v>
      </c>
      <c r="E652" s="7" t="s">
        <v>2005</v>
      </c>
      <c r="F652" s="10" t="s">
        <v>2004</v>
      </c>
      <c r="G652" s="36"/>
      <c r="H652" s="36" t="s">
        <v>141</v>
      </c>
      <c r="I652" s="36"/>
      <c r="J652" s="36" t="s">
        <v>141</v>
      </c>
      <c r="K652" s="36"/>
      <c r="L652" s="36"/>
      <c r="M652" s="36"/>
      <c r="N652" s="36"/>
      <c r="O652" s="117" t="s">
        <v>141</v>
      </c>
      <c r="P652" s="36" t="s">
        <v>141</v>
      </c>
      <c r="Q652" s="36" t="s">
        <v>141</v>
      </c>
      <c r="R652" s="36"/>
      <c r="S652" s="36"/>
      <c r="T652" s="36"/>
      <c r="U652" s="36" t="s">
        <v>141</v>
      </c>
      <c r="V652" s="36"/>
      <c r="W652" s="36"/>
      <c r="X652" s="36"/>
      <c r="Y652" s="36" t="s">
        <v>141</v>
      </c>
      <c r="Z652" s="36"/>
      <c r="AA652" s="117"/>
      <c r="AB652" s="36"/>
      <c r="AC652" s="117"/>
      <c r="AD652" s="36"/>
      <c r="AE652" s="36" t="s">
        <v>141</v>
      </c>
      <c r="AF652" s="117" t="s">
        <v>141</v>
      </c>
      <c r="AG652" s="36"/>
      <c r="AH652" s="36"/>
      <c r="AI652" s="117"/>
      <c r="AJ652" s="36" t="s">
        <v>141</v>
      </c>
      <c r="AK652" s="36"/>
      <c r="AL652" s="36" t="s">
        <v>141</v>
      </c>
      <c r="AM652" s="117"/>
      <c r="AN652" s="117"/>
      <c r="AO652" s="117"/>
      <c r="AP652" s="117"/>
      <c r="AQ652" s="117"/>
      <c r="AR652" s="117"/>
      <c r="AS652" s="117" t="s">
        <v>141</v>
      </c>
      <c r="AT652" s="117"/>
      <c r="AU652" s="117"/>
      <c r="AV652" s="119">
        <f t="shared" si="18"/>
        <v>12</v>
      </c>
      <c r="AW652" s="119"/>
      <c r="AX652" s="119" t="s">
        <v>2146</v>
      </c>
    </row>
    <row r="653" spans="1:50">
      <c r="A653">
        <v>604</v>
      </c>
      <c r="B653">
        <v>1161</v>
      </c>
      <c r="C653">
        <v>654</v>
      </c>
      <c r="D653" s="7">
        <v>46010</v>
      </c>
      <c r="E653" s="7" t="s">
        <v>2007</v>
      </c>
      <c r="F653" s="10" t="s">
        <v>2006</v>
      </c>
      <c r="G653" s="36"/>
      <c r="H653" s="36" t="s">
        <v>141</v>
      </c>
      <c r="I653" s="36"/>
      <c r="J653" s="36" t="s">
        <v>141</v>
      </c>
      <c r="K653" s="36"/>
      <c r="L653" s="36"/>
      <c r="M653" s="36"/>
      <c r="N653" s="36"/>
      <c r="O653" s="117" t="s">
        <v>141</v>
      </c>
      <c r="P653" s="36" t="s">
        <v>141</v>
      </c>
      <c r="Q653" s="36"/>
      <c r="R653" s="36"/>
      <c r="S653" s="36"/>
      <c r="T653" s="36"/>
      <c r="U653" s="36" t="s">
        <v>141</v>
      </c>
      <c r="V653" s="36"/>
      <c r="W653" s="36"/>
      <c r="X653" s="36"/>
      <c r="Y653" s="36" t="s">
        <v>141</v>
      </c>
      <c r="Z653" s="36"/>
      <c r="AA653" s="117"/>
      <c r="AB653" s="36"/>
      <c r="AC653" s="117"/>
      <c r="AD653" s="36" t="s">
        <v>141</v>
      </c>
      <c r="AE653" s="36" t="s">
        <v>141</v>
      </c>
      <c r="AF653" s="117"/>
      <c r="AG653" s="36"/>
      <c r="AH653" s="36" t="s">
        <v>141</v>
      </c>
      <c r="AI653" s="117"/>
      <c r="AJ653" s="36" t="s">
        <v>141</v>
      </c>
      <c r="AK653" s="36"/>
      <c r="AL653" s="36" t="s">
        <v>141</v>
      </c>
      <c r="AM653" s="117"/>
      <c r="AN653" s="117"/>
      <c r="AO653" s="117"/>
      <c r="AP653" s="117"/>
      <c r="AQ653" s="117"/>
      <c r="AR653" s="117"/>
      <c r="AS653" s="117" t="s">
        <v>141</v>
      </c>
      <c r="AT653" s="117"/>
      <c r="AU653" s="117"/>
      <c r="AV653" s="119">
        <f t="shared" si="18"/>
        <v>12</v>
      </c>
      <c r="AW653" s="119"/>
      <c r="AX653" s="119" t="s">
        <v>2146</v>
      </c>
    </row>
    <row r="654" spans="1:50">
      <c r="A654">
        <v>605</v>
      </c>
      <c r="B654">
        <v>1162</v>
      </c>
      <c r="C654">
        <v>655</v>
      </c>
      <c r="D654" s="7">
        <v>46011</v>
      </c>
      <c r="E654" s="7" t="s">
        <v>2009</v>
      </c>
      <c r="F654" s="10" t="s">
        <v>2008</v>
      </c>
      <c r="G654" s="36" t="s">
        <v>141</v>
      </c>
      <c r="H654" s="36" t="s">
        <v>141</v>
      </c>
      <c r="I654" s="36" t="s">
        <v>141</v>
      </c>
      <c r="J654" s="36" t="s">
        <v>141</v>
      </c>
      <c r="K654" s="36"/>
      <c r="L654" s="36"/>
      <c r="M654" s="36"/>
      <c r="N654" s="36" t="s">
        <v>141</v>
      </c>
      <c r="O654" s="117"/>
      <c r="P654" s="36"/>
      <c r="Q654" s="36" t="s">
        <v>141</v>
      </c>
      <c r="R654" s="36"/>
      <c r="S654" s="36"/>
      <c r="T654" s="36"/>
      <c r="U654" s="36"/>
      <c r="V654" s="36"/>
      <c r="W654" s="36"/>
      <c r="X654" s="36" t="s">
        <v>141</v>
      </c>
      <c r="Y654" s="36"/>
      <c r="Z654" s="36" t="s">
        <v>141</v>
      </c>
      <c r="AA654" s="117"/>
      <c r="AB654" s="36" t="s">
        <v>141</v>
      </c>
      <c r="AC654" s="117"/>
      <c r="AD654" s="36" t="s">
        <v>141</v>
      </c>
      <c r="AE654" s="36"/>
      <c r="AF654" s="117"/>
      <c r="AG654" s="36"/>
      <c r="AH654" s="36"/>
      <c r="AI654" s="117"/>
      <c r="AJ654" s="36"/>
      <c r="AK654" s="36" t="s">
        <v>141</v>
      </c>
      <c r="AL654" s="36"/>
      <c r="AM654" s="117"/>
      <c r="AN654" s="117"/>
      <c r="AO654" s="117"/>
      <c r="AP654" s="117"/>
      <c r="AQ654" s="117"/>
      <c r="AR654" s="117"/>
      <c r="AS654" s="117" t="s">
        <v>141</v>
      </c>
      <c r="AT654" s="117"/>
      <c r="AU654" s="117"/>
      <c r="AV654" s="119">
        <f t="shared" si="18"/>
        <v>12</v>
      </c>
      <c r="AW654" s="119"/>
      <c r="AX654" s="119" t="s">
        <v>2146</v>
      </c>
    </row>
    <row r="655" spans="1:50">
      <c r="A655">
        <v>606</v>
      </c>
      <c r="B655">
        <v>1163</v>
      </c>
      <c r="C655">
        <v>656</v>
      </c>
      <c r="D655" s="7">
        <v>46013</v>
      </c>
      <c r="E655" s="7" t="s">
        <v>2011</v>
      </c>
      <c r="F655" s="10" t="s">
        <v>2010</v>
      </c>
      <c r="G655" s="36"/>
      <c r="H655" s="36"/>
      <c r="I655" s="36" t="s">
        <v>141</v>
      </c>
      <c r="J655" s="36"/>
      <c r="K655" s="36" t="s">
        <v>141</v>
      </c>
      <c r="L655" s="36"/>
      <c r="M655" s="36"/>
      <c r="N655" s="36"/>
      <c r="O655" s="117" t="s">
        <v>141</v>
      </c>
      <c r="P655" s="36" t="s">
        <v>141</v>
      </c>
      <c r="Q655" s="36"/>
      <c r="R655" s="36"/>
      <c r="S655" s="36"/>
      <c r="T655" s="36"/>
      <c r="U655" s="36"/>
      <c r="V655" s="36"/>
      <c r="W655" s="36"/>
      <c r="X655" s="36"/>
      <c r="Y655" s="36" t="s">
        <v>141</v>
      </c>
      <c r="Z655" s="36"/>
      <c r="AA655" s="117"/>
      <c r="AB655" s="36" t="s">
        <v>141</v>
      </c>
      <c r="AC655" s="117"/>
      <c r="AD655" s="36"/>
      <c r="AE655" s="36"/>
      <c r="AF655" s="117"/>
      <c r="AG655" s="36"/>
      <c r="AH655" s="36"/>
      <c r="AI655" s="117" t="s">
        <v>141</v>
      </c>
      <c r="AJ655" s="36" t="s">
        <v>141</v>
      </c>
      <c r="AK655" s="36"/>
      <c r="AL655" s="36"/>
      <c r="AM655" s="117" t="s">
        <v>141</v>
      </c>
      <c r="AN655" s="117"/>
      <c r="AO655" s="117"/>
      <c r="AP655" s="117"/>
      <c r="AQ655" s="117" t="s">
        <v>141</v>
      </c>
      <c r="AR655" s="117"/>
      <c r="AS655" s="117" t="s">
        <v>141</v>
      </c>
      <c r="AT655" s="117"/>
      <c r="AU655" s="117"/>
      <c r="AV655" s="119">
        <f t="shared" si="18"/>
        <v>11</v>
      </c>
      <c r="AW655" s="119"/>
      <c r="AX655" s="119" t="s">
        <v>2146</v>
      </c>
    </row>
    <row r="656" spans="1:50">
      <c r="A656">
        <v>607</v>
      </c>
      <c r="B656">
        <v>1164</v>
      </c>
      <c r="C656">
        <v>657</v>
      </c>
      <c r="D656" s="7">
        <v>46013</v>
      </c>
      <c r="E656" s="7" t="s">
        <v>2013</v>
      </c>
      <c r="F656" s="10" t="s">
        <v>2012</v>
      </c>
      <c r="G656" s="36"/>
      <c r="H656" s="36"/>
      <c r="I656" s="36"/>
      <c r="J656" s="36" t="s">
        <v>141</v>
      </c>
      <c r="K656" s="36"/>
      <c r="L656" s="36"/>
      <c r="M656" s="36"/>
      <c r="N656" s="36"/>
      <c r="O656" s="117"/>
      <c r="P656" s="36" t="s">
        <v>141</v>
      </c>
      <c r="Q656" s="36"/>
      <c r="R656" s="36"/>
      <c r="S656" s="36"/>
      <c r="T656" s="36" t="s">
        <v>141</v>
      </c>
      <c r="U656" s="36"/>
      <c r="V656" s="36"/>
      <c r="W656" s="36"/>
      <c r="X656" s="36"/>
      <c r="Y656" s="36" t="s">
        <v>141</v>
      </c>
      <c r="Z656" s="36"/>
      <c r="AA656" s="117"/>
      <c r="AB656" s="36"/>
      <c r="AC656" s="117"/>
      <c r="AD656" s="36"/>
      <c r="AE656" s="36"/>
      <c r="AF656" s="117"/>
      <c r="AG656" s="36"/>
      <c r="AH656" s="36" t="s">
        <v>141</v>
      </c>
      <c r="AI656" s="117"/>
      <c r="AJ656" s="36"/>
      <c r="AK656" s="36"/>
      <c r="AL656" s="36"/>
      <c r="AM656" s="117" t="s">
        <v>141</v>
      </c>
      <c r="AN656" s="117"/>
      <c r="AO656" s="117"/>
      <c r="AP656" s="117" t="s">
        <v>141</v>
      </c>
      <c r="AQ656" s="117"/>
      <c r="AR656" s="117"/>
      <c r="AS656" s="117" t="s">
        <v>141</v>
      </c>
      <c r="AT656" s="117"/>
      <c r="AU656" s="117"/>
      <c r="AV656" s="119">
        <f t="shared" ref="AV656:AV661" si="19">COUNTIF($F656:$AS656, "I")</f>
        <v>8</v>
      </c>
      <c r="AW656" s="119"/>
      <c r="AX656" s="119" t="s">
        <v>2146</v>
      </c>
    </row>
    <row r="657" spans="1:50">
      <c r="A657">
        <v>608</v>
      </c>
      <c r="B657">
        <v>1165</v>
      </c>
      <c r="C657">
        <v>658</v>
      </c>
      <c r="D657" s="7">
        <v>46013</v>
      </c>
      <c r="E657" s="7" t="s">
        <v>2015</v>
      </c>
      <c r="F657" s="10" t="s">
        <v>2014</v>
      </c>
      <c r="G657" s="36" t="s">
        <v>141</v>
      </c>
      <c r="H657" s="36" t="s">
        <v>141</v>
      </c>
      <c r="I657" s="36"/>
      <c r="J657" s="36" t="s">
        <v>141</v>
      </c>
      <c r="K657" s="36"/>
      <c r="L657" s="36" t="s">
        <v>141</v>
      </c>
      <c r="M657" s="36"/>
      <c r="N657" s="36" t="s">
        <v>141</v>
      </c>
      <c r="O657" s="117"/>
      <c r="P657" s="36"/>
      <c r="Q657" s="36" t="s">
        <v>141</v>
      </c>
      <c r="R657" s="36"/>
      <c r="S657" s="36"/>
      <c r="T657" s="36"/>
      <c r="U657" s="36"/>
      <c r="V657" s="36"/>
      <c r="W657" s="36"/>
      <c r="X657" s="36" t="s">
        <v>141</v>
      </c>
      <c r="Y657" s="36"/>
      <c r="Z657" s="36" t="s">
        <v>141</v>
      </c>
      <c r="AA657" s="117"/>
      <c r="AB657" s="36"/>
      <c r="AC657" s="117"/>
      <c r="AD657" s="36" t="s">
        <v>141</v>
      </c>
      <c r="AE657" s="36"/>
      <c r="AF657" s="117" t="s">
        <v>141</v>
      </c>
      <c r="AG657" s="36" t="s">
        <v>141</v>
      </c>
      <c r="AH657" s="36"/>
      <c r="AI657" s="117" t="s">
        <v>141</v>
      </c>
      <c r="AJ657" s="36" t="s">
        <v>141</v>
      </c>
      <c r="AK657" s="36" t="s">
        <v>141</v>
      </c>
      <c r="AL657" s="36" t="s">
        <v>141</v>
      </c>
      <c r="AM657" s="117"/>
      <c r="AN657" s="117"/>
      <c r="AO657" s="117"/>
      <c r="AP657" s="117" t="s">
        <v>141</v>
      </c>
      <c r="AQ657" s="117" t="s">
        <v>141</v>
      </c>
      <c r="AR657" s="117"/>
      <c r="AS657" s="117" t="s">
        <v>141</v>
      </c>
      <c r="AT657" s="117"/>
      <c r="AU657" s="117"/>
      <c r="AV657" s="119">
        <f t="shared" si="19"/>
        <v>18</v>
      </c>
      <c r="AW657" s="119"/>
      <c r="AX657" s="119" t="s">
        <v>2146</v>
      </c>
    </row>
    <row r="658" spans="1:50">
      <c r="A658">
        <v>609</v>
      </c>
      <c r="B658">
        <v>1166</v>
      </c>
      <c r="C658">
        <v>659</v>
      </c>
      <c r="D658" s="7">
        <v>46014</v>
      </c>
      <c r="E658" s="7" t="s">
        <v>2017</v>
      </c>
      <c r="F658" s="10" t="s">
        <v>2016</v>
      </c>
      <c r="G658" s="36"/>
      <c r="H658" s="36" t="s">
        <v>141</v>
      </c>
      <c r="I658" s="36"/>
      <c r="J658" s="36" t="s">
        <v>141</v>
      </c>
      <c r="K658" s="36"/>
      <c r="L658" s="36" t="s">
        <v>141</v>
      </c>
      <c r="M658" s="36" t="s">
        <v>141</v>
      </c>
      <c r="N658" s="36" t="s">
        <v>141</v>
      </c>
      <c r="O658" s="117"/>
      <c r="P658" s="36" t="s">
        <v>141</v>
      </c>
      <c r="Q658" s="36"/>
      <c r="R658" s="36"/>
      <c r="S658" s="36"/>
      <c r="T658" s="36" t="s">
        <v>141</v>
      </c>
      <c r="U658" s="36"/>
      <c r="V658" s="36"/>
      <c r="W658" s="36" t="s">
        <v>141</v>
      </c>
      <c r="X658" s="36"/>
      <c r="Y658" s="36"/>
      <c r="Z658" s="36"/>
      <c r="AA658" s="117"/>
      <c r="AB658" s="36"/>
      <c r="AC658" s="117"/>
      <c r="AD658" s="36" t="s">
        <v>141</v>
      </c>
      <c r="AE658" s="36"/>
      <c r="AF658" s="117"/>
      <c r="AG658" s="36"/>
      <c r="AH658" s="36"/>
      <c r="AI658" s="117" t="s">
        <v>141</v>
      </c>
      <c r="AJ658" s="36"/>
      <c r="AK658" s="36"/>
      <c r="AL658" s="36"/>
      <c r="AM658" s="117"/>
      <c r="AN658" s="117"/>
      <c r="AO658" s="117"/>
      <c r="AP658" s="117"/>
      <c r="AQ658" s="117"/>
      <c r="AR658" s="117"/>
      <c r="AS658" s="117" t="s">
        <v>141</v>
      </c>
      <c r="AT658" s="117"/>
      <c r="AU658" s="117"/>
      <c r="AV658" s="119">
        <f t="shared" si="19"/>
        <v>11</v>
      </c>
      <c r="AW658" s="119"/>
      <c r="AX658" s="119" t="s">
        <v>2146</v>
      </c>
    </row>
    <row r="659" spans="1:50">
      <c r="A659">
        <v>610</v>
      </c>
      <c r="B659">
        <v>1167</v>
      </c>
      <c r="C659">
        <v>660</v>
      </c>
      <c r="D659" s="7">
        <v>46014</v>
      </c>
      <c r="E659" s="7" t="s">
        <v>2019</v>
      </c>
      <c r="F659" s="10" t="s">
        <v>2018</v>
      </c>
      <c r="G659" s="36"/>
      <c r="H659" s="36"/>
      <c r="I659" s="36"/>
      <c r="J659" s="36"/>
      <c r="K659" s="36"/>
      <c r="L659" s="36"/>
      <c r="M659" s="36"/>
      <c r="N659" s="36" t="s">
        <v>141</v>
      </c>
      <c r="O659" s="117"/>
      <c r="P659" s="36" t="s">
        <v>141</v>
      </c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117"/>
      <c r="AB659" s="36"/>
      <c r="AC659" s="117"/>
      <c r="AD659" s="36" t="s">
        <v>141</v>
      </c>
      <c r="AE659" s="36"/>
      <c r="AF659" s="117"/>
      <c r="AG659" s="36"/>
      <c r="AH659" s="36"/>
      <c r="AI659" s="117" t="s">
        <v>141</v>
      </c>
      <c r="AJ659" s="36"/>
      <c r="AK659" s="36"/>
      <c r="AL659" s="36"/>
      <c r="AM659" s="117" t="s">
        <v>141</v>
      </c>
      <c r="AN659" s="117"/>
      <c r="AO659" s="117"/>
      <c r="AP659" s="117"/>
      <c r="AQ659" s="117"/>
      <c r="AR659" s="117"/>
      <c r="AS659" s="117" t="s">
        <v>141</v>
      </c>
      <c r="AT659" s="117"/>
      <c r="AU659" s="117"/>
      <c r="AV659" s="119">
        <f t="shared" si="19"/>
        <v>6</v>
      </c>
      <c r="AW659" s="119"/>
      <c r="AX659" s="119" t="s">
        <v>2146</v>
      </c>
    </row>
    <row r="660" spans="1:50">
      <c r="A660">
        <v>611</v>
      </c>
      <c r="B660">
        <v>1168</v>
      </c>
      <c r="C660">
        <v>661</v>
      </c>
      <c r="D660" s="7">
        <v>46014</v>
      </c>
      <c r="E660" s="7" t="s">
        <v>2022</v>
      </c>
      <c r="F660" s="10" t="s">
        <v>2020</v>
      </c>
      <c r="G660" s="36"/>
      <c r="H660" s="36"/>
      <c r="I660" s="36"/>
      <c r="J660" s="36" t="s">
        <v>141</v>
      </c>
      <c r="K660" s="36"/>
      <c r="L660" s="36"/>
      <c r="M660" s="36"/>
      <c r="N660" s="36"/>
      <c r="O660" s="117" t="s">
        <v>141</v>
      </c>
      <c r="P660" s="36" t="s">
        <v>141</v>
      </c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117"/>
      <c r="AB660" s="36"/>
      <c r="AC660" s="117"/>
      <c r="AD660" s="36" t="s">
        <v>141</v>
      </c>
      <c r="AE660" s="36"/>
      <c r="AF660" s="117"/>
      <c r="AG660" s="36"/>
      <c r="AH660" s="36" t="s">
        <v>141</v>
      </c>
      <c r="AI660" s="117" t="s">
        <v>141</v>
      </c>
      <c r="AJ660" s="36"/>
      <c r="AK660" s="36"/>
      <c r="AL660" s="36"/>
      <c r="AM660" s="117" t="s">
        <v>141</v>
      </c>
      <c r="AN660" s="117"/>
      <c r="AO660" s="117"/>
      <c r="AP660" s="117" t="s">
        <v>141</v>
      </c>
      <c r="AQ660" s="117"/>
      <c r="AR660" s="117"/>
      <c r="AS660" s="117" t="s">
        <v>141</v>
      </c>
      <c r="AT660" s="117"/>
      <c r="AU660" s="117"/>
      <c r="AV660" s="119">
        <f t="shared" si="19"/>
        <v>9</v>
      </c>
      <c r="AW660" s="119"/>
      <c r="AX660" s="119" t="s">
        <v>2146</v>
      </c>
    </row>
    <row r="661" spans="1:50">
      <c r="A661">
        <v>612</v>
      </c>
      <c r="B661">
        <v>1169</v>
      </c>
      <c r="C661">
        <v>662</v>
      </c>
      <c r="D661" s="7">
        <v>46014</v>
      </c>
      <c r="E661" s="7" t="s">
        <v>2024</v>
      </c>
      <c r="F661" s="10" t="s">
        <v>2023</v>
      </c>
      <c r="G661" s="36"/>
      <c r="H661" s="36"/>
      <c r="I661" s="36"/>
      <c r="J661" s="36" t="s">
        <v>141</v>
      </c>
      <c r="K661" s="36"/>
      <c r="L661" s="36"/>
      <c r="M661" s="36"/>
      <c r="N661" s="36"/>
      <c r="O661" s="117" t="s">
        <v>141</v>
      </c>
      <c r="P661" s="36"/>
      <c r="Q661" s="36" t="s">
        <v>141</v>
      </c>
      <c r="R661" s="36"/>
      <c r="S661" s="36"/>
      <c r="T661" s="36"/>
      <c r="U661" s="36"/>
      <c r="V661" s="36"/>
      <c r="W661" s="36"/>
      <c r="X661" s="36"/>
      <c r="Y661" s="36"/>
      <c r="Z661" s="36" t="s">
        <v>141</v>
      </c>
      <c r="AA661" s="117"/>
      <c r="AB661" s="36"/>
      <c r="AC661" s="117"/>
      <c r="AD661" s="36"/>
      <c r="AE661" s="36"/>
      <c r="AF661" s="117"/>
      <c r="AG661" s="36"/>
      <c r="AH661" s="36" t="s">
        <v>141</v>
      </c>
      <c r="AI661" s="117" t="s">
        <v>141</v>
      </c>
      <c r="AJ661" s="36"/>
      <c r="AK661" s="36"/>
      <c r="AL661" s="36"/>
      <c r="AM661" s="117" t="s">
        <v>141</v>
      </c>
      <c r="AN661" s="117"/>
      <c r="AO661" s="117"/>
      <c r="AP661" s="117" t="s">
        <v>141</v>
      </c>
      <c r="AQ661" s="117"/>
      <c r="AR661" s="117"/>
      <c r="AS661" s="117" t="s">
        <v>141</v>
      </c>
      <c r="AT661" s="117"/>
      <c r="AU661" s="117"/>
      <c r="AV661" s="119">
        <f t="shared" si="19"/>
        <v>9</v>
      </c>
      <c r="AW661" s="119"/>
      <c r="AX661" s="119" t="s">
        <v>2146</v>
      </c>
    </row>
    <row r="662" spans="1:50">
      <c r="A662">
        <v>613</v>
      </c>
      <c r="B662">
        <v>1170</v>
      </c>
      <c r="C662">
        <v>663</v>
      </c>
      <c r="D662" s="7">
        <v>46015</v>
      </c>
      <c r="E662" s="7" t="s">
        <v>672</v>
      </c>
      <c r="F662" s="10" t="s">
        <v>2025</v>
      </c>
      <c r="G662" s="36" t="s">
        <v>141</v>
      </c>
      <c r="H662" s="36" t="s">
        <v>141</v>
      </c>
      <c r="I662" s="36"/>
      <c r="J662" s="36" t="s">
        <v>141</v>
      </c>
      <c r="K662" s="36"/>
      <c r="L662" s="36"/>
      <c r="M662" s="36"/>
      <c r="N662" s="36"/>
      <c r="O662" s="117" t="s">
        <v>141</v>
      </c>
      <c r="P662" s="36" t="s">
        <v>141</v>
      </c>
      <c r="Q662" s="36"/>
      <c r="R662" s="36"/>
      <c r="S662" s="36" t="s">
        <v>141</v>
      </c>
      <c r="T662" s="36" t="s">
        <v>141</v>
      </c>
      <c r="U662" s="36"/>
      <c r="V662" s="36"/>
      <c r="W662" s="36"/>
      <c r="X662" s="36" t="s">
        <v>141</v>
      </c>
      <c r="Y662" s="36"/>
      <c r="Z662" s="36" t="s">
        <v>141</v>
      </c>
      <c r="AA662" s="117"/>
      <c r="AB662" s="36"/>
      <c r="AC662" s="117"/>
      <c r="AD662" s="36"/>
      <c r="AE662" s="36" t="s">
        <v>141</v>
      </c>
      <c r="AF662" s="117"/>
      <c r="AG662" s="36"/>
      <c r="AH662" s="36"/>
      <c r="AI662" s="117"/>
      <c r="AJ662" s="36"/>
      <c r="AK662" s="36"/>
      <c r="AL662" s="36"/>
      <c r="AM662" s="117"/>
      <c r="AN662" s="117"/>
      <c r="AO662" s="117"/>
      <c r="AP662" s="117"/>
      <c r="AQ662" s="117"/>
      <c r="AR662" s="117"/>
      <c r="AS662" s="117" t="s">
        <v>141</v>
      </c>
      <c r="AT662" s="117"/>
      <c r="AU662" s="117"/>
      <c r="AV662" s="119">
        <f t="shared" ref="AV662:AV668" si="20">COUNTIF($F662:$AS662, "I")</f>
        <v>11</v>
      </c>
      <c r="AW662" s="119"/>
      <c r="AX662" s="119" t="s">
        <v>2146</v>
      </c>
    </row>
    <row r="663" spans="1:50">
      <c r="A663">
        <v>614</v>
      </c>
      <c r="B663">
        <v>1171</v>
      </c>
      <c r="C663">
        <v>664</v>
      </c>
      <c r="D663" s="7">
        <v>46015</v>
      </c>
      <c r="E663" s="7" t="s">
        <v>2027</v>
      </c>
      <c r="F663" s="10" t="s">
        <v>2026</v>
      </c>
      <c r="G663" s="36" t="s">
        <v>141</v>
      </c>
      <c r="H663" s="36" t="s">
        <v>141</v>
      </c>
      <c r="I663" s="36" t="s">
        <v>141</v>
      </c>
      <c r="J663" s="36" t="s">
        <v>141</v>
      </c>
      <c r="K663" s="36"/>
      <c r="L663" s="36"/>
      <c r="M663" s="36"/>
      <c r="N663" s="36"/>
      <c r="O663" s="117" t="s">
        <v>141</v>
      </c>
      <c r="P663" s="36" t="s">
        <v>141</v>
      </c>
      <c r="Q663" s="36"/>
      <c r="R663" s="36"/>
      <c r="S663" s="36"/>
      <c r="T663" s="36" t="s">
        <v>141</v>
      </c>
      <c r="U663" s="36"/>
      <c r="V663" s="36"/>
      <c r="W663" s="36"/>
      <c r="X663" s="36" t="s">
        <v>141</v>
      </c>
      <c r="Y663" s="36" t="s">
        <v>141</v>
      </c>
      <c r="Z663" s="36" t="s">
        <v>141</v>
      </c>
      <c r="AA663" s="117"/>
      <c r="AB663" s="36"/>
      <c r="AC663" s="117" t="s">
        <v>141</v>
      </c>
      <c r="AD663" s="36"/>
      <c r="AE663" s="36"/>
      <c r="AF663" s="117"/>
      <c r="AG663" s="36"/>
      <c r="AH663" s="36"/>
      <c r="AI663" s="117"/>
      <c r="AJ663" s="36"/>
      <c r="AK663" s="36"/>
      <c r="AL663" s="36"/>
      <c r="AM663" s="117" t="s">
        <v>141</v>
      </c>
      <c r="AN663" s="117"/>
      <c r="AO663" s="117"/>
      <c r="AP663" s="117"/>
      <c r="AQ663" s="117"/>
      <c r="AR663" s="117"/>
      <c r="AS663" s="117" t="s">
        <v>141</v>
      </c>
      <c r="AT663" s="117"/>
      <c r="AU663" s="117"/>
      <c r="AV663" s="119">
        <f t="shared" si="20"/>
        <v>13</v>
      </c>
      <c r="AW663" s="119"/>
      <c r="AX663" s="119" t="s">
        <v>2146</v>
      </c>
    </row>
    <row r="664" spans="1:50">
      <c r="A664">
        <v>615</v>
      </c>
      <c r="B664">
        <v>1172</v>
      </c>
      <c r="C664">
        <v>665</v>
      </c>
      <c r="D664" s="7">
        <v>46016</v>
      </c>
      <c r="E664" s="7" t="s">
        <v>2029</v>
      </c>
      <c r="F664" s="10" t="s">
        <v>2028</v>
      </c>
      <c r="G664" s="36"/>
      <c r="H664" s="36"/>
      <c r="I664" s="36" t="s">
        <v>141</v>
      </c>
      <c r="J664" s="36" t="s">
        <v>141</v>
      </c>
      <c r="K664" s="36"/>
      <c r="L664" s="36"/>
      <c r="M664" s="36"/>
      <c r="N664" s="36"/>
      <c r="O664" s="117"/>
      <c r="P664" s="36"/>
      <c r="Q664" s="36" t="s">
        <v>141</v>
      </c>
      <c r="R664" s="36"/>
      <c r="S664" s="36"/>
      <c r="T664" s="36" t="s">
        <v>141</v>
      </c>
      <c r="U664" s="36"/>
      <c r="V664" s="36"/>
      <c r="W664" s="36"/>
      <c r="X664" s="36"/>
      <c r="Y664" s="36" t="s">
        <v>141</v>
      </c>
      <c r="Z664" s="36" t="s">
        <v>141</v>
      </c>
      <c r="AA664" s="117"/>
      <c r="AB664" s="36"/>
      <c r="AC664" s="117" t="s">
        <v>141</v>
      </c>
      <c r="AD664" s="36"/>
      <c r="AE664" s="36"/>
      <c r="AF664" s="117" t="s">
        <v>141</v>
      </c>
      <c r="AG664" s="36"/>
      <c r="AH664" s="36"/>
      <c r="AI664" s="117"/>
      <c r="AJ664" s="36"/>
      <c r="AK664" s="36"/>
      <c r="AL664" s="36"/>
      <c r="AM664" s="117"/>
      <c r="AN664" s="117"/>
      <c r="AO664" s="117"/>
      <c r="AP664" s="117" t="s">
        <v>141</v>
      </c>
      <c r="AQ664" s="117"/>
      <c r="AR664" s="117"/>
      <c r="AS664" s="117" t="s">
        <v>141</v>
      </c>
      <c r="AT664" s="117"/>
      <c r="AU664" s="117"/>
      <c r="AV664" s="119">
        <f t="shared" si="20"/>
        <v>10</v>
      </c>
      <c r="AW664" s="119"/>
      <c r="AX664" s="119" t="s">
        <v>2146</v>
      </c>
    </row>
    <row r="665" spans="1:50">
      <c r="A665">
        <v>616</v>
      </c>
      <c r="B665">
        <v>1173</v>
      </c>
      <c r="C665">
        <v>666</v>
      </c>
      <c r="D665" s="7">
        <v>46016</v>
      </c>
      <c r="E665" s="7" t="s">
        <v>2031</v>
      </c>
      <c r="F665" s="10" t="s">
        <v>2030</v>
      </c>
      <c r="G665" s="36"/>
      <c r="H665" s="36" t="s">
        <v>141</v>
      </c>
      <c r="I665" s="36" t="s">
        <v>141</v>
      </c>
      <c r="J665" s="36" t="s">
        <v>141</v>
      </c>
      <c r="K665" s="36"/>
      <c r="L665" s="36"/>
      <c r="M665" s="36"/>
      <c r="N665" s="36"/>
      <c r="O665" s="117"/>
      <c r="P665" s="36"/>
      <c r="Q665" s="36"/>
      <c r="R665" s="36"/>
      <c r="S665" s="36"/>
      <c r="T665" s="36" t="s">
        <v>141</v>
      </c>
      <c r="U665" s="36"/>
      <c r="V665" s="36"/>
      <c r="W665" s="36"/>
      <c r="X665" s="36"/>
      <c r="Y665" s="36"/>
      <c r="Z665" s="36" t="s">
        <v>141</v>
      </c>
      <c r="AA665" s="117"/>
      <c r="AB665" s="36"/>
      <c r="AC665" s="117"/>
      <c r="AD665" s="36"/>
      <c r="AE665" s="36"/>
      <c r="AF665" s="117" t="s">
        <v>141</v>
      </c>
      <c r="AG665" s="36" t="s">
        <v>141</v>
      </c>
      <c r="AH665" s="36"/>
      <c r="AI665" s="117"/>
      <c r="AJ665" s="36"/>
      <c r="AK665" s="36"/>
      <c r="AL665" s="36"/>
      <c r="AM665" s="117"/>
      <c r="AN665" s="117"/>
      <c r="AO665" s="117" t="s">
        <v>141</v>
      </c>
      <c r="AP665" s="117" t="s">
        <v>141</v>
      </c>
      <c r="AQ665" s="117"/>
      <c r="AR665" s="117"/>
      <c r="AS665" s="117"/>
      <c r="AT665" s="117"/>
      <c r="AU665" s="117"/>
      <c r="AV665" s="119">
        <f t="shared" si="20"/>
        <v>9</v>
      </c>
      <c r="AW665" s="119"/>
      <c r="AX665" s="119" t="s">
        <v>2146</v>
      </c>
    </row>
    <row r="666" spans="1:50">
      <c r="A666">
        <v>617</v>
      </c>
      <c r="B666">
        <v>1174</v>
      </c>
      <c r="C666">
        <v>667</v>
      </c>
      <c r="D666" s="7">
        <v>46018</v>
      </c>
      <c r="E666" s="7" t="s">
        <v>828</v>
      </c>
      <c r="F666" s="10" t="s">
        <v>2032</v>
      </c>
      <c r="G666" s="36" t="s">
        <v>141</v>
      </c>
      <c r="H666" s="36" t="s">
        <v>141</v>
      </c>
      <c r="I666" s="36" t="s">
        <v>141</v>
      </c>
      <c r="J666" s="36" t="s">
        <v>141</v>
      </c>
      <c r="K666" s="36"/>
      <c r="L666" s="36" t="s">
        <v>141</v>
      </c>
      <c r="M666" s="36"/>
      <c r="N666" s="36" t="s">
        <v>141</v>
      </c>
      <c r="O666" s="117" t="s">
        <v>141</v>
      </c>
      <c r="P666" s="36"/>
      <c r="Q666" s="36" t="s">
        <v>141</v>
      </c>
      <c r="R666" s="36"/>
      <c r="S666" s="36"/>
      <c r="T666" s="36"/>
      <c r="U666" s="36" t="s">
        <v>141</v>
      </c>
      <c r="V666" s="36"/>
      <c r="W666" s="36"/>
      <c r="X666" s="36"/>
      <c r="Y666" s="36"/>
      <c r="Z666" s="36"/>
      <c r="AA666" s="117"/>
      <c r="AB666" s="36"/>
      <c r="AC666" s="117"/>
      <c r="AD666" s="36"/>
      <c r="AE666" s="36"/>
      <c r="AF666" s="117"/>
      <c r="AG666" s="36"/>
      <c r="AH666" s="36"/>
      <c r="AI666" s="117" t="s">
        <v>141</v>
      </c>
      <c r="AJ666" s="36" t="s">
        <v>141</v>
      </c>
      <c r="AK666" s="36" t="s">
        <v>141</v>
      </c>
      <c r="AL666" s="36"/>
      <c r="AM666" s="117"/>
      <c r="AN666" s="117"/>
      <c r="AO666" s="117"/>
      <c r="AP666" s="117"/>
      <c r="AQ666" s="117"/>
      <c r="AR666" s="117"/>
      <c r="AS666" s="117" t="s">
        <v>141</v>
      </c>
      <c r="AT666" s="117"/>
      <c r="AU666" s="117"/>
      <c r="AV666" s="119">
        <f t="shared" si="20"/>
        <v>13</v>
      </c>
      <c r="AW666" s="119"/>
      <c r="AX666" s="119" t="s">
        <v>2146</v>
      </c>
    </row>
    <row r="667" spans="1:50" s="122" customFormat="1">
      <c r="A667" s="122">
        <v>618</v>
      </c>
      <c r="B667" s="122">
        <v>1175</v>
      </c>
      <c r="C667" s="122">
        <v>668</v>
      </c>
      <c r="D667" s="35">
        <v>46020</v>
      </c>
      <c r="E667" s="35" t="s">
        <v>2035</v>
      </c>
      <c r="F667" s="123" t="s">
        <v>2033</v>
      </c>
      <c r="G667" s="124" t="s">
        <v>141</v>
      </c>
      <c r="H667" s="124" t="s">
        <v>141</v>
      </c>
      <c r="I667" s="124"/>
      <c r="J667" s="124" t="s">
        <v>141</v>
      </c>
      <c r="K667" s="124"/>
      <c r="L667" s="124" t="s">
        <v>141</v>
      </c>
      <c r="M667" s="124"/>
      <c r="N667" s="124" t="s">
        <v>141</v>
      </c>
      <c r="O667" s="125" t="s">
        <v>141</v>
      </c>
      <c r="P667" s="124"/>
      <c r="Q667" s="124" t="s">
        <v>141</v>
      </c>
      <c r="R667" s="124" t="s">
        <v>141</v>
      </c>
      <c r="S667" s="124"/>
      <c r="T667" s="124" t="s">
        <v>141</v>
      </c>
      <c r="U667" s="124" t="s">
        <v>141</v>
      </c>
      <c r="V667" s="124"/>
      <c r="W667" s="124" t="s">
        <v>141</v>
      </c>
      <c r="X667" s="124"/>
      <c r="Y667" s="124"/>
      <c r="Z667" s="124" t="s">
        <v>141</v>
      </c>
      <c r="AA667" s="125"/>
      <c r="AB667" s="124"/>
      <c r="AC667" s="125" t="s">
        <v>141</v>
      </c>
      <c r="AD667" s="124" t="s">
        <v>141</v>
      </c>
      <c r="AE667" s="124" t="s">
        <v>141</v>
      </c>
      <c r="AF667" s="125"/>
      <c r="AG667" s="124" t="s">
        <v>141</v>
      </c>
      <c r="AH667" s="124"/>
      <c r="AI667" s="125" t="s">
        <v>141</v>
      </c>
      <c r="AJ667" s="124"/>
      <c r="AK667" s="124" t="s">
        <v>141</v>
      </c>
      <c r="AL667" s="124"/>
      <c r="AM667" s="125" t="s">
        <v>141</v>
      </c>
      <c r="AN667" s="125"/>
      <c r="AO667" s="125" t="s">
        <v>141</v>
      </c>
      <c r="AP667" s="125"/>
      <c r="AQ667" s="125" t="s">
        <v>141</v>
      </c>
      <c r="AR667" s="125"/>
      <c r="AS667" s="125" t="s">
        <v>141</v>
      </c>
      <c r="AT667" s="125"/>
      <c r="AU667" s="125"/>
      <c r="AV667" s="126">
        <f t="shared" si="20"/>
        <v>22</v>
      </c>
      <c r="AW667" s="126"/>
      <c r="AX667" s="126" t="s">
        <v>2142</v>
      </c>
    </row>
    <row r="668" spans="1:50">
      <c r="A668">
        <v>619</v>
      </c>
      <c r="B668">
        <v>1176</v>
      </c>
      <c r="C668">
        <v>669</v>
      </c>
      <c r="D668" s="7">
        <v>46020</v>
      </c>
      <c r="E668" s="7" t="s">
        <v>2038</v>
      </c>
      <c r="F668" s="10" t="s">
        <v>2036</v>
      </c>
      <c r="G668" s="36" t="s">
        <v>141</v>
      </c>
      <c r="H668" s="36" t="s">
        <v>141</v>
      </c>
      <c r="I668" s="36"/>
      <c r="J668" s="36" t="s">
        <v>141</v>
      </c>
      <c r="K668" s="36"/>
      <c r="L668" s="36" t="s">
        <v>141</v>
      </c>
      <c r="M668" s="36"/>
      <c r="N668" s="36" t="s">
        <v>141</v>
      </c>
      <c r="O668" s="117" t="s">
        <v>141</v>
      </c>
      <c r="P668" s="36"/>
      <c r="Q668" s="36" t="s">
        <v>141</v>
      </c>
      <c r="R668" s="36" t="s">
        <v>141</v>
      </c>
      <c r="S668" s="36"/>
      <c r="T668" s="36" t="s">
        <v>141</v>
      </c>
      <c r="U668" s="36" t="s">
        <v>141</v>
      </c>
      <c r="V668" s="36"/>
      <c r="W668" s="36" t="s">
        <v>141</v>
      </c>
      <c r="X668" s="36"/>
      <c r="Y668" s="36"/>
      <c r="Z668" s="36" t="s">
        <v>141</v>
      </c>
      <c r="AA668" s="117"/>
      <c r="AB668" s="36"/>
      <c r="AC668" s="117" t="s">
        <v>141</v>
      </c>
      <c r="AD668" s="36" t="s">
        <v>141</v>
      </c>
      <c r="AE668" s="36" t="s">
        <v>141</v>
      </c>
      <c r="AF668" s="117"/>
      <c r="AG668" s="36" t="s">
        <v>141</v>
      </c>
      <c r="AH668" s="36"/>
      <c r="AI668" s="117" t="s">
        <v>141</v>
      </c>
      <c r="AJ668" s="36"/>
      <c r="AK668" s="36" t="s">
        <v>141</v>
      </c>
      <c r="AL668" s="36"/>
      <c r="AM668" s="117" t="s">
        <v>141</v>
      </c>
      <c r="AN668" s="117"/>
      <c r="AO668" s="117" t="s">
        <v>141</v>
      </c>
      <c r="AP668" s="117"/>
      <c r="AQ668" s="117" t="s">
        <v>141</v>
      </c>
      <c r="AR668" s="117"/>
      <c r="AS668" s="117" t="s">
        <v>141</v>
      </c>
      <c r="AT668" s="117"/>
      <c r="AU668" s="117"/>
      <c r="AV668" s="119">
        <f t="shared" si="20"/>
        <v>22</v>
      </c>
      <c r="AW668" s="119"/>
      <c r="AX668" s="119" t="s">
        <v>2146</v>
      </c>
    </row>
    <row r="669" spans="1:50">
      <c r="A669">
        <v>620</v>
      </c>
      <c r="B669">
        <v>1177</v>
      </c>
      <c r="C669">
        <v>670</v>
      </c>
      <c r="D669" s="7">
        <v>46020</v>
      </c>
      <c r="E669" s="7" t="s">
        <v>2042</v>
      </c>
      <c r="F669" s="10" t="s">
        <v>2040</v>
      </c>
      <c r="G669" s="36" t="s">
        <v>141</v>
      </c>
      <c r="H669" s="36" t="s">
        <v>141</v>
      </c>
      <c r="I669" s="36"/>
      <c r="J669" s="36" t="s">
        <v>141</v>
      </c>
      <c r="K669" s="36"/>
      <c r="L669" s="36" t="s">
        <v>141</v>
      </c>
      <c r="M669" s="36"/>
      <c r="N669" s="36" t="s">
        <v>141</v>
      </c>
      <c r="O669" s="117" t="s">
        <v>141</v>
      </c>
      <c r="P669" s="36"/>
      <c r="Q669" s="36" t="s">
        <v>141</v>
      </c>
      <c r="R669" s="36" t="s">
        <v>141</v>
      </c>
      <c r="S669" s="36"/>
      <c r="T669" s="36" t="s">
        <v>141</v>
      </c>
      <c r="U669" s="36" t="s">
        <v>141</v>
      </c>
      <c r="V669" s="36"/>
      <c r="W669" s="36" t="s">
        <v>141</v>
      </c>
      <c r="X669" s="36"/>
      <c r="Y669" s="36"/>
      <c r="Z669" s="36" t="s">
        <v>141</v>
      </c>
      <c r="AA669" s="117"/>
      <c r="AB669" s="36"/>
      <c r="AC669" s="117" t="s">
        <v>141</v>
      </c>
      <c r="AD669" s="36" t="s">
        <v>141</v>
      </c>
      <c r="AE669" s="36" t="s">
        <v>141</v>
      </c>
      <c r="AF669" s="117"/>
      <c r="AG669" s="36" t="s">
        <v>141</v>
      </c>
      <c r="AH669" s="36" t="s">
        <v>141</v>
      </c>
      <c r="AI669" s="117" t="s">
        <v>141</v>
      </c>
      <c r="AJ669" s="36"/>
      <c r="AK669" s="36" t="s">
        <v>141</v>
      </c>
      <c r="AL669" s="36"/>
      <c r="AM669" s="117" t="s">
        <v>141</v>
      </c>
      <c r="AN669" s="117"/>
      <c r="AO669" s="117" t="s">
        <v>141</v>
      </c>
      <c r="AP669" s="117"/>
      <c r="AQ669" s="117" t="s">
        <v>141</v>
      </c>
      <c r="AR669" s="117"/>
      <c r="AS669" s="117" t="s">
        <v>141</v>
      </c>
      <c r="AT669" s="117"/>
      <c r="AU669" s="117"/>
      <c r="AV669" s="119">
        <f t="shared" ref="AV669:AV690" si="21">COUNTIF($F669:$AS669, "I")</f>
        <v>23</v>
      </c>
      <c r="AW669" s="119"/>
      <c r="AX669" s="119" t="s">
        <v>2146</v>
      </c>
    </row>
    <row r="670" spans="1:50">
      <c r="A670">
        <v>621</v>
      </c>
      <c r="B670">
        <v>1178</v>
      </c>
      <c r="C670">
        <v>671</v>
      </c>
      <c r="D670" s="7">
        <v>46020</v>
      </c>
      <c r="E670" s="7" t="s">
        <v>2045</v>
      </c>
      <c r="F670" s="10" t="s">
        <v>2043</v>
      </c>
      <c r="G670" s="36" t="s">
        <v>141</v>
      </c>
      <c r="H670" s="36" t="s">
        <v>141</v>
      </c>
      <c r="I670" s="36"/>
      <c r="J670" s="36" t="s">
        <v>141</v>
      </c>
      <c r="K670" s="36"/>
      <c r="L670" s="36" t="s">
        <v>141</v>
      </c>
      <c r="M670" s="36"/>
      <c r="N670" s="36" t="s">
        <v>141</v>
      </c>
      <c r="O670" s="117" t="s">
        <v>141</v>
      </c>
      <c r="P670" s="36"/>
      <c r="Q670" s="36" t="s">
        <v>141</v>
      </c>
      <c r="R670" s="36" t="s">
        <v>141</v>
      </c>
      <c r="S670" s="36"/>
      <c r="T670" s="36" t="s">
        <v>141</v>
      </c>
      <c r="U670" s="36" t="s">
        <v>141</v>
      </c>
      <c r="V670" s="36"/>
      <c r="W670" s="36" t="s">
        <v>141</v>
      </c>
      <c r="X670" s="36"/>
      <c r="Y670" s="36"/>
      <c r="Z670" s="36" t="s">
        <v>141</v>
      </c>
      <c r="AA670" s="117"/>
      <c r="AB670" s="36"/>
      <c r="AC670" s="117" t="s">
        <v>141</v>
      </c>
      <c r="AD670" s="36" t="s">
        <v>141</v>
      </c>
      <c r="AE670" s="36" t="s">
        <v>141</v>
      </c>
      <c r="AF670" s="117"/>
      <c r="AG670" s="36" t="s">
        <v>141</v>
      </c>
      <c r="AH670" s="36" t="s">
        <v>141</v>
      </c>
      <c r="AI670" s="117" t="s">
        <v>141</v>
      </c>
      <c r="AJ670" s="36"/>
      <c r="AK670" s="36" t="s">
        <v>141</v>
      </c>
      <c r="AL670" s="36"/>
      <c r="AM670" s="117" t="s">
        <v>141</v>
      </c>
      <c r="AN670" s="117"/>
      <c r="AO670" s="117" t="s">
        <v>141</v>
      </c>
      <c r="AP670" s="117"/>
      <c r="AQ670" s="117" t="s">
        <v>141</v>
      </c>
      <c r="AR670" s="117"/>
      <c r="AS670" s="117" t="s">
        <v>141</v>
      </c>
      <c r="AT670" s="117"/>
      <c r="AU670" s="117"/>
      <c r="AV670" s="119">
        <f t="shared" si="21"/>
        <v>23</v>
      </c>
      <c r="AW670" s="119"/>
      <c r="AX670" s="119" t="s">
        <v>2146</v>
      </c>
    </row>
    <row r="671" spans="1:50">
      <c r="A671">
        <v>622</v>
      </c>
      <c r="B671">
        <v>1179</v>
      </c>
      <c r="C671">
        <v>672</v>
      </c>
      <c r="D671" s="7">
        <v>46020</v>
      </c>
      <c r="E671" s="7" t="s">
        <v>2048</v>
      </c>
      <c r="F671" s="10" t="s">
        <v>2046</v>
      </c>
      <c r="G671" s="36" t="s">
        <v>141</v>
      </c>
      <c r="H671" s="36" t="s">
        <v>141</v>
      </c>
      <c r="I671" s="36"/>
      <c r="J671" s="36" t="s">
        <v>141</v>
      </c>
      <c r="K671" s="36"/>
      <c r="L671" s="36" t="s">
        <v>141</v>
      </c>
      <c r="M671" s="36"/>
      <c r="N671" s="36" t="s">
        <v>141</v>
      </c>
      <c r="O671" s="117" t="s">
        <v>141</v>
      </c>
      <c r="P671" s="36"/>
      <c r="Q671" s="36" t="s">
        <v>141</v>
      </c>
      <c r="R671" s="36" t="s">
        <v>141</v>
      </c>
      <c r="S671" s="36"/>
      <c r="T671" s="36" t="s">
        <v>141</v>
      </c>
      <c r="U671" s="36" t="s">
        <v>141</v>
      </c>
      <c r="V671" s="36"/>
      <c r="W671" s="36" t="s">
        <v>141</v>
      </c>
      <c r="X671" s="36"/>
      <c r="Y671" s="36"/>
      <c r="Z671" s="36" t="s">
        <v>141</v>
      </c>
      <c r="AA671" s="117"/>
      <c r="AB671" s="36"/>
      <c r="AC671" s="117" t="s">
        <v>141</v>
      </c>
      <c r="AD671" s="36" t="s">
        <v>141</v>
      </c>
      <c r="AE671" s="36" t="s">
        <v>141</v>
      </c>
      <c r="AF671" s="117"/>
      <c r="AG671" s="36" t="s">
        <v>141</v>
      </c>
      <c r="AH671" s="36" t="s">
        <v>141</v>
      </c>
      <c r="AI671" s="117" t="s">
        <v>141</v>
      </c>
      <c r="AJ671" s="36"/>
      <c r="AK671" s="36" t="s">
        <v>141</v>
      </c>
      <c r="AL671" s="36"/>
      <c r="AM671" s="117" t="s">
        <v>141</v>
      </c>
      <c r="AN671" s="117"/>
      <c r="AO671" s="117" t="s">
        <v>141</v>
      </c>
      <c r="AP671" s="117"/>
      <c r="AQ671" s="117" t="s">
        <v>141</v>
      </c>
      <c r="AR671" s="117"/>
      <c r="AS671" s="117" t="s">
        <v>141</v>
      </c>
      <c r="AT671" s="117"/>
      <c r="AU671" s="117"/>
      <c r="AV671" s="119">
        <f t="shared" si="21"/>
        <v>23</v>
      </c>
      <c r="AW671" s="119"/>
      <c r="AX671" s="119" t="s">
        <v>2146</v>
      </c>
    </row>
    <row r="672" spans="1:50">
      <c r="A672">
        <v>623</v>
      </c>
      <c r="B672">
        <v>1180</v>
      </c>
      <c r="C672">
        <v>673</v>
      </c>
      <c r="D672" s="7">
        <v>46020</v>
      </c>
      <c r="E672" s="7" t="s">
        <v>2051</v>
      </c>
      <c r="F672" s="10" t="s">
        <v>2049</v>
      </c>
      <c r="G672" s="36" t="s">
        <v>141</v>
      </c>
      <c r="H672" s="36" t="s">
        <v>141</v>
      </c>
      <c r="I672" s="36"/>
      <c r="J672" s="36" t="s">
        <v>141</v>
      </c>
      <c r="K672" s="36"/>
      <c r="L672" s="36" t="s">
        <v>141</v>
      </c>
      <c r="M672" s="36"/>
      <c r="N672" s="36" t="s">
        <v>141</v>
      </c>
      <c r="O672" s="117" t="s">
        <v>141</v>
      </c>
      <c r="P672" s="36"/>
      <c r="Q672" s="36" t="s">
        <v>141</v>
      </c>
      <c r="R672" s="36" t="s">
        <v>141</v>
      </c>
      <c r="S672" s="36"/>
      <c r="T672" s="36" t="s">
        <v>141</v>
      </c>
      <c r="U672" s="36" t="s">
        <v>141</v>
      </c>
      <c r="V672" s="36"/>
      <c r="W672" s="36" t="s">
        <v>141</v>
      </c>
      <c r="X672" s="36"/>
      <c r="Y672" s="36"/>
      <c r="Z672" s="36" t="s">
        <v>141</v>
      </c>
      <c r="AA672" s="117"/>
      <c r="AB672" s="36"/>
      <c r="AC672" s="117" t="s">
        <v>141</v>
      </c>
      <c r="AD672" s="36" t="s">
        <v>141</v>
      </c>
      <c r="AE672" s="36" t="s">
        <v>141</v>
      </c>
      <c r="AF672" s="117"/>
      <c r="AG672" s="36" t="s">
        <v>141</v>
      </c>
      <c r="AH672" s="36" t="s">
        <v>141</v>
      </c>
      <c r="AI672" s="117" t="s">
        <v>141</v>
      </c>
      <c r="AJ672" s="36"/>
      <c r="AK672" s="36" t="s">
        <v>141</v>
      </c>
      <c r="AL672" s="36"/>
      <c r="AM672" s="117" t="s">
        <v>141</v>
      </c>
      <c r="AN672" s="117"/>
      <c r="AO672" s="117" t="s">
        <v>141</v>
      </c>
      <c r="AP672" s="117"/>
      <c r="AQ672" s="117" t="s">
        <v>141</v>
      </c>
      <c r="AR672" s="117"/>
      <c r="AS672" s="117" t="s">
        <v>141</v>
      </c>
      <c r="AT672" s="117"/>
      <c r="AU672" s="117"/>
      <c r="AV672" s="119">
        <f t="shared" si="21"/>
        <v>23</v>
      </c>
      <c r="AW672" s="119"/>
      <c r="AX672" s="119" t="s">
        <v>2146</v>
      </c>
    </row>
    <row r="673" spans="1:50">
      <c r="A673">
        <v>624</v>
      </c>
      <c r="B673">
        <v>1181</v>
      </c>
      <c r="C673">
        <v>674</v>
      </c>
      <c r="D673" s="7">
        <v>46020</v>
      </c>
      <c r="E673" s="7" t="s">
        <v>2054</v>
      </c>
      <c r="F673" s="10" t="s">
        <v>2052</v>
      </c>
      <c r="G673" s="36" t="s">
        <v>141</v>
      </c>
      <c r="H673" s="36" t="s">
        <v>141</v>
      </c>
      <c r="I673" s="36"/>
      <c r="J673" s="36" t="s">
        <v>141</v>
      </c>
      <c r="K673" s="36"/>
      <c r="L673" s="36" t="s">
        <v>141</v>
      </c>
      <c r="M673" s="36"/>
      <c r="N673" s="36" t="s">
        <v>141</v>
      </c>
      <c r="O673" s="117" t="s">
        <v>141</v>
      </c>
      <c r="P673" s="36"/>
      <c r="Q673" s="36" t="s">
        <v>141</v>
      </c>
      <c r="R673" s="36" t="s">
        <v>141</v>
      </c>
      <c r="S673" s="36"/>
      <c r="T673" s="36" t="s">
        <v>141</v>
      </c>
      <c r="U673" s="36" t="s">
        <v>141</v>
      </c>
      <c r="V673" s="36"/>
      <c r="W673" s="36" t="s">
        <v>141</v>
      </c>
      <c r="X673" s="36"/>
      <c r="Y673" s="36"/>
      <c r="Z673" s="36" t="s">
        <v>141</v>
      </c>
      <c r="AA673" s="117"/>
      <c r="AB673" s="36"/>
      <c r="AC673" s="117" t="s">
        <v>141</v>
      </c>
      <c r="AD673" s="36" t="s">
        <v>141</v>
      </c>
      <c r="AE673" s="36" t="s">
        <v>141</v>
      </c>
      <c r="AF673" s="117"/>
      <c r="AG673" s="36" t="s">
        <v>141</v>
      </c>
      <c r="AH673" s="36" t="s">
        <v>141</v>
      </c>
      <c r="AI673" s="117" t="s">
        <v>141</v>
      </c>
      <c r="AJ673" s="36"/>
      <c r="AK673" s="36" t="s">
        <v>141</v>
      </c>
      <c r="AL673" s="36"/>
      <c r="AM673" s="117" t="s">
        <v>141</v>
      </c>
      <c r="AN673" s="117"/>
      <c r="AO673" s="117" t="s">
        <v>141</v>
      </c>
      <c r="AP673" s="117"/>
      <c r="AQ673" s="117" t="s">
        <v>141</v>
      </c>
      <c r="AR673" s="117"/>
      <c r="AS673" s="117" t="s">
        <v>141</v>
      </c>
      <c r="AT673" s="117"/>
      <c r="AU673" s="117"/>
      <c r="AV673" s="119">
        <f t="shared" si="21"/>
        <v>23</v>
      </c>
      <c r="AW673" s="119"/>
      <c r="AX673" s="119" t="s">
        <v>2146</v>
      </c>
    </row>
    <row r="674" spans="1:50">
      <c r="A674">
        <v>625</v>
      </c>
      <c r="B674">
        <v>1182</v>
      </c>
      <c r="C674">
        <v>675</v>
      </c>
      <c r="D674" s="7">
        <v>46020</v>
      </c>
      <c r="E674" s="7" t="s">
        <v>2057</v>
      </c>
      <c r="F674" s="10" t="s">
        <v>2055</v>
      </c>
      <c r="G674" s="36" t="s">
        <v>141</v>
      </c>
      <c r="H674" s="36" t="s">
        <v>141</v>
      </c>
      <c r="I674" s="36"/>
      <c r="J674" s="36" t="s">
        <v>141</v>
      </c>
      <c r="K674" s="36"/>
      <c r="L674" s="36" t="s">
        <v>141</v>
      </c>
      <c r="M674" s="36"/>
      <c r="N674" s="36" t="s">
        <v>141</v>
      </c>
      <c r="O674" s="117" t="s">
        <v>141</v>
      </c>
      <c r="P674" s="36"/>
      <c r="Q674" s="36" t="s">
        <v>141</v>
      </c>
      <c r="R674" s="36" t="s">
        <v>141</v>
      </c>
      <c r="S674" s="36"/>
      <c r="T674" s="36" t="s">
        <v>141</v>
      </c>
      <c r="U674" s="36" t="s">
        <v>141</v>
      </c>
      <c r="V674" s="36"/>
      <c r="W674" s="36" t="s">
        <v>141</v>
      </c>
      <c r="X674" s="36"/>
      <c r="Y674" s="36"/>
      <c r="Z674" s="36" t="s">
        <v>141</v>
      </c>
      <c r="AA674" s="117"/>
      <c r="AB674" s="36"/>
      <c r="AC674" s="117" t="s">
        <v>141</v>
      </c>
      <c r="AD674" s="36" t="s">
        <v>141</v>
      </c>
      <c r="AE674" s="36" t="s">
        <v>141</v>
      </c>
      <c r="AF674" s="117"/>
      <c r="AG674" s="36" t="s">
        <v>141</v>
      </c>
      <c r="AH674" s="36" t="s">
        <v>141</v>
      </c>
      <c r="AI674" s="117" t="s">
        <v>141</v>
      </c>
      <c r="AJ674" s="36"/>
      <c r="AK674" s="36" t="s">
        <v>141</v>
      </c>
      <c r="AL674" s="36"/>
      <c r="AM674" s="117" t="s">
        <v>141</v>
      </c>
      <c r="AN674" s="117"/>
      <c r="AO674" s="117" t="s">
        <v>141</v>
      </c>
      <c r="AP674" s="117"/>
      <c r="AQ674" s="117" t="s">
        <v>141</v>
      </c>
      <c r="AR674" s="117"/>
      <c r="AS674" s="117" t="s">
        <v>141</v>
      </c>
      <c r="AT674" s="117"/>
      <c r="AU674" s="117"/>
      <c r="AV674" s="119">
        <f t="shared" si="21"/>
        <v>23</v>
      </c>
      <c r="AW674" s="119"/>
      <c r="AX674" s="119" t="s">
        <v>2146</v>
      </c>
    </row>
    <row r="675" spans="1:50">
      <c r="A675">
        <v>626</v>
      </c>
      <c r="B675">
        <v>1183</v>
      </c>
      <c r="C675">
        <v>676</v>
      </c>
      <c r="D675" s="7">
        <v>46020</v>
      </c>
      <c r="E675" s="7" t="s">
        <v>2060</v>
      </c>
      <c r="F675" s="10" t="s">
        <v>2058</v>
      </c>
      <c r="G675" s="36" t="s">
        <v>141</v>
      </c>
      <c r="H675" s="36" t="s">
        <v>141</v>
      </c>
      <c r="I675" s="36"/>
      <c r="J675" s="36" t="s">
        <v>141</v>
      </c>
      <c r="K675" s="36"/>
      <c r="L675" s="36" t="s">
        <v>141</v>
      </c>
      <c r="M675" s="36"/>
      <c r="N675" s="36" t="s">
        <v>141</v>
      </c>
      <c r="O675" s="117" t="s">
        <v>141</v>
      </c>
      <c r="P675" s="36"/>
      <c r="Q675" s="36" t="s">
        <v>141</v>
      </c>
      <c r="R675" s="36" t="s">
        <v>141</v>
      </c>
      <c r="S675" s="36"/>
      <c r="T675" s="36" t="s">
        <v>141</v>
      </c>
      <c r="U675" s="36" t="s">
        <v>141</v>
      </c>
      <c r="V675" s="36"/>
      <c r="W675" s="36" t="s">
        <v>141</v>
      </c>
      <c r="X675" s="36"/>
      <c r="Y675" s="36"/>
      <c r="Z675" s="36" t="s">
        <v>141</v>
      </c>
      <c r="AA675" s="117"/>
      <c r="AB675" s="36"/>
      <c r="AC675" s="117" t="s">
        <v>141</v>
      </c>
      <c r="AD675" s="36" t="s">
        <v>141</v>
      </c>
      <c r="AE675" s="36" t="s">
        <v>141</v>
      </c>
      <c r="AF675" s="117"/>
      <c r="AG675" s="36" t="s">
        <v>141</v>
      </c>
      <c r="AH675" s="36" t="s">
        <v>141</v>
      </c>
      <c r="AI675" s="117" t="s">
        <v>141</v>
      </c>
      <c r="AJ675" s="36"/>
      <c r="AK675" s="36" t="s">
        <v>141</v>
      </c>
      <c r="AL675" s="36"/>
      <c r="AM675" s="117" t="s">
        <v>141</v>
      </c>
      <c r="AN675" s="117"/>
      <c r="AO675" s="117" t="s">
        <v>141</v>
      </c>
      <c r="AP675" s="117"/>
      <c r="AQ675" s="117" t="s">
        <v>141</v>
      </c>
      <c r="AR675" s="117"/>
      <c r="AS675" s="117" t="s">
        <v>141</v>
      </c>
      <c r="AT675" s="117"/>
      <c r="AU675" s="117"/>
      <c r="AV675" s="119">
        <f t="shared" si="21"/>
        <v>23</v>
      </c>
      <c r="AW675" s="119"/>
      <c r="AX675" s="119" t="s">
        <v>2146</v>
      </c>
    </row>
    <row r="676" spans="1:50">
      <c r="A676">
        <v>627</v>
      </c>
      <c r="B676">
        <v>1184</v>
      </c>
      <c r="C676">
        <v>677</v>
      </c>
      <c r="D676" s="7">
        <v>46020</v>
      </c>
      <c r="E676" s="7" t="s">
        <v>2063</v>
      </c>
      <c r="F676" s="10" t="s">
        <v>2061</v>
      </c>
      <c r="G676" s="36" t="s">
        <v>141</v>
      </c>
      <c r="H676" s="36" t="s">
        <v>141</v>
      </c>
      <c r="I676" s="36"/>
      <c r="J676" s="36" t="s">
        <v>141</v>
      </c>
      <c r="K676" s="36"/>
      <c r="L676" s="36" t="s">
        <v>141</v>
      </c>
      <c r="M676" s="36"/>
      <c r="N676" s="36" t="s">
        <v>141</v>
      </c>
      <c r="O676" s="117" t="s">
        <v>141</v>
      </c>
      <c r="P676" s="36"/>
      <c r="Q676" s="36" t="s">
        <v>141</v>
      </c>
      <c r="R676" s="36" t="s">
        <v>141</v>
      </c>
      <c r="S676" s="36"/>
      <c r="T676" s="36" t="s">
        <v>141</v>
      </c>
      <c r="U676" s="36" t="s">
        <v>141</v>
      </c>
      <c r="V676" s="36"/>
      <c r="W676" s="36" t="s">
        <v>141</v>
      </c>
      <c r="X676" s="36"/>
      <c r="Y676" s="36"/>
      <c r="Z676" s="36" t="s">
        <v>141</v>
      </c>
      <c r="AA676" s="117"/>
      <c r="AB676" s="36"/>
      <c r="AC676" s="117" t="s">
        <v>141</v>
      </c>
      <c r="AD676" s="36" t="s">
        <v>141</v>
      </c>
      <c r="AE676" s="36" t="s">
        <v>141</v>
      </c>
      <c r="AF676" s="117"/>
      <c r="AG676" s="36" t="s">
        <v>141</v>
      </c>
      <c r="AH676" s="36" t="s">
        <v>141</v>
      </c>
      <c r="AI676" s="117" t="s">
        <v>141</v>
      </c>
      <c r="AJ676" s="36"/>
      <c r="AK676" s="36" t="s">
        <v>141</v>
      </c>
      <c r="AL676" s="36"/>
      <c r="AM676" s="117" t="s">
        <v>141</v>
      </c>
      <c r="AN676" s="117"/>
      <c r="AO676" s="117" t="s">
        <v>141</v>
      </c>
      <c r="AP676" s="117"/>
      <c r="AQ676" s="117" t="s">
        <v>141</v>
      </c>
      <c r="AR676" s="117"/>
      <c r="AS676" s="117" t="s">
        <v>141</v>
      </c>
      <c r="AT676" s="117"/>
      <c r="AU676" s="117"/>
      <c r="AV676" s="119">
        <f t="shared" si="21"/>
        <v>23</v>
      </c>
      <c r="AW676" s="119"/>
      <c r="AX676" s="119" t="s">
        <v>2146</v>
      </c>
    </row>
    <row r="677" spans="1:50">
      <c r="A677">
        <v>628</v>
      </c>
      <c r="B677">
        <v>1185</v>
      </c>
      <c r="C677">
        <v>678</v>
      </c>
      <c r="D677" s="7">
        <v>46020</v>
      </c>
      <c r="E677" s="7" t="s">
        <v>2066</v>
      </c>
      <c r="F677" s="10" t="s">
        <v>2064</v>
      </c>
      <c r="G677" s="36" t="s">
        <v>141</v>
      </c>
      <c r="H677" s="36" t="s">
        <v>141</v>
      </c>
      <c r="I677" s="36"/>
      <c r="J677" s="36" t="s">
        <v>141</v>
      </c>
      <c r="K677" s="36"/>
      <c r="L677" s="36" t="s">
        <v>141</v>
      </c>
      <c r="M677" s="36"/>
      <c r="N677" s="36" t="s">
        <v>141</v>
      </c>
      <c r="O677" s="117" t="s">
        <v>141</v>
      </c>
      <c r="P677" s="36"/>
      <c r="Q677" s="36" t="s">
        <v>141</v>
      </c>
      <c r="R677" s="36" t="s">
        <v>141</v>
      </c>
      <c r="S677" s="36"/>
      <c r="T677" s="36" t="s">
        <v>141</v>
      </c>
      <c r="U677" s="36" t="s">
        <v>141</v>
      </c>
      <c r="V677" s="36"/>
      <c r="W677" s="36" t="s">
        <v>141</v>
      </c>
      <c r="X677" s="36"/>
      <c r="Y677" s="36"/>
      <c r="Z677" s="36" t="s">
        <v>141</v>
      </c>
      <c r="AA677" s="117"/>
      <c r="AB677" s="36"/>
      <c r="AC677" s="117" t="s">
        <v>141</v>
      </c>
      <c r="AD677" s="36" t="s">
        <v>141</v>
      </c>
      <c r="AE677" s="36" t="s">
        <v>141</v>
      </c>
      <c r="AF677" s="117"/>
      <c r="AG677" s="36" t="s">
        <v>141</v>
      </c>
      <c r="AH677" s="36" t="s">
        <v>141</v>
      </c>
      <c r="AI677" s="117" t="s">
        <v>141</v>
      </c>
      <c r="AJ677" s="36"/>
      <c r="AK677" s="36" t="s">
        <v>141</v>
      </c>
      <c r="AL677" s="36"/>
      <c r="AM677" s="117" t="s">
        <v>141</v>
      </c>
      <c r="AN677" s="117"/>
      <c r="AO677" s="117" t="s">
        <v>141</v>
      </c>
      <c r="AP677" s="117"/>
      <c r="AQ677" s="117" t="s">
        <v>141</v>
      </c>
      <c r="AR677" s="117"/>
      <c r="AS677" s="117" t="s">
        <v>141</v>
      </c>
      <c r="AT677" s="117"/>
      <c r="AU677" s="117"/>
      <c r="AV677" s="119">
        <f t="shared" si="21"/>
        <v>23</v>
      </c>
      <c r="AW677" s="119"/>
      <c r="AX677" s="119" t="s">
        <v>2146</v>
      </c>
    </row>
    <row r="678" spans="1:50">
      <c r="A678">
        <v>629</v>
      </c>
      <c r="B678">
        <v>1186</v>
      </c>
      <c r="C678">
        <v>679</v>
      </c>
      <c r="D678" s="7">
        <v>46020</v>
      </c>
      <c r="E678" s="7" t="s">
        <v>2068</v>
      </c>
      <c r="F678" s="10" t="s">
        <v>2067</v>
      </c>
      <c r="G678" s="36" t="s">
        <v>141</v>
      </c>
      <c r="H678" s="36" t="s">
        <v>141</v>
      </c>
      <c r="I678" s="36"/>
      <c r="J678" s="36" t="s">
        <v>141</v>
      </c>
      <c r="K678" s="36"/>
      <c r="L678" s="36"/>
      <c r="M678" s="36"/>
      <c r="N678" s="36" t="s">
        <v>141</v>
      </c>
      <c r="O678" s="117"/>
      <c r="P678" s="36"/>
      <c r="Q678" s="36" t="s">
        <v>141</v>
      </c>
      <c r="R678" s="36" t="s">
        <v>141</v>
      </c>
      <c r="S678" s="36"/>
      <c r="T678" s="36" t="s">
        <v>141</v>
      </c>
      <c r="U678" s="36" t="s">
        <v>141</v>
      </c>
      <c r="V678" s="36"/>
      <c r="W678" s="36" t="s">
        <v>141</v>
      </c>
      <c r="X678" s="36"/>
      <c r="Y678" s="36"/>
      <c r="Z678" s="36" t="s">
        <v>141</v>
      </c>
      <c r="AA678" s="117"/>
      <c r="AB678" s="36"/>
      <c r="AC678" s="117" t="s">
        <v>141</v>
      </c>
      <c r="AD678" s="36" t="s">
        <v>141</v>
      </c>
      <c r="AE678" s="36" t="s">
        <v>141</v>
      </c>
      <c r="AF678" s="117"/>
      <c r="AG678" s="36" t="s">
        <v>141</v>
      </c>
      <c r="AH678" s="36" t="s">
        <v>141</v>
      </c>
      <c r="AI678" s="117" t="s">
        <v>141</v>
      </c>
      <c r="AJ678" s="36"/>
      <c r="AK678" s="36" t="s">
        <v>141</v>
      </c>
      <c r="AL678" s="36"/>
      <c r="AM678" s="117" t="s">
        <v>141</v>
      </c>
      <c r="AN678" s="117"/>
      <c r="AO678" s="117" t="s">
        <v>141</v>
      </c>
      <c r="AP678" s="117"/>
      <c r="AQ678" s="117" t="s">
        <v>141</v>
      </c>
      <c r="AR678" s="117"/>
      <c r="AS678" s="117" t="s">
        <v>141</v>
      </c>
      <c r="AT678" s="117"/>
      <c r="AU678" s="117"/>
      <c r="AV678" s="119">
        <f t="shared" si="21"/>
        <v>21</v>
      </c>
      <c r="AW678" s="119"/>
      <c r="AX678" s="119" t="s">
        <v>2146</v>
      </c>
    </row>
    <row r="679" spans="1:50">
      <c r="A679">
        <v>630</v>
      </c>
      <c r="B679">
        <v>1187</v>
      </c>
      <c r="C679">
        <v>680</v>
      </c>
      <c r="D679" s="7">
        <v>46020</v>
      </c>
      <c r="E679" s="7" t="s">
        <v>2070</v>
      </c>
      <c r="F679" s="10" t="s">
        <v>2069</v>
      </c>
      <c r="G679" s="36" t="s">
        <v>141</v>
      </c>
      <c r="H679" s="36" t="s">
        <v>141</v>
      </c>
      <c r="I679" s="36"/>
      <c r="J679" s="36" t="s">
        <v>141</v>
      </c>
      <c r="K679" s="36"/>
      <c r="L679" s="36" t="s">
        <v>141</v>
      </c>
      <c r="M679" s="36"/>
      <c r="N679" s="36" t="s">
        <v>141</v>
      </c>
      <c r="O679" s="117" t="s">
        <v>141</v>
      </c>
      <c r="P679" s="36"/>
      <c r="Q679" s="36" t="s">
        <v>141</v>
      </c>
      <c r="R679" s="36" t="s">
        <v>141</v>
      </c>
      <c r="S679" s="36"/>
      <c r="T679" s="36" t="s">
        <v>141</v>
      </c>
      <c r="U679" s="36" t="s">
        <v>141</v>
      </c>
      <c r="V679" s="36"/>
      <c r="W679" s="36" t="s">
        <v>141</v>
      </c>
      <c r="X679" s="36"/>
      <c r="Y679" s="36"/>
      <c r="Z679" s="36" t="s">
        <v>141</v>
      </c>
      <c r="AA679" s="117"/>
      <c r="AB679" s="36"/>
      <c r="AC679" s="117" t="s">
        <v>141</v>
      </c>
      <c r="AD679" s="36" t="s">
        <v>141</v>
      </c>
      <c r="AE679" s="36" t="s">
        <v>141</v>
      </c>
      <c r="AF679" s="117"/>
      <c r="AG679" s="36" t="s">
        <v>141</v>
      </c>
      <c r="AH679" s="36" t="s">
        <v>141</v>
      </c>
      <c r="AI679" s="117" t="s">
        <v>141</v>
      </c>
      <c r="AJ679" s="36"/>
      <c r="AK679" s="36" t="s">
        <v>141</v>
      </c>
      <c r="AL679" s="36"/>
      <c r="AM679" s="117" t="s">
        <v>141</v>
      </c>
      <c r="AN679" s="117"/>
      <c r="AO679" s="117" t="s">
        <v>141</v>
      </c>
      <c r="AP679" s="117"/>
      <c r="AQ679" s="117" t="s">
        <v>141</v>
      </c>
      <c r="AR679" s="117"/>
      <c r="AS679" s="117" t="s">
        <v>141</v>
      </c>
      <c r="AT679" s="117"/>
      <c r="AU679" s="117"/>
      <c r="AV679" s="119">
        <f t="shared" si="21"/>
        <v>23</v>
      </c>
      <c r="AW679" s="119"/>
      <c r="AX679" s="119" t="s">
        <v>2146</v>
      </c>
    </row>
    <row r="680" spans="1:50">
      <c r="A680">
        <v>631</v>
      </c>
      <c r="B680">
        <v>1188</v>
      </c>
      <c r="C680">
        <v>681</v>
      </c>
      <c r="D680" s="7">
        <v>46020</v>
      </c>
      <c r="E680" s="7" t="s">
        <v>2073</v>
      </c>
      <c r="F680" s="10" t="s">
        <v>2071</v>
      </c>
      <c r="G680" s="36" t="s">
        <v>141</v>
      </c>
      <c r="H680" s="36" t="s">
        <v>141</v>
      </c>
      <c r="I680" s="36"/>
      <c r="J680" s="36" t="s">
        <v>141</v>
      </c>
      <c r="K680" s="36"/>
      <c r="L680" s="36"/>
      <c r="M680" s="36"/>
      <c r="N680" s="36" t="s">
        <v>141</v>
      </c>
      <c r="O680" s="117"/>
      <c r="P680" s="36"/>
      <c r="Q680" s="36" t="s">
        <v>141</v>
      </c>
      <c r="R680" s="36" t="s">
        <v>141</v>
      </c>
      <c r="S680" s="36"/>
      <c r="T680" s="36" t="s">
        <v>141</v>
      </c>
      <c r="U680" s="36" t="s">
        <v>141</v>
      </c>
      <c r="V680" s="36"/>
      <c r="W680" s="36" t="s">
        <v>141</v>
      </c>
      <c r="X680" s="36"/>
      <c r="Y680" s="36"/>
      <c r="Z680" s="36" t="s">
        <v>141</v>
      </c>
      <c r="AA680" s="117"/>
      <c r="AB680" s="36"/>
      <c r="AC680" s="117" t="s">
        <v>141</v>
      </c>
      <c r="AD680" s="36" t="s">
        <v>141</v>
      </c>
      <c r="AE680" s="36" t="s">
        <v>141</v>
      </c>
      <c r="AF680" s="117"/>
      <c r="AG680" s="36" t="s">
        <v>141</v>
      </c>
      <c r="AH680" s="36" t="s">
        <v>141</v>
      </c>
      <c r="AI680" s="117" t="s">
        <v>141</v>
      </c>
      <c r="AJ680" s="36"/>
      <c r="AK680" s="36" t="s">
        <v>141</v>
      </c>
      <c r="AL680" s="36"/>
      <c r="AM680" s="117" t="s">
        <v>141</v>
      </c>
      <c r="AN680" s="117"/>
      <c r="AO680" s="117" t="s">
        <v>141</v>
      </c>
      <c r="AP680" s="117"/>
      <c r="AQ680" s="117" t="s">
        <v>141</v>
      </c>
      <c r="AR680" s="117"/>
      <c r="AS680" s="117" t="s">
        <v>141</v>
      </c>
      <c r="AT680" s="117"/>
      <c r="AU680" s="117"/>
      <c r="AV680" s="119">
        <f t="shared" si="21"/>
        <v>21</v>
      </c>
      <c r="AW680" s="119"/>
      <c r="AX680" s="119" t="s">
        <v>2146</v>
      </c>
    </row>
    <row r="681" spans="1:50">
      <c r="A681">
        <v>632</v>
      </c>
      <c r="B681">
        <v>1189</v>
      </c>
      <c r="C681">
        <v>682</v>
      </c>
      <c r="D681" s="7">
        <v>46020</v>
      </c>
      <c r="E681" s="7" t="s">
        <v>2075</v>
      </c>
      <c r="F681" s="10" t="s">
        <v>2074</v>
      </c>
      <c r="G681" s="36" t="s">
        <v>141</v>
      </c>
      <c r="H681" s="36" t="s">
        <v>141</v>
      </c>
      <c r="I681" s="36"/>
      <c r="J681" s="36" t="s">
        <v>141</v>
      </c>
      <c r="K681" s="36"/>
      <c r="L681" s="36"/>
      <c r="M681" s="36"/>
      <c r="N681" s="36" t="s">
        <v>141</v>
      </c>
      <c r="O681" s="117"/>
      <c r="P681" s="36"/>
      <c r="Q681" s="36" t="s">
        <v>141</v>
      </c>
      <c r="R681" s="36" t="s">
        <v>141</v>
      </c>
      <c r="S681" s="36"/>
      <c r="T681" s="36" t="s">
        <v>141</v>
      </c>
      <c r="U681" s="36" t="s">
        <v>141</v>
      </c>
      <c r="V681" s="36"/>
      <c r="W681" s="36" t="s">
        <v>141</v>
      </c>
      <c r="X681" s="36"/>
      <c r="Y681" s="36"/>
      <c r="Z681" s="36" t="s">
        <v>141</v>
      </c>
      <c r="AA681" s="117"/>
      <c r="AB681" s="36"/>
      <c r="AC681" s="117" t="s">
        <v>141</v>
      </c>
      <c r="AD681" s="36" t="s">
        <v>141</v>
      </c>
      <c r="AE681" s="36" t="s">
        <v>141</v>
      </c>
      <c r="AF681" s="117"/>
      <c r="AG681" s="36" t="s">
        <v>141</v>
      </c>
      <c r="AH681" s="36" t="s">
        <v>141</v>
      </c>
      <c r="AI681" s="117" t="s">
        <v>141</v>
      </c>
      <c r="AJ681" s="36"/>
      <c r="AK681" s="36" t="s">
        <v>141</v>
      </c>
      <c r="AL681" s="36"/>
      <c r="AM681" s="117" t="s">
        <v>141</v>
      </c>
      <c r="AN681" s="117"/>
      <c r="AO681" s="117" t="s">
        <v>141</v>
      </c>
      <c r="AP681" s="117"/>
      <c r="AQ681" s="117" t="s">
        <v>141</v>
      </c>
      <c r="AR681" s="117"/>
      <c r="AS681" s="117" t="s">
        <v>141</v>
      </c>
      <c r="AT681" s="117"/>
      <c r="AU681" s="117"/>
      <c r="AV681" s="119">
        <f t="shared" si="21"/>
        <v>21</v>
      </c>
      <c r="AW681" s="119"/>
      <c r="AX681" s="119" t="s">
        <v>2146</v>
      </c>
    </row>
    <row r="682" spans="1:50">
      <c r="A682">
        <v>633</v>
      </c>
      <c r="B682">
        <v>1190</v>
      </c>
      <c r="C682">
        <v>683</v>
      </c>
      <c r="D682" s="7">
        <v>46020</v>
      </c>
      <c r="E682" s="7" t="s">
        <v>2078</v>
      </c>
      <c r="F682" s="10" t="s">
        <v>2076</v>
      </c>
      <c r="G682" s="36" t="s">
        <v>141</v>
      </c>
      <c r="H682" s="36" t="s">
        <v>141</v>
      </c>
      <c r="I682" s="36"/>
      <c r="J682" s="36" t="s">
        <v>141</v>
      </c>
      <c r="K682" s="36"/>
      <c r="L682" s="36"/>
      <c r="M682" s="36"/>
      <c r="N682" s="36" t="s">
        <v>141</v>
      </c>
      <c r="O682" s="117"/>
      <c r="P682" s="36"/>
      <c r="Q682" s="36" t="s">
        <v>141</v>
      </c>
      <c r="R682" s="36" t="s">
        <v>141</v>
      </c>
      <c r="S682" s="36"/>
      <c r="T682" s="36" t="s">
        <v>141</v>
      </c>
      <c r="U682" s="36" t="s">
        <v>141</v>
      </c>
      <c r="V682" s="36"/>
      <c r="W682" s="36" t="s">
        <v>141</v>
      </c>
      <c r="X682" s="36"/>
      <c r="Y682" s="36"/>
      <c r="Z682" s="36" t="s">
        <v>141</v>
      </c>
      <c r="AA682" s="117"/>
      <c r="AB682" s="36"/>
      <c r="AC682" s="117" t="s">
        <v>141</v>
      </c>
      <c r="AD682" s="36" t="s">
        <v>141</v>
      </c>
      <c r="AE682" s="36" t="s">
        <v>141</v>
      </c>
      <c r="AF682" s="117"/>
      <c r="AG682" s="36" t="s">
        <v>141</v>
      </c>
      <c r="AH682" s="36" t="s">
        <v>141</v>
      </c>
      <c r="AI682" s="117" t="s">
        <v>141</v>
      </c>
      <c r="AJ682" s="36"/>
      <c r="AK682" s="36" t="s">
        <v>141</v>
      </c>
      <c r="AL682" s="36"/>
      <c r="AM682" s="117" t="s">
        <v>141</v>
      </c>
      <c r="AN682" s="117"/>
      <c r="AO682" s="117" t="s">
        <v>141</v>
      </c>
      <c r="AP682" s="117"/>
      <c r="AQ682" s="117" t="s">
        <v>141</v>
      </c>
      <c r="AR682" s="117"/>
      <c r="AS682" s="117" t="s">
        <v>141</v>
      </c>
      <c r="AT682" s="117"/>
      <c r="AU682" s="117"/>
      <c r="AV682" s="119">
        <f t="shared" si="21"/>
        <v>21</v>
      </c>
      <c r="AW682" s="119"/>
      <c r="AX682" s="119" t="s">
        <v>2146</v>
      </c>
    </row>
    <row r="683" spans="1:50">
      <c r="A683">
        <v>634</v>
      </c>
      <c r="B683">
        <v>1191</v>
      </c>
      <c r="C683">
        <v>684</v>
      </c>
      <c r="D683" s="7">
        <v>46020</v>
      </c>
      <c r="E683" s="7" t="s">
        <v>2081</v>
      </c>
      <c r="F683" s="10" t="s">
        <v>2079</v>
      </c>
      <c r="G683" s="36" t="s">
        <v>141</v>
      </c>
      <c r="H683" s="36" t="s">
        <v>141</v>
      </c>
      <c r="I683" s="36"/>
      <c r="J683" s="36" t="s">
        <v>141</v>
      </c>
      <c r="K683" s="36"/>
      <c r="L683" s="36"/>
      <c r="M683" s="36"/>
      <c r="N683" s="36" t="s">
        <v>141</v>
      </c>
      <c r="O683" s="117"/>
      <c r="P683" s="36"/>
      <c r="Q683" s="36" t="s">
        <v>141</v>
      </c>
      <c r="R683" s="36" t="s">
        <v>141</v>
      </c>
      <c r="S683" s="36"/>
      <c r="T683" s="36" t="s">
        <v>141</v>
      </c>
      <c r="U683" s="36" t="s">
        <v>141</v>
      </c>
      <c r="V683" s="36"/>
      <c r="W683" s="36" t="s">
        <v>141</v>
      </c>
      <c r="X683" s="36"/>
      <c r="Y683" s="36"/>
      <c r="Z683" s="36" t="s">
        <v>141</v>
      </c>
      <c r="AA683" s="117"/>
      <c r="AB683" s="36"/>
      <c r="AC683" s="117" t="s">
        <v>141</v>
      </c>
      <c r="AD683" s="36" t="s">
        <v>141</v>
      </c>
      <c r="AE683" s="36" t="s">
        <v>141</v>
      </c>
      <c r="AF683" s="117"/>
      <c r="AG683" s="36" t="s">
        <v>141</v>
      </c>
      <c r="AH683" s="36" t="s">
        <v>141</v>
      </c>
      <c r="AI683" s="117" t="s">
        <v>141</v>
      </c>
      <c r="AJ683" s="36"/>
      <c r="AK683" s="36" t="s">
        <v>141</v>
      </c>
      <c r="AL683" s="36"/>
      <c r="AM683" s="117" t="s">
        <v>141</v>
      </c>
      <c r="AN683" s="117"/>
      <c r="AO683" s="117" t="s">
        <v>141</v>
      </c>
      <c r="AP683" s="117"/>
      <c r="AQ683" s="117" t="s">
        <v>141</v>
      </c>
      <c r="AR683" s="117"/>
      <c r="AS683" s="117" t="s">
        <v>141</v>
      </c>
      <c r="AT683" s="117"/>
      <c r="AU683" s="117"/>
      <c r="AV683" s="119">
        <f t="shared" si="21"/>
        <v>21</v>
      </c>
      <c r="AW683" s="119"/>
      <c r="AX683" s="119" t="s">
        <v>2146</v>
      </c>
    </row>
    <row r="684" spans="1:50">
      <c r="A684">
        <v>635</v>
      </c>
      <c r="B684">
        <v>1192</v>
      </c>
      <c r="C684">
        <v>685</v>
      </c>
      <c r="D684" s="7">
        <v>46020</v>
      </c>
      <c r="E684" s="7" t="s">
        <v>2083</v>
      </c>
      <c r="F684" s="10" t="s">
        <v>2082</v>
      </c>
      <c r="G684" s="36" t="s">
        <v>141</v>
      </c>
      <c r="H684" s="36" t="s">
        <v>141</v>
      </c>
      <c r="I684" s="36"/>
      <c r="J684" s="36" t="s">
        <v>141</v>
      </c>
      <c r="K684" s="36"/>
      <c r="L684" s="36"/>
      <c r="M684" s="36"/>
      <c r="N684" s="36" t="s">
        <v>141</v>
      </c>
      <c r="O684" s="117"/>
      <c r="P684" s="36"/>
      <c r="Q684" s="36" t="s">
        <v>141</v>
      </c>
      <c r="R684" s="36" t="s">
        <v>141</v>
      </c>
      <c r="S684" s="36"/>
      <c r="T684" s="36" t="s">
        <v>141</v>
      </c>
      <c r="U684" s="36" t="s">
        <v>141</v>
      </c>
      <c r="V684" s="36"/>
      <c r="W684" s="36" t="s">
        <v>141</v>
      </c>
      <c r="X684" s="36"/>
      <c r="Y684" s="36"/>
      <c r="Z684" s="36" t="s">
        <v>141</v>
      </c>
      <c r="AA684" s="117"/>
      <c r="AB684" s="36"/>
      <c r="AC684" s="117" t="s">
        <v>141</v>
      </c>
      <c r="AD684" s="36" t="s">
        <v>141</v>
      </c>
      <c r="AE684" s="36" t="s">
        <v>141</v>
      </c>
      <c r="AF684" s="117"/>
      <c r="AG684" s="36" t="s">
        <v>141</v>
      </c>
      <c r="AH684" s="36" t="s">
        <v>141</v>
      </c>
      <c r="AI684" s="117" t="s">
        <v>141</v>
      </c>
      <c r="AJ684" s="36"/>
      <c r="AK684" s="36" t="s">
        <v>141</v>
      </c>
      <c r="AL684" s="36"/>
      <c r="AM684" s="117" t="s">
        <v>141</v>
      </c>
      <c r="AN684" s="117"/>
      <c r="AO684" s="117" t="s">
        <v>141</v>
      </c>
      <c r="AP684" s="117"/>
      <c r="AQ684" s="117" t="s">
        <v>141</v>
      </c>
      <c r="AR684" s="117"/>
      <c r="AS684" s="117" t="s">
        <v>141</v>
      </c>
      <c r="AT684" s="117"/>
      <c r="AU684" s="117"/>
      <c r="AV684" s="119">
        <f t="shared" si="21"/>
        <v>21</v>
      </c>
      <c r="AW684" s="119"/>
      <c r="AX684" s="119" t="s">
        <v>2146</v>
      </c>
    </row>
    <row r="685" spans="1:50">
      <c r="A685">
        <v>636</v>
      </c>
      <c r="B685">
        <v>1193</v>
      </c>
      <c r="C685">
        <v>686</v>
      </c>
      <c r="D685" s="7">
        <v>46020</v>
      </c>
      <c r="E685" s="7" t="s">
        <v>2086</v>
      </c>
      <c r="F685" s="10" t="s">
        <v>2084</v>
      </c>
      <c r="G685" s="36" t="s">
        <v>141</v>
      </c>
      <c r="H685" s="36" t="s">
        <v>141</v>
      </c>
      <c r="I685" s="36"/>
      <c r="J685" s="36" t="s">
        <v>141</v>
      </c>
      <c r="K685" s="36"/>
      <c r="L685" s="36"/>
      <c r="M685" s="36"/>
      <c r="N685" s="36" t="s">
        <v>141</v>
      </c>
      <c r="O685" s="117"/>
      <c r="P685" s="36"/>
      <c r="Q685" s="36" t="s">
        <v>141</v>
      </c>
      <c r="R685" s="36" t="s">
        <v>141</v>
      </c>
      <c r="S685" s="36"/>
      <c r="T685" s="36" t="s">
        <v>141</v>
      </c>
      <c r="U685" s="36" t="s">
        <v>141</v>
      </c>
      <c r="V685" s="36"/>
      <c r="W685" s="36" t="s">
        <v>141</v>
      </c>
      <c r="X685" s="36"/>
      <c r="Y685" s="36"/>
      <c r="Z685" s="36" t="s">
        <v>141</v>
      </c>
      <c r="AA685" s="117"/>
      <c r="AB685" s="36"/>
      <c r="AC685" s="117" t="s">
        <v>141</v>
      </c>
      <c r="AD685" s="36" t="s">
        <v>141</v>
      </c>
      <c r="AE685" s="36" t="s">
        <v>141</v>
      </c>
      <c r="AF685" s="117"/>
      <c r="AG685" s="36" t="s">
        <v>141</v>
      </c>
      <c r="AH685" s="36" t="s">
        <v>141</v>
      </c>
      <c r="AI685" s="117" t="s">
        <v>141</v>
      </c>
      <c r="AJ685" s="36"/>
      <c r="AK685" s="36" t="s">
        <v>141</v>
      </c>
      <c r="AL685" s="36"/>
      <c r="AM685" s="117" t="s">
        <v>141</v>
      </c>
      <c r="AN685" s="117"/>
      <c r="AO685" s="117"/>
      <c r="AP685" s="117"/>
      <c r="AQ685" s="117" t="s">
        <v>141</v>
      </c>
      <c r="AR685" s="117"/>
      <c r="AS685" s="117" t="s">
        <v>141</v>
      </c>
      <c r="AT685" s="117"/>
      <c r="AU685" s="117"/>
      <c r="AV685" s="119">
        <f t="shared" si="21"/>
        <v>20</v>
      </c>
      <c r="AW685" s="119"/>
      <c r="AX685" s="119" t="s">
        <v>2146</v>
      </c>
    </row>
    <row r="686" spans="1:50">
      <c r="A686">
        <v>637</v>
      </c>
      <c r="B686">
        <v>1194</v>
      </c>
      <c r="C686">
        <v>687</v>
      </c>
      <c r="D686" s="7">
        <v>46020</v>
      </c>
      <c r="E686" s="7" t="s">
        <v>2088</v>
      </c>
      <c r="F686" s="10" t="s">
        <v>2087</v>
      </c>
      <c r="G686" s="36" t="s">
        <v>141</v>
      </c>
      <c r="H686" s="36"/>
      <c r="I686" s="36"/>
      <c r="J686" s="36" t="s">
        <v>141</v>
      </c>
      <c r="K686" s="36"/>
      <c r="L686" s="36"/>
      <c r="M686" s="36"/>
      <c r="N686" s="36"/>
      <c r="O686" s="117"/>
      <c r="P686" s="36"/>
      <c r="Q686" s="36"/>
      <c r="R686" s="36" t="s">
        <v>141</v>
      </c>
      <c r="S686" s="36"/>
      <c r="T686" s="36" t="s">
        <v>141</v>
      </c>
      <c r="U686" s="36" t="s">
        <v>141</v>
      </c>
      <c r="V686" s="36"/>
      <c r="W686" s="36" t="s">
        <v>141</v>
      </c>
      <c r="X686" s="36"/>
      <c r="Y686" s="36"/>
      <c r="Z686" s="36" t="s">
        <v>141</v>
      </c>
      <c r="AA686" s="117"/>
      <c r="AB686" s="36"/>
      <c r="AC686" s="117"/>
      <c r="AD686" s="36"/>
      <c r="AE686" s="36"/>
      <c r="AF686" s="117"/>
      <c r="AG686" s="36" t="s">
        <v>141</v>
      </c>
      <c r="AH686" s="36" t="s">
        <v>141</v>
      </c>
      <c r="AI686" s="117"/>
      <c r="AJ686" s="36"/>
      <c r="AK686" s="36" t="s">
        <v>141</v>
      </c>
      <c r="AL686" s="36"/>
      <c r="AM686" s="117" t="s">
        <v>141</v>
      </c>
      <c r="AN686" s="117"/>
      <c r="AO686" s="117"/>
      <c r="AP686" s="117"/>
      <c r="AQ686" s="117" t="s">
        <v>141</v>
      </c>
      <c r="AR686" s="117"/>
      <c r="AS686" s="117" t="s">
        <v>141</v>
      </c>
      <c r="AT686" s="117"/>
      <c r="AU686" s="117"/>
      <c r="AV686" s="119">
        <f t="shared" si="21"/>
        <v>13</v>
      </c>
      <c r="AW686" s="119"/>
      <c r="AX686" s="119" t="s">
        <v>2146</v>
      </c>
    </row>
    <row r="687" spans="1:50">
      <c r="A687">
        <v>638</v>
      </c>
      <c r="B687">
        <v>1195</v>
      </c>
      <c r="C687">
        <v>688</v>
      </c>
      <c r="D687" s="7">
        <v>46021</v>
      </c>
      <c r="E687" s="7" t="s">
        <v>2155</v>
      </c>
      <c r="F687" s="10" t="s">
        <v>2089</v>
      </c>
      <c r="G687" s="36" t="s">
        <v>141</v>
      </c>
      <c r="H687" s="36"/>
      <c r="I687" s="36"/>
      <c r="J687" s="36" t="s">
        <v>141</v>
      </c>
      <c r="K687" s="36"/>
      <c r="L687" s="36"/>
      <c r="M687" s="36"/>
      <c r="N687" s="36"/>
      <c r="O687" s="117"/>
      <c r="P687" s="36"/>
      <c r="Q687" s="36"/>
      <c r="R687" s="36" t="s">
        <v>141</v>
      </c>
      <c r="S687" s="36"/>
      <c r="T687" s="36" t="s">
        <v>141</v>
      </c>
      <c r="U687" s="36" t="s">
        <v>141</v>
      </c>
      <c r="V687" s="36"/>
      <c r="W687" s="36" t="s">
        <v>141</v>
      </c>
      <c r="X687" s="36"/>
      <c r="Y687" s="36"/>
      <c r="Z687" s="36" t="s">
        <v>141</v>
      </c>
      <c r="AA687" s="117"/>
      <c r="AB687" s="36"/>
      <c r="AC687" s="117"/>
      <c r="AD687" s="36"/>
      <c r="AE687" s="36"/>
      <c r="AF687" s="117"/>
      <c r="AG687" s="36" t="s">
        <v>141</v>
      </c>
      <c r="AH687" s="36" t="s">
        <v>141</v>
      </c>
      <c r="AI687" s="117"/>
      <c r="AJ687" s="36"/>
      <c r="AK687" s="36" t="s">
        <v>141</v>
      </c>
      <c r="AL687" s="36"/>
      <c r="AM687" s="117" t="s">
        <v>141</v>
      </c>
      <c r="AN687" s="117"/>
      <c r="AO687" s="117"/>
      <c r="AP687" s="117"/>
      <c r="AQ687" s="117" t="s">
        <v>141</v>
      </c>
      <c r="AR687" s="117"/>
      <c r="AS687" s="117" t="s">
        <v>141</v>
      </c>
      <c r="AT687" s="117"/>
      <c r="AU687" s="117"/>
      <c r="AV687" s="119">
        <f t="shared" si="21"/>
        <v>13</v>
      </c>
      <c r="AW687" s="119"/>
      <c r="AX687" s="119" t="s">
        <v>2146</v>
      </c>
    </row>
    <row r="688" spans="1:50">
      <c r="A688">
        <v>639</v>
      </c>
      <c r="B688">
        <v>1196</v>
      </c>
      <c r="C688">
        <v>689</v>
      </c>
      <c r="D688" s="7">
        <v>46020</v>
      </c>
      <c r="E688" s="7" t="s">
        <v>2093</v>
      </c>
      <c r="F688" s="10" t="s">
        <v>2091</v>
      </c>
      <c r="G688" s="36" t="s">
        <v>141</v>
      </c>
      <c r="H688" s="36" t="s">
        <v>141</v>
      </c>
      <c r="I688" s="36"/>
      <c r="J688" s="36" t="s">
        <v>141</v>
      </c>
      <c r="K688" s="36"/>
      <c r="L688" s="36" t="s">
        <v>141</v>
      </c>
      <c r="M688" s="36"/>
      <c r="N688" s="36" t="s">
        <v>141</v>
      </c>
      <c r="O688" s="117" t="s">
        <v>141</v>
      </c>
      <c r="P688" s="36"/>
      <c r="Q688" s="36" t="s">
        <v>141</v>
      </c>
      <c r="R688" s="36" t="s">
        <v>141</v>
      </c>
      <c r="S688" s="36"/>
      <c r="T688" s="36" t="s">
        <v>141</v>
      </c>
      <c r="U688" s="36" t="s">
        <v>141</v>
      </c>
      <c r="V688" s="36"/>
      <c r="W688" s="36" t="s">
        <v>141</v>
      </c>
      <c r="X688" s="36"/>
      <c r="Y688" s="36"/>
      <c r="Z688" s="36" t="s">
        <v>141</v>
      </c>
      <c r="AA688" s="117"/>
      <c r="AB688" s="36"/>
      <c r="AC688" s="117" t="s">
        <v>141</v>
      </c>
      <c r="AD688" s="36" t="s">
        <v>141</v>
      </c>
      <c r="AE688" s="36" t="s">
        <v>141</v>
      </c>
      <c r="AF688" s="117"/>
      <c r="AG688" s="36" t="s">
        <v>141</v>
      </c>
      <c r="AH688" s="36" t="s">
        <v>141</v>
      </c>
      <c r="AI688" s="117"/>
      <c r="AJ688" s="36"/>
      <c r="AK688" s="36" t="s">
        <v>141</v>
      </c>
      <c r="AL688" s="36"/>
      <c r="AM688" s="117" t="s">
        <v>141</v>
      </c>
      <c r="AN688" s="117"/>
      <c r="AO688" s="117" t="s">
        <v>141</v>
      </c>
      <c r="AP688" s="117"/>
      <c r="AQ688" s="117" t="s">
        <v>141</v>
      </c>
      <c r="AR688" s="117"/>
      <c r="AS688" s="117" t="s">
        <v>141</v>
      </c>
      <c r="AT688" s="117"/>
      <c r="AU688" s="117"/>
      <c r="AV688" s="119">
        <f t="shared" si="21"/>
        <v>22</v>
      </c>
      <c r="AW688" s="119"/>
      <c r="AX688" s="119" t="s">
        <v>2146</v>
      </c>
    </row>
    <row r="689" spans="1:50">
      <c r="A689">
        <v>640</v>
      </c>
      <c r="B689">
        <v>1197</v>
      </c>
      <c r="C689">
        <v>690</v>
      </c>
      <c r="D689" s="7">
        <v>46020</v>
      </c>
      <c r="E689" s="7" t="s">
        <v>2096</v>
      </c>
      <c r="F689" s="10" t="s">
        <v>2095</v>
      </c>
      <c r="G689" s="36" t="s">
        <v>141</v>
      </c>
      <c r="H689" s="36" t="s">
        <v>141</v>
      </c>
      <c r="I689" s="36"/>
      <c r="J689" s="36" t="s">
        <v>141</v>
      </c>
      <c r="K689" s="36"/>
      <c r="L689" s="36" t="s">
        <v>141</v>
      </c>
      <c r="M689" s="36"/>
      <c r="N689" s="36" t="s">
        <v>141</v>
      </c>
      <c r="O689" s="117" t="s">
        <v>141</v>
      </c>
      <c r="P689" s="36"/>
      <c r="Q689" s="36" t="s">
        <v>141</v>
      </c>
      <c r="R689" s="36" t="s">
        <v>141</v>
      </c>
      <c r="S689" s="36"/>
      <c r="T689" s="36" t="s">
        <v>141</v>
      </c>
      <c r="U689" s="36" t="s">
        <v>141</v>
      </c>
      <c r="V689" s="36"/>
      <c r="W689" s="36" t="s">
        <v>141</v>
      </c>
      <c r="X689" s="36"/>
      <c r="Y689" s="36"/>
      <c r="Z689" s="36" t="s">
        <v>141</v>
      </c>
      <c r="AA689" s="117"/>
      <c r="AB689" s="36"/>
      <c r="AC689" s="117" t="s">
        <v>141</v>
      </c>
      <c r="AD689" s="36" t="s">
        <v>141</v>
      </c>
      <c r="AE689" s="36" t="s">
        <v>141</v>
      </c>
      <c r="AF689" s="117"/>
      <c r="AG689" s="36" t="s">
        <v>141</v>
      </c>
      <c r="AH689" s="36" t="s">
        <v>141</v>
      </c>
      <c r="AI689" s="117"/>
      <c r="AJ689" s="36"/>
      <c r="AK689" s="36" t="s">
        <v>141</v>
      </c>
      <c r="AL689" s="36"/>
      <c r="AM689" s="117" t="s">
        <v>141</v>
      </c>
      <c r="AN689" s="117"/>
      <c r="AO689" s="117" t="s">
        <v>141</v>
      </c>
      <c r="AP689" s="117"/>
      <c r="AQ689" s="117" t="s">
        <v>141</v>
      </c>
      <c r="AR689" s="117"/>
      <c r="AS689" s="117" t="s">
        <v>141</v>
      </c>
      <c r="AT689" s="117"/>
      <c r="AU689" s="117"/>
      <c r="AV689" s="119">
        <f t="shared" si="21"/>
        <v>22</v>
      </c>
      <c r="AW689" s="119"/>
      <c r="AX689" s="119" t="s">
        <v>2146</v>
      </c>
    </row>
    <row r="690" spans="1:50">
      <c r="A690">
        <v>641</v>
      </c>
      <c r="B690">
        <v>1201</v>
      </c>
      <c r="C690">
        <v>691</v>
      </c>
      <c r="D690" s="7">
        <v>46021</v>
      </c>
      <c r="E690" s="7" t="s">
        <v>2099</v>
      </c>
      <c r="F690" s="10" t="s">
        <v>2098</v>
      </c>
      <c r="G690" s="36" t="s">
        <v>141</v>
      </c>
      <c r="H690" s="36" t="s">
        <v>141</v>
      </c>
      <c r="I690" s="36"/>
      <c r="J690" s="36" t="s">
        <v>141</v>
      </c>
      <c r="K690" s="36"/>
      <c r="L690" s="36"/>
      <c r="M690" s="36"/>
      <c r="N690" s="36" t="s">
        <v>141</v>
      </c>
      <c r="O690" s="117"/>
      <c r="P690" s="36"/>
      <c r="Q690" s="36"/>
      <c r="R690" s="36"/>
      <c r="S690" s="36"/>
      <c r="T690" s="36" t="s">
        <v>141</v>
      </c>
      <c r="U690" s="36"/>
      <c r="V690" s="36"/>
      <c r="W690" s="36" t="s">
        <v>141</v>
      </c>
      <c r="X690" s="36"/>
      <c r="Y690" s="36"/>
      <c r="Z690" s="36" t="s">
        <v>141</v>
      </c>
      <c r="AA690" s="117"/>
      <c r="AB690" s="36"/>
      <c r="AC690" s="117"/>
      <c r="AD690" s="36" t="s">
        <v>141</v>
      </c>
      <c r="AE690" s="36" t="s">
        <v>141</v>
      </c>
      <c r="AF690" s="117"/>
      <c r="AG690" s="36"/>
      <c r="AH690" s="36" t="s">
        <v>141</v>
      </c>
      <c r="AI690" s="117" t="s">
        <v>141</v>
      </c>
      <c r="AJ690" s="36"/>
      <c r="AK690" s="36"/>
      <c r="AL690" s="36"/>
      <c r="AM690" s="117"/>
      <c r="AN690" s="117"/>
      <c r="AO690" s="117"/>
      <c r="AP690" s="117"/>
      <c r="AQ690" s="117"/>
      <c r="AR690" s="117"/>
      <c r="AS690" s="117" t="s">
        <v>141</v>
      </c>
      <c r="AT690" s="117"/>
      <c r="AU690" s="117"/>
      <c r="AV690" s="119">
        <f t="shared" si="21"/>
        <v>12</v>
      </c>
      <c r="AW690" s="119"/>
      <c r="AX690" s="119" t="s">
        <v>2146</v>
      </c>
    </row>
    <row r="691" spans="1:50">
      <c r="A691">
        <v>642</v>
      </c>
      <c r="B691">
        <v>1202</v>
      </c>
      <c r="C691">
        <v>692</v>
      </c>
      <c r="D691" s="7">
        <v>46021</v>
      </c>
      <c r="E691" s="7" t="s">
        <v>2101</v>
      </c>
      <c r="F691" s="10" t="s">
        <v>2100</v>
      </c>
      <c r="G691" s="36" t="s">
        <v>141</v>
      </c>
      <c r="H691" s="36"/>
      <c r="I691" s="36"/>
      <c r="J691" s="36" t="s">
        <v>141</v>
      </c>
      <c r="K691" s="36"/>
      <c r="L691" s="36"/>
      <c r="M691" s="36"/>
      <c r="N691" s="36" t="s">
        <v>141</v>
      </c>
      <c r="O691" s="117"/>
      <c r="P691" s="36"/>
      <c r="Q691" s="36"/>
      <c r="R691" s="36" t="s">
        <v>141</v>
      </c>
      <c r="S691" s="36"/>
      <c r="T691" s="36" t="s">
        <v>141</v>
      </c>
      <c r="U691" s="36"/>
      <c r="V691" s="36"/>
      <c r="W691" s="36"/>
      <c r="X691" s="36" t="s">
        <v>141</v>
      </c>
      <c r="Y691" s="36"/>
      <c r="Z691" s="36"/>
      <c r="AA691" s="117"/>
      <c r="AB691" s="36"/>
      <c r="AC691" s="117"/>
      <c r="AD691" s="36" t="s">
        <v>141</v>
      </c>
      <c r="AE691" s="36" t="s">
        <v>141</v>
      </c>
      <c r="AF691" s="117"/>
      <c r="AG691" s="36"/>
      <c r="AH691" s="36" t="s">
        <v>141</v>
      </c>
      <c r="AI691" s="117" t="s">
        <v>141</v>
      </c>
      <c r="AJ691" s="36"/>
      <c r="AK691" s="36"/>
      <c r="AL691" s="36"/>
      <c r="AM691" s="117"/>
      <c r="AN691" s="117"/>
      <c r="AO691" s="117"/>
      <c r="AP691" s="117"/>
      <c r="AQ691" s="117"/>
      <c r="AR691" s="117"/>
      <c r="AS691" s="117" t="s">
        <v>141</v>
      </c>
      <c r="AT691" s="117"/>
      <c r="AU691" s="117"/>
      <c r="AV691" s="119">
        <f t="shared" ref="AV691:AV698" si="22">COUNTIF($F691:$AS691, "I")</f>
        <v>11</v>
      </c>
      <c r="AW691" s="119"/>
      <c r="AX691" s="119" t="s">
        <v>2146</v>
      </c>
    </row>
    <row r="692" spans="1:50">
      <c r="A692">
        <v>643</v>
      </c>
      <c r="B692">
        <v>1203</v>
      </c>
      <c r="C692">
        <v>693</v>
      </c>
      <c r="D692" s="7">
        <v>46022</v>
      </c>
      <c r="E692" s="7" t="s">
        <v>2103</v>
      </c>
      <c r="F692" s="10" t="s">
        <v>2102</v>
      </c>
      <c r="G692" s="36" t="s">
        <v>141</v>
      </c>
      <c r="H692" s="36"/>
      <c r="I692" s="36"/>
      <c r="J692" s="36"/>
      <c r="K692" s="36"/>
      <c r="L692" s="36"/>
      <c r="M692" s="36"/>
      <c r="N692" s="36" t="s">
        <v>141</v>
      </c>
      <c r="O692" s="117"/>
      <c r="P692" s="36"/>
      <c r="Q692" s="36"/>
      <c r="R692" s="36" t="s">
        <v>141</v>
      </c>
      <c r="S692" s="36"/>
      <c r="T692" s="36" t="s">
        <v>141</v>
      </c>
      <c r="U692" s="36" t="s">
        <v>141</v>
      </c>
      <c r="V692" s="36"/>
      <c r="W692" s="36"/>
      <c r="X692" s="36" t="s">
        <v>141</v>
      </c>
      <c r="Y692" s="36"/>
      <c r="Z692" s="36"/>
      <c r="AA692" s="117"/>
      <c r="AB692" s="36"/>
      <c r="AC692" s="117"/>
      <c r="AD692" s="36"/>
      <c r="AE692" s="36" t="s">
        <v>141</v>
      </c>
      <c r="AF692" s="117"/>
      <c r="AG692" s="36"/>
      <c r="AH692" s="36" t="s">
        <v>141</v>
      </c>
      <c r="AI692" s="117"/>
      <c r="AJ692" s="36"/>
      <c r="AK692" s="36" t="s">
        <v>141</v>
      </c>
      <c r="AL692" s="36"/>
      <c r="AM692" s="117"/>
      <c r="AN692" s="117"/>
      <c r="AO692" s="117"/>
      <c r="AP692" s="117"/>
      <c r="AQ692" s="117" t="s">
        <v>141</v>
      </c>
      <c r="AR692" s="117"/>
      <c r="AS692" s="117" t="s">
        <v>141</v>
      </c>
      <c r="AT692" s="117"/>
      <c r="AU692" s="117"/>
      <c r="AV692" s="119">
        <f t="shared" si="22"/>
        <v>11</v>
      </c>
      <c r="AW692" s="119"/>
      <c r="AX692" s="119" t="s">
        <v>2146</v>
      </c>
    </row>
    <row r="693" spans="1:50">
      <c r="A693">
        <v>644</v>
      </c>
      <c r="B693">
        <v>1204</v>
      </c>
      <c r="C693">
        <v>694</v>
      </c>
      <c r="D693" s="7">
        <v>46022</v>
      </c>
      <c r="E693" s="7" t="s">
        <v>586</v>
      </c>
      <c r="F693" s="10" t="s">
        <v>2104</v>
      </c>
      <c r="G693" s="36" t="s">
        <v>141</v>
      </c>
      <c r="H693" s="36" t="s">
        <v>141</v>
      </c>
      <c r="I693" s="36"/>
      <c r="J693" s="36" t="s">
        <v>141</v>
      </c>
      <c r="K693" s="36"/>
      <c r="L693" s="36"/>
      <c r="M693" s="36"/>
      <c r="N693" s="36" t="s">
        <v>141</v>
      </c>
      <c r="O693" s="117"/>
      <c r="P693" s="36"/>
      <c r="Q693" s="36" t="s">
        <v>141</v>
      </c>
      <c r="R693" s="36" t="s">
        <v>141</v>
      </c>
      <c r="S693" s="36"/>
      <c r="T693" s="36" t="s">
        <v>141</v>
      </c>
      <c r="U693" s="36"/>
      <c r="V693" s="36"/>
      <c r="W693" s="36" t="s">
        <v>141</v>
      </c>
      <c r="X693" s="36" t="s">
        <v>141</v>
      </c>
      <c r="Y693" s="36"/>
      <c r="Z693" s="36" t="s">
        <v>141</v>
      </c>
      <c r="AA693" s="117"/>
      <c r="AB693" s="36"/>
      <c r="AC693" s="117" t="s">
        <v>141</v>
      </c>
      <c r="AD693" s="36"/>
      <c r="AE693" s="36" t="s">
        <v>141</v>
      </c>
      <c r="AF693" s="117"/>
      <c r="AG693" s="36"/>
      <c r="AH693" s="36" t="s">
        <v>141</v>
      </c>
      <c r="AI693" s="117"/>
      <c r="AJ693" s="36"/>
      <c r="AK693" s="36" t="s">
        <v>141</v>
      </c>
      <c r="AL693" s="36"/>
      <c r="AM693" s="117"/>
      <c r="AN693" s="117"/>
      <c r="AO693" s="117"/>
      <c r="AP693" s="117"/>
      <c r="AQ693" s="117"/>
      <c r="AR693" s="117"/>
      <c r="AS693" s="117"/>
      <c r="AT693" s="117"/>
      <c r="AU693" s="117"/>
      <c r="AV693" s="119">
        <f t="shared" si="22"/>
        <v>14</v>
      </c>
      <c r="AW693" s="119"/>
      <c r="AX693" s="119" t="s">
        <v>2146</v>
      </c>
    </row>
    <row r="694" spans="1:50">
      <c r="A694">
        <v>645</v>
      </c>
      <c r="B694">
        <v>1205</v>
      </c>
      <c r="C694">
        <v>695</v>
      </c>
      <c r="D694" s="7">
        <v>46022</v>
      </c>
      <c r="E694" s="7" t="s">
        <v>2107</v>
      </c>
      <c r="F694" s="10" t="s">
        <v>2106</v>
      </c>
      <c r="G694" s="36" t="s">
        <v>141</v>
      </c>
      <c r="H694" s="36" t="s">
        <v>141</v>
      </c>
      <c r="I694" s="36"/>
      <c r="J694" s="36" t="s">
        <v>141</v>
      </c>
      <c r="K694" s="36"/>
      <c r="L694" s="36"/>
      <c r="M694" s="36"/>
      <c r="N694" s="36" t="s">
        <v>141</v>
      </c>
      <c r="O694" s="117"/>
      <c r="P694" s="36"/>
      <c r="Q694" s="36" t="s">
        <v>141</v>
      </c>
      <c r="R694" s="36" t="s">
        <v>141</v>
      </c>
      <c r="S694" s="36"/>
      <c r="T694" s="36" t="s">
        <v>141</v>
      </c>
      <c r="U694" s="36"/>
      <c r="V694" s="36"/>
      <c r="W694" s="36" t="s">
        <v>141</v>
      </c>
      <c r="X694" s="36" t="s">
        <v>141</v>
      </c>
      <c r="Y694" s="36"/>
      <c r="Z694" s="36" t="s">
        <v>141</v>
      </c>
      <c r="AA694" s="117"/>
      <c r="AB694" s="36"/>
      <c r="AC694" s="117" t="s">
        <v>141</v>
      </c>
      <c r="AD694" s="36"/>
      <c r="AE694" s="36" t="s">
        <v>141</v>
      </c>
      <c r="AF694" s="117"/>
      <c r="AG694" s="36"/>
      <c r="AH694" s="36" t="s">
        <v>141</v>
      </c>
      <c r="AI694" s="117"/>
      <c r="AJ694" s="36"/>
      <c r="AK694" s="36" t="s">
        <v>141</v>
      </c>
      <c r="AL694" s="36"/>
      <c r="AM694" s="117"/>
      <c r="AN694" s="117"/>
      <c r="AO694" s="117"/>
      <c r="AP694" s="117"/>
      <c r="AQ694" s="117"/>
      <c r="AR694" s="117"/>
      <c r="AS694" s="117"/>
      <c r="AT694" s="117"/>
      <c r="AU694" s="117"/>
      <c r="AV694" s="119">
        <f t="shared" si="22"/>
        <v>14</v>
      </c>
      <c r="AW694" s="119"/>
      <c r="AX694" s="119" t="s">
        <v>2146</v>
      </c>
    </row>
    <row r="695" spans="1:50">
      <c r="A695">
        <v>646</v>
      </c>
      <c r="B695">
        <v>1206</v>
      </c>
      <c r="C695">
        <v>696</v>
      </c>
      <c r="D695" s="7">
        <v>46022</v>
      </c>
      <c r="E695" s="7" t="s">
        <v>2109</v>
      </c>
      <c r="F695" s="10" t="s">
        <v>2108</v>
      </c>
      <c r="G695" s="36" t="s">
        <v>141</v>
      </c>
      <c r="H695" s="36" t="s">
        <v>141</v>
      </c>
      <c r="I695" s="36"/>
      <c r="J695" s="36" t="s">
        <v>141</v>
      </c>
      <c r="K695" s="36"/>
      <c r="L695" s="36"/>
      <c r="M695" s="36"/>
      <c r="N695" s="36" t="s">
        <v>141</v>
      </c>
      <c r="O695" s="117"/>
      <c r="P695" s="36"/>
      <c r="Q695" s="36" t="s">
        <v>141</v>
      </c>
      <c r="R695" s="36" t="s">
        <v>141</v>
      </c>
      <c r="S695" s="36"/>
      <c r="T695" s="36" t="s">
        <v>141</v>
      </c>
      <c r="U695" s="36"/>
      <c r="V695" s="36"/>
      <c r="W695" s="36" t="s">
        <v>141</v>
      </c>
      <c r="X695" s="36" t="s">
        <v>141</v>
      </c>
      <c r="Y695" s="36"/>
      <c r="Z695" s="36" t="s">
        <v>141</v>
      </c>
      <c r="AA695" s="117"/>
      <c r="AB695" s="36"/>
      <c r="AC695" s="117" t="s">
        <v>141</v>
      </c>
      <c r="AD695" s="36"/>
      <c r="AE695" s="36" t="s">
        <v>141</v>
      </c>
      <c r="AF695" s="117"/>
      <c r="AG695" s="36"/>
      <c r="AH695" s="36" t="s">
        <v>141</v>
      </c>
      <c r="AI695" s="117"/>
      <c r="AJ695" s="36"/>
      <c r="AK695" s="36" t="s">
        <v>141</v>
      </c>
      <c r="AL695" s="36"/>
      <c r="AM695" s="117"/>
      <c r="AN695" s="117"/>
      <c r="AO695" s="117"/>
      <c r="AP695" s="117"/>
      <c r="AQ695" s="117"/>
      <c r="AR695" s="117"/>
      <c r="AS695" s="117"/>
      <c r="AT695" s="117"/>
      <c r="AU695" s="117"/>
      <c r="AV695" s="119">
        <f t="shared" si="22"/>
        <v>14</v>
      </c>
      <c r="AW695" s="119"/>
      <c r="AX695" s="119" t="s">
        <v>2146</v>
      </c>
    </row>
    <row r="696" spans="1:50">
      <c r="A696">
        <v>647</v>
      </c>
      <c r="B696">
        <v>1207</v>
      </c>
      <c r="C696">
        <v>697</v>
      </c>
      <c r="D696" s="7">
        <v>46022</v>
      </c>
      <c r="E696" s="7" t="s">
        <v>2112</v>
      </c>
      <c r="F696" s="10" t="s">
        <v>2111</v>
      </c>
      <c r="G696" s="36" t="s">
        <v>141</v>
      </c>
      <c r="H696" s="36" t="s">
        <v>141</v>
      </c>
      <c r="I696" s="36"/>
      <c r="J696" s="36" t="s">
        <v>141</v>
      </c>
      <c r="K696" s="36"/>
      <c r="L696" s="36"/>
      <c r="M696" s="36"/>
      <c r="N696" s="36" t="s">
        <v>141</v>
      </c>
      <c r="O696" s="117"/>
      <c r="P696" s="36"/>
      <c r="Q696" s="36" t="s">
        <v>141</v>
      </c>
      <c r="R696" s="36" t="s">
        <v>141</v>
      </c>
      <c r="S696" s="36"/>
      <c r="T696" s="36" t="s">
        <v>141</v>
      </c>
      <c r="U696" s="36"/>
      <c r="V696" s="36"/>
      <c r="W696" s="36" t="s">
        <v>141</v>
      </c>
      <c r="X696" s="36" t="s">
        <v>141</v>
      </c>
      <c r="Y696" s="36"/>
      <c r="Z696" s="36" t="s">
        <v>141</v>
      </c>
      <c r="AA696" s="117"/>
      <c r="AB696" s="36"/>
      <c r="AC696" s="117" t="s">
        <v>141</v>
      </c>
      <c r="AD696" s="36"/>
      <c r="AE696" s="36" t="s">
        <v>141</v>
      </c>
      <c r="AF696" s="117"/>
      <c r="AG696" s="36"/>
      <c r="AH696" s="36" t="s">
        <v>141</v>
      </c>
      <c r="AI696" s="117"/>
      <c r="AJ696" s="36"/>
      <c r="AK696" s="36" t="s">
        <v>141</v>
      </c>
      <c r="AL696" s="36"/>
      <c r="AM696" s="117"/>
      <c r="AN696" s="117"/>
      <c r="AO696" s="117"/>
      <c r="AP696" s="117"/>
      <c r="AQ696" s="117"/>
      <c r="AR696" s="117"/>
      <c r="AS696" s="117"/>
      <c r="AT696" s="117"/>
      <c r="AU696" s="117"/>
      <c r="AV696" s="119">
        <f t="shared" si="22"/>
        <v>14</v>
      </c>
      <c r="AW696" s="119"/>
      <c r="AX696" s="119" t="s">
        <v>2146</v>
      </c>
    </row>
    <row r="697" spans="1:50">
      <c r="A697">
        <v>648</v>
      </c>
      <c r="B697">
        <v>1208</v>
      </c>
      <c r="C697">
        <v>698</v>
      </c>
      <c r="D697" s="7">
        <v>46022</v>
      </c>
      <c r="E697" s="7" t="s">
        <v>2114</v>
      </c>
      <c r="F697" s="10" t="s">
        <v>2113</v>
      </c>
      <c r="G697" s="36" t="s">
        <v>141</v>
      </c>
      <c r="H697" s="36" t="s">
        <v>141</v>
      </c>
      <c r="I697" s="36"/>
      <c r="J697" s="36" t="s">
        <v>141</v>
      </c>
      <c r="K697" s="36"/>
      <c r="L697" s="36"/>
      <c r="M697" s="36"/>
      <c r="N697" s="36" t="s">
        <v>141</v>
      </c>
      <c r="O697" s="117"/>
      <c r="P697" s="36"/>
      <c r="Q697" s="36" t="s">
        <v>141</v>
      </c>
      <c r="R697" s="36" t="s">
        <v>141</v>
      </c>
      <c r="S697" s="36"/>
      <c r="T697" s="36" t="s">
        <v>141</v>
      </c>
      <c r="U697" s="36"/>
      <c r="V697" s="36"/>
      <c r="W697" s="36" t="s">
        <v>141</v>
      </c>
      <c r="X697" s="36" t="s">
        <v>141</v>
      </c>
      <c r="Y697" s="36"/>
      <c r="Z697" s="36" t="s">
        <v>141</v>
      </c>
      <c r="AA697" s="117"/>
      <c r="AB697" s="36"/>
      <c r="AC697" s="117" t="s">
        <v>141</v>
      </c>
      <c r="AD697" s="36"/>
      <c r="AE697" s="36" t="s">
        <v>141</v>
      </c>
      <c r="AF697" s="117"/>
      <c r="AG697" s="36"/>
      <c r="AH697" s="36" t="s">
        <v>141</v>
      </c>
      <c r="AI697" s="117"/>
      <c r="AJ697" s="36"/>
      <c r="AK697" s="36" t="s">
        <v>141</v>
      </c>
      <c r="AL697" s="36"/>
      <c r="AM697" s="117"/>
      <c r="AN697" s="117"/>
      <c r="AO697" s="117"/>
      <c r="AP697" s="117"/>
      <c r="AQ697" s="117"/>
      <c r="AR697" s="117"/>
      <c r="AS697" s="117"/>
      <c r="AT697" s="117"/>
      <c r="AU697" s="117"/>
      <c r="AV697" s="119">
        <f t="shared" si="22"/>
        <v>14</v>
      </c>
      <c r="AW697" s="119"/>
      <c r="AX697" s="119" t="s">
        <v>2146</v>
      </c>
    </row>
    <row r="698" spans="1:50">
      <c r="A698">
        <v>649</v>
      </c>
      <c r="B698">
        <v>1209</v>
      </c>
      <c r="C698">
        <v>699</v>
      </c>
      <c r="D698" s="7">
        <v>46022</v>
      </c>
      <c r="E698" s="7" t="s">
        <v>2116</v>
      </c>
      <c r="F698" s="10" t="s">
        <v>2115</v>
      </c>
      <c r="G698" s="36" t="s">
        <v>141</v>
      </c>
      <c r="H698" s="36"/>
      <c r="I698" s="36"/>
      <c r="J698" s="36"/>
      <c r="K698" s="36"/>
      <c r="L698" s="36"/>
      <c r="M698" s="36"/>
      <c r="N698" s="36" t="s">
        <v>141</v>
      </c>
      <c r="O698" s="117"/>
      <c r="P698" s="36"/>
      <c r="Q698" s="36" t="s">
        <v>141</v>
      </c>
      <c r="R698" s="36"/>
      <c r="S698" s="36"/>
      <c r="T698" s="36" t="s">
        <v>141</v>
      </c>
      <c r="U698" s="36"/>
      <c r="V698" s="36"/>
      <c r="W698" s="36" t="s">
        <v>141</v>
      </c>
      <c r="X698" s="36" t="s">
        <v>141</v>
      </c>
      <c r="Y698" s="36"/>
      <c r="Z698" s="36"/>
      <c r="AA698" s="117"/>
      <c r="AB698" s="36"/>
      <c r="AC698" s="117" t="s">
        <v>141</v>
      </c>
      <c r="AD698" s="36"/>
      <c r="AE698" s="36" t="s">
        <v>141</v>
      </c>
      <c r="AF698" s="117"/>
      <c r="AG698" s="36"/>
      <c r="AH698" s="36"/>
      <c r="AI698" s="117"/>
      <c r="AJ698" s="36"/>
      <c r="AK698" s="36"/>
      <c r="AL698" s="36"/>
      <c r="AM698" s="117" t="s">
        <v>141</v>
      </c>
      <c r="AN698" s="117"/>
      <c r="AO698" s="117"/>
      <c r="AP698" s="117"/>
      <c r="AQ698" s="117"/>
      <c r="AR698" s="117"/>
      <c r="AS698" s="117"/>
      <c r="AT698" s="117"/>
      <c r="AU698" s="117"/>
      <c r="AV698" s="119">
        <f t="shared" si="22"/>
        <v>9</v>
      </c>
      <c r="AW698" s="119"/>
      <c r="AX698" s="119" t="s">
        <v>2146</v>
      </c>
    </row>
    <row r="699" spans="1:50">
      <c r="A699">
        <v>650</v>
      </c>
      <c r="B699">
        <v>1210</v>
      </c>
      <c r="C699">
        <v>700</v>
      </c>
      <c r="D699" s="7">
        <v>46020</v>
      </c>
      <c r="E699" s="7" t="s">
        <v>2119</v>
      </c>
      <c r="F699" s="10" t="s">
        <v>2118</v>
      </c>
      <c r="G699" s="36" t="s">
        <v>141</v>
      </c>
      <c r="H699" s="36" t="s">
        <v>141</v>
      </c>
      <c r="I699" s="36"/>
      <c r="J699" s="36" t="s">
        <v>141</v>
      </c>
      <c r="K699" s="36"/>
      <c r="L699" s="36"/>
      <c r="M699" s="36"/>
      <c r="N699" s="36" t="s">
        <v>141</v>
      </c>
      <c r="O699" s="117"/>
      <c r="P699" s="36"/>
      <c r="Q699" s="36"/>
      <c r="R699" s="36"/>
      <c r="S699" s="36"/>
      <c r="T699" s="36" t="s">
        <v>141</v>
      </c>
      <c r="U699" s="36"/>
      <c r="V699" s="36"/>
      <c r="W699" s="36"/>
      <c r="X699" s="36"/>
      <c r="Y699" s="36"/>
      <c r="Z699" s="36"/>
      <c r="AA699" s="117"/>
      <c r="AB699" s="36"/>
      <c r="AC699" s="117" t="s">
        <v>141</v>
      </c>
      <c r="AD699" s="36"/>
      <c r="AE699" s="36" t="s">
        <v>141</v>
      </c>
      <c r="AF699" s="117"/>
      <c r="AG699" s="36" t="s">
        <v>141</v>
      </c>
      <c r="AH699" s="36" t="s">
        <v>141</v>
      </c>
      <c r="AI699" s="117"/>
      <c r="AJ699" s="36"/>
      <c r="AK699" s="36" t="s">
        <v>141</v>
      </c>
      <c r="AL699" s="36"/>
      <c r="AM699" s="117"/>
      <c r="AN699" s="117"/>
      <c r="AO699" s="117"/>
      <c r="AP699" s="117"/>
      <c r="AQ699" s="117" t="s">
        <v>141</v>
      </c>
      <c r="AR699" s="117"/>
      <c r="AS699" s="117"/>
      <c r="AT699" s="117"/>
      <c r="AU699" s="117"/>
      <c r="AV699" s="119">
        <f>COUNTIF($F699:$AS699, "I")</f>
        <v>11</v>
      </c>
      <c r="AW699" s="119"/>
      <c r="AX699" s="119" t="s">
        <v>2146</v>
      </c>
    </row>
    <row r="700" spans="1:50">
      <c r="D700" s="7"/>
      <c r="E700" s="7"/>
      <c r="F700" s="10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17"/>
      <c r="AP700" s="117"/>
      <c r="AQ700" s="117"/>
      <c r="AR700" s="117"/>
      <c r="AS700" s="117"/>
      <c r="AT700" s="117"/>
      <c r="AU700" s="117"/>
      <c r="AW700" s="119"/>
    </row>
    <row r="701" spans="1:50"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 s="68"/>
      <c r="AP701" s="68"/>
      <c r="AQ701" s="68"/>
      <c r="AR701" s="68"/>
      <c r="AS701" s="68"/>
      <c r="AT701" s="68"/>
      <c r="AU701" s="68"/>
    </row>
    <row r="702" spans="1:50"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 s="68"/>
      <c r="AP702" s="68"/>
      <c r="AQ702" s="68"/>
      <c r="AR702" s="68"/>
      <c r="AS702" s="68"/>
      <c r="AT702" s="68"/>
      <c r="AU702" s="68"/>
    </row>
    <row r="703" spans="1:50"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 s="68"/>
      <c r="AP703" s="68"/>
      <c r="AQ703" s="68"/>
      <c r="AR703" s="68"/>
      <c r="AS703" s="68"/>
      <c r="AT703" s="68"/>
      <c r="AU703" s="68"/>
    </row>
    <row r="704" spans="1:50"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 s="68"/>
      <c r="AP704" s="68"/>
      <c r="AQ704" s="68"/>
      <c r="AR704" s="68"/>
      <c r="AS704" s="68"/>
      <c r="AT704" s="68"/>
      <c r="AU704" s="68"/>
    </row>
    <row r="705" spans="7:47"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 s="68"/>
      <c r="AP705" s="68"/>
      <c r="AQ705" s="68"/>
      <c r="AR705" s="68"/>
      <c r="AS705" s="68"/>
      <c r="AT705" s="68"/>
      <c r="AU705" s="68"/>
    </row>
    <row r="706" spans="7:47"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 s="68"/>
      <c r="AP706" s="68"/>
      <c r="AQ706" s="68"/>
      <c r="AR706" s="68"/>
      <c r="AS706" s="68"/>
      <c r="AT706" s="68"/>
      <c r="AU706" s="68"/>
    </row>
    <row r="707" spans="7:47"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 s="68"/>
      <c r="AP707" s="68"/>
      <c r="AQ707" s="68"/>
      <c r="AR707" s="68"/>
      <c r="AS707" s="68"/>
      <c r="AT707" s="68"/>
      <c r="AU707" s="68"/>
    </row>
    <row r="708" spans="7:47"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 s="68"/>
      <c r="AP708" s="68"/>
      <c r="AQ708" s="68"/>
      <c r="AR708" s="68"/>
      <c r="AS708" s="68"/>
      <c r="AT708" s="68"/>
      <c r="AU708" s="68"/>
    </row>
    <row r="709" spans="7:47"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 s="68"/>
      <c r="AP709" s="68"/>
      <c r="AQ709" s="68"/>
      <c r="AR709" s="68"/>
      <c r="AS709" s="68"/>
      <c r="AT709" s="68"/>
      <c r="AU709" s="68"/>
    </row>
    <row r="710" spans="7:47"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 s="68"/>
      <c r="AP710" s="68"/>
      <c r="AQ710" s="68"/>
      <c r="AR710" s="68"/>
      <c r="AS710" s="68"/>
      <c r="AT710" s="68"/>
      <c r="AU710" s="68"/>
    </row>
    <row r="711" spans="7:47"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 s="68"/>
      <c r="AP711" s="68"/>
      <c r="AQ711" s="68"/>
      <c r="AR711" s="68"/>
      <c r="AS711" s="68"/>
      <c r="AT711" s="68"/>
      <c r="AU711" s="68"/>
    </row>
    <row r="712" spans="7:47"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 s="68"/>
      <c r="AP712" s="68"/>
      <c r="AQ712" s="68"/>
      <c r="AR712" s="68"/>
      <c r="AS712" s="68"/>
      <c r="AT712" s="68"/>
      <c r="AU712" s="68"/>
    </row>
    <row r="713" spans="7:47"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 s="68"/>
      <c r="AP713" s="68"/>
      <c r="AQ713" s="68"/>
      <c r="AR713" s="68"/>
      <c r="AS713" s="68"/>
      <c r="AT713" s="68"/>
      <c r="AU713" s="68"/>
    </row>
    <row r="714" spans="7:47"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 s="68"/>
      <c r="AP714" s="68"/>
      <c r="AQ714" s="68"/>
      <c r="AR714" s="68"/>
      <c r="AS714" s="68"/>
      <c r="AT714" s="68"/>
      <c r="AU714" s="68"/>
    </row>
    <row r="715" spans="7:47"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 s="68"/>
      <c r="AP715" s="68"/>
      <c r="AQ715" s="68"/>
      <c r="AR715" s="68"/>
      <c r="AS715" s="68"/>
      <c r="AT715" s="68"/>
      <c r="AU715" s="68"/>
    </row>
    <row r="716" spans="7:47"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 s="68"/>
      <c r="AP716" s="68"/>
      <c r="AQ716" s="68"/>
      <c r="AR716" s="68"/>
      <c r="AS716" s="68"/>
      <c r="AT716" s="68"/>
      <c r="AU716" s="68"/>
    </row>
    <row r="717" spans="7:47"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 s="68"/>
      <c r="AP717" s="68"/>
      <c r="AQ717" s="68"/>
      <c r="AR717" s="68"/>
      <c r="AS717" s="68"/>
      <c r="AT717" s="68"/>
      <c r="AU717" s="68"/>
    </row>
    <row r="718" spans="7:47"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 s="68"/>
      <c r="AP718" s="68"/>
      <c r="AQ718" s="68"/>
      <c r="AR718" s="68"/>
      <c r="AS718" s="68"/>
      <c r="AT718" s="68"/>
      <c r="AU718" s="68"/>
    </row>
    <row r="719" spans="7:47"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 s="68"/>
      <c r="AP719" s="68"/>
      <c r="AQ719" s="68"/>
      <c r="AR719" s="68"/>
      <c r="AS719" s="68"/>
      <c r="AT719" s="68"/>
      <c r="AU719" s="68"/>
    </row>
    <row r="720" spans="7:47"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 s="68"/>
      <c r="AP720" s="68"/>
      <c r="AQ720" s="68"/>
      <c r="AR720" s="68"/>
      <c r="AS720" s="68"/>
      <c r="AT720" s="68"/>
      <c r="AU720" s="68"/>
    </row>
    <row r="721" spans="7:47"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 s="68"/>
      <c r="AP721" s="68"/>
      <c r="AQ721" s="68"/>
      <c r="AR721" s="68"/>
      <c r="AS721" s="68"/>
      <c r="AT721" s="68"/>
      <c r="AU721" s="68"/>
    </row>
    <row r="722" spans="7:47"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 s="68"/>
      <c r="AP722" s="68"/>
      <c r="AQ722" s="68"/>
      <c r="AR722" s="68"/>
      <c r="AS722" s="68"/>
      <c r="AT722" s="68"/>
      <c r="AU722" s="68"/>
    </row>
    <row r="723" spans="7:47"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 s="68"/>
      <c r="AP723" s="68"/>
      <c r="AQ723" s="68"/>
      <c r="AR723" s="68"/>
      <c r="AS723" s="68"/>
      <c r="AT723" s="68"/>
      <c r="AU723" s="68"/>
    </row>
    <row r="724" spans="7:47"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 s="68"/>
      <c r="AP724" s="68"/>
      <c r="AQ724" s="68"/>
      <c r="AR724" s="68"/>
      <c r="AS724" s="68"/>
      <c r="AT724" s="68"/>
      <c r="AU724" s="68"/>
    </row>
    <row r="725" spans="7:47"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 s="68"/>
      <c r="AP725" s="68"/>
      <c r="AQ725" s="68"/>
      <c r="AR725" s="68"/>
      <c r="AS725" s="68"/>
      <c r="AT725" s="68"/>
      <c r="AU725" s="68"/>
    </row>
    <row r="726" spans="7:47"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 s="68"/>
      <c r="AP726" s="68"/>
      <c r="AQ726" s="68"/>
      <c r="AR726" s="68"/>
      <c r="AS726" s="68"/>
      <c r="AT726" s="68"/>
      <c r="AU726" s="68"/>
    </row>
    <row r="727" spans="7:47"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 s="68"/>
      <c r="AP727" s="68"/>
      <c r="AQ727" s="68"/>
      <c r="AR727" s="68"/>
      <c r="AS727" s="68"/>
      <c r="AT727" s="68"/>
      <c r="AU727" s="68"/>
    </row>
    <row r="728" spans="7:47"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 s="68"/>
      <c r="AP728" s="68"/>
      <c r="AQ728" s="68"/>
      <c r="AR728" s="68"/>
      <c r="AS728" s="68"/>
      <c r="AT728" s="68"/>
      <c r="AU728" s="68"/>
    </row>
    <row r="729" spans="7:47"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 s="68"/>
      <c r="AP729" s="68"/>
      <c r="AQ729" s="68"/>
      <c r="AR729" s="68"/>
      <c r="AS729" s="68"/>
      <c r="AT729" s="68"/>
      <c r="AU729" s="68"/>
    </row>
    <row r="730" spans="7:47"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 s="68"/>
      <c r="AP730" s="68"/>
      <c r="AQ730" s="68"/>
      <c r="AR730" s="68"/>
      <c r="AS730" s="68"/>
      <c r="AT730" s="68"/>
      <c r="AU730" s="68"/>
    </row>
    <row r="731" spans="7:47"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 s="68"/>
      <c r="AP731" s="68"/>
      <c r="AQ731" s="68"/>
      <c r="AR731" s="68"/>
      <c r="AS731" s="68"/>
      <c r="AT731" s="68"/>
      <c r="AU731" s="68"/>
    </row>
    <row r="732" spans="7:47"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 s="68"/>
      <c r="AP732" s="68"/>
      <c r="AQ732" s="68"/>
      <c r="AR732" s="68"/>
      <c r="AS732" s="68"/>
      <c r="AT732" s="68"/>
      <c r="AU732" s="68"/>
    </row>
    <row r="733" spans="7:47"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 s="68"/>
      <c r="AP733" s="68"/>
      <c r="AQ733" s="68"/>
      <c r="AR733" s="68"/>
      <c r="AS733" s="68"/>
      <c r="AT733" s="68"/>
      <c r="AU733" s="68"/>
    </row>
    <row r="734" spans="7:47"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 s="68"/>
      <c r="AP734" s="68"/>
      <c r="AQ734" s="68"/>
      <c r="AR734" s="68"/>
      <c r="AS734" s="68"/>
      <c r="AT734" s="68"/>
      <c r="AU734" s="68"/>
    </row>
    <row r="735" spans="7:47"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 s="68"/>
      <c r="AP735" s="68"/>
      <c r="AQ735" s="68"/>
      <c r="AR735" s="68"/>
      <c r="AS735" s="68"/>
      <c r="AT735" s="68"/>
      <c r="AU735" s="68"/>
    </row>
    <row r="736" spans="7:47"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 s="68"/>
      <c r="AP736" s="68"/>
      <c r="AQ736" s="68"/>
      <c r="AR736" s="68"/>
      <c r="AS736" s="68"/>
      <c r="AT736" s="68"/>
      <c r="AU736" s="68"/>
    </row>
    <row r="737" spans="7:47"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 s="68"/>
      <c r="AP737" s="68"/>
      <c r="AQ737" s="68"/>
      <c r="AR737" s="68"/>
      <c r="AS737" s="68"/>
      <c r="AT737" s="68"/>
      <c r="AU737" s="68"/>
    </row>
    <row r="738" spans="7:47"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 s="68"/>
      <c r="AP738" s="68"/>
      <c r="AQ738" s="68"/>
      <c r="AR738" s="68"/>
      <c r="AS738" s="68"/>
      <c r="AT738" s="68"/>
      <c r="AU738" s="68"/>
    </row>
    <row r="739" spans="7:47"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 s="68"/>
      <c r="AP739" s="68"/>
      <c r="AQ739" s="68"/>
      <c r="AR739" s="68"/>
      <c r="AS739" s="68"/>
      <c r="AT739" s="68"/>
      <c r="AU739" s="68"/>
    </row>
    <row r="740" spans="7:47"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 s="68"/>
      <c r="AP740" s="68"/>
      <c r="AQ740" s="68"/>
      <c r="AR740" s="68"/>
      <c r="AS740" s="68"/>
      <c r="AT740" s="68"/>
      <c r="AU740" s="68"/>
    </row>
    <row r="741" spans="7:47"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 s="68"/>
      <c r="AP741" s="68"/>
      <c r="AQ741" s="68"/>
      <c r="AR741" s="68"/>
      <c r="AS741" s="68"/>
      <c r="AT741" s="68"/>
      <c r="AU741" s="68"/>
    </row>
    <row r="742" spans="7:47"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 s="68"/>
      <c r="AP742" s="68"/>
      <c r="AQ742" s="68"/>
      <c r="AR742" s="68"/>
      <c r="AS742" s="68"/>
      <c r="AT742" s="68"/>
      <c r="AU742" s="68"/>
    </row>
    <row r="743" spans="7:47"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 s="68"/>
      <c r="AP743" s="68"/>
      <c r="AQ743" s="68"/>
      <c r="AR743" s="68"/>
      <c r="AS743" s="68"/>
      <c r="AT743" s="68"/>
      <c r="AU743" s="68"/>
    </row>
    <row r="744" spans="7:47"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 s="68"/>
      <c r="AP744" s="68"/>
      <c r="AQ744" s="68"/>
      <c r="AR744" s="68"/>
      <c r="AS744" s="68"/>
      <c r="AT744" s="68"/>
      <c r="AU744" s="68"/>
    </row>
    <row r="745" spans="7:47"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 s="68"/>
      <c r="AP745" s="68"/>
      <c r="AQ745" s="68"/>
      <c r="AR745" s="68"/>
      <c r="AS745" s="68"/>
      <c r="AT745" s="68"/>
      <c r="AU745" s="68"/>
    </row>
    <row r="746" spans="7:47"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 s="68"/>
      <c r="AP746" s="68"/>
      <c r="AQ746" s="68"/>
      <c r="AR746" s="68"/>
      <c r="AS746" s="68"/>
      <c r="AT746" s="68"/>
      <c r="AU746" s="68"/>
    </row>
    <row r="747" spans="7:47"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 s="68"/>
      <c r="AP747" s="68"/>
      <c r="AQ747" s="68"/>
      <c r="AR747" s="68"/>
      <c r="AS747" s="68"/>
      <c r="AT747" s="68"/>
      <c r="AU747" s="68"/>
    </row>
    <row r="748" spans="7:47"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 s="68"/>
      <c r="AP748" s="68"/>
      <c r="AQ748" s="68"/>
      <c r="AR748" s="68"/>
      <c r="AS748" s="68"/>
      <c r="AT748" s="68"/>
      <c r="AU748" s="68"/>
    </row>
    <row r="749" spans="7:47"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 s="68"/>
      <c r="AP749" s="68"/>
      <c r="AQ749" s="68"/>
      <c r="AR749" s="68"/>
      <c r="AS749" s="68"/>
      <c r="AT749" s="68"/>
      <c r="AU749" s="68"/>
    </row>
    <row r="750" spans="7:47"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 s="68"/>
      <c r="AP750" s="68"/>
      <c r="AQ750" s="68"/>
      <c r="AR750" s="68"/>
      <c r="AS750" s="68"/>
      <c r="AT750" s="68"/>
      <c r="AU750" s="68"/>
    </row>
    <row r="751" spans="7:47"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 s="68"/>
      <c r="AP751" s="68"/>
      <c r="AQ751" s="68"/>
      <c r="AR751" s="68"/>
      <c r="AS751" s="68"/>
      <c r="AT751" s="68"/>
      <c r="AU751" s="68"/>
    </row>
    <row r="752" spans="7:47"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 s="68"/>
      <c r="AP752" s="68"/>
      <c r="AQ752" s="68"/>
      <c r="AR752" s="68"/>
      <c r="AS752" s="68"/>
      <c r="AT752" s="68"/>
      <c r="AU752" s="68"/>
    </row>
    <row r="753" spans="7:47"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 s="68"/>
      <c r="AP753" s="68"/>
      <c r="AQ753" s="68"/>
      <c r="AR753" s="68"/>
      <c r="AS753" s="68"/>
      <c r="AT753" s="68"/>
      <c r="AU753" s="68"/>
    </row>
    <row r="754" spans="7:47"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 s="68"/>
      <c r="AP754" s="68"/>
      <c r="AQ754" s="68"/>
      <c r="AR754" s="68"/>
      <c r="AS754" s="68"/>
      <c r="AT754" s="68"/>
      <c r="AU754" s="68"/>
    </row>
    <row r="755" spans="7:47"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 s="68"/>
      <c r="AP755" s="68"/>
      <c r="AQ755" s="68"/>
      <c r="AR755" s="68"/>
      <c r="AS755" s="68"/>
      <c r="AT755" s="68"/>
      <c r="AU755" s="68"/>
    </row>
    <row r="756" spans="7:47"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 s="68"/>
      <c r="AP756" s="68"/>
      <c r="AQ756" s="68"/>
      <c r="AR756" s="68"/>
      <c r="AS756" s="68"/>
      <c r="AT756" s="68"/>
      <c r="AU756" s="68"/>
    </row>
    <row r="757" spans="7:47"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 s="68"/>
      <c r="AP757" s="68"/>
      <c r="AQ757" s="68"/>
      <c r="AR757" s="68"/>
      <c r="AS757" s="68"/>
      <c r="AT757" s="68"/>
      <c r="AU757" s="68"/>
    </row>
    <row r="758" spans="7:47"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 s="68"/>
      <c r="AP758" s="68"/>
      <c r="AQ758" s="68"/>
      <c r="AR758" s="68"/>
      <c r="AS758" s="68"/>
      <c r="AT758" s="68"/>
      <c r="AU758" s="68"/>
    </row>
    <row r="759" spans="7:47"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 s="68"/>
      <c r="AP759" s="68"/>
      <c r="AQ759" s="68"/>
      <c r="AR759" s="68"/>
      <c r="AS759" s="68"/>
      <c r="AT759" s="68"/>
      <c r="AU759" s="68"/>
    </row>
    <row r="760" spans="7:47"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 s="68"/>
      <c r="AP760" s="68"/>
      <c r="AQ760" s="68"/>
      <c r="AR760" s="68"/>
      <c r="AS760" s="68"/>
      <c r="AT760" s="68"/>
      <c r="AU760" s="68"/>
    </row>
    <row r="761" spans="7:47"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 s="68"/>
      <c r="AP761" s="68"/>
      <c r="AQ761" s="68"/>
      <c r="AR761" s="68"/>
      <c r="AS761" s="68"/>
      <c r="AT761" s="68"/>
      <c r="AU761" s="68"/>
    </row>
    <row r="762" spans="7:47"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 s="68"/>
      <c r="AP762" s="68"/>
      <c r="AQ762" s="68"/>
      <c r="AR762" s="68"/>
      <c r="AS762" s="68"/>
      <c r="AT762" s="68"/>
      <c r="AU762" s="68"/>
    </row>
    <row r="763" spans="7:47"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 s="68"/>
      <c r="AP763" s="68"/>
      <c r="AQ763" s="68"/>
      <c r="AR763" s="68"/>
      <c r="AS763" s="68"/>
      <c r="AT763" s="68"/>
      <c r="AU763" s="68"/>
    </row>
    <row r="764" spans="7:47"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 s="68"/>
      <c r="AP764" s="68"/>
      <c r="AQ764" s="68"/>
      <c r="AR764" s="68"/>
      <c r="AS764" s="68"/>
      <c r="AT764" s="68"/>
      <c r="AU764" s="68"/>
    </row>
    <row r="765" spans="7:47"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 s="68"/>
      <c r="AP765" s="68"/>
      <c r="AQ765" s="68"/>
      <c r="AR765" s="68"/>
      <c r="AS765" s="68"/>
      <c r="AT765" s="68"/>
      <c r="AU765" s="68"/>
    </row>
    <row r="766" spans="7:47"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 s="68"/>
      <c r="AP766" s="68"/>
      <c r="AQ766" s="68"/>
      <c r="AR766" s="68"/>
      <c r="AS766" s="68"/>
      <c r="AT766" s="68"/>
      <c r="AU766" s="68"/>
    </row>
    <row r="767" spans="7:47"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 s="68"/>
      <c r="AP767" s="68"/>
      <c r="AQ767" s="68"/>
      <c r="AR767" s="68"/>
      <c r="AS767" s="68"/>
      <c r="AT767" s="68"/>
      <c r="AU767" s="68"/>
    </row>
    <row r="768" spans="7:47"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 s="68"/>
      <c r="AP768" s="68"/>
      <c r="AQ768" s="68"/>
      <c r="AR768" s="68"/>
      <c r="AS768" s="68"/>
      <c r="AT768" s="68"/>
      <c r="AU768" s="68"/>
    </row>
    <row r="769" spans="7:47"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 s="68"/>
      <c r="AP769" s="68"/>
      <c r="AQ769" s="68"/>
      <c r="AR769" s="68"/>
      <c r="AS769" s="68"/>
      <c r="AT769" s="68"/>
      <c r="AU769" s="68"/>
    </row>
    <row r="770" spans="7:47"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 s="68"/>
      <c r="AP770" s="68"/>
      <c r="AQ770" s="68"/>
      <c r="AR770" s="68"/>
      <c r="AS770" s="68"/>
      <c r="AT770" s="68"/>
      <c r="AU770" s="68"/>
    </row>
    <row r="771" spans="7:47"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 s="68"/>
      <c r="AP771" s="68"/>
      <c r="AQ771" s="68"/>
      <c r="AR771" s="68"/>
      <c r="AS771" s="68"/>
      <c r="AT771" s="68"/>
      <c r="AU771" s="68"/>
    </row>
    <row r="772" spans="7:47"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 s="68"/>
      <c r="AP772" s="68"/>
      <c r="AQ772" s="68"/>
      <c r="AR772" s="68"/>
      <c r="AS772" s="68"/>
      <c r="AT772" s="68"/>
      <c r="AU772" s="68"/>
    </row>
    <row r="773" spans="7:47"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 s="68"/>
      <c r="AP773" s="68"/>
      <c r="AQ773" s="68"/>
      <c r="AR773" s="68"/>
      <c r="AS773" s="68"/>
      <c r="AT773" s="68"/>
      <c r="AU773" s="68"/>
    </row>
    <row r="774" spans="7:47"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 s="68"/>
      <c r="AP774" s="68"/>
      <c r="AQ774" s="68"/>
      <c r="AR774" s="68"/>
      <c r="AS774" s="68"/>
      <c r="AT774" s="68"/>
      <c r="AU774" s="68"/>
    </row>
    <row r="775" spans="7:47"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 s="68"/>
      <c r="AP775" s="68"/>
      <c r="AQ775" s="68"/>
      <c r="AR775" s="68"/>
      <c r="AS775" s="68"/>
      <c r="AT775" s="68"/>
      <c r="AU775" s="68"/>
    </row>
    <row r="776" spans="7:47"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 s="68"/>
      <c r="AP776" s="68"/>
      <c r="AQ776" s="68"/>
      <c r="AR776" s="68"/>
      <c r="AS776" s="68"/>
      <c r="AT776" s="68"/>
      <c r="AU776" s="68"/>
    </row>
    <row r="777" spans="7:47"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 s="68"/>
      <c r="AP777" s="68"/>
      <c r="AQ777" s="68"/>
      <c r="AR777" s="68"/>
      <c r="AS777" s="68"/>
      <c r="AT777" s="68"/>
      <c r="AU777" s="68"/>
    </row>
    <row r="778" spans="7:47"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 s="68"/>
      <c r="AP778" s="68"/>
      <c r="AQ778" s="68"/>
      <c r="AR778" s="68"/>
      <c r="AS778" s="68"/>
      <c r="AT778" s="68"/>
      <c r="AU778" s="68"/>
    </row>
    <row r="779" spans="7:47"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 s="68"/>
      <c r="AP779" s="68"/>
      <c r="AQ779" s="68"/>
      <c r="AR779" s="68"/>
      <c r="AS779" s="68"/>
      <c r="AT779" s="68"/>
      <c r="AU779" s="68"/>
    </row>
    <row r="780" spans="7:47"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 s="68"/>
      <c r="AP780" s="68"/>
      <c r="AQ780" s="68"/>
      <c r="AR780" s="68"/>
      <c r="AS780" s="68"/>
      <c r="AT780" s="68"/>
      <c r="AU780" s="68"/>
    </row>
    <row r="781" spans="7:47"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 s="68"/>
      <c r="AP781" s="68"/>
      <c r="AQ781" s="68"/>
      <c r="AR781" s="68"/>
      <c r="AS781" s="68"/>
      <c r="AT781" s="68"/>
      <c r="AU781" s="68"/>
    </row>
    <row r="782" spans="7:47"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 s="68"/>
      <c r="AP782" s="68"/>
      <c r="AQ782" s="68"/>
      <c r="AR782" s="68"/>
      <c r="AS782" s="68"/>
      <c r="AT782" s="68"/>
      <c r="AU782" s="68"/>
    </row>
    <row r="783" spans="7:47"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 s="68"/>
      <c r="AP783" s="68"/>
      <c r="AQ783" s="68"/>
      <c r="AR783" s="68"/>
      <c r="AS783" s="68"/>
      <c r="AT783" s="68"/>
      <c r="AU783" s="68"/>
    </row>
    <row r="784" spans="7:47"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 s="68"/>
      <c r="AP784" s="68"/>
      <c r="AQ784" s="68"/>
      <c r="AR784" s="68"/>
      <c r="AS784" s="68"/>
      <c r="AT784" s="68"/>
      <c r="AU784" s="68"/>
    </row>
    <row r="785" spans="7:47"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 s="68"/>
      <c r="AP785" s="68"/>
      <c r="AQ785" s="68"/>
      <c r="AR785" s="68"/>
      <c r="AS785" s="68"/>
      <c r="AT785" s="68"/>
      <c r="AU785" s="68"/>
    </row>
    <row r="786" spans="7:47"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 s="68"/>
      <c r="AP786" s="68"/>
      <c r="AQ786" s="68"/>
      <c r="AR786" s="68"/>
      <c r="AS786" s="68"/>
      <c r="AT786" s="68"/>
      <c r="AU786" s="68"/>
    </row>
    <row r="787" spans="7:47"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 s="68"/>
      <c r="AP787" s="68"/>
      <c r="AQ787" s="68"/>
      <c r="AR787" s="68"/>
      <c r="AS787" s="68"/>
      <c r="AT787" s="68"/>
      <c r="AU787" s="68"/>
    </row>
    <row r="788" spans="7:47"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 s="68"/>
      <c r="AP788" s="68"/>
      <c r="AQ788" s="68"/>
      <c r="AR788" s="68"/>
      <c r="AS788" s="68"/>
      <c r="AT788" s="68"/>
      <c r="AU788" s="68"/>
    </row>
    <row r="789" spans="7:47"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 s="68"/>
      <c r="AP789" s="68"/>
      <c r="AQ789" s="68"/>
      <c r="AR789" s="68"/>
      <c r="AS789" s="68"/>
      <c r="AT789" s="68"/>
      <c r="AU789" s="68"/>
    </row>
    <row r="790" spans="7:47"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 s="68"/>
      <c r="AP790" s="68"/>
      <c r="AQ790" s="68"/>
      <c r="AR790" s="68"/>
      <c r="AS790" s="68"/>
      <c r="AT790" s="68"/>
      <c r="AU790" s="68"/>
    </row>
    <row r="791" spans="7:47"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 s="68"/>
      <c r="AP791" s="68"/>
      <c r="AQ791" s="68"/>
      <c r="AR791" s="68"/>
      <c r="AS791" s="68"/>
      <c r="AT791" s="68"/>
      <c r="AU791" s="68"/>
    </row>
    <row r="792" spans="7:47"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 s="68"/>
      <c r="AP792" s="68"/>
      <c r="AQ792" s="68"/>
      <c r="AR792" s="68"/>
      <c r="AS792" s="68"/>
      <c r="AT792" s="68"/>
      <c r="AU792" s="68"/>
    </row>
    <row r="793" spans="7:47"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 s="68"/>
      <c r="AP793" s="68"/>
      <c r="AQ793" s="68"/>
      <c r="AR793" s="68"/>
      <c r="AS793" s="68"/>
      <c r="AT793" s="68"/>
      <c r="AU793" s="68"/>
    </row>
    <row r="794" spans="7:47"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 s="68"/>
      <c r="AP794" s="68"/>
      <c r="AQ794" s="68"/>
      <c r="AR794" s="68"/>
      <c r="AS794" s="68"/>
      <c r="AT794" s="68"/>
      <c r="AU794" s="68"/>
    </row>
    <row r="795" spans="7:47"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 s="68"/>
      <c r="AP795" s="68"/>
      <c r="AQ795" s="68"/>
      <c r="AR795" s="68"/>
      <c r="AS795" s="68"/>
      <c r="AT795" s="68"/>
      <c r="AU795" s="68"/>
    </row>
    <row r="796" spans="7:47"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 s="68"/>
      <c r="AP796" s="68"/>
      <c r="AQ796" s="68"/>
      <c r="AR796" s="68"/>
      <c r="AS796" s="68"/>
      <c r="AT796" s="68"/>
      <c r="AU796" s="68"/>
    </row>
    <row r="797" spans="7:47"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 s="68"/>
      <c r="AP797" s="68"/>
      <c r="AQ797" s="68"/>
      <c r="AR797" s="68"/>
      <c r="AS797" s="68"/>
      <c r="AT797" s="68"/>
      <c r="AU797" s="68"/>
    </row>
    <row r="798" spans="7:47"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 s="68"/>
      <c r="AP798" s="68"/>
      <c r="AQ798" s="68"/>
      <c r="AR798" s="68"/>
      <c r="AS798" s="68"/>
      <c r="AT798" s="68"/>
      <c r="AU798" s="68"/>
    </row>
    <row r="799" spans="7:47"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 s="68"/>
      <c r="AP799" s="68"/>
      <c r="AQ799" s="68"/>
      <c r="AR799" s="68"/>
      <c r="AS799" s="68"/>
      <c r="AT799" s="68"/>
      <c r="AU799" s="68"/>
    </row>
    <row r="800" spans="7:47"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 s="68"/>
      <c r="AP800" s="68"/>
      <c r="AQ800" s="68"/>
      <c r="AR800" s="68"/>
      <c r="AS800" s="68"/>
      <c r="AT800" s="68"/>
      <c r="AU800" s="68"/>
    </row>
    <row r="801" spans="7:47"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 s="68"/>
      <c r="AP801" s="68"/>
      <c r="AQ801" s="68"/>
      <c r="AR801" s="68"/>
      <c r="AS801" s="68"/>
      <c r="AT801" s="68"/>
      <c r="AU801" s="68"/>
    </row>
    <row r="802" spans="7:47"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 s="68"/>
      <c r="AP802" s="68"/>
      <c r="AQ802" s="68"/>
      <c r="AR802" s="68"/>
      <c r="AS802" s="68"/>
      <c r="AT802" s="68"/>
      <c r="AU802" s="68"/>
    </row>
    <row r="803" spans="7:47"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 s="68"/>
      <c r="AP803" s="68"/>
      <c r="AQ803" s="68"/>
      <c r="AR803" s="68"/>
      <c r="AS803" s="68"/>
      <c r="AT803" s="68"/>
      <c r="AU803" s="68"/>
    </row>
    <row r="804" spans="7:47"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 s="68"/>
      <c r="AP804" s="68"/>
      <c r="AQ804" s="68"/>
      <c r="AR804" s="68"/>
      <c r="AS804" s="68"/>
      <c r="AT804" s="68"/>
      <c r="AU804" s="68"/>
    </row>
    <row r="805" spans="7:47"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 s="68"/>
      <c r="AP805" s="68"/>
      <c r="AQ805" s="68"/>
      <c r="AR805" s="68"/>
      <c r="AS805" s="68"/>
      <c r="AT805" s="68"/>
      <c r="AU805" s="68"/>
    </row>
    <row r="806" spans="7:47"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 s="68"/>
      <c r="AP806" s="68"/>
      <c r="AQ806" s="68"/>
      <c r="AR806" s="68"/>
      <c r="AS806" s="68"/>
      <c r="AT806" s="68"/>
      <c r="AU806" s="68"/>
    </row>
    <row r="807" spans="7:47"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 s="68"/>
      <c r="AP807" s="68"/>
      <c r="AQ807" s="68"/>
      <c r="AR807" s="68"/>
      <c r="AS807" s="68"/>
      <c r="AT807" s="68"/>
      <c r="AU807" s="68"/>
    </row>
    <row r="808" spans="7:47"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 s="68"/>
      <c r="AP808" s="68"/>
      <c r="AQ808" s="68"/>
      <c r="AR808" s="68"/>
      <c r="AS808" s="68"/>
      <c r="AT808" s="68"/>
      <c r="AU808" s="68"/>
    </row>
    <row r="809" spans="7:47"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 s="68"/>
      <c r="AP809" s="68"/>
      <c r="AQ809" s="68"/>
      <c r="AR809" s="68"/>
      <c r="AS809" s="68"/>
      <c r="AT809" s="68"/>
      <c r="AU809" s="68"/>
    </row>
    <row r="810" spans="7:47"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 s="68"/>
      <c r="AP810" s="68"/>
      <c r="AQ810" s="68"/>
      <c r="AR810" s="68"/>
      <c r="AS810" s="68"/>
      <c r="AT810" s="68"/>
      <c r="AU810" s="68"/>
    </row>
    <row r="811" spans="7:47"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 s="68"/>
      <c r="AP811" s="68"/>
      <c r="AQ811" s="68"/>
      <c r="AR811" s="68"/>
      <c r="AS811" s="68"/>
      <c r="AT811" s="68"/>
      <c r="AU811" s="68"/>
    </row>
    <row r="812" spans="7:47"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 s="68"/>
      <c r="AP812" s="68"/>
      <c r="AQ812" s="68"/>
      <c r="AR812" s="68"/>
      <c r="AS812" s="68"/>
      <c r="AT812" s="68"/>
      <c r="AU812" s="68"/>
    </row>
    <row r="813" spans="7:47"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 s="68"/>
      <c r="AP813" s="68"/>
      <c r="AQ813" s="68"/>
      <c r="AR813" s="68"/>
      <c r="AS813" s="68"/>
      <c r="AT813" s="68"/>
      <c r="AU813" s="68"/>
    </row>
    <row r="814" spans="7:47"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 s="68"/>
      <c r="AP814" s="68"/>
      <c r="AQ814" s="68"/>
      <c r="AR814" s="68"/>
      <c r="AS814" s="68"/>
      <c r="AT814" s="68"/>
      <c r="AU814" s="68"/>
    </row>
    <row r="815" spans="7:47"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 s="68"/>
      <c r="AP815" s="68"/>
      <c r="AQ815" s="68"/>
      <c r="AR815" s="68"/>
      <c r="AS815" s="68"/>
      <c r="AT815" s="68"/>
      <c r="AU815" s="68"/>
    </row>
    <row r="816" spans="7:47"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 s="68"/>
      <c r="AP816" s="68"/>
      <c r="AQ816" s="68"/>
      <c r="AR816" s="68"/>
      <c r="AS816" s="68"/>
      <c r="AT816" s="68"/>
      <c r="AU816" s="68"/>
    </row>
    <row r="817" spans="7:47"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 s="68"/>
      <c r="AP817" s="68"/>
      <c r="AQ817" s="68"/>
      <c r="AR817" s="68"/>
      <c r="AS817" s="68"/>
      <c r="AT817" s="68"/>
      <c r="AU817" s="68"/>
    </row>
    <row r="818" spans="7:47"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 s="68"/>
      <c r="AP818" s="68"/>
      <c r="AQ818" s="68"/>
      <c r="AR818" s="68"/>
      <c r="AS818" s="68"/>
      <c r="AT818" s="68"/>
      <c r="AU818" s="68"/>
    </row>
    <row r="819" spans="7:47"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 s="68"/>
      <c r="AP819" s="68"/>
      <c r="AQ819" s="68"/>
      <c r="AR819" s="68"/>
      <c r="AS819" s="68"/>
      <c r="AT819" s="68"/>
      <c r="AU819" s="68"/>
    </row>
    <row r="820" spans="7:47"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 s="68"/>
      <c r="AP820" s="68"/>
      <c r="AQ820" s="68"/>
      <c r="AR820" s="68"/>
      <c r="AS820" s="68"/>
      <c r="AT820" s="68"/>
      <c r="AU820" s="68"/>
    </row>
    <row r="821" spans="7:47"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 s="68"/>
      <c r="AP821" s="68"/>
      <c r="AQ821" s="68"/>
      <c r="AR821" s="68"/>
      <c r="AS821" s="68"/>
      <c r="AT821" s="68"/>
      <c r="AU821" s="68"/>
    </row>
    <row r="822" spans="7:47"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 s="68"/>
      <c r="AP822" s="68"/>
      <c r="AQ822" s="68"/>
      <c r="AR822" s="68"/>
      <c r="AS822" s="68"/>
      <c r="AT822" s="68"/>
      <c r="AU822" s="68"/>
    </row>
    <row r="823" spans="7:47"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 s="68"/>
      <c r="AP823" s="68"/>
      <c r="AQ823" s="68"/>
      <c r="AR823" s="68"/>
      <c r="AS823" s="68"/>
      <c r="AT823" s="68"/>
      <c r="AU823" s="68"/>
    </row>
    <row r="824" spans="7:47"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 s="68"/>
      <c r="AP824" s="68"/>
      <c r="AQ824" s="68"/>
      <c r="AR824" s="68"/>
      <c r="AS824" s="68"/>
      <c r="AT824" s="68"/>
      <c r="AU824" s="68"/>
    </row>
    <row r="825" spans="7:47"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 s="68"/>
      <c r="AP825" s="68"/>
      <c r="AQ825" s="68"/>
      <c r="AR825" s="68"/>
      <c r="AS825" s="68"/>
      <c r="AT825" s="68"/>
      <c r="AU825" s="68"/>
    </row>
    <row r="826" spans="7:47"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 s="68"/>
      <c r="AP826" s="68"/>
      <c r="AQ826" s="68"/>
      <c r="AR826" s="68"/>
      <c r="AS826" s="68"/>
      <c r="AT826" s="68"/>
      <c r="AU826" s="68"/>
    </row>
    <row r="827" spans="7:47"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 s="68"/>
      <c r="AP827" s="68"/>
      <c r="AQ827" s="68"/>
      <c r="AR827" s="68"/>
      <c r="AS827" s="68"/>
      <c r="AT827" s="68"/>
      <c r="AU827" s="68"/>
    </row>
    <row r="828" spans="7:47"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 s="68"/>
      <c r="AP828" s="68"/>
      <c r="AQ828" s="68"/>
      <c r="AR828" s="68"/>
      <c r="AS828" s="68"/>
      <c r="AT828" s="68"/>
      <c r="AU828" s="68"/>
    </row>
    <row r="829" spans="7:47"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 s="68"/>
      <c r="AP829" s="68"/>
      <c r="AQ829" s="68"/>
      <c r="AR829" s="68"/>
      <c r="AS829" s="68"/>
      <c r="AT829" s="68"/>
      <c r="AU829" s="68"/>
    </row>
    <row r="830" spans="7:47"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 s="68"/>
      <c r="AP830" s="68"/>
      <c r="AQ830" s="68"/>
      <c r="AR830" s="68"/>
      <c r="AS830" s="68"/>
      <c r="AT830" s="68"/>
      <c r="AU830" s="68"/>
    </row>
    <row r="831" spans="7:47"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 s="68"/>
      <c r="AP831" s="68"/>
      <c r="AQ831" s="68"/>
      <c r="AR831" s="68"/>
      <c r="AS831" s="68"/>
      <c r="AT831" s="68"/>
      <c r="AU831" s="68"/>
    </row>
    <row r="832" spans="7:47"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 s="68"/>
      <c r="AP832" s="68"/>
      <c r="AQ832" s="68"/>
      <c r="AR832" s="68"/>
      <c r="AS832" s="68"/>
      <c r="AT832" s="68"/>
      <c r="AU832" s="68"/>
    </row>
    <row r="833" spans="7:47"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 s="68"/>
      <c r="AP833" s="68"/>
      <c r="AQ833" s="68"/>
      <c r="AR833" s="68"/>
      <c r="AS833" s="68"/>
      <c r="AT833" s="68"/>
      <c r="AU833" s="68"/>
    </row>
    <row r="834" spans="7:47"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 s="68"/>
      <c r="AP834" s="68"/>
      <c r="AQ834" s="68"/>
      <c r="AR834" s="68"/>
      <c r="AS834" s="68"/>
      <c r="AT834" s="68"/>
      <c r="AU834" s="68"/>
    </row>
    <row r="835" spans="7:47"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 s="68"/>
      <c r="AP835" s="68"/>
      <c r="AQ835" s="68"/>
      <c r="AR835" s="68"/>
      <c r="AS835" s="68"/>
      <c r="AT835" s="68"/>
      <c r="AU835" s="68"/>
    </row>
    <row r="836" spans="7:47"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 s="68"/>
      <c r="AP836" s="68"/>
      <c r="AQ836" s="68"/>
      <c r="AR836" s="68"/>
      <c r="AS836" s="68"/>
      <c r="AT836" s="68"/>
      <c r="AU836" s="68"/>
    </row>
    <row r="837" spans="7:47"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 s="68"/>
      <c r="AP837" s="68"/>
      <c r="AQ837" s="68"/>
      <c r="AR837" s="68"/>
      <c r="AS837" s="68"/>
      <c r="AT837" s="68"/>
      <c r="AU837" s="68"/>
    </row>
    <row r="838" spans="7:47"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 s="68"/>
      <c r="AP838" s="68"/>
      <c r="AQ838" s="68"/>
      <c r="AR838" s="68"/>
      <c r="AS838" s="68"/>
      <c r="AT838" s="68"/>
      <c r="AU838" s="68"/>
    </row>
    <row r="839" spans="7:47"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 s="68"/>
      <c r="AP839" s="68"/>
      <c r="AQ839" s="68"/>
      <c r="AR839" s="68"/>
      <c r="AS839" s="68"/>
      <c r="AT839" s="68"/>
      <c r="AU839" s="68"/>
    </row>
    <row r="840" spans="7:47"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 s="68"/>
      <c r="AP840" s="68"/>
      <c r="AQ840" s="68"/>
      <c r="AR840" s="68"/>
      <c r="AS840" s="68"/>
      <c r="AT840" s="68"/>
      <c r="AU840" s="68"/>
    </row>
    <row r="841" spans="7:47"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 s="68"/>
      <c r="AP841" s="68"/>
      <c r="AQ841" s="68"/>
      <c r="AR841" s="68"/>
      <c r="AS841" s="68"/>
      <c r="AT841" s="68"/>
      <c r="AU841" s="68"/>
    </row>
    <row r="842" spans="7:47"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 s="68"/>
      <c r="AP842" s="68"/>
      <c r="AQ842" s="68"/>
      <c r="AR842" s="68"/>
      <c r="AS842" s="68"/>
      <c r="AT842" s="68"/>
      <c r="AU842" s="68"/>
    </row>
    <row r="843" spans="7:47"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 s="68"/>
      <c r="AP843" s="68"/>
      <c r="AQ843" s="68"/>
      <c r="AR843" s="68"/>
      <c r="AS843" s="68"/>
      <c r="AT843" s="68"/>
      <c r="AU843" s="68"/>
    </row>
    <row r="844" spans="7:47"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 s="68"/>
      <c r="AP844" s="68"/>
      <c r="AQ844" s="68"/>
      <c r="AR844" s="68"/>
      <c r="AS844" s="68"/>
      <c r="AT844" s="68"/>
      <c r="AU844" s="68"/>
    </row>
    <row r="845" spans="7:47"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 s="68"/>
      <c r="AP845" s="68"/>
      <c r="AQ845" s="68"/>
      <c r="AR845" s="68"/>
      <c r="AS845" s="68"/>
      <c r="AT845" s="68"/>
      <c r="AU845" s="68"/>
    </row>
    <row r="846" spans="7:47"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 s="68"/>
      <c r="AP846" s="68"/>
      <c r="AQ846" s="68"/>
      <c r="AR846" s="68"/>
      <c r="AS846" s="68"/>
      <c r="AT846" s="68"/>
      <c r="AU846" s="68"/>
    </row>
    <row r="847" spans="7:47"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 s="68"/>
      <c r="AP847" s="68"/>
      <c r="AQ847" s="68"/>
      <c r="AR847" s="68"/>
      <c r="AS847" s="68"/>
      <c r="AT847" s="68"/>
      <c r="AU847" s="68"/>
    </row>
    <row r="848" spans="7:47"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 s="68"/>
      <c r="AP848" s="68"/>
      <c r="AQ848" s="68"/>
      <c r="AR848" s="68"/>
      <c r="AS848" s="68"/>
      <c r="AT848" s="68"/>
      <c r="AU848" s="68"/>
    </row>
    <row r="849" spans="7:47"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 s="68"/>
      <c r="AP849" s="68"/>
      <c r="AQ849" s="68"/>
      <c r="AR849" s="68"/>
      <c r="AS849" s="68"/>
      <c r="AT849" s="68"/>
      <c r="AU849" s="68"/>
    </row>
    <row r="850" spans="7:47"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 s="68"/>
      <c r="AP850" s="68"/>
      <c r="AQ850" s="68"/>
      <c r="AR850" s="68"/>
      <c r="AS850" s="68"/>
      <c r="AT850" s="68"/>
      <c r="AU850" s="68"/>
    </row>
    <row r="851" spans="7:47"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 s="68"/>
      <c r="AP851" s="68"/>
      <c r="AQ851" s="68"/>
      <c r="AR851" s="68"/>
      <c r="AS851" s="68"/>
      <c r="AT851" s="68"/>
      <c r="AU851" s="68"/>
    </row>
    <row r="852" spans="7:47"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 s="68"/>
      <c r="AP852" s="68"/>
      <c r="AQ852" s="68"/>
      <c r="AR852" s="68"/>
      <c r="AS852" s="68"/>
      <c r="AT852" s="68"/>
      <c r="AU852" s="68"/>
    </row>
    <row r="853" spans="7:47"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 s="68"/>
      <c r="AP853" s="68"/>
      <c r="AQ853" s="68"/>
      <c r="AR853" s="68"/>
      <c r="AS853" s="68"/>
      <c r="AT853" s="68"/>
      <c r="AU853" s="68"/>
    </row>
    <row r="854" spans="7:47"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 s="68"/>
      <c r="AP854" s="68"/>
      <c r="AQ854" s="68"/>
      <c r="AR854" s="68"/>
      <c r="AS854" s="68"/>
      <c r="AT854" s="68"/>
      <c r="AU854" s="68"/>
    </row>
    <row r="855" spans="7:47"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 s="68"/>
      <c r="AP855" s="68"/>
      <c r="AQ855" s="68"/>
      <c r="AR855" s="68"/>
      <c r="AS855" s="68"/>
      <c r="AT855" s="68"/>
      <c r="AU855" s="68"/>
    </row>
    <row r="856" spans="7:47"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 s="68"/>
      <c r="AP856" s="68"/>
      <c r="AQ856" s="68"/>
      <c r="AR856" s="68"/>
      <c r="AS856" s="68"/>
      <c r="AT856" s="68"/>
      <c r="AU856" s="68"/>
    </row>
    <row r="857" spans="7:47"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 s="68"/>
      <c r="AP857" s="68"/>
      <c r="AQ857" s="68"/>
      <c r="AR857" s="68"/>
      <c r="AS857" s="68"/>
      <c r="AT857" s="68"/>
      <c r="AU857" s="68"/>
    </row>
    <row r="858" spans="7:47"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 s="68"/>
      <c r="AP858" s="68"/>
      <c r="AQ858" s="68"/>
      <c r="AR858" s="68"/>
      <c r="AS858" s="68"/>
      <c r="AT858" s="68"/>
      <c r="AU858" s="68"/>
    </row>
    <row r="859" spans="7:47"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 s="68"/>
      <c r="AP859" s="68"/>
      <c r="AQ859" s="68"/>
      <c r="AR859" s="68"/>
      <c r="AS859" s="68"/>
      <c r="AT859" s="68"/>
      <c r="AU859" s="68"/>
    </row>
    <row r="860" spans="7:47"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 s="68"/>
      <c r="AP860" s="68"/>
      <c r="AQ860" s="68"/>
      <c r="AR860" s="68"/>
      <c r="AS860" s="68"/>
      <c r="AT860" s="68"/>
      <c r="AU860" s="68"/>
    </row>
    <row r="861" spans="7:47"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 s="68"/>
      <c r="AP861" s="68"/>
      <c r="AQ861" s="68"/>
      <c r="AR861" s="68"/>
      <c r="AS861" s="68"/>
      <c r="AT861" s="68"/>
      <c r="AU861" s="68"/>
    </row>
    <row r="862" spans="7:47"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 s="68"/>
      <c r="AP862" s="68"/>
      <c r="AQ862" s="68"/>
      <c r="AR862" s="68"/>
      <c r="AS862" s="68"/>
      <c r="AT862" s="68"/>
      <c r="AU862" s="68"/>
    </row>
    <row r="863" spans="7:47"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 s="68"/>
      <c r="AP863" s="68"/>
      <c r="AQ863" s="68"/>
      <c r="AR863" s="68"/>
      <c r="AS863" s="68"/>
      <c r="AT863" s="68"/>
      <c r="AU863" s="68"/>
    </row>
    <row r="864" spans="7:47"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 s="68"/>
      <c r="AP864" s="68"/>
      <c r="AQ864" s="68"/>
      <c r="AR864" s="68"/>
      <c r="AS864" s="68"/>
      <c r="AT864" s="68"/>
      <c r="AU864" s="68"/>
    </row>
    <row r="865" spans="7:47"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 s="68"/>
      <c r="AP865" s="68"/>
      <c r="AQ865" s="68"/>
      <c r="AR865" s="68"/>
      <c r="AS865" s="68"/>
      <c r="AT865" s="68"/>
      <c r="AU865" s="68"/>
    </row>
    <row r="866" spans="7:47"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 s="68"/>
      <c r="AP866" s="68"/>
      <c r="AQ866" s="68"/>
      <c r="AR866" s="68"/>
      <c r="AS866" s="68"/>
      <c r="AT866" s="68"/>
      <c r="AU866" s="68"/>
    </row>
    <row r="867" spans="7:47"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 s="68"/>
      <c r="AP867" s="68"/>
      <c r="AQ867" s="68"/>
      <c r="AR867" s="68"/>
      <c r="AS867" s="68"/>
      <c r="AT867" s="68"/>
      <c r="AU867" s="68"/>
    </row>
    <row r="868" spans="7:47"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 s="68"/>
      <c r="AP868" s="68"/>
      <c r="AQ868" s="68"/>
      <c r="AR868" s="68"/>
      <c r="AS868" s="68"/>
      <c r="AT868" s="68"/>
      <c r="AU868" s="68"/>
    </row>
    <row r="869" spans="7:47"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 s="68"/>
      <c r="AP869" s="68"/>
      <c r="AQ869" s="68"/>
      <c r="AR869" s="68"/>
      <c r="AS869" s="68"/>
      <c r="AT869" s="68"/>
      <c r="AU869" s="68"/>
    </row>
    <row r="870" spans="7:47"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 s="68"/>
      <c r="AP870" s="68"/>
      <c r="AQ870" s="68"/>
      <c r="AR870" s="68"/>
      <c r="AS870" s="68"/>
      <c r="AT870" s="68"/>
      <c r="AU870" s="68"/>
    </row>
    <row r="871" spans="7:47"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 s="68"/>
      <c r="AP871" s="68"/>
      <c r="AQ871" s="68"/>
      <c r="AR871" s="68"/>
      <c r="AS871" s="68"/>
      <c r="AT871" s="68"/>
      <c r="AU871" s="68"/>
    </row>
    <row r="872" spans="7:47"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 s="68"/>
      <c r="AP872" s="68"/>
      <c r="AQ872" s="68"/>
      <c r="AR872" s="68"/>
      <c r="AS872" s="68"/>
      <c r="AT872" s="68"/>
      <c r="AU872" s="68"/>
    </row>
    <row r="873" spans="7:47"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 s="68"/>
      <c r="AP873" s="68"/>
      <c r="AQ873" s="68"/>
      <c r="AR873" s="68"/>
      <c r="AS873" s="68"/>
      <c r="AT873" s="68"/>
      <c r="AU873" s="68"/>
    </row>
    <row r="874" spans="7:47"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 s="68"/>
      <c r="AP874" s="68"/>
      <c r="AQ874" s="68"/>
      <c r="AR874" s="68"/>
      <c r="AS874" s="68"/>
      <c r="AT874" s="68"/>
      <c r="AU874" s="68"/>
    </row>
    <row r="875" spans="7:47"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 s="68"/>
      <c r="AP875" s="68"/>
      <c r="AQ875" s="68"/>
      <c r="AR875" s="68"/>
      <c r="AS875" s="68"/>
      <c r="AT875" s="68"/>
      <c r="AU875" s="68"/>
    </row>
    <row r="876" spans="7:47"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 s="68"/>
      <c r="AP876" s="68"/>
      <c r="AQ876" s="68"/>
      <c r="AR876" s="68"/>
      <c r="AS876" s="68"/>
      <c r="AT876" s="68"/>
      <c r="AU876" s="68"/>
    </row>
    <row r="877" spans="7:47"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 s="68"/>
      <c r="AP877" s="68"/>
      <c r="AQ877" s="68"/>
      <c r="AR877" s="68"/>
      <c r="AS877" s="68"/>
      <c r="AT877" s="68"/>
      <c r="AU877" s="68"/>
    </row>
    <row r="878" spans="7:47"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 s="68"/>
      <c r="AP878" s="68"/>
      <c r="AQ878" s="68"/>
      <c r="AR878" s="68"/>
      <c r="AS878" s="68"/>
      <c r="AT878" s="68"/>
      <c r="AU878" s="68"/>
    </row>
    <row r="879" spans="7:47"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 s="68"/>
      <c r="AP879" s="68"/>
      <c r="AQ879" s="68"/>
      <c r="AR879" s="68"/>
      <c r="AS879" s="68"/>
      <c r="AT879" s="68"/>
      <c r="AU879" s="68"/>
    </row>
    <row r="880" spans="7:47"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 s="68"/>
      <c r="AP880" s="68"/>
      <c r="AQ880" s="68"/>
      <c r="AR880" s="68"/>
      <c r="AS880" s="68"/>
      <c r="AT880" s="68"/>
      <c r="AU880" s="68"/>
    </row>
    <row r="881" spans="7:47"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 s="68"/>
      <c r="AP881" s="68"/>
      <c r="AQ881" s="68"/>
      <c r="AR881" s="68"/>
      <c r="AS881" s="68"/>
      <c r="AT881" s="68"/>
      <c r="AU881" s="68"/>
    </row>
    <row r="882" spans="7:47"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 s="68"/>
      <c r="AP882" s="68"/>
      <c r="AQ882" s="68"/>
      <c r="AR882" s="68"/>
      <c r="AS882" s="68"/>
      <c r="AT882" s="68"/>
      <c r="AU882" s="68"/>
    </row>
    <row r="883" spans="7:47"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 s="68"/>
      <c r="AP883" s="68"/>
      <c r="AQ883" s="68"/>
      <c r="AR883" s="68"/>
      <c r="AS883" s="68"/>
      <c r="AT883" s="68"/>
      <c r="AU883" s="68"/>
    </row>
    <row r="884" spans="7:47"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 s="68"/>
      <c r="AP884" s="68"/>
      <c r="AQ884" s="68"/>
      <c r="AR884" s="68"/>
      <c r="AS884" s="68"/>
      <c r="AT884" s="68"/>
      <c r="AU884" s="68"/>
    </row>
    <row r="885" spans="7:47"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 s="68"/>
      <c r="AP885" s="68"/>
      <c r="AQ885" s="68"/>
      <c r="AR885" s="68"/>
      <c r="AS885" s="68"/>
      <c r="AT885" s="68"/>
      <c r="AU885" s="68"/>
    </row>
    <row r="886" spans="7:47"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 s="68"/>
      <c r="AP886" s="68"/>
      <c r="AQ886" s="68"/>
      <c r="AR886" s="68"/>
      <c r="AS886" s="68"/>
      <c r="AT886" s="68"/>
      <c r="AU886" s="68"/>
    </row>
    <row r="887" spans="7:47"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 s="68"/>
      <c r="AP887" s="68"/>
      <c r="AQ887" s="68"/>
      <c r="AR887" s="68"/>
      <c r="AS887" s="68"/>
      <c r="AT887" s="68"/>
      <c r="AU887" s="68"/>
    </row>
    <row r="888" spans="7:47"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 s="68"/>
      <c r="AP888" s="68"/>
      <c r="AQ888" s="68"/>
      <c r="AR888" s="68"/>
      <c r="AS888" s="68"/>
      <c r="AT888" s="68"/>
      <c r="AU888" s="68"/>
    </row>
    <row r="889" spans="7:47"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 s="68"/>
      <c r="AP889" s="68"/>
      <c r="AQ889" s="68"/>
      <c r="AR889" s="68"/>
      <c r="AS889" s="68"/>
      <c r="AT889" s="68"/>
      <c r="AU889" s="68"/>
    </row>
    <row r="890" spans="7:47"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 s="68"/>
      <c r="AP890" s="68"/>
      <c r="AQ890" s="68"/>
      <c r="AR890" s="68"/>
      <c r="AS890" s="68"/>
      <c r="AT890" s="68"/>
      <c r="AU890" s="68"/>
    </row>
    <row r="891" spans="7:47"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 s="68"/>
      <c r="AP891" s="68"/>
      <c r="AQ891" s="68"/>
      <c r="AR891" s="68"/>
      <c r="AS891" s="68"/>
      <c r="AT891" s="68"/>
      <c r="AU891" s="68"/>
    </row>
    <row r="892" spans="7:47"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 s="68"/>
      <c r="AP892" s="68"/>
      <c r="AQ892" s="68"/>
      <c r="AR892" s="68"/>
      <c r="AS892" s="68"/>
      <c r="AT892" s="68"/>
      <c r="AU892" s="68"/>
    </row>
    <row r="893" spans="7:47"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 s="68"/>
      <c r="AP893" s="68"/>
      <c r="AQ893" s="68"/>
      <c r="AR893" s="68"/>
      <c r="AS893" s="68"/>
      <c r="AT893" s="68"/>
      <c r="AU893" s="68"/>
    </row>
    <row r="894" spans="7:47"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 s="68"/>
      <c r="AP894" s="68"/>
      <c r="AQ894" s="68"/>
      <c r="AR894" s="68"/>
      <c r="AS894" s="68"/>
      <c r="AT894" s="68"/>
      <c r="AU894" s="68"/>
    </row>
    <row r="895" spans="7:47"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 s="68"/>
      <c r="AP895" s="68"/>
      <c r="AQ895" s="68"/>
      <c r="AR895" s="68"/>
      <c r="AS895" s="68"/>
      <c r="AT895" s="68"/>
      <c r="AU895" s="68"/>
    </row>
    <row r="896" spans="7:47"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 s="68"/>
      <c r="AP896" s="68"/>
      <c r="AQ896" s="68"/>
      <c r="AR896" s="68"/>
      <c r="AS896" s="68"/>
      <c r="AT896" s="68"/>
      <c r="AU896" s="68"/>
    </row>
    <row r="897" spans="7:47"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 s="68"/>
      <c r="AP897" s="68"/>
      <c r="AQ897" s="68"/>
      <c r="AR897" s="68"/>
      <c r="AS897" s="68"/>
      <c r="AT897" s="68"/>
      <c r="AU897" s="68"/>
    </row>
    <row r="898" spans="7:47"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 s="68"/>
      <c r="AP898" s="68"/>
      <c r="AQ898" s="68"/>
      <c r="AR898" s="68"/>
      <c r="AS898" s="68"/>
      <c r="AT898" s="68"/>
      <c r="AU898" s="68"/>
    </row>
    <row r="899" spans="7:47"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 s="68"/>
      <c r="AP899" s="68"/>
      <c r="AQ899" s="68"/>
      <c r="AR899" s="68"/>
      <c r="AS899" s="68"/>
      <c r="AT899" s="68"/>
      <c r="AU899" s="68"/>
    </row>
    <row r="900" spans="7:47"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 s="68"/>
      <c r="AP900" s="68"/>
      <c r="AQ900" s="68"/>
      <c r="AR900" s="68"/>
      <c r="AS900" s="68"/>
      <c r="AT900" s="68"/>
      <c r="AU900" s="68"/>
    </row>
    <row r="901" spans="7:47"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 s="68"/>
      <c r="AP901" s="68"/>
      <c r="AQ901" s="68"/>
      <c r="AR901" s="68"/>
      <c r="AS901" s="68"/>
      <c r="AT901" s="68"/>
      <c r="AU901" s="68"/>
    </row>
    <row r="902" spans="7:47"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 s="68"/>
      <c r="AP902" s="68"/>
      <c r="AQ902" s="68"/>
      <c r="AR902" s="68"/>
      <c r="AS902" s="68"/>
      <c r="AT902" s="68"/>
      <c r="AU902" s="68"/>
    </row>
    <row r="903" spans="7:47"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 s="68"/>
      <c r="AP903" s="68"/>
      <c r="AQ903" s="68"/>
      <c r="AR903" s="68"/>
      <c r="AS903" s="68"/>
      <c r="AT903" s="68"/>
      <c r="AU903" s="68"/>
    </row>
    <row r="904" spans="7:47"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 s="68"/>
      <c r="AP904" s="68"/>
      <c r="AQ904" s="68"/>
      <c r="AR904" s="68"/>
      <c r="AS904" s="68"/>
      <c r="AT904" s="68"/>
      <c r="AU904" s="68"/>
    </row>
    <row r="905" spans="7:47"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 s="68"/>
      <c r="AP905" s="68"/>
      <c r="AQ905" s="68"/>
      <c r="AR905" s="68"/>
      <c r="AS905" s="68"/>
      <c r="AT905" s="68"/>
      <c r="AU905" s="68"/>
    </row>
    <row r="906" spans="7:47"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 s="68"/>
      <c r="AP906" s="68"/>
      <c r="AQ906" s="68"/>
      <c r="AR906" s="68"/>
      <c r="AS906" s="68"/>
      <c r="AT906" s="68"/>
      <c r="AU906" s="68"/>
    </row>
    <row r="907" spans="7:47"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 s="68"/>
      <c r="AP907" s="68"/>
      <c r="AQ907" s="68"/>
      <c r="AR907" s="68"/>
      <c r="AS907" s="68"/>
      <c r="AT907" s="68"/>
      <c r="AU907" s="68"/>
    </row>
    <row r="908" spans="7:47"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 s="68"/>
      <c r="AP908" s="68"/>
      <c r="AQ908" s="68"/>
      <c r="AR908" s="68"/>
      <c r="AS908" s="68"/>
      <c r="AT908" s="68"/>
      <c r="AU908" s="68"/>
    </row>
    <row r="909" spans="7:47"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 s="68"/>
      <c r="AP909" s="68"/>
      <c r="AQ909" s="68"/>
      <c r="AR909" s="68"/>
      <c r="AS909" s="68"/>
      <c r="AT909" s="68"/>
      <c r="AU909" s="68"/>
    </row>
    <row r="910" spans="7:47"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 s="68"/>
      <c r="AP910" s="68"/>
      <c r="AQ910" s="68"/>
      <c r="AR910" s="68"/>
      <c r="AS910" s="68"/>
      <c r="AT910" s="68"/>
      <c r="AU910" s="68"/>
    </row>
    <row r="911" spans="7:47"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 s="68"/>
      <c r="AP911" s="68"/>
      <c r="AQ911" s="68"/>
      <c r="AR911" s="68"/>
      <c r="AS911" s="68"/>
      <c r="AT911" s="68"/>
      <c r="AU911" s="68"/>
    </row>
    <row r="912" spans="7:47"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 s="68"/>
      <c r="AP912" s="68"/>
      <c r="AQ912" s="68"/>
      <c r="AR912" s="68"/>
      <c r="AS912" s="68"/>
      <c r="AT912" s="68"/>
      <c r="AU912" s="68"/>
    </row>
    <row r="913" spans="7:47"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 s="68"/>
      <c r="AP913" s="68"/>
      <c r="AQ913" s="68"/>
      <c r="AR913" s="68"/>
      <c r="AS913" s="68"/>
      <c r="AT913" s="68"/>
      <c r="AU913" s="68"/>
    </row>
    <row r="914" spans="7:47"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 s="68"/>
      <c r="AP914" s="68"/>
      <c r="AQ914" s="68"/>
      <c r="AR914" s="68"/>
      <c r="AS914" s="68"/>
      <c r="AT914" s="68"/>
      <c r="AU914" s="68"/>
    </row>
    <row r="915" spans="7:47"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 s="68"/>
      <c r="AP915" s="68"/>
      <c r="AQ915" s="68"/>
      <c r="AR915" s="68"/>
      <c r="AS915" s="68"/>
      <c r="AT915" s="68"/>
      <c r="AU915" s="68"/>
    </row>
    <row r="916" spans="7:47"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 s="68"/>
      <c r="AP916" s="68"/>
      <c r="AQ916" s="68"/>
      <c r="AR916" s="68"/>
      <c r="AS916" s="68"/>
      <c r="AT916" s="68"/>
      <c r="AU916" s="68"/>
    </row>
    <row r="917" spans="7:47"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 s="68"/>
      <c r="AP917" s="68"/>
      <c r="AQ917" s="68"/>
      <c r="AR917" s="68"/>
      <c r="AS917" s="68"/>
      <c r="AT917" s="68"/>
      <c r="AU917" s="68"/>
    </row>
    <row r="918" spans="7:47"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 s="68"/>
      <c r="AP918" s="68"/>
      <c r="AQ918" s="68"/>
      <c r="AR918" s="68"/>
      <c r="AS918" s="68"/>
      <c r="AT918" s="68"/>
      <c r="AU918" s="68"/>
    </row>
    <row r="919" spans="7:47"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 s="68"/>
      <c r="AP919" s="68"/>
      <c r="AQ919" s="68"/>
      <c r="AR919" s="68"/>
      <c r="AS919" s="68"/>
      <c r="AT919" s="68"/>
      <c r="AU919" s="68"/>
    </row>
    <row r="920" spans="7:47"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 s="68"/>
      <c r="AP920" s="68"/>
      <c r="AQ920" s="68"/>
      <c r="AR920" s="68"/>
      <c r="AS920" s="68"/>
      <c r="AT920" s="68"/>
      <c r="AU920" s="68"/>
    </row>
    <row r="921" spans="7:47"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 s="68"/>
      <c r="AP921" s="68"/>
      <c r="AQ921" s="68"/>
      <c r="AR921" s="68"/>
      <c r="AS921" s="68"/>
      <c r="AT921" s="68"/>
      <c r="AU921" s="68"/>
    </row>
    <row r="922" spans="7:47"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 s="68"/>
      <c r="AP922" s="68"/>
      <c r="AQ922" s="68"/>
      <c r="AR922" s="68"/>
      <c r="AS922" s="68"/>
      <c r="AT922" s="68"/>
      <c r="AU922" s="68"/>
    </row>
    <row r="923" spans="7:47"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 s="68"/>
      <c r="AP923" s="68"/>
      <c r="AQ923" s="68"/>
      <c r="AR923" s="68"/>
      <c r="AS923" s="68"/>
      <c r="AT923" s="68"/>
      <c r="AU923" s="68"/>
    </row>
    <row r="924" spans="7:47"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 s="68"/>
      <c r="AP924" s="68"/>
      <c r="AQ924" s="68"/>
      <c r="AR924" s="68"/>
      <c r="AS924" s="68"/>
      <c r="AT924" s="68"/>
      <c r="AU924" s="68"/>
    </row>
    <row r="925" spans="7:47"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 s="68"/>
      <c r="AP925" s="68"/>
      <c r="AQ925" s="68"/>
      <c r="AR925" s="68"/>
      <c r="AS925" s="68"/>
      <c r="AT925" s="68"/>
      <c r="AU925" s="68"/>
    </row>
    <row r="926" spans="7:47"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 s="68"/>
      <c r="AP926" s="68"/>
      <c r="AQ926" s="68"/>
      <c r="AR926" s="68"/>
      <c r="AS926" s="68"/>
      <c r="AT926" s="68"/>
      <c r="AU926" s="68"/>
    </row>
    <row r="927" spans="7:47"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 s="68"/>
      <c r="AP927" s="68"/>
      <c r="AQ927" s="68"/>
      <c r="AR927" s="68"/>
      <c r="AS927" s="68"/>
      <c r="AT927" s="68"/>
      <c r="AU927" s="68"/>
    </row>
    <row r="928" spans="7:47"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 s="68"/>
      <c r="AP928" s="68"/>
      <c r="AQ928" s="68"/>
      <c r="AR928" s="68"/>
      <c r="AS928" s="68"/>
      <c r="AT928" s="68"/>
      <c r="AU928" s="68"/>
    </row>
    <row r="929" spans="7:47"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 s="68"/>
      <c r="AP929" s="68"/>
      <c r="AQ929" s="68"/>
      <c r="AR929" s="68"/>
      <c r="AS929" s="68"/>
      <c r="AT929" s="68"/>
      <c r="AU929" s="68"/>
    </row>
    <row r="930" spans="7:47"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 s="68"/>
      <c r="AP930" s="68"/>
      <c r="AQ930" s="68"/>
      <c r="AR930" s="68"/>
      <c r="AS930" s="68"/>
      <c r="AT930" s="68"/>
      <c r="AU930" s="68"/>
    </row>
    <row r="931" spans="7:47"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 s="68"/>
      <c r="AP931" s="68"/>
      <c r="AQ931" s="68"/>
      <c r="AR931" s="68"/>
      <c r="AS931" s="68"/>
      <c r="AT931" s="68"/>
      <c r="AU931" s="68"/>
    </row>
    <row r="932" spans="7:47"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 s="68"/>
      <c r="AP932" s="68"/>
      <c r="AQ932" s="68"/>
      <c r="AR932" s="68"/>
      <c r="AS932" s="68"/>
      <c r="AT932" s="68"/>
      <c r="AU932" s="68"/>
    </row>
    <row r="933" spans="7:47"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 s="68"/>
      <c r="AP933" s="68"/>
      <c r="AQ933" s="68"/>
      <c r="AR933" s="68"/>
      <c r="AS933" s="68"/>
      <c r="AT933" s="68"/>
      <c r="AU933" s="68"/>
    </row>
    <row r="934" spans="7:47"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 s="68"/>
      <c r="AP934" s="68"/>
      <c r="AQ934" s="68"/>
      <c r="AR934" s="68"/>
      <c r="AS934" s="68"/>
      <c r="AT934" s="68"/>
      <c r="AU934" s="68"/>
    </row>
    <row r="935" spans="7:47"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 s="68"/>
      <c r="AP935" s="68"/>
      <c r="AQ935" s="68"/>
      <c r="AR935" s="68"/>
      <c r="AS935" s="68"/>
      <c r="AT935" s="68"/>
      <c r="AU935" s="68"/>
    </row>
    <row r="936" spans="7:47"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 s="68"/>
      <c r="AP936" s="68"/>
      <c r="AQ936" s="68"/>
      <c r="AR936" s="68"/>
      <c r="AS936" s="68"/>
      <c r="AT936" s="68"/>
      <c r="AU936" s="68"/>
    </row>
    <row r="937" spans="7:47"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 s="68"/>
      <c r="AP937" s="68"/>
      <c r="AQ937" s="68"/>
      <c r="AR937" s="68"/>
      <c r="AS937" s="68"/>
      <c r="AT937" s="68"/>
      <c r="AU937" s="68"/>
    </row>
    <row r="938" spans="7:47"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 s="68"/>
      <c r="AP938" s="68"/>
      <c r="AQ938" s="68"/>
      <c r="AR938" s="68"/>
      <c r="AS938" s="68"/>
      <c r="AT938" s="68"/>
      <c r="AU938" s="68"/>
    </row>
    <row r="939" spans="7:47"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 s="68"/>
      <c r="AP939" s="68"/>
      <c r="AQ939" s="68"/>
      <c r="AR939" s="68"/>
      <c r="AS939" s="68"/>
      <c r="AT939" s="68"/>
      <c r="AU939" s="68"/>
    </row>
    <row r="940" spans="7:47"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 s="68"/>
      <c r="AP940" s="68"/>
      <c r="AQ940" s="68"/>
      <c r="AR940" s="68"/>
      <c r="AS940" s="68"/>
      <c r="AT940" s="68"/>
      <c r="AU940" s="68"/>
    </row>
    <row r="941" spans="7:47"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 s="68"/>
      <c r="AP941" s="68"/>
      <c r="AQ941" s="68"/>
      <c r="AR941" s="68"/>
      <c r="AS941" s="68"/>
      <c r="AT941" s="68"/>
      <c r="AU941" s="68"/>
    </row>
    <row r="942" spans="7:47"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 s="68"/>
      <c r="AP942" s="68"/>
      <c r="AQ942" s="68"/>
      <c r="AR942" s="68"/>
      <c r="AS942" s="68"/>
      <c r="AT942" s="68"/>
      <c r="AU942" s="68"/>
    </row>
    <row r="943" spans="7:47"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 s="68"/>
      <c r="AP943" s="68"/>
      <c r="AQ943" s="68"/>
      <c r="AR943" s="68"/>
      <c r="AS943" s="68"/>
      <c r="AT943" s="68"/>
      <c r="AU943" s="68"/>
    </row>
    <row r="944" spans="7:47"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 s="68"/>
      <c r="AP944" s="68"/>
      <c r="AQ944" s="68"/>
      <c r="AR944" s="68"/>
      <c r="AS944" s="68"/>
      <c r="AT944" s="68"/>
      <c r="AU944" s="68"/>
    </row>
    <row r="945" spans="7:47"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 s="68"/>
      <c r="AP945" s="68"/>
      <c r="AQ945" s="68"/>
      <c r="AR945" s="68"/>
      <c r="AS945" s="68"/>
      <c r="AT945" s="68"/>
      <c r="AU945" s="68"/>
    </row>
    <row r="946" spans="7:47"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 s="68"/>
      <c r="AP946" s="68"/>
      <c r="AQ946" s="68"/>
      <c r="AR946" s="68"/>
      <c r="AS946" s="68"/>
      <c r="AT946" s="68"/>
      <c r="AU946" s="68"/>
    </row>
    <row r="947" spans="7:47"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 s="68"/>
      <c r="AP947" s="68"/>
      <c r="AQ947" s="68"/>
      <c r="AR947" s="68"/>
      <c r="AS947" s="68"/>
      <c r="AT947" s="68"/>
      <c r="AU947" s="68"/>
    </row>
    <row r="948" spans="7:47"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 s="68"/>
      <c r="AP948" s="68"/>
      <c r="AQ948" s="68"/>
      <c r="AR948" s="68"/>
      <c r="AS948" s="68"/>
      <c r="AT948" s="68"/>
      <c r="AU948" s="68"/>
    </row>
    <row r="949" spans="7:47"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 s="68"/>
      <c r="AP949" s="68"/>
      <c r="AQ949" s="68"/>
      <c r="AR949" s="68"/>
      <c r="AS949" s="68"/>
      <c r="AT949" s="68"/>
      <c r="AU949" s="68"/>
    </row>
    <row r="950" spans="7:47"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 s="68"/>
      <c r="AP950" s="68"/>
      <c r="AQ950" s="68"/>
      <c r="AR950" s="68"/>
      <c r="AS950" s="68"/>
      <c r="AT950" s="68"/>
      <c r="AU950" s="68"/>
    </row>
    <row r="951" spans="7:47"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 s="68"/>
      <c r="AP951" s="68"/>
      <c r="AQ951" s="68"/>
      <c r="AR951" s="68"/>
      <c r="AS951" s="68"/>
      <c r="AT951" s="68"/>
      <c r="AU951" s="68"/>
    </row>
    <row r="952" spans="7:47"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 s="68"/>
      <c r="AP952" s="68"/>
      <c r="AQ952" s="68"/>
      <c r="AR952" s="68"/>
      <c r="AS952" s="68"/>
      <c r="AT952" s="68"/>
      <c r="AU952" s="68"/>
    </row>
    <row r="953" spans="7:47"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 s="68"/>
      <c r="AP953" s="68"/>
      <c r="AQ953" s="68"/>
      <c r="AR953" s="68"/>
      <c r="AS953" s="68"/>
      <c r="AT953" s="68"/>
      <c r="AU953" s="68"/>
    </row>
    <row r="954" spans="7:47"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 s="68"/>
      <c r="AP954" s="68"/>
      <c r="AQ954" s="68"/>
      <c r="AR954" s="68"/>
      <c r="AS954" s="68"/>
      <c r="AT954" s="68"/>
      <c r="AU954" s="68"/>
    </row>
    <row r="955" spans="7:47"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 s="68"/>
      <c r="AP955" s="68"/>
      <c r="AQ955" s="68"/>
      <c r="AR955" s="68"/>
      <c r="AS955" s="68"/>
      <c r="AT955" s="68"/>
      <c r="AU955" s="68"/>
    </row>
    <row r="956" spans="7:47"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 s="68"/>
      <c r="AP956" s="68"/>
      <c r="AQ956" s="68"/>
      <c r="AR956" s="68"/>
      <c r="AS956" s="68"/>
      <c r="AT956" s="68"/>
      <c r="AU956" s="68"/>
    </row>
    <row r="957" spans="7:47"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 s="68"/>
      <c r="AP957" s="68"/>
      <c r="AQ957" s="68"/>
      <c r="AR957" s="68"/>
      <c r="AS957" s="68"/>
      <c r="AT957" s="68"/>
      <c r="AU957" s="68"/>
    </row>
    <row r="958" spans="7:47"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 s="68"/>
      <c r="AP958" s="68"/>
      <c r="AQ958" s="68"/>
      <c r="AR958" s="68"/>
      <c r="AS958" s="68"/>
      <c r="AT958" s="68"/>
      <c r="AU958" s="68"/>
    </row>
    <row r="959" spans="7:47"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 s="68"/>
      <c r="AP959" s="68"/>
      <c r="AQ959" s="68"/>
      <c r="AR959" s="68"/>
      <c r="AS959" s="68"/>
      <c r="AT959" s="68"/>
      <c r="AU959" s="68"/>
    </row>
    <row r="960" spans="7:47"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 s="68"/>
      <c r="AP960" s="68"/>
      <c r="AQ960" s="68"/>
      <c r="AR960" s="68"/>
      <c r="AS960" s="68"/>
      <c r="AT960" s="68"/>
      <c r="AU960" s="68"/>
    </row>
    <row r="961" spans="7:47"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 s="68"/>
      <c r="AP961" s="68"/>
      <c r="AQ961" s="68"/>
      <c r="AR961" s="68"/>
      <c r="AS961" s="68"/>
      <c r="AT961" s="68"/>
      <c r="AU961" s="68"/>
    </row>
    <row r="962" spans="7:47"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 s="68"/>
      <c r="AP962" s="68"/>
      <c r="AQ962" s="68"/>
      <c r="AR962" s="68"/>
      <c r="AS962" s="68"/>
      <c r="AT962" s="68"/>
      <c r="AU962" s="68"/>
    </row>
    <row r="963" spans="7:47"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 s="68"/>
      <c r="AP963" s="68"/>
      <c r="AQ963" s="68"/>
      <c r="AR963" s="68"/>
      <c r="AS963" s="68"/>
      <c r="AT963" s="68"/>
      <c r="AU963" s="68"/>
    </row>
    <row r="964" spans="7:47"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 s="68"/>
      <c r="AP964" s="68"/>
      <c r="AQ964" s="68"/>
      <c r="AR964" s="68"/>
      <c r="AS964" s="68"/>
      <c r="AT964" s="68"/>
      <c r="AU964" s="68"/>
    </row>
    <row r="965" spans="7:47"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 s="68"/>
      <c r="AP965" s="68"/>
      <c r="AQ965" s="68"/>
      <c r="AR965" s="68"/>
      <c r="AS965" s="68"/>
      <c r="AT965" s="68"/>
      <c r="AU965" s="68"/>
    </row>
    <row r="966" spans="7:47"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 s="68"/>
      <c r="AP966" s="68"/>
      <c r="AQ966" s="68"/>
      <c r="AR966" s="68"/>
      <c r="AS966" s="68"/>
      <c r="AT966" s="68"/>
      <c r="AU966" s="68"/>
    </row>
    <row r="967" spans="7:47"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 s="68"/>
      <c r="AP967" s="68"/>
      <c r="AQ967" s="68"/>
      <c r="AR967" s="68"/>
      <c r="AS967" s="68"/>
      <c r="AT967" s="68"/>
      <c r="AU967" s="68"/>
    </row>
    <row r="968" spans="7:47"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 s="68"/>
      <c r="AP968" s="68"/>
      <c r="AQ968" s="68"/>
      <c r="AR968" s="68"/>
      <c r="AS968" s="68"/>
      <c r="AT968" s="68"/>
      <c r="AU968" s="68"/>
    </row>
    <row r="969" spans="7:47"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 s="68"/>
      <c r="AP969" s="68"/>
      <c r="AQ969" s="68"/>
      <c r="AR969" s="68"/>
      <c r="AS969" s="68"/>
      <c r="AT969" s="68"/>
      <c r="AU969" s="68"/>
    </row>
    <row r="970" spans="7:47"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 s="68"/>
      <c r="AP970" s="68"/>
      <c r="AQ970" s="68"/>
      <c r="AR970" s="68"/>
      <c r="AS970" s="68"/>
      <c r="AT970" s="68"/>
      <c r="AU970" s="68"/>
    </row>
    <row r="971" spans="7:47"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 s="68"/>
      <c r="AP971" s="68"/>
      <c r="AQ971" s="68"/>
      <c r="AR971" s="68"/>
      <c r="AS971" s="68"/>
      <c r="AT971" s="68"/>
      <c r="AU971" s="68"/>
    </row>
    <row r="972" spans="7:47"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 s="68"/>
      <c r="AP972" s="68"/>
      <c r="AQ972" s="68"/>
      <c r="AR972" s="68"/>
      <c r="AS972" s="68"/>
      <c r="AT972" s="68"/>
      <c r="AU972" s="68"/>
    </row>
    <row r="973" spans="7:47"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 s="68"/>
      <c r="AP973" s="68"/>
      <c r="AQ973" s="68"/>
      <c r="AR973" s="68"/>
      <c r="AS973" s="68"/>
      <c r="AT973" s="68"/>
      <c r="AU973" s="68"/>
    </row>
    <row r="974" spans="7:47"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 s="68"/>
      <c r="AP974" s="68"/>
      <c r="AQ974" s="68"/>
      <c r="AR974" s="68"/>
      <c r="AS974" s="68"/>
      <c r="AT974" s="68"/>
      <c r="AU974" s="68"/>
    </row>
    <row r="975" spans="7:47"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 s="68"/>
      <c r="AP975" s="68"/>
      <c r="AQ975" s="68"/>
      <c r="AR975" s="68"/>
      <c r="AS975" s="68"/>
      <c r="AT975" s="68"/>
      <c r="AU975" s="68"/>
    </row>
    <row r="976" spans="7:47"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 s="68"/>
      <c r="AP976" s="68"/>
      <c r="AQ976" s="68"/>
      <c r="AR976" s="68"/>
      <c r="AS976" s="68"/>
      <c r="AT976" s="68"/>
      <c r="AU976" s="68"/>
    </row>
    <row r="977" spans="7:47"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 s="68"/>
      <c r="AP977" s="68"/>
      <c r="AQ977" s="68"/>
      <c r="AR977" s="68"/>
      <c r="AS977" s="68"/>
      <c r="AT977" s="68"/>
      <c r="AU977" s="68"/>
    </row>
    <row r="978" spans="7:47"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 s="68"/>
      <c r="AP978" s="68"/>
      <c r="AQ978" s="68"/>
      <c r="AR978" s="68"/>
      <c r="AS978" s="68"/>
      <c r="AT978" s="68"/>
      <c r="AU978" s="68"/>
    </row>
    <row r="979" spans="7:47"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 s="68"/>
      <c r="AP979" s="68"/>
      <c r="AQ979" s="68"/>
      <c r="AR979" s="68"/>
      <c r="AS979" s="68"/>
      <c r="AT979" s="68"/>
      <c r="AU979" s="68"/>
    </row>
    <row r="980" spans="7:47"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 s="68"/>
      <c r="AP980" s="68"/>
      <c r="AQ980" s="68"/>
      <c r="AR980" s="68"/>
      <c r="AS980" s="68"/>
      <c r="AT980" s="68"/>
      <c r="AU980" s="68"/>
    </row>
    <row r="981" spans="7:47"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 s="68"/>
      <c r="AP981" s="68"/>
      <c r="AQ981" s="68"/>
      <c r="AR981" s="68"/>
      <c r="AS981" s="68"/>
      <c r="AT981" s="68"/>
      <c r="AU981" s="68"/>
    </row>
    <row r="982" spans="7:47"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 s="68"/>
      <c r="AP982" s="68"/>
      <c r="AQ982" s="68"/>
      <c r="AR982" s="68"/>
      <c r="AS982" s="68"/>
      <c r="AT982" s="68"/>
      <c r="AU982" s="68"/>
    </row>
    <row r="983" spans="7:47"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 s="68"/>
      <c r="AP983" s="68"/>
      <c r="AQ983" s="68"/>
      <c r="AR983" s="68"/>
      <c r="AS983" s="68"/>
      <c r="AT983" s="68"/>
      <c r="AU983" s="68"/>
    </row>
    <row r="984" spans="7:47"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 s="68"/>
      <c r="AP984" s="68"/>
      <c r="AQ984" s="68"/>
      <c r="AR984" s="68"/>
      <c r="AS984" s="68"/>
      <c r="AT984" s="68"/>
      <c r="AU984" s="68"/>
    </row>
    <row r="985" spans="7:47"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 s="68"/>
      <c r="AP985" s="68"/>
      <c r="AQ985" s="68"/>
      <c r="AR985" s="68"/>
      <c r="AS985" s="68"/>
      <c r="AT985" s="68"/>
      <c r="AU985" s="68"/>
    </row>
    <row r="986" spans="7:47"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 s="68"/>
      <c r="AP986" s="68"/>
      <c r="AQ986" s="68"/>
      <c r="AR986" s="68"/>
      <c r="AS986" s="68"/>
      <c r="AT986" s="68"/>
      <c r="AU986" s="68"/>
    </row>
    <row r="987" spans="7:47"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 s="68"/>
      <c r="AP987" s="68"/>
      <c r="AQ987" s="68"/>
      <c r="AR987" s="68"/>
      <c r="AS987" s="68"/>
      <c r="AT987" s="68"/>
      <c r="AU987" s="68"/>
    </row>
    <row r="988" spans="7:47"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 s="68"/>
      <c r="AP988" s="68"/>
      <c r="AQ988" s="68"/>
      <c r="AR988" s="68"/>
      <c r="AS988" s="68"/>
      <c r="AT988" s="68"/>
      <c r="AU988" s="68"/>
    </row>
    <row r="989" spans="7:47"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 s="68"/>
      <c r="AP989" s="68"/>
      <c r="AQ989" s="68"/>
      <c r="AR989" s="68"/>
      <c r="AS989" s="68"/>
      <c r="AT989" s="68"/>
      <c r="AU989" s="68"/>
    </row>
    <row r="990" spans="7:47"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 s="68"/>
      <c r="AP990" s="68"/>
      <c r="AQ990" s="68"/>
      <c r="AR990" s="68"/>
      <c r="AS990" s="68"/>
      <c r="AT990" s="68"/>
      <c r="AU990" s="68"/>
    </row>
    <row r="991" spans="7:47"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 s="68"/>
      <c r="AP991" s="68"/>
      <c r="AQ991" s="68"/>
      <c r="AR991" s="68"/>
      <c r="AS991" s="68"/>
      <c r="AT991" s="68"/>
      <c r="AU991" s="68"/>
    </row>
    <row r="992" spans="7:47"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 s="68"/>
      <c r="AP992" s="68"/>
      <c r="AQ992" s="68"/>
      <c r="AR992" s="68"/>
      <c r="AS992" s="68"/>
      <c r="AT992" s="68"/>
      <c r="AU992" s="68"/>
    </row>
    <row r="993" spans="7:47"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 s="68"/>
      <c r="AP993" s="68"/>
      <c r="AQ993" s="68"/>
      <c r="AR993" s="68"/>
      <c r="AS993" s="68"/>
      <c r="AT993" s="68"/>
      <c r="AU993" s="68"/>
    </row>
    <row r="994" spans="7:47"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 s="68"/>
      <c r="AP994" s="68"/>
      <c r="AQ994" s="68"/>
      <c r="AR994" s="68"/>
      <c r="AS994" s="68"/>
      <c r="AT994" s="68"/>
      <c r="AU994" s="68"/>
    </row>
    <row r="995" spans="7:47"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 s="68"/>
      <c r="AP995" s="68"/>
      <c r="AQ995" s="68"/>
      <c r="AR995" s="68"/>
      <c r="AS995" s="68"/>
      <c r="AT995" s="68"/>
      <c r="AU995" s="68"/>
    </row>
    <row r="996" spans="7:47"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 s="68"/>
      <c r="AP996" s="68"/>
      <c r="AQ996" s="68"/>
      <c r="AR996" s="68"/>
      <c r="AS996" s="68"/>
      <c r="AT996" s="68"/>
      <c r="AU996" s="68"/>
    </row>
    <row r="997" spans="7:47"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 s="68"/>
      <c r="AP997" s="68"/>
      <c r="AQ997" s="68"/>
      <c r="AR997" s="68"/>
      <c r="AS997" s="68"/>
      <c r="AT997" s="68"/>
      <c r="AU997" s="68"/>
    </row>
    <row r="998" spans="7:47"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 s="68"/>
      <c r="AP998" s="68"/>
      <c r="AQ998" s="68"/>
      <c r="AR998" s="68"/>
      <c r="AS998" s="68"/>
      <c r="AT998" s="68"/>
      <c r="AU998" s="68"/>
    </row>
    <row r="999" spans="7:47"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 s="68"/>
      <c r="AP999" s="68"/>
      <c r="AQ999" s="68"/>
      <c r="AR999" s="68"/>
      <c r="AS999" s="68"/>
      <c r="AT999" s="68"/>
      <c r="AU999" s="68"/>
    </row>
    <row r="1000" spans="7:47"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 s="68"/>
      <c r="AP1000" s="68"/>
      <c r="AQ1000" s="68"/>
      <c r="AR1000" s="68"/>
      <c r="AS1000" s="68"/>
      <c r="AT1000" s="68"/>
      <c r="AU1000" s="68"/>
    </row>
    <row r="1001" spans="7:47"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 s="68"/>
      <c r="AP1001" s="68"/>
      <c r="AQ1001" s="68"/>
      <c r="AR1001" s="68"/>
      <c r="AS1001" s="68"/>
      <c r="AT1001" s="68"/>
      <c r="AU1001" s="68"/>
    </row>
    <row r="1002" spans="7:47"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 s="68"/>
      <c r="AP1002" s="68"/>
      <c r="AQ1002" s="68"/>
      <c r="AR1002" s="68"/>
      <c r="AS1002" s="68"/>
      <c r="AT1002" s="68"/>
      <c r="AU1002" s="68"/>
    </row>
    <row r="1003" spans="7:47"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 s="68"/>
      <c r="AP1003" s="68"/>
      <c r="AQ1003" s="68"/>
      <c r="AR1003" s="68"/>
      <c r="AS1003" s="68"/>
      <c r="AT1003" s="68"/>
      <c r="AU1003" s="68"/>
    </row>
    <row r="1004" spans="7:47"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 s="68"/>
      <c r="AP1004" s="68"/>
      <c r="AQ1004" s="68"/>
      <c r="AR1004" s="68"/>
      <c r="AS1004" s="68"/>
      <c r="AT1004" s="68"/>
      <c r="AU1004" s="68"/>
    </row>
    <row r="1005" spans="7:47"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 s="68"/>
      <c r="AP1005" s="68"/>
      <c r="AQ1005" s="68"/>
      <c r="AR1005" s="68"/>
      <c r="AS1005" s="68"/>
      <c r="AT1005" s="68"/>
      <c r="AU1005" s="68"/>
    </row>
    <row r="1006" spans="7:47"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 s="68"/>
      <c r="AP1006" s="68"/>
      <c r="AQ1006" s="68"/>
      <c r="AR1006" s="68"/>
      <c r="AS1006" s="68"/>
      <c r="AT1006" s="68"/>
      <c r="AU1006" s="68"/>
    </row>
    <row r="1007" spans="7:47"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 s="68"/>
      <c r="AP1007" s="68"/>
      <c r="AQ1007" s="68"/>
      <c r="AR1007" s="68"/>
      <c r="AS1007" s="68"/>
      <c r="AT1007" s="68"/>
      <c r="AU1007" s="68"/>
    </row>
    <row r="1008" spans="7:47"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 s="68"/>
      <c r="AP1008" s="68"/>
      <c r="AQ1008" s="68"/>
      <c r="AR1008" s="68"/>
      <c r="AS1008" s="68"/>
      <c r="AT1008" s="68"/>
      <c r="AU1008" s="68"/>
    </row>
    <row r="1009" spans="7:47"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 s="68"/>
      <c r="AP1009" s="68"/>
      <c r="AQ1009" s="68"/>
      <c r="AR1009" s="68"/>
      <c r="AS1009" s="68"/>
      <c r="AT1009" s="68"/>
      <c r="AU1009" s="68"/>
    </row>
    <row r="1010" spans="7:47"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 s="68"/>
      <c r="AP1010" s="68"/>
      <c r="AQ1010" s="68"/>
      <c r="AR1010" s="68"/>
      <c r="AS1010" s="68"/>
      <c r="AT1010" s="68"/>
      <c r="AU1010" s="68"/>
    </row>
    <row r="1011" spans="7:47"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 s="68"/>
      <c r="AP1011" s="68"/>
      <c r="AQ1011" s="68"/>
      <c r="AR1011" s="68"/>
      <c r="AS1011" s="68"/>
      <c r="AT1011" s="68"/>
      <c r="AU1011" s="68"/>
    </row>
    <row r="1012" spans="7:47"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 s="68"/>
      <c r="AP1012" s="68"/>
      <c r="AQ1012" s="68"/>
      <c r="AR1012" s="68"/>
      <c r="AS1012" s="68"/>
      <c r="AT1012" s="68"/>
      <c r="AU1012" s="68"/>
    </row>
    <row r="1013" spans="7:47"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 s="68"/>
      <c r="AP1013" s="68"/>
      <c r="AQ1013" s="68"/>
      <c r="AR1013" s="68"/>
      <c r="AS1013" s="68"/>
      <c r="AT1013" s="68"/>
      <c r="AU1013" s="68"/>
    </row>
    <row r="1014" spans="7:47"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 s="68"/>
      <c r="AP1014" s="68"/>
      <c r="AQ1014" s="68"/>
      <c r="AR1014" s="68"/>
      <c r="AS1014" s="68"/>
      <c r="AT1014" s="68"/>
      <c r="AU1014" s="68"/>
    </row>
    <row r="1015" spans="7:47"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 s="68"/>
      <c r="AP1015" s="68"/>
      <c r="AQ1015" s="68"/>
      <c r="AR1015" s="68"/>
      <c r="AS1015" s="68"/>
      <c r="AT1015" s="68"/>
      <c r="AU1015" s="68"/>
    </row>
    <row r="1016" spans="7:47"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 s="68"/>
      <c r="AP1016" s="68"/>
      <c r="AQ1016" s="68"/>
      <c r="AR1016" s="68"/>
      <c r="AS1016" s="68"/>
      <c r="AT1016" s="68"/>
      <c r="AU1016" s="68"/>
    </row>
    <row r="1017" spans="7:47"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 s="68"/>
      <c r="AP1017" s="68"/>
      <c r="AQ1017" s="68"/>
      <c r="AR1017" s="68"/>
      <c r="AS1017" s="68"/>
      <c r="AT1017" s="68"/>
      <c r="AU1017" s="68"/>
    </row>
    <row r="1018" spans="7:47"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 s="68"/>
      <c r="AP1018" s="68"/>
      <c r="AQ1018" s="68"/>
      <c r="AR1018" s="68"/>
      <c r="AS1018" s="68"/>
      <c r="AT1018" s="68"/>
      <c r="AU1018" s="68"/>
    </row>
    <row r="1019" spans="7:47"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 s="68"/>
      <c r="AP1019" s="68"/>
      <c r="AQ1019" s="68"/>
      <c r="AR1019" s="68"/>
      <c r="AS1019" s="68"/>
      <c r="AT1019" s="68"/>
      <c r="AU1019" s="68"/>
    </row>
    <row r="1020" spans="7:47"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 s="68"/>
      <c r="AP1020" s="68"/>
      <c r="AQ1020" s="68"/>
      <c r="AR1020" s="68"/>
      <c r="AS1020" s="68"/>
      <c r="AT1020" s="68"/>
      <c r="AU1020" s="68"/>
    </row>
    <row r="1021" spans="7:47"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 s="68"/>
      <c r="AP1021" s="68"/>
      <c r="AQ1021" s="68"/>
      <c r="AR1021" s="68"/>
      <c r="AS1021" s="68"/>
      <c r="AT1021" s="68"/>
      <c r="AU1021" s="68"/>
    </row>
    <row r="1022" spans="7:47"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 s="68"/>
      <c r="AP1022" s="68"/>
      <c r="AQ1022" s="68"/>
      <c r="AR1022" s="68"/>
      <c r="AS1022" s="68"/>
      <c r="AT1022" s="68"/>
      <c r="AU1022" s="68"/>
    </row>
    <row r="1023" spans="7:47"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 s="68"/>
      <c r="AP1023" s="68"/>
      <c r="AQ1023" s="68"/>
      <c r="AR1023" s="68"/>
      <c r="AS1023" s="68"/>
      <c r="AT1023" s="68"/>
      <c r="AU1023" s="68"/>
    </row>
    <row r="1024" spans="7:47"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 s="68"/>
      <c r="AP1024" s="68"/>
      <c r="AQ1024" s="68"/>
      <c r="AR1024" s="68"/>
      <c r="AS1024" s="68"/>
      <c r="AT1024" s="68"/>
      <c r="AU1024" s="68"/>
    </row>
    <row r="1025" spans="7:47"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 s="68"/>
      <c r="AP1025" s="68"/>
      <c r="AQ1025" s="68"/>
      <c r="AR1025" s="68"/>
      <c r="AS1025" s="68"/>
      <c r="AT1025" s="68"/>
      <c r="AU1025" s="68"/>
    </row>
    <row r="1026" spans="7:47"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 s="68"/>
      <c r="AP1026" s="68"/>
      <c r="AQ1026" s="68"/>
      <c r="AR1026" s="68"/>
      <c r="AS1026" s="68"/>
      <c r="AT1026" s="68"/>
      <c r="AU1026" s="68"/>
    </row>
    <row r="1027" spans="7:47"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 s="68"/>
      <c r="AP1027" s="68"/>
      <c r="AQ1027" s="68"/>
      <c r="AR1027" s="68"/>
      <c r="AS1027" s="68"/>
      <c r="AT1027" s="68"/>
      <c r="AU1027" s="68"/>
    </row>
    <row r="1028" spans="7:47"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 s="68"/>
      <c r="AP1028" s="68"/>
      <c r="AQ1028" s="68"/>
      <c r="AR1028" s="68"/>
      <c r="AS1028" s="68"/>
      <c r="AT1028" s="68"/>
      <c r="AU1028" s="68"/>
    </row>
    <row r="1029" spans="7:47"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 s="68"/>
      <c r="AP1029" s="68"/>
      <c r="AQ1029" s="68"/>
      <c r="AR1029" s="68"/>
      <c r="AS1029" s="68"/>
      <c r="AT1029" s="68"/>
      <c r="AU1029" s="68"/>
    </row>
    <row r="1030" spans="7:47"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 s="68"/>
      <c r="AP1030" s="68"/>
      <c r="AQ1030" s="68"/>
      <c r="AR1030" s="68"/>
      <c r="AS1030" s="68"/>
      <c r="AT1030" s="68"/>
      <c r="AU1030" s="68"/>
    </row>
    <row r="1031" spans="7:47"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 s="68"/>
      <c r="AP1031" s="68"/>
      <c r="AQ1031" s="68"/>
      <c r="AR1031" s="68"/>
      <c r="AS1031" s="68"/>
      <c r="AT1031" s="68"/>
      <c r="AU1031" s="68"/>
    </row>
    <row r="1032" spans="7:47"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 s="68"/>
      <c r="AP1032" s="68"/>
      <c r="AQ1032" s="68"/>
      <c r="AR1032" s="68"/>
      <c r="AS1032" s="68"/>
      <c r="AT1032" s="68"/>
      <c r="AU1032" s="68"/>
    </row>
    <row r="1033" spans="7:47"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 s="68"/>
      <c r="AP1033" s="68"/>
      <c r="AQ1033" s="68"/>
      <c r="AR1033" s="68"/>
      <c r="AS1033" s="68"/>
      <c r="AT1033" s="68"/>
      <c r="AU1033" s="68"/>
    </row>
    <row r="1034" spans="7:47"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 s="68"/>
      <c r="AP1034" s="68"/>
      <c r="AQ1034" s="68"/>
      <c r="AR1034" s="68"/>
      <c r="AS1034" s="68"/>
      <c r="AT1034" s="68"/>
      <c r="AU1034" s="68"/>
    </row>
    <row r="1035" spans="7:47"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 s="68"/>
      <c r="AP1035" s="68"/>
      <c r="AQ1035" s="68"/>
      <c r="AR1035" s="68"/>
      <c r="AS1035" s="68"/>
      <c r="AT1035" s="68"/>
      <c r="AU1035" s="68"/>
    </row>
    <row r="1036" spans="7:47"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 s="68"/>
      <c r="AP1036" s="68"/>
      <c r="AQ1036" s="68"/>
      <c r="AR1036" s="68"/>
      <c r="AS1036" s="68"/>
      <c r="AT1036" s="68"/>
      <c r="AU1036" s="68"/>
    </row>
    <row r="1037" spans="7:47"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 s="68"/>
      <c r="AP1037" s="68"/>
      <c r="AQ1037" s="68"/>
      <c r="AR1037" s="68"/>
      <c r="AS1037" s="68"/>
      <c r="AT1037" s="68"/>
      <c r="AU1037" s="68"/>
    </row>
    <row r="1038" spans="7:47"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 s="68"/>
      <c r="AP1038" s="68"/>
      <c r="AQ1038" s="68"/>
      <c r="AR1038" s="68"/>
      <c r="AS1038" s="68"/>
      <c r="AT1038" s="68"/>
      <c r="AU1038" s="68"/>
    </row>
    <row r="1039" spans="7:47"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 s="68"/>
      <c r="AP1039" s="68"/>
      <c r="AQ1039" s="68"/>
      <c r="AR1039" s="68"/>
      <c r="AS1039" s="68"/>
      <c r="AT1039" s="68"/>
      <c r="AU1039" s="68"/>
    </row>
    <row r="1040" spans="7:47"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 s="68"/>
      <c r="AP1040" s="68"/>
      <c r="AQ1040" s="68"/>
      <c r="AR1040" s="68"/>
      <c r="AS1040" s="68"/>
      <c r="AT1040" s="68"/>
      <c r="AU1040" s="68"/>
    </row>
    <row r="1041" spans="7:47"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 s="68"/>
      <c r="AP1041" s="68"/>
      <c r="AQ1041" s="68"/>
      <c r="AR1041" s="68"/>
      <c r="AS1041" s="68"/>
      <c r="AT1041" s="68"/>
      <c r="AU1041" s="68"/>
    </row>
    <row r="1042" spans="7:47"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 s="68"/>
      <c r="AP1042" s="68"/>
      <c r="AQ1042" s="68"/>
      <c r="AR1042" s="68"/>
      <c r="AS1042" s="68"/>
      <c r="AT1042" s="68"/>
      <c r="AU1042" s="68"/>
    </row>
    <row r="1043" spans="7:47"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 s="68"/>
      <c r="AP1043" s="68"/>
      <c r="AQ1043" s="68"/>
      <c r="AR1043" s="68"/>
      <c r="AS1043" s="68"/>
      <c r="AT1043" s="68"/>
      <c r="AU1043" s="68"/>
    </row>
    <row r="1044" spans="7:47"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 s="68"/>
      <c r="AP1044" s="68"/>
      <c r="AQ1044" s="68"/>
      <c r="AR1044" s="68"/>
      <c r="AS1044" s="68"/>
      <c r="AT1044" s="68"/>
      <c r="AU1044" s="68"/>
    </row>
    <row r="1045" spans="7:47"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 s="68"/>
      <c r="AP1045" s="68"/>
      <c r="AQ1045" s="68"/>
      <c r="AR1045" s="68"/>
      <c r="AS1045" s="68"/>
      <c r="AT1045" s="68"/>
      <c r="AU1045" s="68"/>
    </row>
    <row r="1046" spans="7:47"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 s="68"/>
      <c r="AP1046" s="68"/>
      <c r="AQ1046" s="68"/>
      <c r="AR1046" s="68"/>
      <c r="AS1046" s="68"/>
      <c r="AT1046" s="68"/>
      <c r="AU1046" s="68"/>
    </row>
    <row r="1047" spans="7:47"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 s="68"/>
      <c r="AP1047" s="68"/>
      <c r="AQ1047" s="68"/>
      <c r="AR1047" s="68"/>
      <c r="AS1047" s="68"/>
      <c r="AT1047" s="68"/>
      <c r="AU1047" s="68"/>
    </row>
    <row r="1048" spans="7:47"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 s="68"/>
      <c r="AP1048" s="68"/>
      <c r="AQ1048" s="68"/>
      <c r="AR1048" s="68"/>
      <c r="AS1048" s="68"/>
      <c r="AT1048" s="68"/>
      <c r="AU1048" s="68"/>
    </row>
    <row r="1049" spans="7:47"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 s="68"/>
      <c r="AP1049" s="68"/>
      <c r="AQ1049" s="68"/>
      <c r="AR1049" s="68"/>
      <c r="AS1049" s="68"/>
      <c r="AT1049" s="68"/>
      <c r="AU1049" s="68"/>
    </row>
    <row r="1050" spans="7:47"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 s="68"/>
      <c r="AP1050" s="68"/>
      <c r="AQ1050" s="68"/>
      <c r="AR1050" s="68"/>
      <c r="AS1050" s="68"/>
      <c r="AT1050" s="68"/>
      <c r="AU1050" s="68"/>
    </row>
    <row r="1051" spans="7:47"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 s="68"/>
      <c r="AP1051" s="68"/>
      <c r="AQ1051" s="68"/>
      <c r="AR1051" s="68"/>
      <c r="AS1051" s="68"/>
      <c r="AT1051" s="68"/>
      <c r="AU1051" s="68"/>
    </row>
    <row r="1052" spans="7:47"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 s="68"/>
      <c r="AP1052" s="68"/>
      <c r="AQ1052" s="68"/>
      <c r="AR1052" s="68"/>
      <c r="AS1052" s="68"/>
      <c r="AT1052" s="68"/>
      <c r="AU1052" s="68"/>
    </row>
    <row r="1053" spans="7:47"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 s="68"/>
      <c r="AP1053" s="68"/>
      <c r="AQ1053" s="68"/>
      <c r="AR1053" s="68"/>
      <c r="AS1053" s="68"/>
      <c r="AT1053" s="68"/>
      <c r="AU1053" s="68"/>
    </row>
    <row r="1054" spans="7:47"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 s="68"/>
      <c r="AP1054" s="68"/>
      <c r="AQ1054" s="68"/>
      <c r="AR1054" s="68"/>
      <c r="AS1054" s="68"/>
      <c r="AT1054" s="68"/>
      <c r="AU1054" s="68"/>
    </row>
    <row r="1055" spans="7:47"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 s="68"/>
      <c r="AP1055" s="68"/>
      <c r="AQ1055" s="68"/>
      <c r="AR1055" s="68"/>
      <c r="AS1055" s="68"/>
      <c r="AT1055" s="68"/>
      <c r="AU1055" s="68"/>
    </row>
    <row r="1056" spans="7:47"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 s="68"/>
      <c r="AP1056" s="68"/>
      <c r="AQ1056" s="68"/>
      <c r="AR1056" s="68"/>
      <c r="AS1056" s="68"/>
      <c r="AT1056" s="68"/>
      <c r="AU1056" s="68"/>
    </row>
    <row r="1057" spans="7:47"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 s="68"/>
      <c r="AP1057" s="68"/>
      <c r="AQ1057" s="68"/>
      <c r="AR1057" s="68"/>
      <c r="AS1057" s="68"/>
      <c r="AT1057" s="68"/>
      <c r="AU1057" s="68"/>
    </row>
    <row r="1058" spans="7:47"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 s="68"/>
      <c r="AP1058" s="68"/>
      <c r="AQ1058" s="68"/>
      <c r="AR1058" s="68"/>
      <c r="AS1058" s="68"/>
      <c r="AT1058" s="68"/>
      <c r="AU1058" s="68"/>
    </row>
    <row r="1059" spans="7:47"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 s="68"/>
      <c r="AP1059" s="68"/>
      <c r="AQ1059" s="68"/>
      <c r="AR1059" s="68"/>
      <c r="AS1059" s="68"/>
      <c r="AT1059" s="68"/>
      <c r="AU1059" s="68"/>
    </row>
    <row r="1060" spans="7:47"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 s="68"/>
      <c r="AP1060" s="68"/>
      <c r="AQ1060" s="68"/>
      <c r="AR1060" s="68"/>
      <c r="AS1060" s="68"/>
      <c r="AT1060" s="68"/>
      <c r="AU1060" s="68"/>
    </row>
    <row r="1061" spans="7:47"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 s="68"/>
      <c r="AP1061" s="68"/>
      <c r="AQ1061" s="68"/>
      <c r="AR1061" s="68"/>
      <c r="AS1061" s="68"/>
      <c r="AT1061" s="68"/>
      <c r="AU1061" s="68"/>
    </row>
    <row r="1062" spans="7:47"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 s="68"/>
      <c r="AP1062" s="68"/>
      <c r="AQ1062" s="68"/>
      <c r="AR1062" s="68"/>
      <c r="AS1062" s="68"/>
      <c r="AT1062" s="68"/>
      <c r="AU1062" s="68"/>
    </row>
    <row r="1063" spans="7:47"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 s="68"/>
      <c r="AP1063" s="68"/>
      <c r="AQ1063" s="68"/>
      <c r="AR1063" s="68"/>
      <c r="AS1063" s="68"/>
      <c r="AT1063" s="68"/>
      <c r="AU1063" s="68"/>
    </row>
    <row r="1064" spans="7:47"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 s="68"/>
      <c r="AP1064" s="68"/>
      <c r="AQ1064" s="68"/>
      <c r="AR1064" s="68"/>
      <c r="AS1064" s="68"/>
      <c r="AT1064" s="68"/>
      <c r="AU1064" s="68"/>
    </row>
    <row r="1065" spans="7:47"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 s="68"/>
      <c r="AP1065" s="68"/>
      <c r="AQ1065" s="68"/>
      <c r="AR1065" s="68"/>
      <c r="AS1065" s="68"/>
      <c r="AT1065" s="68"/>
      <c r="AU1065" s="68"/>
    </row>
    <row r="1066" spans="7:47"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 s="68"/>
      <c r="AP1066" s="68"/>
      <c r="AQ1066" s="68"/>
      <c r="AR1066" s="68"/>
      <c r="AS1066" s="68"/>
      <c r="AT1066" s="68"/>
      <c r="AU1066" s="68"/>
    </row>
    <row r="1067" spans="7:47"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 s="68"/>
      <c r="AP1067" s="68"/>
      <c r="AQ1067" s="68"/>
      <c r="AR1067" s="68"/>
      <c r="AS1067" s="68"/>
      <c r="AT1067" s="68"/>
      <c r="AU1067" s="68"/>
    </row>
    <row r="1068" spans="7:47"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 s="68"/>
      <c r="AP1068" s="68"/>
      <c r="AQ1068" s="68"/>
      <c r="AR1068" s="68"/>
      <c r="AS1068" s="68"/>
      <c r="AT1068" s="68"/>
      <c r="AU1068" s="68"/>
    </row>
    <row r="1069" spans="7:47"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 s="68"/>
      <c r="AP1069" s="68"/>
      <c r="AQ1069" s="68"/>
      <c r="AR1069" s="68"/>
      <c r="AS1069" s="68"/>
      <c r="AT1069" s="68"/>
      <c r="AU1069" s="68"/>
    </row>
    <row r="1070" spans="7:47"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 s="68"/>
      <c r="AP1070" s="68"/>
      <c r="AQ1070" s="68"/>
      <c r="AR1070" s="68"/>
      <c r="AS1070" s="68"/>
      <c r="AT1070" s="68"/>
      <c r="AU1070" s="68"/>
    </row>
    <row r="1071" spans="7:47"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 s="68"/>
      <c r="AP1071" s="68"/>
      <c r="AQ1071" s="68"/>
      <c r="AR1071" s="68"/>
      <c r="AS1071" s="68"/>
      <c r="AT1071" s="68"/>
      <c r="AU1071" s="68"/>
    </row>
    <row r="1072" spans="7:47"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 s="68"/>
      <c r="AP1072" s="68"/>
      <c r="AQ1072" s="68"/>
      <c r="AR1072" s="68"/>
      <c r="AS1072" s="68"/>
      <c r="AT1072" s="68"/>
      <c r="AU1072" s="68"/>
    </row>
    <row r="1073" spans="7:47"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 s="68"/>
      <c r="AP1073" s="68"/>
      <c r="AQ1073" s="68"/>
      <c r="AR1073" s="68"/>
      <c r="AS1073" s="68"/>
      <c r="AT1073" s="68"/>
      <c r="AU1073" s="68"/>
    </row>
    <row r="1074" spans="7:47"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 s="68"/>
      <c r="AP1074" s="68"/>
      <c r="AQ1074" s="68"/>
      <c r="AR1074" s="68"/>
      <c r="AS1074" s="68"/>
      <c r="AT1074" s="68"/>
      <c r="AU1074" s="68"/>
    </row>
    <row r="1075" spans="7:47"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 s="68"/>
      <c r="AP1075" s="68"/>
      <c r="AQ1075" s="68"/>
      <c r="AR1075" s="68"/>
      <c r="AS1075" s="68"/>
      <c r="AT1075" s="68"/>
      <c r="AU1075" s="68"/>
    </row>
    <row r="1076" spans="7:47"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 s="68"/>
      <c r="AP1076" s="68"/>
      <c r="AQ1076" s="68"/>
      <c r="AR1076" s="68"/>
      <c r="AS1076" s="68"/>
      <c r="AT1076" s="68"/>
      <c r="AU1076" s="68"/>
    </row>
    <row r="1077" spans="7:47"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 s="68"/>
      <c r="AP1077" s="68"/>
      <c r="AQ1077" s="68"/>
      <c r="AR1077" s="68"/>
      <c r="AS1077" s="68"/>
      <c r="AT1077" s="68"/>
      <c r="AU1077" s="68"/>
    </row>
    <row r="1078" spans="7:47"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 s="68"/>
      <c r="AP1078" s="68"/>
      <c r="AQ1078" s="68"/>
      <c r="AR1078" s="68"/>
      <c r="AS1078" s="68"/>
      <c r="AT1078" s="68"/>
      <c r="AU1078" s="68"/>
    </row>
    <row r="1079" spans="7:47"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 s="68"/>
      <c r="AP1079" s="68"/>
      <c r="AQ1079" s="68"/>
      <c r="AR1079" s="68"/>
      <c r="AS1079" s="68"/>
      <c r="AT1079" s="68"/>
      <c r="AU1079" s="68"/>
    </row>
    <row r="1080" spans="7:47"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 s="68"/>
      <c r="AP1080" s="68"/>
      <c r="AQ1080" s="68"/>
      <c r="AR1080" s="68"/>
      <c r="AS1080" s="68"/>
      <c r="AT1080" s="68"/>
      <c r="AU1080" s="68"/>
    </row>
    <row r="1081" spans="7:47"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 s="68"/>
      <c r="AP1081" s="68"/>
      <c r="AQ1081" s="68"/>
      <c r="AR1081" s="68"/>
      <c r="AS1081" s="68"/>
      <c r="AT1081" s="68"/>
      <c r="AU1081" s="68"/>
    </row>
    <row r="1082" spans="7:47"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 s="68"/>
      <c r="AP1082" s="68"/>
      <c r="AQ1082" s="68"/>
      <c r="AR1082" s="68"/>
      <c r="AS1082" s="68"/>
      <c r="AT1082" s="68"/>
      <c r="AU1082" s="68"/>
    </row>
    <row r="1083" spans="7:47"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 s="68"/>
      <c r="AP1083" s="68"/>
      <c r="AQ1083" s="68"/>
      <c r="AR1083" s="68"/>
      <c r="AS1083" s="68"/>
      <c r="AT1083" s="68"/>
      <c r="AU1083" s="68"/>
    </row>
    <row r="1084" spans="7:47"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 s="68"/>
      <c r="AP1084" s="68"/>
      <c r="AQ1084" s="68"/>
      <c r="AR1084" s="68"/>
      <c r="AS1084" s="68"/>
      <c r="AT1084" s="68"/>
      <c r="AU1084" s="68"/>
    </row>
    <row r="1085" spans="7:47"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 s="68"/>
      <c r="AP1085" s="68"/>
      <c r="AQ1085" s="68"/>
      <c r="AR1085" s="68"/>
      <c r="AS1085" s="68"/>
      <c r="AT1085" s="68"/>
      <c r="AU1085" s="68"/>
    </row>
    <row r="1086" spans="7:47"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 s="68"/>
      <c r="AP1086" s="68"/>
      <c r="AQ1086" s="68"/>
      <c r="AR1086" s="68"/>
      <c r="AS1086" s="68"/>
      <c r="AT1086" s="68"/>
      <c r="AU1086" s="68"/>
    </row>
    <row r="1087" spans="7:47"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 s="68"/>
      <c r="AP1087" s="68"/>
      <c r="AQ1087" s="68"/>
      <c r="AR1087" s="68"/>
      <c r="AS1087" s="68"/>
      <c r="AT1087" s="68"/>
      <c r="AU1087" s="68"/>
    </row>
    <row r="1088" spans="7:47"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 s="68"/>
      <c r="AP1088" s="68"/>
      <c r="AQ1088" s="68"/>
      <c r="AR1088" s="68"/>
      <c r="AS1088" s="68"/>
      <c r="AT1088" s="68"/>
      <c r="AU1088" s="68"/>
    </row>
    <row r="1089" spans="7:47"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 s="68"/>
      <c r="AP1089" s="68"/>
      <c r="AQ1089" s="68"/>
      <c r="AR1089" s="68"/>
      <c r="AS1089" s="68"/>
      <c r="AT1089" s="68"/>
      <c r="AU1089" s="68"/>
    </row>
    <row r="1090" spans="7:47"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 s="68"/>
      <c r="AP1090" s="68"/>
      <c r="AQ1090" s="68"/>
      <c r="AR1090" s="68"/>
      <c r="AS1090" s="68"/>
      <c r="AT1090" s="68"/>
      <c r="AU1090" s="68"/>
    </row>
    <row r="1091" spans="7:47"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 s="68"/>
      <c r="AP1091" s="68"/>
      <c r="AQ1091" s="68"/>
      <c r="AR1091" s="68"/>
      <c r="AS1091" s="68"/>
      <c r="AT1091" s="68"/>
      <c r="AU1091" s="68"/>
    </row>
    <row r="1092" spans="7:47"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 s="68"/>
      <c r="AP1092" s="68"/>
      <c r="AQ1092" s="68"/>
      <c r="AR1092" s="68"/>
      <c r="AS1092" s="68"/>
      <c r="AT1092" s="68"/>
      <c r="AU1092" s="68"/>
    </row>
    <row r="1093" spans="7:47"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 s="68"/>
      <c r="AP1093" s="68"/>
      <c r="AQ1093" s="68"/>
      <c r="AR1093" s="68"/>
      <c r="AS1093" s="68"/>
      <c r="AT1093" s="68"/>
      <c r="AU1093" s="68"/>
    </row>
    <row r="1094" spans="7:47"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 s="68"/>
      <c r="AP1094" s="68"/>
      <c r="AQ1094" s="68"/>
      <c r="AR1094" s="68"/>
      <c r="AS1094" s="68"/>
      <c r="AT1094" s="68"/>
      <c r="AU1094" s="68"/>
    </row>
    <row r="1095" spans="7:47"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 s="68"/>
      <c r="AP1095" s="68"/>
      <c r="AQ1095" s="68"/>
      <c r="AR1095" s="68"/>
      <c r="AS1095" s="68"/>
      <c r="AT1095" s="68"/>
      <c r="AU1095" s="68"/>
    </row>
    <row r="1096" spans="7:47"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 s="68"/>
      <c r="AP1096" s="68"/>
      <c r="AQ1096" s="68"/>
      <c r="AR1096" s="68"/>
      <c r="AS1096" s="68"/>
      <c r="AT1096" s="68"/>
      <c r="AU1096" s="68"/>
    </row>
    <row r="1097" spans="7:47"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 s="68"/>
      <c r="AP1097" s="68"/>
      <c r="AQ1097" s="68"/>
      <c r="AR1097" s="68"/>
      <c r="AS1097" s="68"/>
      <c r="AT1097" s="68"/>
      <c r="AU1097" s="68"/>
    </row>
    <row r="1098" spans="7:47"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 s="68"/>
      <c r="AP1098" s="68"/>
      <c r="AQ1098" s="68"/>
      <c r="AR1098" s="68"/>
      <c r="AS1098" s="68"/>
      <c r="AT1098" s="68"/>
      <c r="AU1098" s="68"/>
    </row>
    <row r="1099" spans="7:47"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 s="68"/>
      <c r="AP1099" s="68"/>
      <c r="AQ1099" s="68"/>
      <c r="AR1099" s="68"/>
      <c r="AS1099" s="68"/>
      <c r="AT1099" s="68"/>
      <c r="AU1099" s="68"/>
    </row>
    <row r="1100" spans="7:47"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 s="68"/>
      <c r="AP1100" s="68"/>
      <c r="AQ1100" s="68"/>
      <c r="AR1100" s="68"/>
      <c r="AS1100" s="68"/>
      <c r="AT1100" s="68"/>
      <c r="AU1100" s="68"/>
    </row>
    <row r="1101" spans="7:47"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 s="68"/>
      <c r="AP1101" s="68"/>
      <c r="AQ1101" s="68"/>
      <c r="AR1101" s="68"/>
      <c r="AS1101" s="68"/>
      <c r="AT1101" s="68"/>
      <c r="AU1101" s="68"/>
    </row>
    <row r="1102" spans="7:47"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 s="68"/>
      <c r="AP1102" s="68"/>
      <c r="AQ1102" s="68"/>
      <c r="AR1102" s="68"/>
      <c r="AS1102" s="68"/>
      <c r="AT1102" s="68"/>
      <c r="AU1102" s="68"/>
    </row>
    <row r="1103" spans="7:47"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 s="68"/>
      <c r="AP1103" s="68"/>
      <c r="AQ1103" s="68"/>
      <c r="AR1103" s="68"/>
      <c r="AS1103" s="68"/>
      <c r="AT1103" s="68"/>
      <c r="AU1103" s="68"/>
    </row>
    <row r="1104" spans="7:47"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 s="68"/>
      <c r="AP1104" s="68"/>
      <c r="AQ1104" s="68"/>
      <c r="AR1104" s="68"/>
      <c r="AS1104" s="68"/>
      <c r="AT1104" s="68"/>
      <c r="AU1104" s="68"/>
    </row>
    <row r="1105" spans="7:47"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 s="68"/>
      <c r="AP1105" s="68"/>
      <c r="AQ1105" s="68"/>
      <c r="AR1105" s="68"/>
      <c r="AS1105" s="68"/>
      <c r="AT1105" s="68"/>
      <c r="AU1105" s="68"/>
    </row>
    <row r="1106" spans="7:47"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 s="68"/>
      <c r="AP1106" s="68"/>
      <c r="AQ1106" s="68"/>
      <c r="AR1106" s="68"/>
      <c r="AS1106" s="68"/>
      <c r="AT1106" s="68"/>
      <c r="AU1106" s="68"/>
    </row>
    <row r="1107" spans="7:47"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 s="68"/>
      <c r="AP1107" s="68"/>
      <c r="AQ1107" s="68"/>
      <c r="AR1107" s="68"/>
      <c r="AS1107" s="68"/>
      <c r="AT1107" s="68"/>
      <c r="AU1107" s="68"/>
    </row>
    <row r="1108" spans="7:47"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 s="68"/>
      <c r="AP1108" s="68"/>
      <c r="AQ1108" s="68"/>
      <c r="AR1108" s="68"/>
      <c r="AS1108" s="68"/>
      <c r="AT1108" s="68"/>
      <c r="AU1108" s="68"/>
    </row>
    <row r="1109" spans="7:47"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 s="68"/>
      <c r="AP1109" s="68"/>
      <c r="AQ1109" s="68"/>
      <c r="AR1109" s="68"/>
      <c r="AS1109" s="68"/>
      <c r="AT1109" s="68"/>
      <c r="AU1109" s="68"/>
    </row>
    <row r="1110" spans="7:47"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 s="68"/>
      <c r="AP1110" s="68"/>
      <c r="AQ1110" s="68"/>
      <c r="AR1110" s="68"/>
      <c r="AS1110" s="68"/>
      <c r="AT1110" s="68"/>
      <c r="AU1110" s="68"/>
    </row>
    <row r="1111" spans="7:47"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 s="68"/>
      <c r="AP1111" s="68"/>
      <c r="AQ1111" s="68"/>
      <c r="AR1111" s="68"/>
      <c r="AS1111" s="68"/>
      <c r="AT1111" s="68"/>
      <c r="AU1111" s="68"/>
    </row>
    <row r="1112" spans="7:47"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 s="68"/>
      <c r="AP1112" s="68"/>
      <c r="AQ1112" s="68"/>
      <c r="AR1112" s="68"/>
      <c r="AS1112" s="68"/>
      <c r="AT1112" s="68"/>
      <c r="AU1112" s="68"/>
    </row>
    <row r="1113" spans="7:47"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 s="68"/>
      <c r="AP1113" s="68"/>
      <c r="AQ1113" s="68"/>
      <c r="AR1113" s="68"/>
      <c r="AS1113" s="68"/>
      <c r="AT1113" s="68"/>
      <c r="AU1113" s="68"/>
    </row>
    <row r="1114" spans="7:47"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 s="68"/>
      <c r="AP1114" s="68"/>
      <c r="AQ1114" s="68"/>
      <c r="AR1114" s="68"/>
      <c r="AS1114" s="68"/>
      <c r="AT1114" s="68"/>
      <c r="AU1114" s="68"/>
    </row>
    <row r="1115" spans="7:47"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 s="68"/>
      <c r="AP1115" s="68"/>
      <c r="AQ1115" s="68"/>
      <c r="AR1115" s="68"/>
      <c r="AS1115" s="68"/>
      <c r="AT1115" s="68"/>
      <c r="AU1115" s="68"/>
    </row>
    <row r="1116" spans="7:47"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 s="68"/>
      <c r="AP1116" s="68"/>
      <c r="AQ1116" s="68"/>
      <c r="AR1116" s="68"/>
      <c r="AS1116" s="68"/>
      <c r="AT1116" s="68"/>
      <c r="AU1116" s="68"/>
    </row>
    <row r="1117" spans="7:47"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 s="68"/>
      <c r="AP1117" s="68"/>
      <c r="AQ1117" s="68"/>
      <c r="AR1117" s="68"/>
      <c r="AS1117" s="68"/>
      <c r="AT1117" s="68"/>
      <c r="AU1117" s="68"/>
    </row>
    <row r="1118" spans="7:47"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 s="68"/>
      <c r="AP1118" s="68"/>
      <c r="AQ1118" s="68"/>
      <c r="AR1118" s="68"/>
      <c r="AS1118" s="68"/>
      <c r="AT1118" s="68"/>
      <c r="AU1118" s="68"/>
    </row>
    <row r="1119" spans="7:47"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 s="68"/>
      <c r="AP1119" s="68"/>
      <c r="AQ1119" s="68"/>
      <c r="AR1119" s="68"/>
      <c r="AS1119" s="68"/>
      <c r="AT1119" s="68"/>
      <c r="AU1119" s="68"/>
    </row>
    <row r="1120" spans="7:47"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 s="68"/>
      <c r="AP1120" s="68"/>
      <c r="AQ1120" s="68"/>
      <c r="AR1120" s="68"/>
      <c r="AS1120" s="68"/>
      <c r="AT1120" s="68"/>
      <c r="AU1120" s="68"/>
    </row>
    <row r="1121" spans="7:47"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 s="68"/>
      <c r="AP1121" s="68"/>
      <c r="AQ1121" s="68"/>
      <c r="AR1121" s="68"/>
      <c r="AS1121" s="68"/>
      <c r="AT1121" s="68"/>
      <c r="AU1121" s="68"/>
    </row>
    <row r="1122" spans="7:47"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 s="68"/>
      <c r="AP1122" s="68"/>
      <c r="AQ1122" s="68"/>
      <c r="AR1122" s="68"/>
      <c r="AS1122" s="68"/>
      <c r="AT1122" s="68"/>
      <c r="AU1122" s="68"/>
    </row>
    <row r="1123" spans="7:47"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 s="68"/>
      <c r="AP1123" s="68"/>
      <c r="AQ1123" s="68"/>
      <c r="AR1123" s="68"/>
      <c r="AS1123" s="68"/>
      <c r="AT1123" s="68"/>
      <c r="AU1123" s="68"/>
    </row>
    <row r="1124" spans="7:47"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 s="68"/>
      <c r="AP1124" s="68"/>
      <c r="AQ1124" s="68"/>
      <c r="AR1124" s="68"/>
      <c r="AS1124" s="68"/>
      <c r="AT1124" s="68"/>
      <c r="AU1124" s="68"/>
    </row>
    <row r="1125" spans="7:47"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 s="68"/>
      <c r="AP1125" s="68"/>
      <c r="AQ1125" s="68"/>
      <c r="AR1125" s="68"/>
      <c r="AS1125" s="68"/>
      <c r="AT1125" s="68"/>
      <c r="AU1125" s="68"/>
    </row>
    <row r="1126" spans="7:47"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 s="68"/>
      <c r="AP1126" s="68"/>
      <c r="AQ1126" s="68"/>
      <c r="AR1126" s="68"/>
      <c r="AS1126" s="68"/>
      <c r="AT1126" s="68"/>
      <c r="AU1126" s="68"/>
    </row>
    <row r="1127" spans="7:47"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 s="68"/>
      <c r="AP1127" s="68"/>
      <c r="AQ1127" s="68"/>
      <c r="AR1127" s="68"/>
      <c r="AS1127" s="68"/>
      <c r="AT1127" s="68"/>
      <c r="AU1127" s="68"/>
    </row>
    <row r="1128" spans="7:47"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 s="68"/>
      <c r="AP1128" s="68"/>
      <c r="AQ1128" s="68"/>
      <c r="AR1128" s="68"/>
      <c r="AS1128" s="68"/>
      <c r="AT1128" s="68"/>
      <c r="AU1128" s="68"/>
    </row>
    <row r="1129" spans="7:47"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 s="68"/>
      <c r="AP1129" s="68"/>
      <c r="AQ1129" s="68"/>
      <c r="AR1129" s="68"/>
      <c r="AS1129" s="68"/>
      <c r="AT1129" s="68"/>
      <c r="AU1129" s="68"/>
    </row>
    <row r="1130" spans="7:47"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 s="68"/>
      <c r="AP1130" s="68"/>
      <c r="AQ1130" s="68"/>
      <c r="AR1130" s="68"/>
      <c r="AS1130" s="68"/>
      <c r="AT1130" s="68"/>
      <c r="AU1130" s="68"/>
    </row>
    <row r="1131" spans="7:47"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 s="68"/>
      <c r="AP1131" s="68"/>
      <c r="AQ1131" s="68"/>
      <c r="AR1131" s="68"/>
      <c r="AS1131" s="68"/>
      <c r="AT1131" s="68"/>
      <c r="AU1131" s="68"/>
    </row>
    <row r="1132" spans="7:47"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 s="68"/>
      <c r="AP1132" s="68"/>
      <c r="AQ1132" s="68"/>
      <c r="AR1132" s="68"/>
      <c r="AS1132" s="68"/>
      <c r="AT1132" s="68"/>
      <c r="AU1132" s="68"/>
    </row>
    <row r="1133" spans="7:47"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 s="68"/>
      <c r="AP1133" s="68"/>
      <c r="AQ1133" s="68"/>
      <c r="AR1133" s="68"/>
      <c r="AS1133" s="68"/>
      <c r="AT1133" s="68"/>
      <c r="AU1133" s="68"/>
    </row>
    <row r="1134" spans="7:47"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 s="68"/>
      <c r="AP1134" s="68"/>
      <c r="AQ1134" s="68"/>
      <c r="AR1134" s="68"/>
      <c r="AS1134" s="68"/>
      <c r="AT1134" s="68"/>
      <c r="AU1134" s="68"/>
    </row>
    <row r="1135" spans="7:47"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 s="68"/>
      <c r="AP1135" s="68"/>
      <c r="AQ1135" s="68"/>
      <c r="AR1135" s="68"/>
      <c r="AS1135" s="68"/>
      <c r="AT1135" s="68"/>
      <c r="AU1135" s="68"/>
    </row>
    <row r="1136" spans="7:47"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 s="68"/>
      <c r="AP1136" s="68"/>
      <c r="AQ1136" s="68"/>
      <c r="AR1136" s="68"/>
      <c r="AS1136" s="68"/>
      <c r="AT1136" s="68"/>
      <c r="AU1136" s="68"/>
    </row>
    <row r="1137" spans="7:47"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 s="68"/>
      <c r="AP1137" s="68"/>
      <c r="AQ1137" s="68"/>
      <c r="AR1137" s="68"/>
      <c r="AS1137" s="68"/>
      <c r="AT1137" s="68"/>
      <c r="AU1137" s="68"/>
    </row>
    <row r="1138" spans="7:47"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 s="68"/>
      <c r="AP1138" s="68"/>
      <c r="AQ1138" s="68"/>
      <c r="AR1138" s="68"/>
      <c r="AS1138" s="68"/>
      <c r="AT1138" s="68"/>
      <c r="AU1138" s="68"/>
    </row>
    <row r="1139" spans="7:47"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 s="68"/>
      <c r="AP1139" s="68"/>
      <c r="AQ1139" s="68"/>
      <c r="AR1139" s="68"/>
      <c r="AS1139" s="68"/>
      <c r="AT1139" s="68"/>
      <c r="AU1139" s="68"/>
    </row>
    <row r="1140" spans="7:47"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 s="68"/>
      <c r="AP1140" s="68"/>
      <c r="AQ1140" s="68"/>
      <c r="AR1140" s="68"/>
      <c r="AS1140" s="68"/>
      <c r="AT1140" s="68"/>
      <c r="AU1140" s="68"/>
    </row>
    <row r="1141" spans="7:47"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 s="68"/>
      <c r="AP1141" s="68"/>
      <c r="AQ1141" s="68"/>
      <c r="AR1141" s="68"/>
      <c r="AS1141" s="68"/>
      <c r="AT1141" s="68"/>
      <c r="AU1141" s="68"/>
    </row>
    <row r="1142" spans="7:47"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 s="68"/>
      <c r="AP1142" s="68"/>
      <c r="AQ1142" s="68"/>
      <c r="AR1142" s="68"/>
      <c r="AS1142" s="68"/>
      <c r="AT1142" s="68"/>
      <c r="AU1142" s="68"/>
    </row>
    <row r="1143" spans="7:47"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 s="68"/>
      <c r="AP1143" s="68"/>
      <c r="AQ1143" s="68"/>
      <c r="AR1143" s="68"/>
      <c r="AS1143" s="68"/>
      <c r="AT1143" s="68"/>
      <c r="AU1143" s="68"/>
    </row>
    <row r="1144" spans="7:47"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 s="68"/>
      <c r="AP1144" s="68"/>
      <c r="AQ1144" s="68"/>
      <c r="AR1144" s="68"/>
      <c r="AS1144" s="68"/>
      <c r="AT1144" s="68"/>
      <c r="AU1144" s="68"/>
    </row>
    <row r="1145" spans="7:47"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 s="68"/>
      <c r="AP1145" s="68"/>
      <c r="AQ1145" s="68"/>
      <c r="AR1145" s="68"/>
      <c r="AS1145" s="68"/>
      <c r="AT1145" s="68"/>
      <c r="AU1145" s="68"/>
    </row>
    <row r="1146" spans="7:47"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 s="68"/>
      <c r="AP1146" s="68"/>
      <c r="AQ1146" s="68"/>
      <c r="AR1146" s="68"/>
      <c r="AS1146" s="68"/>
      <c r="AT1146" s="68"/>
      <c r="AU1146" s="68"/>
    </row>
    <row r="1147" spans="7:47"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 s="68"/>
      <c r="AP1147" s="68"/>
      <c r="AQ1147" s="68"/>
      <c r="AR1147" s="68"/>
      <c r="AS1147" s="68"/>
      <c r="AT1147" s="68"/>
      <c r="AU1147" s="68"/>
    </row>
    <row r="1148" spans="7:47"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 s="68"/>
      <c r="AP1148" s="68"/>
      <c r="AQ1148" s="68"/>
      <c r="AR1148" s="68"/>
      <c r="AS1148" s="68"/>
      <c r="AT1148" s="68"/>
      <c r="AU1148" s="68"/>
    </row>
    <row r="1149" spans="7:47"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 s="68"/>
      <c r="AP1149" s="68"/>
      <c r="AQ1149" s="68"/>
      <c r="AR1149" s="68"/>
      <c r="AS1149" s="68"/>
      <c r="AT1149" s="68"/>
      <c r="AU1149" s="68"/>
    </row>
    <row r="1150" spans="7:47"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 s="68"/>
      <c r="AP1150" s="68"/>
      <c r="AQ1150" s="68"/>
      <c r="AR1150" s="68"/>
      <c r="AS1150" s="68"/>
      <c r="AT1150" s="68"/>
      <c r="AU1150" s="68"/>
    </row>
    <row r="1151" spans="7:47"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 s="68"/>
      <c r="AP1151" s="68"/>
      <c r="AQ1151" s="68"/>
      <c r="AR1151" s="68"/>
      <c r="AS1151" s="68"/>
      <c r="AT1151" s="68"/>
      <c r="AU1151" s="68"/>
    </row>
    <row r="1152" spans="7:47"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 s="68"/>
      <c r="AP1152" s="68"/>
      <c r="AQ1152" s="68"/>
      <c r="AR1152" s="68"/>
      <c r="AS1152" s="68"/>
      <c r="AT1152" s="68"/>
      <c r="AU1152" s="68"/>
    </row>
    <row r="1153" spans="7:47"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 s="68"/>
      <c r="AP1153" s="68"/>
      <c r="AQ1153" s="68"/>
      <c r="AR1153" s="68"/>
      <c r="AS1153" s="68"/>
      <c r="AT1153" s="68"/>
      <c r="AU1153" s="68"/>
    </row>
    <row r="1154" spans="7:47"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 s="68"/>
      <c r="AP1154" s="68"/>
      <c r="AQ1154" s="68"/>
      <c r="AR1154" s="68"/>
      <c r="AS1154" s="68"/>
      <c r="AT1154" s="68"/>
      <c r="AU1154" s="68"/>
    </row>
    <row r="1155" spans="7:47"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 s="68"/>
      <c r="AP1155" s="68"/>
      <c r="AQ1155" s="68"/>
      <c r="AR1155" s="68"/>
      <c r="AS1155" s="68"/>
      <c r="AT1155" s="68"/>
      <c r="AU1155" s="68"/>
    </row>
    <row r="1156" spans="7:47"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 s="68"/>
      <c r="AP1156" s="68"/>
      <c r="AQ1156" s="68"/>
      <c r="AR1156" s="68"/>
      <c r="AS1156" s="68"/>
      <c r="AT1156" s="68"/>
      <c r="AU1156" s="68"/>
    </row>
    <row r="1157" spans="7:47"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 s="68"/>
      <c r="AP1157" s="68"/>
      <c r="AQ1157" s="68"/>
      <c r="AR1157" s="68"/>
      <c r="AS1157" s="68"/>
      <c r="AT1157" s="68"/>
      <c r="AU1157" s="68"/>
    </row>
    <row r="1158" spans="7:47"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 s="68"/>
      <c r="AP1158" s="68"/>
      <c r="AQ1158" s="68"/>
      <c r="AR1158" s="68"/>
      <c r="AS1158" s="68"/>
      <c r="AT1158" s="68"/>
      <c r="AU1158" s="68"/>
    </row>
    <row r="1159" spans="7:47"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 s="68"/>
      <c r="AP1159" s="68"/>
      <c r="AQ1159" s="68"/>
      <c r="AR1159" s="68"/>
      <c r="AS1159" s="68"/>
      <c r="AT1159" s="68"/>
      <c r="AU1159" s="68"/>
    </row>
    <row r="1160" spans="7:47"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 s="68"/>
      <c r="AP1160" s="68"/>
      <c r="AQ1160" s="68"/>
      <c r="AR1160" s="68"/>
      <c r="AS1160" s="68"/>
      <c r="AT1160" s="68"/>
      <c r="AU1160" s="68"/>
    </row>
    <row r="1161" spans="7:47"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 s="68"/>
      <c r="AP1161" s="68"/>
      <c r="AQ1161" s="68"/>
      <c r="AR1161" s="68"/>
      <c r="AS1161" s="68"/>
      <c r="AT1161" s="68"/>
      <c r="AU1161" s="68"/>
    </row>
    <row r="1162" spans="7:47"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 s="68"/>
      <c r="AP1162" s="68"/>
      <c r="AQ1162" s="68"/>
      <c r="AR1162" s="68"/>
      <c r="AS1162" s="68"/>
      <c r="AT1162" s="68"/>
      <c r="AU1162" s="68"/>
    </row>
    <row r="1163" spans="7:47"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 s="68"/>
      <c r="AP1163" s="68"/>
      <c r="AQ1163" s="68"/>
      <c r="AR1163" s="68"/>
      <c r="AS1163" s="68"/>
      <c r="AT1163" s="68"/>
      <c r="AU1163" s="68"/>
    </row>
    <row r="1164" spans="7:47"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 s="68"/>
      <c r="AP1164" s="68"/>
      <c r="AQ1164" s="68"/>
      <c r="AR1164" s="68"/>
      <c r="AS1164" s="68"/>
      <c r="AT1164" s="68"/>
      <c r="AU1164" s="68"/>
    </row>
    <row r="1165" spans="7:47"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 s="68"/>
      <c r="AP1165" s="68"/>
      <c r="AQ1165" s="68"/>
      <c r="AR1165" s="68"/>
      <c r="AS1165" s="68"/>
      <c r="AT1165" s="68"/>
      <c r="AU1165" s="68"/>
    </row>
    <row r="1166" spans="7:47"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 s="68"/>
      <c r="AP1166" s="68"/>
      <c r="AQ1166" s="68"/>
      <c r="AR1166" s="68"/>
      <c r="AS1166" s="68"/>
      <c r="AT1166" s="68"/>
      <c r="AU1166" s="68"/>
    </row>
    <row r="1167" spans="7:47"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 s="68"/>
      <c r="AP1167" s="68"/>
      <c r="AQ1167" s="68"/>
      <c r="AR1167" s="68"/>
      <c r="AS1167" s="68"/>
      <c r="AT1167" s="68"/>
      <c r="AU1167" s="68"/>
    </row>
    <row r="1168" spans="7:47"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 s="68"/>
      <c r="AP1168" s="68"/>
      <c r="AQ1168" s="68"/>
      <c r="AR1168" s="68"/>
      <c r="AS1168" s="68"/>
      <c r="AT1168" s="68"/>
      <c r="AU1168" s="68"/>
    </row>
    <row r="1169" spans="7:47"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 s="68"/>
      <c r="AP1169" s="68"/>
      <c r="AQ1169" s="68"/>
      <c r="AR1169" s="68"/>
      <c r="AS1169" s="68"/>
      <c r="AT1169" s="68"/>
      <c r="AU1169" s="68"/>
    </row>
    <row r="1170" spans="7:47"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 s="68"/>
      <c r="AP1170" s="68"/>
      <c r="AQ1170" s="68"/>
      <c r="AR1170" s="68"/>
      <c r="AS1170" s="68"/>
      <c r="AT1170" s="68"/>
      <c r="AU1170" s="68"/>
    </row>
    <row r="1171" spans="7:47"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 s="68"/>
      <c r="AP1171" s="68"/>
      <c r="AQ1171" s="68"/>
      <c r="AR1171" s="68"/>
      <c r="AS1171" s="68"/>
      <c r="AT1171" s="68"/>
      <c r="AU1171" s="68"/>
    </row>
    <row r="1172" spans="7:47"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 s="68"/>
      <c r="AP1172" s="68"/>
      <c r="AQ1172" s="68"/>
      <c r="AR1172" s="68"/>
      <c r="AS1172" s="68"/>
      <c r="AT1172" s="68"/>
      <c r="AU1172" s="68"/>
    </row>
    <row r="1173" spans="7:47"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 s="68"/>
      <c r="AP1173" s="68"/>
      <c r="AQ1173" s="68"/>
      <c r="AR1173" s="68"/>
      <c r="AS1173" s="68"/>
      <c r="AT1173" s="68"/>
      <c r="AU1173" s="68"/>
    </row>
    <row r="1174" spans="7:47"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 s="68"/>
      <c r="AP1174" s="68"/>
      <c r="AQ1174" s="68"/>
      <c r="AR1174" s="68"/>
      <c r="AS1174" s="68"/>
      <c r="AT1174" s="68"/>
      <c r="AU1174" s="68"/>
    </row>
    <row r="1175" spans="7:47"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 s="68"/>
      <c r="AP1175" s="68"/>
      <c r="AQ1175" s="68"/>
      <c r="AR1175" s="68"/>
      <c r="AS1175" s="68"/>
      <c r="AT1175" s="68"/>
      <c r="AU1175" s="68"/>
    </row>
    <row r="1176" spans="7:47"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 s="68"/>
      <c r="AP1176" s="68"/>
      <c r="AQ1176" s="68"/>
      <c r="AR1176" s="68"/>
      <c r="AS1176" s="68"/>
      <c r="AT1176" s="68"/>
      <c r="AU1176" s="68"/>
    </row>
    <row r="1177" spans="7:47"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 s="68"/>
      <c r="AP1177" s="68"/>
      <c r="AQ1177" s="68"/>
      <c r="AR1177" s="68"/>
      <c r="AS1177" s="68"/>
      <c r="AT1177" s="68"/>
      <c r="AU1177" s="68"/>
    </row>
    <row r="1178" spans="7:47"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 s="68"/>
      <c r="AP1178" s="68"/>
      <c r="AQ1178" s="68"/>
      <c r="AR1178" s="68"/>
      <c r="AS1178" s="68"/>
      <c r="AT1178" s="68"/>
      <c r="AU1178" s="68"/>
    </row>
    <row r="1179" spans="7:47"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 s="68"/>
      <c r="AP1179" s="68"/>
      <c r="AQ1179" s="68"/>
      <c r="AR1179" s="68"/>
      <c r="AS1179" s="68"/>
      <c r="AT1179" s="68"/>
      <c r="AU1179" s="68"/>
    </row>
    <row r="1180" spans="7:47"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 s="68"/>
      <c r="AP1180" s="68"/>
      <c r="AQ1180" s="68"/>
      <c r="AR1180" s="68"/>
      <c r="AS1180" s="68"/>
      <c r="AT1180" s="68"/>
      <c r="AU1180" s="68"/>
    </row>
    <row r="1181" spans="7:47"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 s="68"/>
      <c r="AP1181" s="68"/>
      <c r="AQ1181" s="68"/>
      <c r="AR1181" s="68"/>
      <c r="AS1181" s="68"/>
      <c r="AT1181" s="68"/>
      <c r="AU1181" s="68"/>
    </row>
    <row r="1182" spans="7:47"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 s="68"/>
      <c r="AP1182" s="68"/>
      <c r="AQ1182" s="68"/>
      <c r="AR1182" s="68"/>
      <c r="AS1182" s="68"/>
      <c r="AT1182" s="68"/>
      <c r="AU1182" s="68"/>
    </row>
    <row r="1183" spans="7:47"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 s="68"/>
      <c r="AP1183" s="68"/>
      <c r="AQ1183" s="68"/>
      <c r="AR1183" s="68"/>
      <c r="AS1183" s="68"/>
      <c r="AT1183" s="68"/>
      <c r="AU1183" s="68"/>
    </row>
    <row r="1184" spans="7:47"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 s="68"/>
      <c r="AP1184" s="68"/>
      <c r="AQ1184" s="68"/>
      <c r="AR1184" s="68"/>
      <c r="AS1184" s="68"/>
      <c r="AT1184" s="68"/>
      <c r="AU1184" s="68"/>
    </row>
    <row r="1185" spans="7:47"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 s="68"/>
      <c r="AP1185" s="68"/>
      <c r="AQ1185" s="68"/>
      <c r="AR1185" s="68"/>
      <c r="AS1185" s="68"/>
      <c r="AT1185" s="68"/>
      <c r="AU1185" s="68"/>
    </row>
    <row r="1186" spans="7:47"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 s="68"/>
      <c r="AP1186" s="68"/>
      <c r="AQ1186" s="68"/>
      <c r="AR1186" s="68"/>
      <c r="AS1186" s="68"/>
      <c r="AT1186" s="68"/>
      <c r="AU1186" s="68"/>
    </row>
    <row r="1187" spans="7:47"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 s="68"/>
      <c r="AP1187" s="68"/>
      <c r="AQ1187" s="68"/>
      <c r="AR1187" s="68"/>
      <c r="AS1187" s="68"/>
      <c r="AT1187" s="68"/>
      <c r="AU1187" s="68"/>
    </row>
    <row r="1188" spans="7:47"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 s="68"/>
      <c r="AP1188" s="68"/>
      <c r="AQ1188" s="68"/>
      <c r="AR1188" s="68"/>
      <c r="AS1188" s="68"/>
      <c r="AT1188" s="68"/>
      <c r="AU1188" s="68"/>
    </row>
    <row r="1189" spans="7:47"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 s="68"/>
      <c r="AP1189" s="68"/>
      <c r="AQ1189" s="68"/>
      <c r="AR1189" s="68"/>
      <c r="AS1189" s="68"/>
      <c r="AT1189" s="68"/>
      <c r="AU1189" s="68"/>
    </row>
    <row r="1190" spans="7:47"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 s="68"/>
      <c r="AP1190" s="68"/>
      <c r="AQ1190" s="68"/>
      <c r="AR1190" s="68"/>
      <c r="AS1190" s="68"/>
      <c r="AT1190" s="68"/>
      <c r="AU1190" s="68"/>
    </row>
    <row r="1191" spans="7:47"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 s="68"/>
      <c r="AP1191" s="68"/>
      <c r="AQ1191" s="68"/>
      <c r="AR1191" s="68"/>
      <c r="AS1191" s="68"/>
      <c r="AT1191" s="68"/>
      <c r="AU1191" s="68"/>
    </row>
    <row r="1192" spans="7:47"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 s="68"/>
      <c r="AP1192" s="68"/>
      <c r="AQ1192" s="68"/>
      <c r="AR1192" s="68"/>
      <c r="AS1192" s="68"/>
      <c r="AT1192" s="68"/>
      <c r="AU1192" s="68"/>
    </row>
    <row r="1193" spans="7:47"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 s="68"/>
      <c r="AP1193" s="68"/>
      <c r="AQ1193" s="68"/>
      <c r="AR1193" s="68"/>
      <c r="AS1193" s="68"/>
      <c r="AT1193" s="68"/>
      <c r="AU1193" s="68"/>
    </row>
    <row r="1194" spans="7:47"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 s="68"/>
      <c r="AP1194" s="68"/>
      <c r="AQ1194" s="68"/>
      <c r="AR1194" s="68"/>
      <c r="AS1194" s="68"/>
      <c r="AT1194" s="68"/>
      <c r="AU1194" s="68"/>
    </row>
    <row r="1195" spans="7:47"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 s="68"/>
      <c r="AP1195" s="68"/>
      <c r="AQ1195" s="68"/>
      <c r="AR1195" s="68"/>
      <c r="AS1195" s="68"/>
      <c r="AT1195" s="68"/>
      <c r="AU1195" s="68"/>
    </row>
    <row r="1196" spans="7:47"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 s="68"/>
      <c r="AP1196" s="68"/>
      <c r="AQ1196" s="68"/>
      <c r="AR1196" s="68"/>
      <c r="AS1196" s="68"/>
      <c r="AT1196" s="68"/>
      <c r="AU1196" s="68"/>
    </row>
    <row r="1197" spans="7:47"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 s="68"/>
      <c r="AP1197" s="68"/>
      <c r="AQ1197" s="68"/>
      <c r="AR1197" s="68"/>
      <c r="AS1197" s="68"/>
      <c r="AT1197" s="68"/>
      <c r="AU1197" s="68"/>
    </row>
    <row r="1198" spans="7:47"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 s="68"/>
      <c r="AP1198" s="68"/>
      <c r="AQ1198" s="68"/>
      <c r="AR1198" s="68"/>
      <c r="AS1198" s="68"/>
      <c r="AT1198" s="68"/>
      <c r="AU1198" s="68"/>
    </row>
    <row r="1199" spans="7:47"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 s="68"/>
      <c r="AP1199" s="68"/>
      <c r="AQ1199" s="68"/>
      <c r="AR1199" s="68"/>
      <c r="AS1199" s="68"/>
      <c r="AT1199" s="68"/>
      <c r="AU1199" s="68"/>
    </row>
    <row r="1200" spans="7:47"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 s="68"/>
      <c r="AP1200" s="68"/>
      <c r="AQ1200" s="68"/>
      <c r="AR1200" s="68"/>
      <c r="AS1200" s="68"/>
      <c r="AT1200" s="68"/>
      <c r="AU1200" s="68"/>
    </row>
    <row r="1201" spans="7:47"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 s="68"/>
      <c r="AP1201" s="68"/>
      <c r="AQ1201" s="68"/>
      <c r="AR1201" s="68"/>
      <c r="AS1201" s="68"/>
      <c r="AT1201" s="68"/>
      <c r="AU1201" s="68"/>
    </row>
    <row r="1202" spans="7:47"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 s="68"/>
      <c r="AP1202" s="68"/>
      <c r="AQ1202" s="68"/>
      <c r="AR1202" s="68"/>
      <c r="AS1202" s="68"/>
      <c r="AT1202" s="68"/>
      <c r="AU1202" s="68"/>
    </row>
    <row r="1203" spans="7:47"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 s="68"/>
      <c r="AP1203" s="68"/>
      <c r="AQ1203" s="68"/>
      <c r="AR1203" s="68"/>
      <c r="AS1203" s="68"/>
      <c r="AT1203" s="68"/>
      <c r="AU1203" s="68"/>
    </row>
    <row r="1204" spans="7:47"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 s="68"/>
      <c r="AP1204" s="68"/>
      <c r="AQ1204" s="68"/>
      <c r="AR1204" s="68"/>
      <c r="AS1204" s="68"/>
      <c r="AT1204" s="68"/>
      <c r="AU1204" s="68"/>
    </row>
    <row r="1205" spans="7:47"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 s="68"/>
      <c r="AP1205" s="68"/>
      <c r="AQ1205" s="68"/>
      <c r="AR1205" s="68"/>
      <c r="AS1205" s="68"/>
      <c r="AT1205" s="68"/>
      <c r="AU1205" s="68"/>
    </row>
    <row r="1206" spans="7:47"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 s="68"/>
      <c r="AP1206" s="68"/>
      <c r="AQ1206" s="68"/>
      <c r="AR1206" s="68"/>
      <c r="AS1206" s="68"/>
      <c r="AT1206" s="68"/>
      <c r="AU1206" s="68"/>
    </row>
    <row r="1207" spans="7:47"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 s="68"/>
      <c r="AP1207" s="68"/>
      <c r="AQ1207" s="68"/>
      <c r="AR1207" s="68"/>
      <c r="AS1207" s="68"/>
      <c r="AT1207" s="68"/>
      <c r="AU1207" s="68"/>
    </row>
    <row r="1208" spans="7:47"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 s="68"/>
      <c r="AP1208" s="68"/>
      <c r="AQ1208" s="68"/>
      <c r="AR1208" s="68"/>
      <c r="AS1208" s="68"/>
      <c r="AT1208" s="68"/>
      <c r="AU1208" s="68"/>
    </row>
    <row r="1209" spans="7:47"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 s="68"/>
      <c r="AP1209" s="68"/>
      <c r="AQ1209" s="68"/>
      <c r="AR1209" s="68"/>
      <c r="AS1209" s="68"/>
      <c r="AT1209" s="68"/>
      <c r="AU1209" s="68"/>
    </row>
    <row r="1210" spans="7:47"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 s="68"/>
      <c r="AP1210" s="68"/>
      <c r="AQ1210" s="68"/>
      <c r="AR1210" s="68"/>
      <c r="AS1210" s="68"/>
      <c r="AT1210" s="68"/>
      <c r="AU1210" s="68"/>
    </row>
    <row r="1211" spans="7:47"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 s="68"/>
      <c r="AP1211" s="68"/>
      <c r="AQ1211" s="68"/>
      <c r="AR1211" s="68"/>
      <c r="AS1211" s="68"/>
      <c r="AT1211" s="68"/>
      <c r="AU1211" s="68"/>
    </row>
    <row r="1212" spans="7:47"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 s="68"/>
      <c r="AP1212" s="68"/>
      <c r="AQ1212" s="68"/>
      <c r="AR1212" s="68"/>
      <c r="AS1212" s="68"/>
      <c r="AT1212" s="68"/>
      <c r="AU1212" s="68"/>
    </row>
    <row r="1213" spans="7:47"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 s="68"/>
      <c r="AP1213" s="68"/>
      <c r="AQ1213" s="68"/>
      <c r="AR1213" s="68"/>
      <c r="AS1213" s="68"/>
      <c r="AT1213" s="68"/>
      <c r="AU1213" s="68"/>
    </row>
    <row r="1214" spans="7:47"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 s="68"/>
      <c r="AP1214" s="68"/>
      <c r="AQ1214" s="68"/>
      <c r="AR1214" s="68"/>
      <c r="AS1214" s="68"/>
      <c r="AT1214" s="68"/>
      <c r="AU1214" s="68"/>
    </row>
    <row r="1215" spans="7:47"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 s="68"/>
      <c r="AP1215" s="68"/>
      <c r="AQ1215" s="68"/>
      <c r="AR1215" s="68"/>
      <c r="AS1215" s="68"/>
      <c r="AT1215" s="68"/>
      <c r="AU1215" s="68"/>
    </row>
    <row r="1216" spans="7:47"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 s="68"/>
      <c r="AP1216" s="68"/>
      <c r="AQ1216" s="68"/>
      <c r="AR1216" s="68"/>
      <c r="AS1216" s="68"/>
      <c r="AT1216" s="68"/>
      <c r="AU1216" s="68"/>
    </row>
    <row r="1217" spans="7:47"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 s="68"/>
      <c r="AP1217" s="68"/>
      <c r="AQ1217" s="68"/>
      <c r="AR1217" s="68"/>
      <c r="AS1217" s="68"/>
      <c r="AT1217" s="68"/>
      <c r="AU1217" s="68"/>
    </row>
    <row r="1218" spans="7:47"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 s="68"/>
      <c r="AP1218" s="68"/>
      <c r="AQ1218" s="68"/>
      <c r="AR1218" s="68"/>
      <c r="AS1218" s="68"/>
      <c r="AT1218" s="68"/>
      <c r="AU1218" s="68"/>
    </row>
    <row r="1219" spans="7:47"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 s="68"/>
      <c r="AP1219" s="68"/>
      <c r="AQ1219" s="68"/>
      <c r="AR1219" s="68"/>
      <c r="AS1219" s="68"/>
      <c r="AT1219" s="68"/>
      <c r="AU1219" s="68"/>
    </row>
    <row r="1220" spans="7:47"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 s="68"/>
      <c r="AP1220" s="68"/>
      <c r="AQ1220" s="68"/>
      <c r="AR1220" s="68"/>
      <c r="AS1220" s="68"/>
      <c r="AT1220" s="68"/>
      <c r="AU1220" s="68"/>
    </row>
    <row r="1221" spans="7:47"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 s="68"/>
      <c r="AP1221" s="68"/>
      <c r="AQ1221" s="68"/>
      <c r="AR1221" s="68"/>
      <c r="AS1221" s="68"/>
      <c r="AT1221" s="68"/>
      <c r="AU1221" s="68"/>
    </row>
    <row r="1222" spans="7:47"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 s="68"/>
      <c r="AP1222" s="68"/>
      <c r="AQ1222" s="68"/>
      <c r="AR1222" s="68"/>
      <c r="AS1222" s="68"/>
      <c r="AT1222" s="68"/>
      <c r="AU1222" s="68"/>
    </row>
    <row r="1223" spans="7:47"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 s="68"/>
      <c r="AP1223" s="68"/>
      <c r="AQ1223" s="68"/>
      <c r="AR1223" s="68"/>
      <c r="AS1223" s="68"/>
      <c r="AT1223" s="68"/>
      <c r="AU1223" s="68"/>
    </row>
    <row r="1224" spans="7:47"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 s="68"/>
      <c r="AP1224" s="68"/>
      <c r="AQ1224" s="68"/>
      <c r="AR1224" s="68"/>
      <c r="AS1224" s="68"/>
      <c r="AT1224" s="68"/>
      <c r="AU1224" s="68"/>
    </row>
    <row r="1225" spans="7:47"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 s="68"/>
      <c r="AP1225" s="68"/>
      <c r="AQ1225" s="68"/>
      <c r="AR1225" s="68"/>
      <c r="AS1225" s="68"/>
      <c r="AT1225" s="68"/>
      <c r="AU1225" s="68"/>
    </row>
    <row r="1226" spans="7:47"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 s="68"/>
      <c r="AP1226" s="68"/>
      <c r="AQ1226" s="68"/>
      <c r="AR1226" s="68"/>
      <c r="AS1226" s="68"/>
      <c r="AT1226" s="68"/>
      <c r="AU1226" s="68"/>
    </row>
    <row r="1227" spans="7:47"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 s="68"/>
      <c r="AP1227" s="68"/>
      <c r="AQ1227" s="68"/>
      <c r="AR1227" s="68"/>
      <c r="AS1227" s="68"/>
      <c r="AT1227" s="68"/>
      <c r="AU1227" s="68"/>
    </row>
    <row r="1228" spans="7:47"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 s="68"/>
      <c r="AP1228" s="68"/>
      <c r="AQ1228" s="68"/>
      <c r="AR1228" s="68"/>
      <c r="AS1228" s="68"/>
      <c r="AT1228" s="68"/>
      <c r="AU1228" s="68"/>
    </row>
    <row r="1229" spans="7:47"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 s="68"/>
      <c r="AP1229" s="68"/>
      <c r="AQ1229" s="68"/>
      <c r="AR1229" s="68"/>
      <c r="AS1229" s="68"/>
      <c r="AT1229" s="68"/>
      <c r="AU1229" s="68"/>
    </row>
    <row r="1230" spans="7:47"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 s="68"/>
      <c r="AP1230" s="68"/>
      <c r="AQ1230" s="68"/>
      <c r="AR1230" s="68"/>
      <c r="AS1230" s="68"/>
      <c r="AT1230" s="68"/>
      <c r="AU1230" s="68"/>
    </row>
    <row r="1231" spans="7:47"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 s="68"/>
      <c r="AP1231" s="68"/>
      <c r="AQ1231" s="68"/>
      <c r="AR1231" s="68"/>
      <c r="AS1231" s="68"/>
      <c r="AT1231" s="68"/>
      <c r="AU1231" s="68"/>
    </row>
    <row r="1232" spans="7:47"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 s="68"/>
      <c r="AP1232" s="68"/>
      <c r="AQ1232" s="68"/>
      <c r="AR1232" s="68"/>
      <c r="AS1232" s="68"/>
      <c r="AT1232" s="68"/>
      <c r="AU1232" s="68"/>
    </row>
    <row r="1233" spans="7:47"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 s="68"/>
      <c r="AP1233" s="68"/>
      <c r="AQ1233" s="68"/>
      <c r="AR1233" s="68"/>
      <c r="AS1233" s="68"/>
      <c r="AT1233" s="68"/>
      <c r="AU1233" s="68"/>
    </row>
    <row r="1234" spans="7:47"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 s="68"/>
      <c r="AP1234" s="68"/>
      <c r="AQ1234" s="68"/>
      <c r="AR1234" s="68"/>
      <c r="AS1234" s="68"/>
      <c r="AT1234" s="68"/>
      <c r="AU1234" s="68"/>
    </row>
    <row r="1235" spans="7:47"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 s="68"/>
      <c r="AP1235" s="68"/>
      <c r="AQ1235" s="68"/>
      <c r="AR1235" s="68"/>
      <c r="AS1235" s="68"/>
      <c r="AT1235" s="68"/>
      <c r="AU1235" s="68"/>
    </row>
    <row r="1236" spans="7:47"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 s="68"/>
      <c r="AP1236" s="68"/>
      <c r="AQ1236" s="68"/>
      <c r="AR1236" s="68"/>
      <c r="AS1236" s="68"/>
      <c r="AT1236" s="68"/>
      <c r="AU1236" s="68"/>
    </row>
    <row r="1237" spans="7:47"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 s="68"/>
      <c r="AP1237" s="68"/>
      <c r="AQ1237" s="68"/>
      <c r="AR1237" s="68"/>
      <c r="AS1237" s="68"/>
      <c r="AT1237" s="68"/>
      <c r="AU1237" s="68"/>
    </row>
    <row r="1238" spans="7:47"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 s="68"/>
      <c r="AP1238" s="68"/>
      <c r="AQ1238" s="68"/>
      <c r="AR1238" s="68"/>
      <c r="AS1238" s="68"/>
      <c r="AT1238" s="68"/>
      <c r="AU1238" s="68"/>
    </row>
    <row r="1239" spans="7:47"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 s="68"/>
      <c r="AP1239" s="68"/>
      <c r="AQ1239" s="68"/>
      <c r="AR1239" s="68"/>
      <c r="AS1239" s="68"/>
      <c r="AT1239" s="68"/>
      <c r="AU1239" s="68"/>
    </row>
    <row r="1240" spans="7:47"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 s="68"/>
      <c r="AP1240" s="68"/>
      <c r="AQ1240" s="68"/>
      <c r="AR1240" s="68"/>
      <c r="AS1240" s="68"/>
      <c r="AT1240" s="68"/>
      <c r="AU1240" s="68"/>
    </row>
    <row r="1241" spans="7:47"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 s="68"/>
      <c r="AP1241" s="68"/>
      <c r="AQ1241" s="68"/>
      <c r="AR1241" s="68"/>
      <c r="AS1241" s="68"/>
      <c r="AT1241" s="68"/>
      <c r="AU1241" s="68"/>
    </row>
    <row r="1242" spans="7:47"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 s="68"/>
      <c r="AP1242" s="68"/>
      <c r="AQ1242" s="68"/>
      <c r="AR1242" s="68"/>
      <c r="AS1242" s="68"/>
      <c r="AT1242" s="68"/>
      <c r="AU1242" s="68"/>
    </row>
    <row r="1243" spans="7:47"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 s="68"/>
      <c r="AP1243" s="68"/>
      <c r="AQ1243" s="68"/>
      <c r="AR1243" s="68"/>
      <c r="AS1243" s="68"/>
      <c r="AT1243" s="68"/>
      <c r="AU1243" s="68"/>
    </row>
    <row r="1244" spans="7:47"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 s="68"/>
      <c r="AP1244" s="68"/>
      <c r="AQ1244" s="68"/>
      <c r="AR1244" s="68"/>
      <c r="AS1244" s="68"/>
      <c r="AT1244" s="68"/>
      <c r="AU1244" s="68"/>
    </row>
    <row r="1245" spans="7:47"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 s="68"/>
      <c r="AP1245" s="68"/>
      <c r="AQ1245" s="68"/>
      <c r="AR1245" s="68"/>
      <c r="AS1245" s="68"/>
      <c r="AT1245" s="68"/>
      <c r="AU1245" s="68"/>
    </row>
    <row r="1246" spans="7:47"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 s="68"/>
      <c r="AP1246" s="68"/>
      <c r="AQ1246" s="68"/>
      <c r="AR1246" s="68"/>
      <c r="AS1246" s="68"/>
      <c r="AT1246" s="68"/>
      <c r="AU1246" s="68"/>
    </row>
    <row r="1247" spans="7:47"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 s="68"/>
      <c r="AP1247" s="68"/>
      <c r="AQ1247" s="68"/>
      <c r="AR1247" s="68"/>
      <c r="AS1247" s="68"/>
      <c r="AT1247" s="68"/>
      <c r="AU1247" s="68"/>
    </row>
    <row r="1248" spans="7:47"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 s="68"/>
      <c r="AP1248" s="68"/>
      <c r="AQ1248" s="68"/>
      <c r="AR1248" s="68"/>
      <c r="AS1248" s="68"/>
      <c r="AT1248" s="68"/>
      <c r="AU1248" s="68"/>
    </row>
    <row r="1249" spans="7:47"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 s="68"/>
      <c r="AP1249" s="68"/>
      <c r="AQ1249" s="68"/>
      <c r="AR1249" s="68"/>
      <c r="AS1249" s="68"/>
      <c r="AT1249" s="68"/>
      <c r="AU1249" s="68"/>
    </row>
    <row r="1250" spans="7:47"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 s="68"/>
      <c r="AP1250" s="68"/>
      <c r="AQ1250" s="68"/>
      <c r="AR1250" s="68"/>
      <c r="AS1250" s="68"/>
      <c r="AT1250" s="68"/>
      <c r="AU1250" s="68"/>
    </row>
    <row r="1251" spans="7:47"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 s="68"/>
      <c r="AP1251" s="68"/>
      <c r="AQ1251" s="68"/>
      <c r="AR1251" s="68"/>
      <c r="AS1251" s="68"/>
      <c r="AT1251" s="68"/>
      <c r="AU1251" s="68"/>
    </row>
    <row r="1252" spans="7:47"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 s="68"/>
      <c r="AP1252" s="68"/>
      <c r="AQ1252" s="68"/>
      <c r="AR1252" s="68"/>
      <c r="AS1252" s="68"/>
      <c r="AT1252" s="68"/>
      <c r="AU1252" s="68"/>
    </row>
    <row r="1253" spans="7:47"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 s="68"/>
      <c r="AP1253" s="68"/>
      <c r="AQ1253" s="68"/>
      <c r="AR1253" s="68"/>
      <c r="AS1253" s="68"/>
      <c r="AT1253" s="68"/>
      <c r="AU1253" s="68"/>
    </row>
    <row r="1254" spans="7:47"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 s="68"/>
      <c r="AP1254" s="68"/>
      <c r="AQ1254" s="68"/>
      <c r="AR1254" s="68"/>
      <c r="AS1254" s="68"/>
      <c r="AT1254" s="68"/>
      <c r="AU1254" s="68"/>
    </row>
    <row r="1255" spans="7:47"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 s="68"/>
      <c r="AP1255" s="68"/>
      <c r="AQ1255" s="68"/>
      <c r="AR1255" s="68"/>
      <c r="AS1255" s="68"/>
      <c r="AT1255" s="68"/>
      <c r="AU1255" s="68"/>
    </row>
    <row r="1256" spans="7:47"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 s="68"/>
      <c r="AP1256" s="68"/>
      <c r="AQ1256" s="68"/>
      <c r="AR1256" s="68"/>
      <c r="AS1256" s="68"/>
      <c r="AT1256" s="68"/>
      <c r="AU1256" s="68"/>
    </row>
    <row r="1257" spans="7:47"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 s="68"/>
      <c r="AP1257" s="68"/>
      <c r="AQ1257" s="68"/>
      <c r="AR1257" s="68"/>
      <c r="AS1257" s="68"/>
      <c r="AT1257" s="68"/>
      <c r="AU1257" s="68"/>
    </row>
    <row r="1258" spans="7:47"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 s="68"/>
      <c r="AP1258" s="68"/>
      <c r="AQ1258" s="68"/>
      <c r="AR1258" s="68"/>
      <c r="AS1258" s="68"/>
      <c r="AT1258" s="68"/>
      <c r="AU1258" s="68"/>
    </row>
    <row r="1259" spans="7:47"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 s="68"/>
      <c r="AP1259" s="68"/>
      <c r="AQ1259" s="68"/>
      <c r="AR1259" s="68"/>
      <c r="AS1259" s="68"/>
      <c r="AT1259" s="68"/>
      <c r="AU1259" s="68"/>
    </row>
    <row r="1260" spans="7:47"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 s="68"/>
      <c r="AP1260" s="68"/>
      <c r="AQ1260" s="68"/>
      <c r="AR1260" s="68"/>
      <c r="AS1260" s="68"/>
      <c r="AT1260" s="68"/>
      <c r="AU1260" s="68"/>
    </row>
    <row r="1261" spans="7:47"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 s="68"/>
      <c r="AP1261" s="68"/>
      <c r="AQ1261" s="68"/>
      <c r="AR1261" s="68"/>
      <c r="AS1261" s="68"/>
      <c r="AT1261" s="68"/>
      <c r="AU1261" s="68"/>
    </row>
    <row r="1262" spans="7:47"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 s="68"/>
      <c r="AP1262" s="68"/>
      <c r="AQ1262" s="68"/>
      <c r="AR1262" s="68"/>
      <c r="AS1262" s="68"/>
      <c r="AT1262" s="68"/>
      <c r="AU1262" s="68"/>
    </row>
    <row r="1263" spans="7:47"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 s="68"/>
      <c r="AP1263" s="68"/>
      <c r="AQ1263" s="68"/>
      <c r="AR1263" s="68"/>
      <c r="AS1263" s="68"/>
      <c r="AT1263" s="68"/>
      <c r="AU1263" s="68"/>
    </row>
    <row r="1264" spans="7:47"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 s="68"/>
      <c r="AP1264" s="68"/>
      <c r="AQ1264" s="68"/>
      <c r="AR1264" s="68"/>
      <c r="AS1264" s="68"/>
      <c r="AT1264" s="68"/>
      <c r="AU1264" s="68"/>
    </row>
    <row r="1265" spans="7:47"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 s="68"/>
      <c r="AP1265" s="68"/>
      <c r="AQ1265" s="68"/>
      <c r="AR1265" s="68"/>
      <c r="AS1265" s="68"/>
      <c r="AT1265" s="68"/>
      <c r="AU1265" s="68"/>
    </row>
    <row r="1266" spans="7:47"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 s="68"/>
      <c r="AP1266" s="68"/>
      <c r="AQ1266" s="68"/>
      <c r="AR1266" s="68"/>
      <c r="AS1266" s="68"/>
      <c r="AT1266" s="68"/>
      <c r="AU1266" s="68"/>
    </row>
    <row r="1267" spans="7:47"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 s="68"/>
      <c r="AP1267" s="68"/>
      <c r="AQ1267" s="68"/>
      <c r="AR1267" s="68"/>
      <c r="AS1267" s="68"/>
      <c r="AT1267" s="68"/>
      <c r="AU1267" s="68"/>
    </row>
    <row r="1268" spans="7:47"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 s="68"/>
      <c r="AP1268" s="68"/>
      <c r="AQ1268" s="68"/>
      <c r="AR1268" s="68"/>
      <c r="AS1268" s="68"/>
      <c r="AT1268" s="68"/>
      <c r="AU1268" s="68"/>
    </row>
    <row r="1269" spans="7:47"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 s="68"/>
      <c r="AP1269" s="68"/>
      <c r="AQ1269" s="68"/>
      <c r="AR1269" s="68"/>
      <c r="AS1269" s="68"/>
      <c r="AT1269" s="68"/>
      <c r="AU1269" s="68"/>
    </row>
    <row r="1270" spans="7:47"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 s="68"/>
      <c r="AP1270" s="68"/>
      <c r="AQ1270" s="68"/>
      <c r="AR1270" s="68"/>
      <c r="AS1270" s="68"/>
      <c r="AT1270" s="68"/>
      <c r="AU1270" s="68"/>
    </row>
    <row r="1271" spans="7:47"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 s="68"/>
      <c r="AP1271" s="68"/>
      <c r="AQ1271" s="68"/>
      <c r="AR1271" s="68"/>
      <c r="AS1271" s="68"/>
      <c r="AT1271" s="68"/>
      <c r="AU1271" s="68"/>
    </row>
    <row r="1272" spans="7:47"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 s="68"/>
      <c r="AP1272" s="68"/>
      <c r="AQ1272" s="68"/>
      <c r="AR1272" s="68"/>
      <c r="AS1272" s="68"/>
      <c r="AT1272" s="68"/>
      <c r="AU1272" s="68"/>
    </row>
    <row r="1273" spans="7:47"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 s="68"/>
      <c r="AP1273" s="68"/>
      <c r="AQ1273" s="68"/>
      <c r="AR1273" s="68"/>
      <c r="AS1273" s="68"/>
      <c r="AT1273" s="68"/>
      <c r="AU1273" s="68"/>
    </row>
    <row r="1274" spans="7:47"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 s="68"/>
      <c r="AP1274" s="68"/>
      <c r="AQ1274" s="68"/>
      <c r="AR1274" s="68"/>
      <c r="AS1274" s="68"/>
      <c r="AT1274" s="68"/>
      <c r="AU1274" s="68"/>
    </row>
    <row r="1275" spans="7:47"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 s="68"/>
      <c r="AP1275" s="68"/>
      <c r="AQ1275" s="68"/>
      <c r="AR1275" s="68"/>
      <c r="AS1275" s="68"/>
      <c r="AT1275" s="68"/>
      <c r="AU1275" s="68"/>
    </row>
    <row r="1276" spans="7:47"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 s="68"/>
      <c r="AP1276" s="68"/>
      <c r="AQ1276" s="68"/>
      <c r="AR1276" s="68"/>
      <c r="AS1276" s="68"/>
      <c r="AT1276" s="68"/>
      <c r="AU1276" s="68"/>
    </row>
    <row r="1277" spans="7:47"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 s="68"/>
      <c r="AP1277" s="68"/>
      <c r="AQ1277" s="68"/>
      <c r="AR1277" s="68"/>
      <c r="AS1277" s="68"/>
      <c r="AT1277" s="68"/>
      <c r="AU1277" s="68"/>
    </row>
    <row r="1278" spans="7:47"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 s="68"/>
      <c r="AP1278" s="68"/>
      <c r="AQ1278" s="68"/>
      <c r="AR1278" s="68"/>
      <c r="AS1278" s="68"/>
      <c r="AT1278" s="68"/>
      <c r="AU1278" s="68"/>
    </row>
    <row r="1279" spans="7:47"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 s="68"/>
      <c r="AP1279" s="68"/>
      <c r="AQ1279" s="68"/>
      <c r="AR1279" s="68"/>
      <c r="AS1279" s="68"/>
      <c r="AT1279" s="68"/>
      <c r="AU1279" s="68"/>
    </row>
    <row r="1280" spans="7:47"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 s="68"/>
      <c r="AP1280" s="68"/>
      <c r="AQ1280" s="68"/>
      <c r="AR1280" s="68"/>
      <c r="AS1280" s="68"/>
      <c r="AT1280" s="68"/>
      <c r="AU1280" s="68"/>
    </row>
    <row r="1281" spans="7:47"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 s="68"/>
      <c r="AP1281" s="68"/>
      <c r="AQ1281" s="68"/>
      <c r="AR1281" s="68"/>
      <c r="AS1281" s="68"/>
      <c r="AT1281" s="68"/>
      <c r="AU1281" s="68"/>
    </row>
    <row r="1282" spans="7:47"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 s="68"/>
      <c r="AP1282" s="68"/>
      <c r="AQ1282" s="68"/>
      <c r="AR1282" s="68"/>
      <c r="AS1282" s="68"/>
      <c r="AT1282" s="68"/>
      <c r="AU1282" s="68"/>
    </row>
    <row r="1283" spans="7:47"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 s="68"/>
      <c r="AP1283" s="68"/>
      <c r="AQ1283" s="68"/>
      <c r="AR1283" s="68"/>
      <c r="AS1283" s="68"/>
      <c r="AT1283" s="68"/>
      <c r="AU1283" s="68"/>
    </row>
    <row r="1284" spans="7:47"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 s="68"/>
      <c r="AP1284" s="68"/>
      <c r="AQ1284" s="68"/>
      <c r="AR1284" s="68"/>
      <c r="AS1284" s="68"/>
      <c r="AT1284" s="68"/>
      <c r="AU1284" s="68"/>
    </row>
    <row r="1285" spans="7:47"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 s="68"/>
      <c r="AP1285" s="68"/>
      <c r="AQ1285" s="68"/>
      <c r="AR1285" s="68"/>
      <c r="AS1285" s="68"/>
      <c r="AT1285" s="68"/>
      <c r="AU1285" s="68"/>
    </row>
    <row r="1286" spans="7:47"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 s="68"/>
      <c r="AP1286" s="68"/>
      <c r="AQ1286" s="68"/>
      <c r="AR1286" s="68"/>
      <c r="AS1286" s="68"/>
      <c r="AT1286" s="68"/>
      <c r="AU1286" s="68"/>
    </row>
    <row r="1287" spans="7:47"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 s="68"/>
      <c r="AP1287" s="68"/>
      <c r="AQ1287" s="68"/>
      <c r="AR1287" s="68"/>
      <c r="AS1287" s="68"/>
      <c r="AT1287" s="68"/>
      <c r="AU1287" s="68"/>
    </row>
    <row r="1288" spans="7:47"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 s="68"/>
      <c r="AP1288" s="68"/>
      <c r="AQ1288" s="68"/>
      <c r="AR1288" s="68"/>
      <c r="AS1288" s="68"/>
      <c r="AT1288" s="68"/>
      <c r="AU1288" s="68"/>
    </row>
    <row r="1289" spans="7:47"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 s="68"/>
      <c r="AP1289" s="68"/>
      <c r="AQ1289" s="68"/>
      <c r="AR1289" s="68"/>
      <c r="AS1289" s="68"/>
      <c r="AT1289" s="68"/>
      <c r="AU1289" s="68"/>
    </row>
    <row r="1290" spans="7:47"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 s="68"/>
      <c r="AP1290" s="68"/>
      <c r="AQ1290" s="68"/>
      <c r="AR1290" s="68"/>
      <c r="AS1290" s="68"/>
      <c r="AT1290" s="68"/>
      <c r="AU1290" s="68"/>
    </row>
    <row r="1291" spans="7:47"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 s="68"/>
      <c r="AP1291" s="68"/>
      <c r="AQ1291" s="68"/>
      <c r="AR1291" s="68"/>
      <c r="AS1291" s="68"/>
      <c r="AT1291" s="68"/>
      <c r="AU1291" s="68"/>
    </row>
    <row r="1292" spans="7:47"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 s="68"/>
      <c r="AP1292" s="68"/>
      <c r="AQ1292" s="68"/>
      <c r="AR1292" s="68"/>
      <c r="AS1292" s="68"/>
      <c r="AT1292" s="68"/>
      <c r="AU1292" s="68"/>
    </row>
    <row r="1293" spans="7:47"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 s="68"/>
      <c r="AP1293" s="68"/>
      <c r="AQ1293" s="68"/>
      <c r="AR1293" s="68"/>
      <c r="AS1293" s="68"/>
      <c r="AT1293" s="68"/>
      <c r="AU1293" s="68"/>
    </row>
    <row r="1294" spans="7:47"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 s="68"/>
      <c r="AP1294" s="68"/>
      <c r="AQ1294" s="68"/>
      <c r="AR1294" s="68"/>
      <c r="AS1294" s="68"/>
      <c r="AT1294" s="68"/>
      <c r="AU1294" s="68"/>
    </row>
    <row r="1295" spans="7:47"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 s="68"/>
      <c r="AP1295" s="68"/>
      <c r="AQ1295" s="68"/>
      <c r="AR1295" s="68"/>
      <c r="AS1295" s="68"/>
      <c r="AT1295" s="68"/>
      <c r="AU1295" s="68"/>
    </row>
    <row r="1296" spans="7:47"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 s="68"/>
      <c r="AP1296" s="68"/>
      <c r="AQ1296" s="68"/>
      <c r="AR1296" s="68"/>
      <c r="AS1296" s="68"/>
      <c r="AT1296" s="68"/>
      <c r="AU1296" s="68"/>
    </row>
    <row r="1297" spans="7:47"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 s="68"/>
      <c r="AP1297" s="68"/>
      <c r="AQ1297" s="68"/>
      <c r="AR1297" s="68"/>
      <c r="AS1297" s="68"/>
      <c r="AT1297" s="68"/>
      <c r="AU1297" s="68"/>
    </row>
    <row r="1298" spans="7:47"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 s="68"/>
      <c r="AP1298" s="68"/>
      <c r="AQ1298" s="68"/>
      <c r="AR1298" s="68"/>
      <c r="AS1298" s="68"/>
      <c r="AT1298" s="68"/>
      <c r="AU1298" s="68"/>
    </row>
    <row r="1299" spans="7:47"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 s="68"/>
      <c r="AP1299" s="68"/>
      <c r="AQ1299" s="68"/>
      <c r="AR1299" s="68"/>
      <c r="AS1299" s="68"/>
      <c r="AT1299" s="68"/>
      <c r="AU1299" s="68"/>
    </row>
    <row r="1300" spans="7:47"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 s="68"/>
      <c r="AP1300" s="68"/>
      <c r="AQ1300" s="68"/>
      <c r="AR1300" s="68"/>
      <c r="AS1300" s="68"/>
      <c r="AT1300" s="68"/>
      <c r="AU1300" s="68"/>
    </row>
    <row r="1301" spans="7:47"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 s="68"/>
      <c r="AP1301" s="68"/>
      <c r="AQ1301" s="68"/>
      <c r="AR1301" s="68"/>
      <c r="AS1301" s="68"/>
      <c r="AT1301" s="68"/>
      <c r="AU1301" s="68"/>
    </row>
    <row r="1302" spans="7:47"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 s="68"/>
      <c r="AP1302" s="68"/>
      <c r="AQ1302" s="68"/>
      <c r="AR1302" s="68"/>
      <c r="AS1302" s="68"/>
      <c r="AT1302" s="68"/>
      <c r="AU1302" s="68"/>
    </row>
    <row r="1303" spans="7:47"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 s="68"/>
      <c r="AP1303" s="68"/>
      <c r="AQ1303" s="68"/>
      <c r="AR1303" s="68"/>
      <c r="AS1303" s="68"/>
      <c r="AT1303" s="68"/>
      <c r="AU1303" s="68"/>
    </row>
    <row r="1304" spans="7:47"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 s="68"/>
      <c r="AP1304" s="68"/>
      <c r="AQ1304" s="68"/>
      <c r="AR1304" s="68"/>
      <c r="AS1304" s="68"/>
      <c r="AT1304" s="68"/>
      <c r="AU1304" s="68"/>
    </row>
    <row r="1305" spans="7:47"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 s="68"/>
      <c r="AP1305" s="68"/>
      <c r="AQ1305" s="68"/>
      <c r="AR1305" s="68"/>
      <c r="AS1305" s="68"/>
      <c r="AT1305" s="68"/>
      <c r="AU1305" s="68"/>
    </row>
    <row r="1306" spans="7:47"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 s="68"/>
      <c r="AP1306" s="68"/>
      <c r="AQ1306" s="68"/>
      <c r="AR1306" s="68"/>
      <c r="AS1306" s="68"/>
      <c r="AT1306" s="68"/>
      <c r="AU1306" s="68"/>
    </row>
    <row r="1307" spans="7:47"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 s="68"/>
      <c r="AP1307" s="68"/>
      <c r="AQ1307" s="68"/>
      <c r="AR1307" s="68"/>
      <c r="AS1307" s="68"/>
      <c r="AT1307" s="68"/>
      <c r="AU1307" s="68"/>
    </row>
    <row r="1308" spans="7:47"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 s="68"/>
      <c r="AP1308" s="68"/>
      <c r="AQ1308" s="68"/>
      <c r="AR1308" s="68"/>
      <c r="AS1308" s="68"/>
      <c r="AT1308" s="68"/>
      <c r="AU1308" s="68"/>
    </row>
    <row r="1309" spans="7:47"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 s="68"/>
      <c r="AP1309" s="68"/>
      <c r="AQ1309" s="68"/>
      <c r="AR1309" s="68"/>
      <c r="AS1309" s="68"/>
      <c r="AT1309" s="68"/>
      <c r="AU1309" s="68"/>
    </row>
    <row r="1310" spans="7:47"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 s="68"/>
      <c r="AP1310" s="68"/>
      <c r="AQ1310" s="68"/>
      <c r="AR1310" s="68"/>
      <c r="AS1310" s="68"/>
      <c r="AT1310" s="68"/>
      <c r="AU1310" s="68"/>
    </row>
    <row r="1311" spans="7:47"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 s="68"/>
      <c r="AP1311" s="68"/>
      <c r="AQ1311" s="68"/>
      <c r="AR1311" s="68"/>
      <c r="AS1311" s="68"/>
      <c r="AT1311" s="68"/>
      <c r="AU1311" s="68"/>
    </row>
    <row r="1312" spans="7:47"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 s="68"/>
      <c r="AP1312" s="68"/>
      <c r="AQ1312" s="68"/>
      <c r="AR1312" s="68"/>
      <c r="AS1312" s="68"/>
      <c r="AT1312" s="68"/>
      <c r="AU1312" s="68"/>
    </row>
    <row r="1313" spans="7:47"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 s="68"/>
      <c r="AP1313" s="68"/>
      <c r="AQ1313" s="68"/>
      <c r="AR1313" s="68"/>
      <c r="AS1313" s="68"/>
      <c r="AT1313" s="68"/>
      <c r="AU1313" s="68"/>
    </row>
    <row r="1314" spans="7:47"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 s="68"/>
      <c r="AP1314" s="68"/>
      <c r="AQ1314" s="68"/>
      <c r="AR1314" s="68"/>
      <c r="AS1314" s="68"/>
      <c r="AT1314" s="68"/>
      <c r="AU1314" s="68"/>
    </row>
    <row r="1315" spans="7:47"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 s="68"/>
      <c r="AP1315" s="68"/>
      <c r="AQ1315" s="68"/>
      <c r="AR1315" s="68"/>
      <c r="AS1315" s="68"/>
      <c r="AT1315" s="68"/>
      <c r="AU1315" s="68"/>
    </row>
    <row r="1316" spans="7:47"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 s="68"/>
      <c r="AP1316" s="68"/>
      <c r="AQ1316" s="68"/>
      <c r="AR1316" s="68"/>
      <c r="AS1316" s="68"/>
      <c r="AT1316" s="68"/>
      <c r="AU1316" s="68"/>
    </row>
    <row r="1317" spans="7:47"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 s="68"/>
      <c r="AP1317" s="68"/>
      <c r="AQ1317" s="68"/>
      <c r="AR1317" s="68"/>
      <c r="AS1317" s="68"/>
      <c r="AT1317" s="68"/>
      <c r="AU1317" s="68"/>
    </row>
    <row r="1318" spans="7:47"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 s="68"/>
      <c r="AP1318" s="68"/>
      <c r="AQ1318" s="68"/>
      <c r="AR1318" s="68"/>
      <c r="AS1318" s="68"/>
      <c r="AT1318" s="68"/>
      <c r="AU1318" s="68"/>
    </row>
    <row r="1319" spans="7:47"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 s="68"/>
      <c r="AP1319" s="68"/>
      <c r="AQ1319" s="68"/>
      <c r="AR1319" s="68"/>
      <c r="AS1319" s="68"/>
      <c r="AT1319" s="68"/>
      <c r="AU1319" s="68"/>
    </row>
    <row r="1320" spans="7:47"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 s="68"/>
      <c r="AP1320" s="68"/>
      <c r="AQ1320" s="68"/>
      <c r="AR1320" s="68"/>
      <c r="AS1320" s="68"/>
      <c r="AT1320" s="68"/>
      <c r="AU1320" s="68"/>
    </row>
    <row r="1321" spans="7:47"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 s="68"/>
      <c r="AP1321" s="68"/>
      <c r="AQ1321" s="68"/>
      <c r="AR1321" s="68"/>
      <c r="AS1321" s="68"/>
      <c r="AT1321" s="68"/>
      <c r="AU1321" s="68"/>
    </row>
    <row r="1322" spans="7:47"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 s="68"/>
      <c r="AP1322" s="68"/>
      <c r="AQ1322" s="68"/>
      <c r="AR1322" s="68"/>
      <c r="AS1322" s="68"/>
      <c r="AT1322" s="68"/>
      <c r="AU1322" s="68"/>
    </row>
    <row r="1323" spans="7:47"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 s="68"/>
      <c r="AP1323" s="68"/>
      <c r="AQ1323" s="68"/>
      <c r="AR1323" s="68"/>
      <c r="AS1323" s="68"/>
      <c r="AT1323" s="68"/>
      <c r="AU1323" s="68"/>
    </row>
    <row r="1324" spans="7:47"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 s="68"/>
      <c r="AP1324" s="68"/>
      <c r="AQ1324" s="68"/>
      <c r="AR1324" s="68"/>
      <c r="AS1324" s="68"/>
      <c r="AT1324" s="68"/>
      <c r="AU1324" s="68"/>
    </row>
    <row r="1325" spans="7:47"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 s="68"/>
      <c r="AP1325" s="68"/>
      <c r="AQ1325" s="68"/>
      <c r="AR1325" s="68"/>
      <c r="AS1325" s="68"/>
      <c r="AT1325" s="68"/>
      <c r="AU1325" s="68"/>
    </row>
    <row r="1326" spans="7:47"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 s="68"/>
      <c r="AP1326" s="68"/>
      <c r="AQ1326" s="68"/>
      <c r="AR1326" s="68"/>
      <c r="AS1326" s="68"/>
      <c r="AT1326" s="68"/>
      <c r="AU1326" s="68"/>
    </row>
    <row r="1327" spans="7:47"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 s="68"/>
      <c r="AP1327" s="68"/>
      <c r="AQ1327" s="68"/>
      <c r="AR1327" s="68"/>
      <c r="AS1327" s="68"/>
      <c r="AT1327" s="68"/>
      <c r="AU1327" s="68"/>
    </row>
    <row r="1328" spans="7:47"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 s="68"/>
      <c r="AP1328" s="68"/>
      <c r="AQ1328" s="68"/>
      <c r="AR1328" s="68"/>
      <c r="AS1328" s="68"/>
      <c r="AT1328" s="68"/>
      <c r="AU1328" s="68"/>
    </row>
    <row r="1329" spans="7:47"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 s="68"/>
      <c r="AP1329" s="68"/>
      <c r="AQ1329" s="68"/>
      <c r="AR1329" s="68"/>
      <c r="AS1329" s="68"/>
      <c r="AT1329" s="68"/>
      <c r="AU1329" s="68"/>
    </row>
    <row r="1330" spans="7:47"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 s="68"/>
      <c r="AP1330" s="68"/>
      <c r="AQ1330" s="68"/>
      <c r="AR1330" s="68"/>
      <c r="AS1330" s="68"/>
      <c r="AT1330" s="68"/>
      <c r="AU1330" s="68"/>
    </row>
    <row r="1331" spans="7:47"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 s="68"/>
      <c r="AP1331" s="68"/>
      <c r="AQ1331" s="68"/>
      <c r="AR1331" s="68"/>
      <c r="AS1331" s="68"/>
      <c r="AT1331" s="68"/>
      <c r="AU1331" s="68"/>
    </row>
    <row r="1332" spans="7:47"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 s="68"/>
      <c r="AP1332" s="68"/>
      <c r="AQ1332" s="68"/>
      <c r="AR1332" s="68"/>
      <c r="AS1332" s="68"/>
      <c r="AT1332" s="68"/>
      <c r="AU1332" s="68"/>
    </row>
    <row r="1333" spans="7:47"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 s="68"/>
      <c r="AP1333" s="68"/>
      <c r="AQ1333" s="68"/>
      <c r="AR1333" s="68"/>
      <c r="AS1333" s="68"/>
      <c r="AT1333" s="68"/>
      <c r="AU1333" s="68"/>
    </row>
    <row r="1334" spans="7:47"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 s="68"/>
      <c r="AP1334" s="68"/>
      <c r="AQ1334" s="68"/>
      <c r="AR1334" s="68"/>
      <c r="AS1334" s="68"/>
      <c r="AT1334" s="68"/>
      <c r="AU1334" s="68"/>
    </row>
    <row r="1335" spans="7:47"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 s="68"/>
      <c r="AP1335" s="68"/>
      <c r="AQ1335" s="68"/>
      <c r="AR1335" s="68"/>
      <c r="AS1335" s="68"/>
      <c r="AT1335" s="68"/>
      <c r="AU1335" s="68"/>
    </row>
    <row r="1336" spans="7:47"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 s="68"/>
      <c r="AP1336" s="68"/>
      <c r="AQ1336" s="68"/>
      <c r="AR1336" s="68"/>
      <c r="AS1336" s="68"/>
      <c r="AT1336" s="68"/>
      <c r="AU1336" s="68"/>
    </row>
    <row r="1337" spans="7:47"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 s="68"/>
      <c r="AP1337" s="68"/>
      <c r="AQ1337" s="68"/>
      <c r="AR1337" s="68"/>
      <c r="AS1337" s="68"/>
      <c r="AT1337" s="68"/>
      <c r="AU1337" s="68"/>
    </row>
    <row r="1338" spans="7:47"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 s="68"/>
      <c r="AP1338" s="68"/>
      <c r="AQ1338" s="68"/>
      <c r="AR1338" s="68"/>
      <c r="AS1338" s="68"/>
      <c r="AT1338" s="68"/>
      <c r="AU1338" s="68"/>
    </row>
    <row r="1339" spans="7:47"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 s="68"/>
      <c r="AP1339" s="68"/>
      <c r="AQ1339" s="68"/>
      <c r="AR1339" s="68"/>
      <c r="AS1339" s="68"/>
      <c r="AT1339" s="68"/>
      <c r="AU1339" s="68"/>
    </row>
    <row r="1340" spans="7:47"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 s="68"/>
      <c r="AP1340" s="68"/>
      <c r="AQ1340" s="68"/>
      <c r="AR1340" s="68"/>
      <c r="AS1340" s="68"/>
      <c r="AT1340" s="68"/>
      <c r="AU1340" s="68"/>
    </row>
    <row r="1341" spans="7:47"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 s="68"/>
      <c r="AP1341" s="68"/>
      <c r="AQ1341" s="68"/>
      <c r="AR1341" s="68"/>
      <c r="AS1341" s="68"/>
      <c r="AT1341" s="68"/>
      <c r="AU1341" s="68"/>
    </row>
    <row r="1342" spans="7:47"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 s="68"/>
      <c r="AP1342" s="68"/>
      <c r="AQ1342" s="68"/>
      <c r="AR1342" s="68"/>
      <c r="AS1342" s="68"/>
      <c r="AT1342" s="68"/>
      <c r="AU1342" s="68"/>
    </row>
    <row r="1343" spans="7:47"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 s="68"/>
      <c r="AP1343" s="68"/>
      <c r="AQ1343" s="68"/>
      <c r="AR1343" s="68"/>
      <c r="AS1343" s="68"/>
      <c r="AT1343" s="68"/>
      <c r="AU1343" s="68"/>
    </row>
    <row r="1344" spans="7:47"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 s="68"/>
      <c r="AP1344" s="68"/>
      <c r="AQ1344" s="68"/>
      <c r="AR1344" s="68"/>
      <c r="AS1344" s="68"/>
      <c r="AT1344" s="68"/>
      <c r="AU1344" s="68"/>
    </row>
    <row r="1345" spans="7:47"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 s="68"/>
      <c r="AP1345" s="68"/>
      <c r="AQ1345" s="68"/>
      <c r="AR1345" s="68"/>
      <c r="AS1345" s="68"/>
      <c r="AT1345" s="68"/>
      <c r="AU1345" s="68"/>
    </row>
    <row r="1346" spans="7:47"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 s="68"/>
      <c r="AP1346" s="68"/>
      <c r="AQ1346" s="68"/>
      <c r="AR1346" s="68"/>
      <c r="AS1346" s="68"/>
      <c r="AT1346" s="68"/>
      <c r="AU1346" s="68"/>
    </row>
    <row r="1347" spans="7:47"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 s="68"/>
      <c r="AP1347" s="68"/>
      <c r="AQ1347" s="68"/>
      <c r="AR1347" s="68"/>
      <c r="AS1347" s="68"/>
      <c r="AT1347" s="68"/>
      <c r="AU1347" s="68"/>
    </row>
    <row r="1348" spans="7:47"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 s="68"/>
      <c r="AP1348" s="68"/>
      <c r="AQ1348" s="68"/>
      <c r="AR1348" s="68"/>
      <c r="AS1348" s="68"/>
      <c r="AT1348" s="68"/>
      <c r="AU1348" s="68"/>
    </row>
    <row r="1349" spans="7:47"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 s="68"/>
      <c r="AP1349" s="68"/>
      <c r="AQ1349" s="68"/>
      <c r="AR1349" s="68"/>
      <c r="AS1349" s="68"/>
      <c r="AT1349" s="68"/>
      <c r="AU1349" s="68"/>
    </row>
    <row r="1350" spans="7:47"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 s="68"/>
      <c r="AP1350" s="68"/>
      <c r="AQ1350" s="68"/>
      <c r="AR1350" s="68"/>
      <c r="AS1350" s="68"/>
      <c r="AT1350" s="68"/>
      <c r="AU1350" s="68"/>
    </row>
    <row r="1351" spans="7:47"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 s="68"/>
      <c r="AP1351" s="68"/>
      <c r="AQ1351" s="68"/>
      <c r="AR1351" s="68"/>
      <c r="AS1351" s="68"/>
      <c r="AT1351" s="68"/>
      <c r="AU1351" s="68"/>
    </row>
    <row r="1352" spans="7:47"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 s="68"/>
      <c r="AP1352" s="68"/>
      <c r="AQ1352" s="68"/>
      <c r="AR1352" s="68"/>
      <c r="AS1352" s="68"/>
      <c r="AT1352" s="68"/>
      <c r="AU1352" s="68"/>
    </row>
    <row r="1353" spans="7:47"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 s="68"/>
      <c r="AP1353" s="68"/>
      <c r="AQ1353" s="68"/>
      <c r="AR1353" s="68"/>
      <c r="AS1353" s="68"/>
      <c r="AT1353" s="68"/>
      <c r="AU1353" s="68"/>
    </row>
    <row r="1354" spans="7:47"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 s="68"/>
      <c r="AP1354" s="68"/>
      <c r="AQ1354" s="68"/>
      <c r="AR1354" s="68"/>
      <c r="AS1354" s="68"/>
      <c r="AT1354" s="68"/>
      <c r="AU1354" s="68"/>
    </row>
    <row r="1355" spans="7:47"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 s="68"/>
      <c r="AP1355" s="68"/>
      <c r="AQ1355" s="68"/>
      <c r="AR1355" s="68"/>
      <c r="AS1355" s="68"/>
      <c r="AT1355" s="68"/>
      <c r="AU1355" s="68"/>
    </row>
    <row r="1356" spans="7:47"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 s="68"/>
      <c r="AP1356" s="68"/>
      <c r="AQ1356" s="68"/>
      <c r="AR1356" s="68"/>
      <c r="AS1356" s="68"/>
      <c r="AT1356" s="68"/>
      <c r="AU1356" s="68"/>
    </row>
    <row r="1357" spans="7:47"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 s="68"/>
      <c r="AP1357" s="68"/>
      <c r="AQ1357" s="68"/>
      <c r="AR1357" s="68"/>
      <c r="AS1357" s="68"/>
      <c r="AT1357" s="68"/>
      <c r="AU1357" s="68"/>
    </row>
    <row r="1358" spans="7:47"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 s="68"/>
      <c r="AP1358" s="68"/>
      <c r="AQ1358" s="68"/>
      <c r="AR1358" s="68"/>
      <c r="AS1358" s="68"/>
      <c r="AT1358" s="68"/>
      <c r="AU1358" s="68"/>
    </row>
    <row r="1359" spans="7:47"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 s="68"/>
      <c r="AP1359" s="68"/>
      <c r="AQ1359" s="68"/>
      <c r="AR1359" s="68"/>
      <c r="AS1359" s="68"/>
      <c r="AT1359" s="68"/>
      <c r="AU1359" s="68"/>
    </row>
    <row r="1360" spans="7:47"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 s="68"/>
      <c r="AP1360" s="68"/>
      <c r="AQ1360" s="68"/>
      <c r="AR1360" s="68"/>
      <c r="AS1360" s="68"/>
      <c r="AT1360" s="68"/>
      <c r="AU1360" s="68"/>
    </row>
    <row r="1361" spans="7:47"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 s="68"/>
      <c r="AP1361" s="68"/>
      <c r="AQ1361" s="68"/>
      <c r="AR1361" s="68"/>
      <c r="AS1361" s="68"/>
      <c r="AT1361" s="68"/>
      <c r="AU1361" s="68"/>
    </row>
    <row r="1362" spans="7:47"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 s="68"/>
      <c r="AP1362" s="68"/>
      <c r="AQ1362" s="68"/>
      <c r="AR1362" s="68"/>
      <c r="AS1362" s="68"/>
      <c r="AT1362" s="68"/>
      <c r="AU1362" s="68"/>
    </row>
    <row r="1363" spans="7:47"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 s="68"/>
      <c r="AP1363" s="68"/>
      <c r="AQ1363" s="68"/>
      <c r="AR1363" s="68"/>
      <c r="AS1363" s="68"/>
      <c r="AT1363" s="68"/>
      <c r="AU1363" s="68"/>
    </row>
    <row r="1364" spans="7:47"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 s="68"/>
      <c r="AP1364" s="68"/>
      <c r="AQ1364" s="68"/>
      <c r="AR1364" s="68"/>
      <c r="AS1364" s="68"/>
      <c r="AT1364" s="68"/>
      <c r="AU1364" s="68"/>
    </row>
    <row r="1365" spans="7:47"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 s="68"/>
      <c r="AP1365" s="68"/>
      <c r="AQ1365" s="68"/>
      <c r="AR1365" s="68"/>
      <c r="AS1365" s="68"/>
      <c r="AT1365" s="68"/>
      <c r="AU1365" s="68"/>
    </row>
    <row r="1366" spans="7:47"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 s="68"/>
      <c r="AP1366" s="68"/>
      <c r="AQ1366" s="68"/>
      <c r="AR1366" s="68"/>
      <c r="AS1366" s="68"/>
      <c r="AT1366" s="68"/>
      <c r="AU1366" s="68"/>
    </row>
    <row r="1367" spans="7:47"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 s="68"/>
      <c r="AP1367" s="68"/>
      <c r="AQ1367" s="68"/>
      <c r="AR1367" s="68"/>
      <c r="AS1367" s="68"/>
      <c r="AT1367" s="68"/>
      <c r="AU1367" s="68"/>
    </row>
    <row r="1368" spans="7:47"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 s="68"/>
      <c r="AP1368" s="68"/>
      <c r="AQ1368" s="68"/>
      <c r="AR1368" s="68"/>
      <c r="AS1368" s="68"/>
      <c r="AT1368" s="68"/>
      <c r="AU1368" s="68"/>
    </row>
    <row r="1369" spans="7:47"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 s="68"/>
      <c r="AP1369" s="68"/>
      <c r="AQ1369" s="68"/>
      <c r="AR1369" s="68"/>
      <c r="AS1369" s="68"/>
      <c r="AT1369" s="68"/>
      <c r="AU1369" s="68"/>
    </row>
    <row r="1370" spans="7:47"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 s="68"/>
      <c r="AP1370" s="68"/>
      <c r="AQ1370" s="68"/>
      <c r="AR1370" s="68"/>
      <c r="AS1370" s="68"/>
      <c r="AT1370" s="68"/>
      <c r="AU1370" s="68"/>
    </row>
    <row r="1371" spans="7:47"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 s="68"/>
      <c r="AP1371" s="68"/>
      <c r="AQ1371" s="68"/>
      <c r="AR1371" s="68"/>
      <c r="AS1371" s="68"/>
      <c r="AT1371" s="68"/>
      <c r="AU1371" s="68"/>
    </row>
    <row r="1372" spans="7:47"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 s="68"/>
      <c r="AP1372" s="68"/>
      <c r="AQ1372" s="68"/>
      <c r="AR1372" s="68"/>
      <c r="AS1372" s="68"/>
      <c r="AT1372" s="68"/>
      <c r="AU1372" s="68"/>
    </row>
    <row r="1373" spans="7:47"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 s="68"/>
      <c r="AP1373" s="68"/>
      <c r="AQ1373" s="68"/>
      <c r="AR1373" s="68"/>
      <c r="AS1373" s="68"/>
      <c r="AT1373" s="68"/>
      <c r="AU1373" s="68"/>
    </row>
    <row r="1374" spans="7:47"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 s="68"/>
      <c r="AP1374" s="68"/>
      <c r="AQ1374" s="68"/>
      <c r="AR1374" s="68"/>
      <c r="AS1374" s="68"/>
      <c r="AT1374" s="68"/>
      <c r="AU1374" s="68"/>
    </row>
    <row r="1375" spans="7:47"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 s="68"/>
      <c r="AP1375" s="68"/>
      <c r="AQ1375" s="68"/>
      <c r="AR1375" s="68"/>
      <c r="AS1375" s="68"/>
      <c r="AT1375" s="68"/>
      <c r="AU1375" s="68"/>
    </row>
    <row r="1376" spans="7:47"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 s="68"/>
      <c r="AP1376" s="68"/>
      <c r="AQ1376" s="68"/>
      <c r="AR1376" s="68"/>
      <c r="AS1376" s="68"/>
      <c r="AT1376" s="68"/>
      <c r="AU1376" s="68"/>
    </row>
    <row r="1377" spans="7:47"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 s="68"/>
      <c r="AP1377" s="68"/>
      <c r="AQ1377" s="68"/>
      <c r="AR1377" s="68"/>
      <c r="AS1377" s="68"/>
      <c r="AT1377" s="68"/>
      <c r="AU1377" s="68"/>
    </row>
    <row r="1378" spans="7:47"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 s="68"/>
      <c r="AP1378" s="68"/>
      <c r="AQ1378" s="68"/>
      <c r="AR1378" s="68"/>
      <c r="AS1378" s="68"/>
      <c r="AT1378" s="68"/>
      <c r="AU1378" s="68"/>
    </row>
    <row r="1379" spans="7:47"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 s="68"/>
      <c r="AP1379" s="68"/>
      <c r="AQ1379" s="68"/>
      <c r="AR1379" s="68"/>
      <c r="AS1379" s="68"/>
      <c r="AT1379" s="68"/>
      <c r="AU1379" s="68"/>
    </row>
    <row r="1380" spans="7:47"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 s="68"/>
      <c r="AP1380" s="68"/>
      <c r="AQ1380" s="68"/>
      <c r="AR1380" s="68"/>
      <c r="AS1380" s="68"/>
      <c r="AT1380" s="68"/>
      <c r="AU1380" s="68"/>
    </row>
    <row r="1381" spans="7:47"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 s="68"/>
      <c r="AP1381" s="68"/>
      <c r="AQ1381" s="68"/>
      <c r="AR1381" s="68"/>
      <c r="AS1381" s="68"/>
      <c r="AT1381" s="68"/>
      <c r="AU1381" s="68"/>
    </row>
    <row r="1382" spans="7:47"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 s="68"/>
      <c r="AP1382" s="68"/>
      <c r="AQ1382" s="68"/>
      <c r="AR1382" s="68"/>
      <c r="AS1382" s="68"/>
      <c r="AT1382" s="68"/>
      <c r="AU1382" s="68"/>
    </row>
    <row r="1383" spans="7:47"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 s="68"/>
      <c r="AP1383" s="68"/>
      <c r="AQ1383" s="68"/>
      <c r="AR1383" s="68"/>
      <c r="AS1383" s="68"/>
      <c r="AT1383" s="68"/>
      <c r="AU1383" s="68"/>
    </row>
    <row r="1384" spans="7:47"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 s="68"/>
      <c r="AP1384" s="68"/>
      <c r="AQ1384" s="68"/>
      <c r="AR1384" s="68"/>
      <c r="AS1384" s="68"/>
      <c r="AT1384" s="68"/>
      <c r="AU1384" s="68"/>
    </row>
    <row r="1385" spans="7:47"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 s="68"/>
      <c r="AP1385" s="68"/>
      <c r="AQ1385" s="68"/>
      <c r="AR1385" s="68"/>
      <c r="AS1385" s="68"/>
      <c r="AT1385" s="68"/>
      <c r="AU1385" s="68"/>
    </row>
    <row r="1386" spans="7:47"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 s="68"/>
      <c r="AP1386" s="68"/>
      <c r="AQ1386" s="68"/>
      <c r="AR1386" s="68"/>
      <c r="AS1386" s="68"/>
      <c r="AT1386" s="68"/>
      <c r="AU1386" s="68"/>
    </row>
    <row r="1387" spans="7:47"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 s="68"/>
      <c r="AP1387" s="68"/>
      <c r="AQ1387" s="68"/>
      <c r="AR1387" s="68"/>
      <c r="AS1387" s="68"/>
      <c r="AT1387" s="68"/>
      <c r="AU1387" s="68"/>
    </row>
    <row r="1388" spans="7:47"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 s="68"/>
      <c r="AP1388" s="68"/>
      <c r="AQ1388" s="68"/>
      <c r="AR1388" s="68"/>
      <c r="AS1388" s="68"/>
      <c r="AT1388" s="68"/>
      <c r="AU1388" s="68"/>
    </row>
    <row r="1389" spans="7:47"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 s="68"/>
      <c r="AP1389" s="68"/>
      <c r="AQ1389" s="68"/>
      <c r="AR1389" s="68"/>
      <c r="AS1389" s="68"/>
      <c r="AT1389" s="68"/>
      <c r="AU1389" s="68"/>
    </row>
    <row r="1390" spans="7:47"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 s="68"/>
      <c r="AP1390" s="68"/>
      <c r="AQ1390" s="68"/>
      <c r="AR1390" s="68"/>
      <c r="AS1390" s="68"/>
      <c r="AT1390" s="68"/>
      <c r="AU1390" s="68"/>
    </row>
    <row r="1391" spans="7:47"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 s="68"/>
      <c r="AP1391" s="68"/>
      <c r="AQ1391" s="68"/>
      <c r="AR1391" s="68"/>
      <c r="AS1391" s="68"/>
      <c r="AT1391" s="68"/>
      <c r="AU1391" s="68"/>
    </row>
    <row r="1392" spans="7:47"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 s="68"/>
      <c r="AP1392" s="68"/>
      <c r="AQ1392" s="68"/>
      <c r="AR1392" s="68"/>
      <c r="AS1392" s="68"/>
      <c r="AT1392" s="68"/>
      <c r="AU1392" s="68"/>
    </row>
    <row r="1393" spans="7:47"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 s="68"/>
      <c r="AP1393" s="68"/>
      <c r="AQ1393" s="68"/>
      <c r="AR1393" s="68"/>
      <c r="AS1393" s="68"/>
      <c r="AT1393" s="68"/>
      <c r="AU1393" s="68"/>
    </row>
    <row r="1394" spans="7:47"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 s="68"/>
      <c r="AP1394" s="68"/>
      <c r="AQ1394" s="68"/>
      <c r="AR1394" s="68"/>
      <c r="AS1394" s="68"/>
      <c r="AT1394" s="68"/>
      <c r="AU1394" s="68"/>
    </row>
    <row r="1395" spans="7:47"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 s="68"/>
      <c r="AP1395" s="68"/>
      <c r="AQ1395" s="68"/>
      <c r="AR1395" s="68"/>
      <c r="AS1395" s="68"/>
      <c r="AT1395" s="68"/>
      <c r="AU1395" s="68"/>
    </row>
    <row r="1396" spans="7:47"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 s="68"/>
      <c r="AP1396" s="68"/>
      <c r="AQ1396" s="68"/>
      <c r="AR1396" s="68"/>
      <c r="AS1396" s="68"/>
      <c r="AT1396" s="68"/>
      <c r="AU1396" s="68"/>
    </row>
    <row r="1397" spans="7:47"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 s="68"/>
      <c r="AP1397" s="68"/>
      <c r="AQ1397" s="68"/>
      <c r="AR1397" s="68"/>
      <c r="AS1397" s="68"/>
      <c r="AT1397" s="68"/>
      <c r="AU1397" s="68"/>
    </row>
    <row r="1398" spans="7:47"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 s="68"/>
      <c r="AP1398" s="68"/>
      <c r="AQ1398" s="68"/>
      <c r="AR1398" s="68"/>
      <c r="AS1398" s="68"/>
      <c r="AT1398" s="68"/>
      <c r="AU1398" s="68"/>
    </row>
    <row r="1399" spans="7:47"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 s="68"/>
      <c r="AP1399" s="68"/>
      <c r="AQ1399" s="68"/>
      <c r="AR1399" s="68"/>
      <c r="AS1399" s="68"/>
      <c r="AT1399" s="68"/>
      <c r="AU1399" s="68"/>
    </row>
    <row r="1400" spans="7:47"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 s="68"/>
      <c r="AP1400" s="68"/>
      <c r="AQ1400" s="68"/>
      <c r="AR1400" s="68"/>
      <c r="AS1400" s="68"/>
      <c r="AT1400" s="68"/>
      <c r="AU1400" s="68"/>
    </row>
    <row r="1401" spans="7:47"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 s="68"/>
      <c r="AP1401" s="68"/>
      <c r="AQ1401" s="68"/>
      <c r="AR1401" s="68"/>
      <c r="AS1401" s="68"/>
      <c r="AT1401" s="68"/>
      <c r="AU1401" s="68"/>
    </row>
    <row r="1402" spans="7:47"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 s="68"/>
      <c r="AP1402" s="68"/>
      <c r="AQ1402" s="68"/>
      <c r="AR1402" s="68"/>
      <c r="AS1402" s="68"/>
      <c r="AT1402" s="68"/>
      <c r="AU1402" s="68"/>
    </row>
    <row r="1403" spans="7:47"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 s="68"/>
      <c r="AP1403" s="68"/>
      <c r="AQ1403" s="68"/>
      <c r="AR1403" s="68"/>
      <c r="AS1403" s="68"/>
      <c r="AT1403" s="68"/>
      <c r="AU1403" s="68"/>
    </row>
    <row r="1404" spans="7:47"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 s="68"/>
      <c r="AP1404" s="68"/>
      <c r="AQ1404" s="68"/>
      <c r="AR1404" s="68"/>
      <c r="AS1404" s="68"/>
      <c r="AT1404" s="68"/>
      <c r="AU1404" s="68"/>
    </row>
    <row r="1405" spans="7:47"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 s="68"/>
      <c r="AP1405" s="68"/>
      <c r="AQ1405" s="68"/>
      <c r="AR1405" s="68"/>
      <c r="AS1405" s="68"/>
      <c r="AT1405" s="68"/>
      <c r="AU1405" s="68"/>
    </row>
    <row r="1406" spans="7:47"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 s="68"/>
      <c r="AP1406" s="68"/>
      <c r="AQ1406" s="68"/>
      <c r="AR1406" s="68"/>
      <c r="AS1406" s="68"/>
      <c r="AT1406" s="68"/>
      <c r="AU1406" s="68"/>
    </row>
    <row r="1407" spans="7:47"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 s="68"/>
      <c r="AP1407" s="68"/>
      <c r="AQ1407" s="68"/>
      <c r="AR1407" s="68"/>
      <c r="AS1407" s="68"/>
      <c r="AT1407" s="68"/>
      <c r="AU1407" s="68"/>
    </row>
    <row r="1408" spans="7:47"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 s="68"/>
      <c r="AP1408" s="68"/>
      <c r="AQ1408" s="68"/>
      <c r="AR1408" s="68"/>
      <c r="AS1408" s="68"/>
      <c r="AT1408" s="68"/>
      <c r="AU1408" s="68"/>
    </row>
    <row r="1409" spans="7:47"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 s="68"/>
      <c r="AP1409" s="68"/>
      <c r="AQ1409" s="68"/>
      <c r="AR1409" s="68"/>
      <c r="AS1409" s="68"/>
      <c r="AT1409" s="68"/>
      <c r="AU1409" s="68"/>
    </row>
    <row r="1410" spans="7:47"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 s="68"/>
      <c r="AP1410" s="68"/>
      <c r="AQ1410" s="68"/>
      <c r="AR1410" s="68"/>
      <c r="AS1410" s="68"/>
      <c r="AT1410" s="68"/>
      <c r="AU1410" s="68"/>
    </row>
    <row r="1411" spans="7:47"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 s="68"/>
      <c r="AP1411" s="68"/>
      <c r="AQ1411" s="68"/>
      <c r="AR1411" s="68"/>
      <c r="AS1411" s="68"/>
      <c r="AT1411" s="68"/>
      <c r="AU1411" s="68"/>
    </row>
    <row r="1412" spans="7:47"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 s="68"/>
      <c r="AP1412" s="68"/>
      <c r="AQ1412" s="68"/>
      <c r="AR1412" s="68"/>
      <c r="AS1412" s="68"/>
      <c r="AT1412" s="68"/>
      <c r="AU1412" s="68"/>
    </row>
    <row r="1413" spans="7:47"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 s="68"/>
      <c r="AP1413" s="68"/>
      <c r="AQ1413" s="68"/>
      <c r="AR1413" s="68"/>
      <c r="AS1413" s="68"/>
      <c r="AT1413" s="68"/>
      <c r="AU1413" s="68"/>
    </row>
    <row r="1414" spans="7:47"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 s="68"/>
      <c r="AP1414" s="68"/>
      <c r="AQ1414" s="68"/>
      <c r="AR1414" s="68"/>
      <c r="AS1414" s="68"/>
      <c r="AT1414" s="68"/>
      <c r="AU1414" s="68"/>
    </row>
    <row r="1415" spans="7:47"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 s="68"/>
      <c r="AP1415" s="68"/>
      <c r="AQ1415" s="68"/>
      <c r="AR1415" s="68"/>
      <c r="AS1415" s="68"/>
      <c r="AT1415" s="68"/>
      <c r="AU1415" s="68"/>
    </row>
    <row r="1416" spans="7:47"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 s="68"/>
      <c r="AP1416" s="68"/>
      <c r="AQ1416" s="68"/>
      <c r="AR1416" s="68"/>
      <c r="AS1416" s="68"/>
      <c r="AT1416" s="68"/>
      <c r="AU1416" s="68"/>
    </row>
    <row r="1417" spans="7:47"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 s="68"/>
      <c r="AP1417" s="68"/>
      <c r="AQ1417" s="68"/>
      <c r="AR1417" s="68"/>
      <c r="AS1417" s="68"/>
      <c r="AT1417" s="68"/>
      <c r="AU1417" s="68"/>
    </row>
    <row r="1418" spans="7:47"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 s="68"/>
      <c r="AP1418" s="68"/>
      <c r="AQ1418" s="68"/>
      <c r="AR1418" s="68"/>
      <c r="AS1418" s="68"/>
      <c r="AT1418" s="68"/>
      <c r="AU1418" s="68"/>
    </row>
    <row r="1419" spans="7:47"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 s="68"/>
      <c r="AP1419" s="68"/>
      <c r="AQ1419" s="68"/>
      <c r="AR1419" s="68"/>
      <c r="AS1419" s="68"/>
      <c r="AT1419" s="68"/>
      <c r="AU1419" s="68"/>
    </row>
    <row r="1420" spans="7:47"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 s="68"/>
      <c r="AP1420" s="68"/>
      <c r="AQ1420" s="68"/>
      <c r="AR1420" s="68"/>
      <c r="AS1420" s="68"/>
      <c r="AT1420" s="68"/>
      <c r="AU1420" s="68"/>
    </row>
    <row r="1421" spans="7:47"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 s="68"/>
      <c r="AP1421" s="68"/>
      <c r="AQ1421" s="68"/>
      <c r="AR1421" s="68"/>
      <c r="AS1421" s="68"/>
      <c r="AT1421" s="68"/>
      <c r="AU1421" s="68"/>
    </row>
    <row r="1422" spans="7:47"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 s="68"/>
      <c r="AP1422" s="68"/>
      <c r="AQ1422" s="68"/>
      <c r="AR1422" s="68"/>
      <c r="AS1422" s="68"/>
      <c r="AT1422" s="68"/>
      <c r="AU1422" s="68"/>
    </row>
    <row r="1423" spans="7:47"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 s="68"/>
      <c r="AP1423" s="68"/>
      <c r="AQ1423" s="68"/>
      <c r="AR1423" s="68"/>
      <c r="AS1423" s="68"/>
      <c r="AT1423" s="68"/>
      <c r="AU1423" s="68"/>
    </row>
    <row r="1424" spans="7:47"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 s="68"/>
      <c r="AP1424" s="68"/>
      <c r="AQ1424" s="68"/>
      <c r="AR1424" s="68"/>
      <c r="AS1424" s="68"/>
      <c r="AT1424" s="68"/>
      <c r="AU1424" s="68"/>
    </row>
    <row r="1425" spans="7:47"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 s="68"/>
      <c r="AP1425" s="68"/>
      <c r="AQ1425" s="68"/>
      <c r="AR1425" s="68"/>
      <c r="AS1425" s="68"/>
      <c r="AT1425" s="68"/>
      <c r="AU1425" s="68"/>
    </row>
    <row r="1426" spans="7:47"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 s="68"/>
      <c r="AP1426" s="68"/>
      <c r="AQ1426" s="68"/>
      <c r="AR1426" s="68"/>
      <c r="AS1426" s="68"/>
      <c r="AT1426" s="68"/>
      <c r="AU1426" s="68"/>
    </row>
    <row r="1427" spans="7:47"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 s="68"/>
      <c r="AP1427" s="68"/>
      <c r="AQ1427" s="68"/>
      <c r="AR1427" s="68"/>
      <c r="AS1427" s="68"/>
      <c r="AT1427" s="68"/>
      <c r="AU1427" s="68"/>
    </row>
    <row r="1428" spans="7:47"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 s="68"/>
      <c r="AP1428" s="68"/>
      <c r="AQ1428" s="68"/>
      <c r="AR1428" s="68"/>
      <c r="AS1428" s="68"/>
      <c r="AT1428" s="68"/>
      <c r="AU1428" s="68"/>
    </row>
    <row r="1429" spans="7:47"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 s="68"/>
      <c r="AP1429" s="68"/>
      <c r="AQ1429" s="68"/>
      <c r="AR1429" s="68"/>
      <c r="AS1429" s="68"/>
      <c r="AT1429" s="68"/>
      <c r="AU1429" s="68"/>
    </row>
    <row r="1430" spans="7:47"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 s="68"/>
      <c r="AP1430" s="68"/>
      <c r="AQ1430" s="68"/>
      <c r="AR1430" s="68"/>
      <c r="AS1430" s="68"/>
      <c r="AT1430" s="68"/>
      <c r="AU1430" s="68"/>
    </row>
    <row r="1431" spans="7:47"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 s="68"/>
      <c r="AP1431" s="68"/>
      <c r="AQ1431" s="68"/>
      <c r="AR1431" s="68"/>
      <c r="AS1431" s="68"/>
      <c r="AT1431" s="68"/>
      <c r="AU1431" s="68"/>
    </row>
    <row r="1432" spans="7:47"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 s="68"/>
      <c r="AP1432" s="68"/>
      <c r="AQ1432" s="68"/>
      <c r="AR1432" s="68"/>
      <c r="AS1432" s="68"/>
      <c r="AT1432" s="68"/>
      <c r="AU1432" s="68"/>
    </row>
    <row r="1433" spans="7:47"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 s="68"/>
      <c r="AP1433" s="68"/>
      <c r="AQ1433" s="68"/>
      <c r="AR1433" s="68"/>
      <c r="AS1433" s="68"/>
      <c r="AT1433" s="68"/>
      <c r="AU1433" s="68"/>
    </row>
    <row r="1434" spans="7:47"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 s="68"/>
      <c r="AP1434" s="68"/>
      <c r="AQ1434" s="68"/>
      <c r="AR1434" s="68"/>
      <c r="AS1434" s="68"/>
      <c r="AT1434" s="68"/>
      <c r="AU1434" s="68"/>
    </row>
    <row r="1435" spans="7:47"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 s="68"/>
      <c r="AP1435" s="68"/>
      <c r="AQ1435" s="68"/>
      <c r="AR1435" s="68"/>
      <c r="AS1435" s="68"/>
      <c r="AT1435" s="68"/>
      <c r="AU1435" s="68"/>
    </row>
    <row r="1436" spans="7:47"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 s="68"/>
      <c r="AP1436" s="68"/>
      <c r="AQ1436" s="68"/>
      <c r="AR1436" s="68"/>
      <c r="AS1436" s="68"/>
      <c r="AT1436" s="68"/>
      <c r="AU1436" s="68"/>
    </row>
    <row r="1437" spans="7:47"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 s="68"/>
      <c r="AP1437" s="68"/>
      <c r="AQ1437" s="68"/>
      <c r="AR1437" s="68"/>
      <c r="AS1437" s="68"/>
      <c r="AT1437" s="68"/>
      <c r="AU1437" s="68"/>
    </row>
    <row r="1438" spans="7:47"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 s="68"/>
      <c r="AP1438" s="68"/>
      <c r="AQ1438" s="68"/>
      <c r="AR1438" s="68"/>
      <c r="AS1438" s="68"/>
      <c r="AT1438" s="68"/>
      <c r="AU1438" s="68"/>
    </row>
    <row r="1439" spans="7:47"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 s="68"/>
      <c r="AP1439" s="68"/>
      <c r="AQ1439" s="68"/>
      <c r="AR1439" s="68"/>
      <c r="AS1439" s="68"/>
      <c r="AT1439" s="68"/>
      <c r="AU1439" s="68"/>
    </row>
    <row r="1440" spans="7:47"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 s="68"/>
      <c r="AP1440" s="68"/>
      <c r="AQ1440" s="68"/>
      <c r="AR1440" s="68"/>
      <c r="AS1440" s="68"/>
      <c r="AT1440" s="68"/>
      <c r="AU1440" s="68"/>
    </row>
    <row r="1441" spans="7:47"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 s="68"/>
      <c r="AP1441" s="68"/>
      <c r="AQ1441" s="68"/>
      <c r="AR1441" s="68"/>
      <c r="AS1441" s="68"/>
      <c r="AT1441" s="68"/>
      <c r="AU1441" s="68"/>
    </row>
    <row r="1442" spans="7:47"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 s="68"/>
      <c r="AP1442" s="68"/>
      <c r="AQ1442" s="68"/>
      <c r="AR1442" s="68"/>
      <c r="AS1442" s="68"/>
      <c r="AT1442" s="68"/>
      <c r="AU1442" s="68"/>
    </row>
    <row r="1443" spans="7:47"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 s="68"/>
      <c r="AP1443" s="68"/>
      <c r="AQ1443" s="68"/>
      <c r="AR1443" s="68"/>
      <c r="AS1443" s="68"/>
      <c r="AT1443" s="68"/>
      <c r="AU1443" s="68"/>
    </row>
    <row r="1444" spans="7:47"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 s="68"/>
      <c r="AP1444" s="68"/>
      <c r="AQ1444" s="68"/>
      <c r="AR1444" s="68"/>
      <c r="AS1444" s="68"/>
      <c r="AT1444" s="68"/>
      <c r="AU1444" s="68"/>
    </row>
    <row r="1445" spans="7:47"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 s="68"/>
      <c r="AP1445" s="68"/>
      <c r="AQ1445" s="68"/>
      <c r="AR1445" s="68"/>
      <c r="AS1445" s="68"/>
      <c r="AT1445" s="68"/>
      <c r="AU1445" s="68"/>
    </row>
    <row r="1446" spans="7:47"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 s="68"/>
      <c r="AP1446" s="68"/>
      <c r="AQ1446" s="68"/>
      <c r="AR1446" s="68"/>
      <c r="AS1446" s="68"/>
      <c r="AT1446" s="68"/>
      <c r="AU1446" s="68"/>
    </row>
    <row r="1447" spans="7:47"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 s="68"/>
      <c r="AP1447" s="68"/>
      <c r="AQ1447" s="68"/>
      <c r="AR1447" s="68"/>
      <c r="AS1447" s="68"/>
      <c r="AT1447" s="68"/>
      <c r="AU1447" s="68"/>
    </row>
    <row r="1448" spans="7:47"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 s="68"/>
      <c r="AP1448" s="68"/>
      <c r="AQ1448" s="68"/>
      <c r="AR1448" s="68"/>
      <c r="AS1448" s="68"/>
      <c r="AT1448" s="68"/>
      <c r="AU1448" s="68"/>
    </row>
    <row r="1449" spans="7:47"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 s="68"/>
      <c r="AP1449" s="68"/>
      <c r="AQ1449" s="68"/>
      <c r="AR1449" s="68"/>
      <c r="AS1449" s="68"/>
      <c r="AT1449" s="68"/>
      <c r="AU1449" s="68"/>
    </row>
    <row r="1450" spans="7:47"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 s="68"/>
      <c r="AP1450" s="68"/>
      <c r="AQ1450" s="68"/>
      <c r="AR1450" s="68"/>
      <c r="AS1450" s="68"/>
      <c r="AT1450" s="68"/>
      <c r="AU1450" s="68"/>
    </row>
    <row r="1451" spans="7:47"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 s="68"/>
      <c r="AP1451" s="68"/>
      <c r="AQ1451" s="68"/>
      <c r="AR1451" s="68"/>
      <c r="AS1451" s="68"/>
      <c r="AT1451" s="68"/>
      <c r="AU1451" s="68"/>
    </row>
    <row r="1452" spans="7:47"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 s="68"/>
      <c r="AP1452" s="68"/>
      <c r="AQ1452" s="68"/>
      <c r="AR1452" s="68"/>
      <c r="AS1452" s="68"/>
      <c r="AT1452" s="68"/>
      <c r="AU1452" s="68"/>
    </row>
    <row r="1453" spans="7:47"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 s="68"/>
      <c r="AP1453" s="68"/>
      <c r="AQ1453" s="68"/>
      <c r="AR1453" s="68"/>
      <c r="AS1453" s="68"/>
      <c r="AT1453" s="68"/>
      <c r="AU1453" s="68"/>
    </row>
    <row r="1454" spans="7:47"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 s="68"/>
      <c r="AP1454" s="68"/>
      <c r="AQ1454" s="68"/>
      <c r="AR1454" s="68"/>
      <c r="AS1454" s="68"/>
      <c r="AT1454" s="68"/>
      <c r="AU1454" s="68"/>
    </row>
    <row r="1455" spans="7:47"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 s="68"/>
      <c r="AP1455" s="68"/>
      <c r="AQ1455" s="68"/>
      <c r="AR1455" s="68"/>
      <c r="AS1455" s="68"/>
      <c r="AT1455" s="68"/>
      <c r="AU1455" s="68"/>
    </row>
    <row r="1456" spans="7:47"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 s="68"/>
      <c r="AP1456" s="68"/>
      <c r="AQ1456" s="68"/>
      <c r="AR1456" s="68"/>
      <c r="AS1456" s="68"/>
      <c r="AT1456" s="68"/>
      <c r="AU1456" s="68"/>
    </row>
    <row r="1457" spans="7:47"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 s="68"/>
      <c r="AP1457" s="68"/>
      <c r="AQ1457" s="68"/>
      <c r="AR1457" s="68"/>
      <c r="AS1457" s="68"/>
      <c r="AT1457" s="68"/>
      <c r="AU1457" s="68"/>
    </row>
    <row r="1458" spans="7:47"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 s="68"/>
      <c r="AP1458" s="68"/>
      <c r="AQ1458" s="68"/>
      <c r="AR1458" s="68"/>
      <c r="AS1458" s="68"/>
      <c r="AT1458" s="68"/>
      <c r="AU1458" s="68"/>
    </row>
    <row r="1459" spans="7:47"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 s="68"/>
      <c r="AP1459" s="68"/>
      <c r="AQ1459" s="68"/>
      <c r="AR1459" s="68"/>
      <c r="AS1459" s="68"/>
      <c r="AT1459" s="68"/>
      <c r="AU1459" s="68"/>
    </row>
    <row r="1460" spans="7:47"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 s="68"/>
      <c r="AP1460" s="68"/>
      <c r="AQ1460" s="68"/>
      <c r="AR1460" s="68"/>
      <c r="AS1460" s="68"/>
      <c r="AT1460" s="68"/>
      <c r="AU1460" s="68"/>
    </row>
    <row r="1461" spans="7:47"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 s="68"/>
      <c r="AP1461" s="68"/>
      <c r="AQ1461" s="68"/>
      <c r="AR1461" s="68"/>
      <c r="AS1461" s="68"/>
      <c r="AT1461" s="68"/>
      <c r="AU1461" s="68"/>
    </row>
    <row r="1462" spans="7:47"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 s="68"/>
      <c r="AP1462" s="68"/>
      <c r="AQ1462" s="68"/>
      <c r="AR1462" s="68"/>
      <c r="AS1462" s="68"/>
      <c r="AT1462" s="68"/>
      <c r="AU1462" s="68"/>
    </row>
    <row r="1463" spans="7:47"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 s="68"/>
      <c r="AP1463" s="68"/>
      <c r="AQ1463" s="68"/>
      <c r="AR1463" s="68"/>
      <c r="AS1463" s="68"/>
      <c r="AT1463" s="68"/>
      <c r="AU1463" s="68"/>
    </row>
    <row r="1464" spans="7:47"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 s="68"/>
      <c r="AP1464" s="68"/>
      <c r="AQ1464" s="68"/>
      <c r="AR1464" s="68"/>
      <c r="AS1464" s="68"/>
      <c r="AT1464" s="68"/>
      <c r="AU1464" s="68"/>
    </row>
    <row r="1465" spans="7:47"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 s="68"/>
      <c r="AP1465" s="68"/>
      <c r="AQ1465" s="68"/>
      <c r="AR1465" s="68"/>
      <c r="AS1465" s="68"/>
      <c r="AT1465" s="68"/>
      <c r="AU1465" s="68"/>
    </row>
    <row r="1466" spans="7:47"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 s="68"/>
      <c r="AP1466" s="68"/>
      <c r="AQ1466" s="68"/>
      <c r="AR1466" s="68"/>
      <c r="AS1466" s="68"/>
      <c r="AT1466" s="68"/>
      <c r="AU1466" s="68"/>
    </row>
    <row r="1467" spans="7:47"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 s="68"/>
      <c r="AP1467" s="68"/>
      <c r="AQ1467" s="68"/>
      <c r="AR1467" s="68"/>
      <c r="AS1467" s="68"/>
      <c r="AT1467" s="68"/>
      <c r="AU1467" s="68"/>
    </row>
    <row r="1468" spans="7:47"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 s="68"/>
      <c r="AP1468" s="68"/>
      <c r="AQ1468" s="68"/>
      <c r="AR1468" s="68"/>
      <c r="AS1468" s="68"/>
      <c r="AT1468" s="68"/>
      <c r="AU1468" s="68"/>
    </row>
    <row r="1469" spans="7:47"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 s="68"/>
      <c r="AP1469" s="68"/>
      <c r="AQ1469" s="68"/>
      <c r="AR1469" s="68"/>
      <c r="AS1469" s="68"/>
      <c r="AT1469" s="68"/>
      <c r="AU1469" s="68"/>
    </row>
    <row r="1470" spans="7:47"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 s="68"/>
      <c r="AP1470" s="68"/>
      <c r="AQ1470" s="68"/>
      <c r="AR1470" s="68"/>
      <c r="AS1470" s="68"/>
      <c r="AT1470" s="68"/>
      <c r="AU1470" s="68"/>
    </row>
    <row r="1471" spans="7:47"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 s="68"/>
      <c r="AP1471" s="68"/>
      <c r="AQ1471" s="68"/>
      <c r="AR1471" s="68"/>
      <c r="AS1471" s="68"/>
      <c r="AT1471" s="68"/>
      <c r="AU1471" s="68"/>
    </row>
    <row r="1472" spans="7:47"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 s="68"/>
      <c r="AP1472" s="68"/>
      <c r="AQ1472" s="68"/>
      <c r="AR1472" s="68"/>
      <c r="AS1472" s="68"/>
      <c r="AT1472" s="68"/>
      <c r="AU1472" s="68"/>
    </row>
    <row r="1473" spans="7:47"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 s="68"/>
      <c r="AP1473" s="68"/>
      <c r="AQ1473" s="68"/>
      <c r="AR1473" s="68"/>
      <c r="AS1473" s="68"/>
      <c r="AT1473" s="68"/>
      <c r="AU1473" s="68"/>
    </row>
    <row r="1474" spans="7:47"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 s="68"/>
      <c r="AP1474" s="68"/>
      <c r="AQ1474" s="68"/>
      <c r="AR1474" s="68"/>
      <c r="AS1474" s="68"/>
      <c r="AT1474" s="68"/>
      <c r="AU1474" s="68"/>
    </row>
    <row r="1475" spans="7:47"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 s="68"/>
      <c r="AP1475" s="68"/>
      <c r="AQ1475" s="68"/>
      <c r="AR1475" s="68"/>
      <c r="AS1475" s="68"/>
      <c r="AT1475" s="68"/>
      <c r="AU1475" s="68"/>
    </row>
    <row r="1476" spans="7:47"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 s="68"/>
      <c r="AP1476" s="68"/>
      <c r="AQ1476" s="68"/>
      <c r="AR1476" s="68"/>
      <c r="AS1476" s="68"/>
      <c r="AT1476" s="68"/>
      <c r="AU1476" s="68"/>
    </row>
    <row r="1477" spans="7:47"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 s="68"/>
      <c r="AP1477" s="68"/>
      <c r="AQ1477" s="68"/>
      <c r="AR1477" s="68"/>
      <c r="AS1477" s="68"/>
      <c r="AT1477" s="68"/>
      <c r="AU1477" s="68"/>
    </row>
    <row r="1478" spans="7:47"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 s="68"/>
      <c r="AP1478" s="68"/>
      <c r="AQ1478" s="68"/>
      <c r="AR1478" s="68"/>
      <c r="AS1478" s="68"/>
      <c r="AT1478" s="68"/>
      <c r="AU1478" s="68"/>
    </row>
    <row r="1479" spans="7:47"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 s="68"/>
      <c r="AP1479" s="68"/>
      <c r="AQ1479" s="68"/>
      <c r="AR1479" s="68"/>
      <c r="AS1479" s="68"/>
      <c r="AT1479" s="68"/>
      <c r="AU1479" s="68"/>
    </row>
    <row r="1480" spans="7:47"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 s="68"/>
      <c r="AP1480" s="68"/>
      <c r="AQ1480" s="68"/>
      <c r="AR1480" s="68"/>
      <c r="AS1480" s="68"/>
      <c r="AT1480" s="68"/>
      <c r="AU1480" s="68"/>
    </row>
    <row r="1481" spans="7:47"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 s="68"/>
      <c r="AP1481" s="68"/>
      <c r="AQ1481" s="68"/>
      <c r="AR1481" s="68"/>
      <c r="AS1481" s="68"/>
      <c r="AT1481" s="68"/>
      <c r="AU1481" s="68"/>
    </row>
    <row r="1482" spans="7:47"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 s="68"/>
      <c r="AP1482" s="68"/>
      <c r="AQ1482" s="68"/>
      <c r="AR1482" s="68"/>
      <c r="AS1482" s="68"/>
      <c r="AT1482" s="68"/>
      <c r="AU1482" s="68"/>
    </row>
    <row r="1483" spans="7:47"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 s="68"/>
      <c r="AP1483" s="68"/>
      <c r="AQ1483" s="68"/>
      <c r="AR1483" s="68"/>
      <c r="AS1483" s="68"/>
      <c r="AT1483" s="68"/>
      <c r="AU1483" s="68"/>
    </row>
    <row r="1484" spans="7:47"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 s="68"/>
      <c r="AP1484" s="68"/>
      <c r="AQ1484" s="68"/>
      <c r="AR1484" s="68"/>
      <c r="AS1484" s="68"/>
      <c r="AT1484" s="68"/>
      <c r="AU1484" s="68"/>
    </row>
    <row r="1485" spans="7:47"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 s="68"/>
      <c r="AP1485" s="68"/>
      <c r="AQ1485" s="68"/>
      <c r="AR1485" s="68"/>
      <c r="AS1485" s="68"/>
      <c r="AT1485" s="68"/>
      <c r="AU1485" s="68"/>
    </row>
    <row r="1486" spans="7:47"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 s="68"/>
      <c r="AP1486" s="68"/>
      <c r="AQ1486" s="68"/>
      <c r="AR1486" s="68"/>
      <c r="AS1486" s="68"/>
      <c r="AT1486" s="68"/>
      <c r="AU1486" s="68"/>
    </row>
    <row r="1487" spans="7:47"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 s="68"/>
      <c r="AP1487" s="68"/>
      <c r="AQ1487" s="68"/>
      <c r="AR1487" s="68"/>
      <c r="AS1487" s="68"/>
      <c r="AT1487" s="68"/>
      <c r="AU1487" s="68"/>
    </row>
    <row r="1488" spans="7:47"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 s="68"/>
      <c r="AP1488" s="68"/>
      <c r="AQ1488" s="68"/>
      <c r="AR1488" s="68"/>
      <c r="AS1488" s="68"/>
      <c r="AT1488" s="68"/>
      <c r="AU1488" s="68"/>
    </row>
    <row r="1489" spans="7:47"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 s="68"/>
      <c r="AP1489" s="68"/>
      <c r="AQ1489" s="68"/>
      <c r="AR1489" s="68"/>
      <c r="AS1489" s="68"/>
      <c r="AT1489" s="68"/>
      <c r="AU1489" s="68"/>
    </row>
    <row r="1490" spans="7:47"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 s="68"/>
      <c r="AP1490" s="68"/>
      <c r="AQ1490" s="68"/>
      <c r="AR1490" s="68"/>
      <c r="AS1490" s="68"/>
      <c r="AT1490" s="68"/>
      <c r="AU1490" s="68"/>
    </row>
    <row r="1491" spans="7:47"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 s="68"/>
      <c r="AP1491" s="68"/>
      <c r="AQ1491" s="68"/>
      <c r="AR1491" s="68"/>
      <c r="AS1491" s="68"/>
      <c r="AT1491" s="68"/>
      <c r="AU1491" s="68"/>
    </row>
    <row r="1492" spans="7:47"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 s="68"/>
      <c r="AP1492" s="68"/>
      <c r="AQ1492" s="68"/>
      <c r="AR1492" s="68"/>
      <c r="AS1492" s="68"/>
      <c r="AT1492" s="68"/>
      <c r="AU1492" s="68"/>
    </row>
    <row r="1493" spans="7:47"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 s="68"/>
      <c r="AP1493" s="68"/>
      <c r="AQ1493" s="68"/>
      <c r="AR1493" s="68"/>
      <c r="AS1493" s="68"/>
      <c r="AT1493" s="68"/>
      <c r="AU1493" s="68"/>
    </row>
    <row r="1494" spans="7:47"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 s="68"/>
      <c r="AP1494" s="68"/>
      <c r="AQ1494" s="68"/>
      <c r="AR1494" s="68"/>
      <c r="AS1494" s="68"/>
      <c r="AT1494" s="68"/>
      <c r="AU1494" s="68"/>
    </row>
    <row r="1495" spans="7:47"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 s="68"/>
      <c r="AP1495" s="68"/>
      <c r="AQ1495" s="68"/>
      <c r="AR1495" s="68"/>
      <c r="AS1495" s="68"/>
      <c r="AT1495" s="68"/>
      <c r="AU1495" s="68"/>
    </row>
    <row r="1496" spans="7:47"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 s="68"/>
      <c r="AP1496" s="68"/>
      <c r="AQ1496" s="68"/>
      <c r="AR1496" s="68"/>
      <c r="AS1496" s="68"/>
      <c r="AT1496" s="68"/>
      <c r="AU1496" s="68"/>
    </row>
    <row r="1497" spans="7:47"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 s="68"/>
      <c r="AP1497" s="68"/>
      <c r="AQ1497" s="68"/>
      <c r="AR1497" s="68"/>
      <c r="AS1497" s="68"/>
      <c r="AT1497" s="68"/>
      <c r="AU1497" s="68"/>
    </row>
    <row r="1498" spans="7:47"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 s="68"/>
      <c r="AP1498" s="68"/>
      <c r="AQ1498" s="68"/>
      <c r="AR1498" s="68"/>
      <c r="AS1498" s="68"/>
      <c r="AT1498" s="68"/>
      <c r="AU1498" s="68"/>
    </row>
    <row r="1499" spans="7:47"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 s="68"/>
      <c r="AP1499" s="68"/>
      <c r="AQ1499" s="68"/>
      <c r="AR1499" s="68"/>
      <c r="AS1499" s="68"/>
      <c r="AT1499" s="68"/>
      <c r="AU1499" s="68"/>
    </row>
    <row r="1500" spans="7:47"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 s="68"/>
      <c r="AP1500" s="68"/>
      <c r="AQ1500" s="68"/>
      <c r="AR1500" s="68"/>
      <c r="AS1500" s="68"/>
      <c r="AT1500" s="68"/>
      <c r="AU1500" s="68"/>
    </row>
    <row r="1501" spans="7:47"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 s="68"/>
      <c r="AP1501" s="68"/>
      <c r="AQ1501" s="68"/>
      <c r="AR1501" s="68"/>
      <c r="AS1501" s="68"/>
      <c r="AT1501" s="68"/>
      <c r="AU1501" s="68"/>
    </row>
    <row r="1502" spans="7:47"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 s="68"/>
      <c r="AP1502" s="68"/>
      <c r="AQ1502" s="68"/>
      <c r="AR1502" s="68"/>
      <c r="AS1502" s="68"/>
      <c r="AT1502" s="68"/>
      <c r="AU1502" s="68"/>
    </row>
    <row r="1503" spans="7:47"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 s="68"/>
      <c r="AP1503" s="68"/>
      <c r="AQ1503" s="68"/>
      <c r="AR1503" s="68"/>
      <c r="AS1503" s="68"/>
      <c r="AT1503" s="68"/>
      <c r="AU1503" s="68"/>
    </row>
    <row r="1504" spans="7:47"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 s="68"/>
      <c r="AP1504" s="68"/>
      <c r="AQ1504" s="68"/>
      <c r="AR1504" s="68"/>
      <c r="AS1504" s="68"/>
      <c r="AT1504" s="68"/>
      <c r="AU1504" s="68"/>
    </row>
    <row r="1505" spans="7:47"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 s="68"/>
      <c r="AP1505" s="68"/>
      <c r="AQ1505" s="68"/>
      <c r="AR1505" s="68"/>
      <c r="AS1505" s="68"/>
      <c r="AT1505" s="68"/>
      <c r="AU1505" s="68"/>
    </row>
    <row r="1506" spans="7:47"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 s="68"/>
      <c r="AP1506" s="68"/>
      <c r="AQ1506" s="68"/>
      <c r="AR1506" s="68"/>
      <c r="AS1506" s="68"/>
      <c r="AT1506" s="68"/>
      <c r="AU1506" s="68"/>
    </row>
    <row r="1507" spans="7:47"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 s="68"/>
      <c r="AP1507" s="68"/>
      <c r="AQ1507" s="68"/>
      <c r="AR1507" s="68"/>
      <c r="AS1507" s="68"/>
      <c r="AT1507" s="68"/>
      <c r="AU1507" s="68"/>
    </row>
    <row r="1508" spans="7:47"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 s="68"/>
      <c r="AP1508" s="68"/>
      <c r="AQ1508" s="68"/>
      <c r="AR1508" s="68"/>
      <c r="AS1508" s="68"/>
      <c r="AT1508" s="68"/>
      <c r="AU1508" s="68"/>
    </row>
    <row r="1509" spans="7:47"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 s="68"/>
      <c r="AP1509" s="68"/>
      <c r="AQ1509" s="68"/>
      <c r="AR1509" s="68"/>
      <c r="AS1509" s="68"/>
      <c r="AT1509" s="68"/>
      <c r="AU1509" s="68"/>
    </row>
    <row r="1510" spans="7:47"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 s="68"/>
      <c r="AP1510" s="68"/>
      <c r="AQ1510" s="68"/>
      <c r="AR1510" s="68"/>
      <c r="AS1510" s="68"/>
      <c r="AT1510" s="68"/>
      <c r="AU1510" s="68"/>
    </row>
    <row r="1511" spans="7:47"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 s="68"/>
      <c r="AP1511" s="68"/>
      <c r="AQ1511" s="68"/>
      <c r="AR1511" s="68"/>
      <c r="AS1511" s="68"/>
      <c r="AT1511" s="68"/>
      <c r="AU1511" s="68"/>
    </row>
    <row r="1512" spans="7:47"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 s="68"/>
      <c r="AP1512" s="68"/>
      <c r="AQ1512" s="68"/>
      <c r="AR1512" s="68"/>
      <c r="AS1512" s="68"/>
      <c r="AT1512" s="68"/>
      <c r="AU1512" s="68"/>
    </row>
    <row r="1513" spans="7:47"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 s="68"/>
      <c r="AP1513" s="68"/>
      <c r="AQ1513" s="68"/>
      <c r="AR1513" s="68"/>
      <c r="AS1513" s="68"/>
      <c r="AT1513" s="68"/>
      <c r="AU1513" s="68"/>
    </row>
    <row r="1514" spans="7:47"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 s="68"/>
      <c r="AP1514" s="68"/>
      <c r="AQ1514" s="68"/>
      <c r="AR1514" s="68"/>
      <c r="AS1514" s="68"/>
      <c r="AT1514" s="68"/>
      <c r="AU1514" s="68"/>
    </row>
    <row r="1515" spans="7:47"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 s="68"/>
      <c r="AP1515" s="68"/>
      <c r="AQ1515" s="68"/>
      <c r="AR1515" s="68"/>
      <c r="AS1515" s="68"/>
      <c r="AT1515" s="68"/>
      <c r="AU1515" s="68"/>
    </row>
    <row r="1516" spans="7:47"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 s="68"/>
      <c r="AP1516" s="68"/>
      <c r="AQ1516" s="68"/>
      <c r="AR1516" s="68"/>
      <c r="AS1516" s="68"/>
      <c r="AT1516" s="68"/>
      <c r="AU1516" s="68"/>
    </row>
    <row r="1517" spans="7:47"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 s="68"/>
      <c r="AP1517" s="68"/>
      <c r="AQ1517" s="68"/>
      <c r="AR1517" s="68"/>
      <c r="AS1517" s="68"/>
      <c r="AT1517" s="68"/>
      <c r="AU1517" s="68"/>
    </row>
    <row r="1518" spans="7:47"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 s="68"/>
      <c r="AP1518" s="68"/>
      <c r="AQ1518" s="68"/>
      <c r="AR1518" s="68"/>
      <c r="AS1518" s="68"/>
      <c r="AT1518" s="68"/>
      <c r="AU1518" s="68"/>
    </row>
    <row r="1519" spans="7:47"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 s="68"/>
      <c r="AP1519" s="68"/>
      <c r="AQ1519" s="68"/>
      <c r="AR1519" s="68"/>
      <c r="AS1519" s="68"/>
      <c r="AT1519" s="68"/>
      <c r="AU1519" s="68"/>
    </row>
    <row r="1520" spans="7:47"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 s="68"/>
      <c r="AP1520" s="68"/>
      <c r="AQ1520" s="68"/>
      <c r="AR1520" s="68"/>
      <c r="AS1520" s="68"/>
      <c r="AT1520" s="68"/>
      <c r="AU1520" s="68"/>
    </row>
    <row r="1521" spans="7:47"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 s="68"/>
      <c r="AP1521" s="68"/>
      <c r="AQ1521" s="68"/>
      <c r="AR1521" s="68"/>
      <c r="AS1521" s="68"/>
      <c r="AT1521" s="68"/>
      <c r="AU1521" s="68"/>
    </row>
    <row r="1522" spans="7:47"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 s="68"/>
      <c r="AP1522" s="68"/>
      <c r="AQ1522" s="68"/>
      <c r="AR1522" s="68"/>
      <c r="AS1522" s="68"/>
      <c r="AT1522" s="68"/>
      <c r="AU1522" s="68"/>
    </row>
    <row r="1523" spans="7:47"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 s="68"/>
      <c r="AP1523" s="68"/>
      <c r="AQ1523" s="68"/>
      <c r="AR1523" s="68"/>
      <c r="AS1523" s="68"/>
      <c r="AT1523" s="68"/>
      <c r="AU1523" s="68"/>
    </row>
    <row r="1524" spans="7:47"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 s="68"/>
      <c r="AP1524" s="68"/>
      <c r="AQ1524" s="68"/>
      <c r="AR1524" s="68"/>
      <c r="AS1524" s="68"/>
      <c r="AT1524" s="68"/>
      <c r="AU1524" s="68"/>
    </row>
    <row r="1525" spans="7:47"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 s="68"/>
      <c r="AP1525" s="68"/>
      <c r="AQ1525" s="68"/>
      <c r="AR1525" s="68"/>
      <c r="AS1525" s="68"/>
      <c r="AT1525" s="68"/>
      <c r="AU1525" s="68"/>
    </row>
    <row r="1526" spans="7:47"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 s="68"/>
      <c r="AP1526" s="68"/>
      <c r="AQ1526" s="68"/>
      <c r="AR1526" s="68"/>
      <c r="AS1526" s="68"/>
      <c r="AT1526" s="68"/>
      <c r="AU1526" s="68"/>
    </row>
    <row r="1527" spans="7:47"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 s="68"/>
      <c r="AP1527" s="68"/>
      <c r="AQ1527" s="68"/>
      <c r="AR1527" s="68"/>
      <c r="AS1527" s="68"/>
      <c r="AT1527" s="68"/>
      <c r="AU1527" s="68"/>
    </row>
    <row r="1528" spans="7:47"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 s="68"/>
      <c r="AP1528" s="68"/>
      <c r="AQ1528" s="68"/>
      <c r="AR1528" s="68"/>
      <c r="AS1528" s="68"/>
      <c r="AT1528" s="68"/>
      <c r="AU1528" s="68"/>
    </row>
    <row r="1529" spans="7:47"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 s="68"/>
      <c r="AP1529" s="68"/>
      <c r="AQ1529" s="68"/>
      <c r="AR1529" s="68"/>
      <c r="AS1529" s="68"/>
      <c r="AT1529" s="68"/>
      <c r="AU1529" s="68"/>
    </row>
    <row r="1530" spans="7:47"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 s="68"/>
      <c r="AP1530" s="68"/>
      <c r="AQ1530" s="68"/>
      <c r="AR1530" s="68"/>
      <c r="AS1530" s="68"/>
      <c r="AT1530" s="68"/>
      <c r="AU1530" s="68"/>
    </row>
    <row r="1531" spans="7:47"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 s="68"/>
      <c r="AP1531" s="68"/>
      <c r="AQ1531" s="68"/>
      <c r="AR1531" s="68"/>
      <c r="AS1531" s="68"/>
      <c r="AT1531" s="68"/>
      <c r="AU1531" s="68"/>
    </row>
    <row r="1532" spans="7:47"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 s="68"/>
      <c r="AP1532" s="68"/>
      <c r="AQ1532" s="68"/>
      <c r="AR1532" s="68"/>
      <c r="AS1532" s="68"/>
      <c r="AT1532" s="68"/>
      <c r="AU1532" s="68"/>
    </row>
    <row r="1533" spans="7:47"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 s="68"/>
      <c r="AP1533" s="68"/>
      <c r="AQ1533" s="68"/>
      <c r="AR1533" s="68"/>
      <c r="AS1533" s="68"/>
      <c r="AT1533" s="68"/>
      <c r="AU1533" s="68"/>
    </row>
    <row r="1534" spans="7:47"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 s="68"/>
      <c r="AP1534" s="68"/>
      <c r="AQ1534" s="68"/>
      <c r="AR1534" s="68"/>
      <c r="AS1534" s="68"/>
      <c r="AT1534" s="68"/>
      <c r="AU1534" s="68"/>
    </row>
    <row r="1535" spans="7:47"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 s="68"/>
      <c r="AP1535" s="68"/>
      <c r="AQ1535" s="68"/>
      <c r="AR1535" s="68"/>
      <c r="AS1535" s="68"/>
      <c r="AT1535" s="68"/>
      <c r="AU1535" s="68"/>
    </row>
    <row r="1536" spans="7:47"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 s="68"/>
      <c r="AP1536" s="68"/>
      <c r="AQ1536" s="68"/>
      <c r="AR1536" s="68"/>
      <c r="AS1536" s="68"/>
      <c r="AT1536" s="68"/>
      <c r="AU1536" s="68"/>
    </row>
    <row r="1537" spans="7:47"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 s="68"/>
      <c r="AP1537" s="68"/>
      <c r="AQ1537" s="68"/>
      <c r="AR1537" s="68"/>
      <c r="AS1537" s="68"/>
      <c r="AT1537" s="68"/>
      <c r="AU1537" s="68"/>
    </row>
    <row r="1538" spans="7:47"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 s="68"/>
      <c r="AP1538" s="68"/>
      <c r="AQ1538" s="68"/>
      <c r="AR1538" s="68"/>
      <c r="AS1538" s="68"/>
      <c r="AT1538" s="68"/>
      <c r="AU1538" s="68"/>
    </row>
    <row r="1539" spans="7:47"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 s="68"/>
      <c r="AP1539" s="68"/>
      <c r="AQ1539" s="68"/>
      <c r="AR1539" s="68"/>
      <c r="AS1539" s="68"/>
      <c r="AT1539" s="68"/>
      <c r="AU1539" s="68"/>
    </row>
    <row r="1540" spans="7:47"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 s="68"/>
      <c r="AP1540" s="68"/>
      <c r="AQ1540" s="68"/>
      <c r="AR1540" s="68"/>
      <c r="AS1540" s="68"/>
      <c r="AT1540" s="68"/>
      <c r="AU1540" s="68"/>
    </row>
    <row r="1541" spans="7:47"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 s="68"/>
      <c r="AP1541" s="68"/>
      <c r="AQ1541" s="68"/>
      <c r="AR1541" s="68"/>
      <c r="AS1541" s="68"/>
      <c r="AT1541" s="68"/>
      <c r="AU1541" s="68"/>
    </row>
    <row r="1542" spans="7:47"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 s="68"/>
      <c r="AP1542" s="68"/>
      <c r="AQ1542" s="68"/>
      <c r="AR1542" s="68"/>
      <c r="AS1542" s="68"/>
      <c r="AT1542" s="68"/>
      <c r="AU1542" s="68"/>
    </row>
    <row r="1543" spans="7:47"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 s="68"/>
      <c r="AP1543" s="68"/>
      <c r="AQ1543" s="68"/>
      <c r="AR1543" s="68"/>
      <c r="AS1543" s="68"/>
      <c r="AT1543" s="68"/>
      <c r="AU1543" s="68"/>
    </row>
    <row r="1544" spans="7:47"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 s="68"/>
      <c r="AP1544" s="68"/>
      <c r="AQ1544" s="68"/>
      <c r="AR1544" s="68"/>
      <c r="AS1544" s="68"/>
      <c r="AT1544" s="68"/>
      <c r="AU1544" s="68"/>
    </row>
    <row r="1545" spans="7:47"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 s="68"/>
      <c r="AP1545" s="68"/>
      <c r="AQ1545" s="68"/>
      <c r="AR1545" s="68"/>
      <c r="AS1545" s="68"/>
      <c r="AT1545" s="68"/>
      <c r="AU1545" s="68"/>
    </row>
    <row r="1546" spans="7:47"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 s="68"/>
      <c r="AP1546" s="68"/>
      <c r="AQ1546" s="68"/>
      <c r="AR1546" s="68"/>
      <c r="AS1546" s="68"/>
      <c r="AT1546" s="68"/>
      <c r="AU1546" s="68"/>
    </row>
    <row r="1547" spans="7:47"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 s="68"/>
      <c r="AP1547" s="68"/>
      <c r="AQ1547" s="68"/>
      <c r="AR1547" s="68"/>
      <c r="AS1547" s="68"/>
      <c r="AT1547" s="68"/>
      <c r="AU1547" s="68"/>
    </row>
    <row r="1548" spans="7:47"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 s="68"/>
      <c r="AP1548" s="68"/>
      <c r="AQ1548" s="68"/>
      <c r="AR1548" s="68"/>
      <c r="AS1548" s="68"/>
      <c r="AT1548" s="68"/>
      <c r="AU1548" s="68"/>
    </row>
    <row r="1549" spans="7:47"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 s="68"/>
      <c r="AP1549" s="68"/>
      <c r="AQ1549" s="68"/>
      <c r="AR1549" s="68"/>
      <c r="AS1549" s="68"/>
      <c r="AT1549" s="68"/>
      <c r="AU1549" s="68"/>
    </row>
    <row r="1550" spans="7:47"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 s="68"/>
      <c r="AP1550" s="68"/>
      <c r="AQ1550" s="68"/>
      <c r="AR1550" s="68"/>
      <c r="AS1550" s="68"/>
      <c r="AT1550" s="68"/>
      <c r="AU1550" s="68"/>
    </row>
    <row r="1551" spans="7:47"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 s="68"/>
      <c r="AP1551" s="68"/>
      <c r="AQ1551" s="68"/>
      <c r="AR1551" s="68"/>
      <c r="AS1551" s="68"/>
      <c r="AT1551" s="68"/>
      <c r="AU1551" s="68"/>
    </row>
    <row r="1552" spans="7:47"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 s="68"/>
      <c r="AP1552" s="68"/>
      <c r="AQ1552" s="68"/>
      <c r="AR1552" s="68"/>
      <c r="AS1552" s="68"/>
      <c r="AT1552" s="68"/>
      <c r="AU1552" s="68"/>
    </row>
    <row r="1553" spans="7:47"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 s="68"/>
      <c r="AP1553" s="68"/>
      <c r="AQ1553" s="68"/>
      <c r="AR1553" s="68"/>
      <c r="AS1553" s="68"/>
      <c r="AT1553" s="68"/>
      <c r="AU1553" s="68"/>
    </row>
    <row r="1554" spans="7:47"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 s="68"/>
      <c r="AP1554" s="68"/>
      <c r="AQ1554" s="68"/>
      <c r="AR1554" s="68"/>
      <c r="AS1554" s="68"/>
      <c r="AT1554" s="68"/>
      <c r="AU1554" s="68"/>
    </row>
    <row r="1555" spans="7:47"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 s="68"/>
      <c r="AP1555" s="68"/>
      <c r="AQ1555" s="68"/>
      <c r="AR1555" s="68"/>
      <c r="AS1555" s="68"/>
      <c r="AT1555" s="68"/>
      <c r="AU1555" s="68"/>
    </row>
    <row r="1556" spans="7:47"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 s="68"/>
      <c r="AP1556" s="68"/>
      <c r="AQ1556" s="68"/>
      <c r="AR1556" s="68"/>
      <c r="AS1556" s="68"/>
      <c r="AT1556" s="68"/>
      <c r="AU1556" s="68"/>
    </row>
    <row r="1557" spans="7:47"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 s="68"/>
      <c r="AP1557" s="68"/>
      <c r="AQ1557" s="68"/>
      <c r="AR1557" s="68"/>
      <c r="AS1557" s="68"/>
      <c r="AT1557" s="68"/>
      <c r="AU1557" s="68"/>
    </row>
    <row r="1558" spans="7:47"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 s="68"/>
      <c r="AP1558" s="68"/>
      <c r="AQ1558" s="68"/>
      <c r="AR1558" s="68"/>
      <c r="AS1558" s="68"/>
      <c r="AT1558" s="68"/>
      <c r="AU1558" s="68"/>
    </row>
    <row r="1559" spans="7:47"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 s="68"/>
      <c r="AP1559" s="68"/>
      <c r="AQ1559" s="68"/>
      <c r="AR1559" s="68"/>
      <c r="AS1559" s="68"/>
      <c r="AT1559" s="68"/>
      <c r="AU1559" s="68"/>
    </row>
    <row r="1560" spans="7:47"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 s="68"/>
      <c r="AP1560" s="68"/>
      <c r="AQ1560" s="68"/>
      <c r="AR1560" s="68"/>
      <c r="AS1560" s="68"/>
      <c r="AT1560" s="68"/>
      <c r="AU1560" s="68"/>
    </row>
    <row r="1561" spans="7:47"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 s="68"/>
      <c r="AP1561" s="68"/>
      <c r="AQ1561" s="68"/>
      <c r="AR1561" s="68"/>
      <c r="AS1561" s="68"/>
      <c r="AT1561" s="68"/>
      <c r="AU1561" s="68"/>
    </row>
    <row r="1562" spans="7:47"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 s="68"/>
      <c r="AP1562" s="68"/>
      <c r="AQ1562" s="68"/>
      <c r="AR1562" s="68"/>
      <c r="AS1562" s="68"/>
      <c r="AT1562" s="68"/>
      <c r="AU1562" s="68"/>
    </row>
    <row r="1563" spans="7:47"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 s="68"/>
      <c r="AP1563" s="68"/>
      <c r="AQ1563" s="68"/>
      <c r="AR1563" s="68"/>
      <c r="AS1563" s="68"/>
      <c r="AT1563" s="68"/>
      <c r="AU1563" s="68"/>
    </row>
    <row r="1564" spans="7:47"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 s="68"/>
      <c r="AP1564" s="68"/>
      <c r="AQ1564" s="68"/>
      <c r="AR1564" s="68"/>
      <c r="AS1564" s="68"/>
      <c r="AT1564" s="68"/>
      <c r="AU1564" s="68"/>
    </row>
    <row r="1565" spans="7:47"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 s="68"/>
      <c r="AP1565" s="68"/>
      <c r="AQ1565" s="68"/>
      <c r="AR1565" s="68"/>
      <c r="AS1565" s="68"/>
      <c r="AT1565" s="68"/>
      <c r="AU1565" s="68"/>
    </row>
    <row r="1566" spans="7:47"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 s="68"/>
      <c r="AP1566" s="68"/>
      <c r="AQ1566" s="68"/>
      <c r="AR1566" s="68"/>
      <c r="AS1566" s="68"/>
      <c r="AT1566" s="68"/>
      <c r="AU1566" s="68"/>
    </row>
    <row r="1567" spans="7:47"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 s="68"/>
      <c r="AP1567" s="68"/>
      <c r="AQ1567" s="68"/>
      <c r="AR1567" s="68"/>
      <c r="AS1567" s="68"/>
      <c r="AT1567" s="68"/>
      <c r="AU1567" s="68"/>
    </row>
    <row r="1568" spans="7:47"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 s="68"/>
      <c r="AP1568" s="68"/>
      <c r="AQ1568" s="68"/>
      <c r="AR1568" s="68"/>
      <c r="AS1568" s="68"/>
      <c r="AT1568" s="68"/>
      <c r="AU1568" s="68"/>
    </row>
    <row r="1569" spans="7:47"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 s="68"/>
      <c r="AP1569" s="68"/>
      <c r="AQ1569" s="68"/>
      <c r="AR1569" s="68"/>
      <c r="AS1569" s="68"/>
      <c r="AT1569" s="68"/>
      <c r="AU1569" s="68"/>
    </row>
    <row r="1570" spans="7:47"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 s="68"/>
      <c r="AP1570" s="68"/>
      <c r="AQ1570" s="68"/>
      <c r="AR1570" s="68"/>
      <c r="AS1570" s="68"/>
      <c r="AT1570" s="68"/>
      <c r="AU1570" s="68"/>
    </row>
    <row r="1571" spans="7:47"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 s="68"/>
      <c r="AP1571" s="68"/>
      <c r="AQ1571" s="68"/>
      <c r="AR1571" s="68"/>
      <c r="AS1571" s="68"/>
      <c r="AT1571" s="68"/>
      <c r="AU1571" s="68"/>
    </row>
    <row r="1572" spans="7:47"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 s="68"/>
      <c r="AP1572" s="68"/>
      <c r="AQ1572" s="68"/>
      <c r="AR1572" s="68"/>
      <c r="AS1572" s="68"/>
      <c r="AT1572" s="68"/>
      <c r="AU1572" s="68"/>
    </row>
    <row r="1573" spans="7:47"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 s="68"/>
      <c r="AP1573" s="68"/>
      <c r="AQ1573" s="68"/>
      <c r="AR1573" s="68"/>
      <c r="AS1573" s="68"/>
      <c r="AT1573" s="68"/>
      <c r="AU1573" s="68"/>
    </row>
    <row r="1574" spans="7:47"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 s="68"/>
      <c r="AP1574" s="68"/>
      <c r="AQ1574" s="68"/>
      <c r="AR1574" s="68"/>
      <c r="AS1574" s="68"/>
      <c r="AT1574" s="68"/>
      <c r="AU1574" s="68"/>
    </row>
    <row r="1575" spans="7:47"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 s="68"/>
      <c r="AP1575" s="68"/>
      <c r="AQ1575" s="68"/>
      <c r="AR1575" s="68"/>
      <c r="AS1575" s="68"/>
      <c r="AT1575" s="68"/>
      <c r="AU1575" s="68"/>
    </row>
    <row r="1576" spans="7:47"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 s="68"/>
      <c r="AP1576" s="68"/>
      <c r="AQ1576" s="68"/>
      <c r="AR1576" s="68"/>
      <c r="AS1576" s="68"/>
      <c r="AT1576" s="68"/>
      <c r="AU1576" s="68"/>
    </row>
  </sheetData>
  <phoneticPr fontId="5" type="noConversion"/>
  <conditionalFormatting sqref="A2:AV1576">
    <cfRule type="expression" dxfId="783" priority="7">
      <formula>$E2 ="Meeting"</formula>
    </cfRule>
    <cfRule type="expression" dxfId="782" priority="125">
      <formula>$E2 ="Muster"</formula>
    </cfRule>
  </conditionalFormatting>
  <conditionalFormatting sqref="A2:AX1576">
    <cfRule type="expression" dxfId="781" priority="1" stopIfTrue="1">
      <formula>$AX2 ="X"</formula>
    </cfRule>
    <cfRule type="expression" dxfId="780" priority="263" stopIfTrue="1">
      <formula>$AX2 ="N"</formula>
    </cfRule>
  </conditionalFormatting>
  <conditionalFormatting sqref="G2:AV1576">
    <cfRule type="cellIs" dxfId="779" priority="2" operator="equal">
      <formula>"L"</formula>
    </cfRule>
    <cfRule type="cellIs" dxfId="778" priority="3" operator="equal">
      <formula>"I"</formula>
    </cfRule>
  </conditionalFormatting>
  <conditionalFormatting sqref="AV700:AW1474">
    <cfRule type="expression" dxfId="777" priority="104">
      <formula>($F715 = "Muster")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EF21-B838-434C-9B31-71A133E1BF11}">
  <sheetPr codeName="Sheet3"/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14.42578125" customWidth="1"/>
    <col min="3" max="3" width="19" customWidth="1"/>
    <col min="4" max="4" width="11.28515625" customWidth="1"/>
    <col min="5" max="5" width="3.7109375" customWidth="1"/>
    <col min="6" max="6" width="9.140625" customWidth="1"/>
    <col min="7" max="7" width="10.710937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4.140625" bestFit="1" customWidth="1"/>
  </cols>
  <sheetData>
    <row r="1" spans="1:54" s="1" customFormat="1" ht="132.75" customHeight="1">
      <c r="A1" s="1" t="s">
        <v>2156</v>
      </c>
      <c r="B1" s="1" t="s">
        <v>2157</v>
      </c>
      <c r="C1" s="1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2178</v>
      </c>
      <c r="AZ1" s="1" t="s">
        <v>2179</v>
      </c>
      <c r="BA1" s="1" t="s">
        <v>2180</v>
      </c>
      <c r="BB1" s="37" t="s">
        <v>2181</v>
      </c>
    </row>
    <row r="2" spans="1:54">
      <c r="C2" s="7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</row>
  </sheetData>
  <phoneticPr fontId="5" type="noConversion"/>
  <conditionalFormatting sqref="J2:AZ2">
    <cfRule type="containsText" dxfId="678" priority="1" operator="containsText" text="I">
      <formula>NOT(ISERROR(SEARCH("I",J2)))</formula>
    </cfRule>
  </conditionalFormatting>
  <pageMargins left="0.7" right="0.7" top="0.75" bottom="0.75" header="0.3" footer="0.3"/>
  <pageSetup paperSize="9" orientation="portrait" horizontalDpi="0" verticalDpi="0" copies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232A-4334-4543-B020-176A923D1785}">
  <sheetPr codeName="Sheet4"/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42578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0.28515625" customWidth="1"/>
  </cols>
  <sheetData>
    <row r="1" spans="1:54" s="1" customFormat="1" ht="132.75" customHeight="1">
      <c r="A1" s="1" t="s">
        <v>2156</v>
      </c>
      <c r="B1" s="1" t="s">
        <v>2157</v>
      </c>
      <c r="C1" s="1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5C45-65FD-41AB-98C5-DDBB01B7C337}">
  <sheetPr codeName="Sheet5"/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>
      <c r="A1" s="1" t="s">
        <v>2156</v>
      </c>
      <c r="B1" s="1" t="s">
        <v>2157</v>
      </c>
      <c r="C1" s="1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2184</v>
      </c>
      <c r="AU1" s="1" t="s">
        <v>2175</v>
      </c>
      <c r="AV1" s="1" t="s">
        <v>2185</v>
      </c>
      <c r="AW1" s="1" t="s">
        <v>2186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D5FC-5D0B-4A12-ACD2-6C5A2566A1A8}">
  <sheetPr codeName="Sheet6"/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.42578125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>
      <c r="A1" s="1" t="s">
        <v>2156</v>
      </c>
      <c r="B1" s="1" t="s">
        <v>2157</v>
      </c>
      <c r="C1" s="1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9513-62A6-415E-8E45-9AB8AF5C41CC}">
  <sheetPr codeName="Sheet7"/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>
      <c r="A1" s="1" t="s">
        <v>2156</v>
      </c>
      <c r="B1" s="1" t="s">
        <v>2157</v>
      </c>
      <c r="C1" s="1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 s="1" customFormat="1" ht="15" customHeight="1">
      <c r="A2"/>
      <c r="B2"/>
      <c r="C2" s="38"/>
      <c r="D2"/>
      <c r="F2" s="10"/>
      <c r="G2" s="7"/>
      <c r="H2" s="7"/>
      <c r="I2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7A23-13D8-4AF3-975C-59DBB7E243AE}">
  <sheetPr codeName="Sheet8"/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>
      <c r="A1" s="1" t="s">
        <v>2156</v>
      </c>
      <c r="B1" s="1" t="s">
        <v>2157</v>
      </c>
      <c r="C1" s="1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8DC-E139-4712-AA38-A888E0D52643}">
  <sheetPr codeName="Sheet9"/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20.28515625" style="7" bestFit="1" customWidth="1"/>
    <col min="9" max="9" width="46.2851562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>
      <c r="A1" s="1" t="s">
        <v>2156</v>
      </c>
      <c r="B1" s="1" t="s">
        <v>2157</v>
      </c>
      <c r="C1" s="1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40BA-C965-4805-90E6-72018972D928}">
  <sheetPr codeName="Sheet10"/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5" hidden="1" customWidth="1"/>
    <col min="3" max="3" width="19" style="7" hidden="1" customWidth="1"/>
    <col min="4" max="4" width="11.28515625" hidden="1" customWidth="1"/>
    <col min="5" max="5" width="3.7109375" hidden="1" customWidth="1"/>
    <col min="6" max="6" width="9" bestFit="1" customWidth="1"/>
    <col min="7" max="7" width="11.5703125" style="7" bestFit="1" customWidth="1"/>
    <col min="8" max="8" width="20.28515625" style="7" bestFit="1" customWidth="1"/>
    <col min="9" max="9" width="46.2851562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>
      <c r="A1" s="1" t="s">
        <v>2156</v>
      </c>
      <c r="B1" s="1" t="s">
        <v>2157</v>
      </c>
      <c r="C1" s="55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979F-AF90-49D4-B0D2-61746537AD7E}">
  <sheetPr codeName="Sheet11"/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14.42578125" customWidth="1"/>
    <col min="3" max="3" width="9.7109375" style="7" customWidth="1"/>
    <col min="4" max="4" width="11.28515625" customWidth="1"/>
    <col min="5" max="5" width="3.7109375" customWidth="1"/>
    <col min="6" max="6" width="9.140625" customWidth="1"/>
    <col min="7" max="7" width="11.5703125" style="7" customWidth="1"/>
    <col min="8" max="8" width="20.28515625" style="7" bestFit="1" customWidth="1"/>
    <col min="9" max="9" width="46.2851562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>
      <c r="A1" s="1" t="s">
        <v>2156</v>
      </c>
      <c r="B1" s="1" t="s">
        <v>2157</v>
      </c>
      <c r="C1" s="55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B6AE-E18C-4172-B130-52CE8560B1E9}"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14.42578125" hidden="1" customWidth="1"/>
    <col min="3" max="3" width="10.7109375" style="7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20.28515625" style="7" bestFit="1" customWidth="1"/>
    <col min="9" max="9" width="46.2851562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>
      <c r="A1" s="1" t="s">
        <v>2156</v>
      </c>
      <c r="B1" s="1" t="s">
        <v>2157</v>
      </c>
      <c r="C1" s="55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34D6-C826-49D2-AAA5-47CE14480D7F}"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5" hidden="1" customWidth="1"/>
    <col min="3" max="3" width="10.7109375" style="7" hidden="1" customWidth="1"/>
    <col min="4" max="4" width="11.28515625" hidden="1" customWidth="1"/>
    <col min="5" max="5" width="3.7109375" hidden="1" customWidth="1"/>
    <col min="6" max="6" width="9" bestFit="1" customWidth="1"/>
    <col min="7" max="7" width="10.7109375" style="7" bestFit="1" customWidth="1"/>
    <col min="8" max="8" width="20.28515625" style="7" bestFit="1" customWidth="1"/>
    <col min="9" max="9" width="28.710937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>
      <c r="A1" s="1" t="s">
        <v>2156</v>
      </c>
      <c r="B1" s="1" t="s">
        <v>2157</v>
      </c>
      <c r="C1" s="55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F986-AA8F-4798-9789-482CC8EA4148}">
  <dimension ref="A1:BB2"/>
  <sheetViews>
    <sheetView workbookViewId="0">
      <pane ySplit="1" topLeftCell="A2" activePane="bottomLeft" state="frozen"/>
      <selection pane="bottomLeft" activeCell="P1" sqref="P1"/>
      <selection activeCell="P1" sqref="P1"/>
    </sheetView>
  </sheetViews>
  <sheetFormatPr defaultRowHeight="15"/>
  <cols>
    <col min="1" max="1" width="4" bestFit="1" customWidth="1"/>
    <col min="2" max="2" width="5" hidden="1" customWidth="1"/>
    <col min="3" max="3" width="10.7109375" style="7" hidden="1" customWidth="1"/>
    <col min="4" max="4" width="11.28515625" hidden="1" customWidth="1"/>
    <col min="5" max="5" width="3.7109375" hidden="1" customWidth="1"/>
    <col min="6" max="6" width="9" bestFit="1" customWidth="1"/>
    <col min="7" max="7" width="10.7109375" style="7" bestFit="1" customWidth="1"/>
    <col min="8" max="8" width="20.28515625" style="7" bestFit="1" customWidth="1"/>
    <col min="9" max="9" width="38.710937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4.140625" bestFit="1" customWidth="1"/>
  </cols>
  <sheetData>
    <row r="1" spans="1:54" s="1" customFormat="1" ht="132.75" customHeight="1">
      <c r="A1" s="1" t="s">
        <v>2156</v>
      </c>
      <c r="B1" s="1" t="s">
        <v>2157</v>
      </c>
      <c r="C1" s="55" t="s">
        <v>73</v>
      </c>
      <c r="D1" s="1" t="s">
        <v>2158</v>
      </c>
      <c r="E1" s="1" t="s">
        <v>2159</v>
      </c>
      <c r="F1" s="10" t="s">
        <v>80</v>
      </c>
      <c r="G1" s="7" t="s">
        <v>76</v>
      </c>
      <c r="H1" s="7" t="s">
        <v>85</v>
      </c>
      <c r="I1" t="s">
        <v>90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2160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2161</v>
      </c>
      <c r="W1" s="1" t="s">
        <v>2162</v>
      </c>
      <c r="X1" s="1" t="s">
        <v>2163</v>
      </c>
      <c r="Y1" s="1" t="s">
        <v>36</v>
      </c>
      <c r="Z1" s="1" t="s">
        <v>38</v>
      </c>
      <c r="AA1" s="1" t="s">
        <v>2164</v>
      </c>
      <c r="AB1" s="1" t="s">
        <v>39</v>
      </c>
      <c r="AC1" s="1" t="s">
        <v>2165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2166</v>
      </c>
      <c r="AJ1" s="1" t="s">
        <v>45</v>
      </c>
      <c r="AK1" s="1" t="s">
        <v>2167</v>
      </c>
      <c r="AL1" s="1" t="s">
        <v>51</v>
      </c>
      <c r="AM1" s="1" t="s">
        <v>52</v>
      </c>
      <c r="AN1" s="1" t="s">
        <v>2168</v>
      </c>
      <c r="AO1" s="1" t="s">
        <v>2169</v>
      </c>
      <c r="AP1" s="1" t="s">
        <v>2170</v>
      </c>
      <c r="AQ1" s="1" t="s">
        <v>2171</v>
      </c>
      <c r="AR1" s="1" t="s">
        <v>2172</v>
      </c>
      <c r="AS1" s="1" t="s">
        <v>2173</v>
      </c>
      <c r="AT1" s="1" t="s">
        <v>2174</v>
      </c>
      <c r="AU1" s="1" t="s">
        <v>2175</v>
      </c>
      <c r="AV1" s="1" t="s">
        <v>2176</v>
      </c>
      <c r="AW1" s="1" t="s">
        <v>61</v>
      </c>
      <c r="AX1" s="1" t="s">
        <v>2177</v>
      </c>
      <c r="AY1" s="1" t="s">
        <v>2182</v>
      </c>
      <c r="AZ1" s="1" t="s">
        <v>2179</v>
      </c>
      <c r="BA1" s="1" t="s">
        <v>2180</v>
      </c>
      <c r="BB1" s="37" t="s">
        <v>2183</v>
      </c>
    </row>
    <row r="2" spans="1:54"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4A0E-F5E5-4E39-B9C8-1BB734E9E553}">
  <sheetPr codeName="Sheet12"/>
  <dimension ref="A1:E42"/>
  <sheetViews>
    <sheetView topLeftCell="A8" workbookViewId="0">
      <selection activeCell="D24" sqref="D24"/>
    </sheetView>
  </sheetViews>
  <sheetFormatPr defaultRowHeight="15"/>
  <cols>
    <col min="1" max="1" width="26.28515625" bestFit="1" customWidth="1"/>
    <col min="2" max="2" width="7.5703125" bestFit="1" customWidth="1"/>
    <col min="3" max="3" width="12.85546875" bestFit="1" customWidth="1"/>
    <col min="4" max="4" width="15.28515625" bestFit="1" customWidth="1"/>
    <col min="5" max="5" width="46.28515625" bestFit="1" customWidth="1"/>
    <col min="6" max="6" width="10.140625" bestFit="1" customWidth="1"/>
    <col min="7" max="7" width="10.5703125" bestFit="1" customWidth="1"/>
  </cols>
  <sheetData>
    <row r="1" spans="1:5">
      <c r="A1" s="40" t="s">
        <v>2187</v>
      </c>
      <c r="B1" s="41" t="s">
        <v>2188</v>
      </c>
      <c r="C1" s="41" t="s">
        <v>2189</v>
      </c>
      <c r="D1" s="41" t="s">
        <v>2190</v>
      </c>
      <c r="E1" s="40" t="s">
        <v>2158</v>
      </c>
    </row>
    <row r="2" spans="1:5">
      <c r="A2" s="42" t="s">
        <v>21</v>
      </c>
      <c r="B2" s="43" t="s">
        <v>1069</v>
      </c>
      <c r="C2" s="43" t="s">
        <v>532</v>
      </c>
      <c r="D2" s="43" t="s">
        <v>771</v>
      </c>
      <c r="E2" s="46" t="s">
        <v>2191</v>
      </c>
    </row>
    <row r="3" spans="1:5">
      <c r="A3" s="42" t="s">
        <v>23</v>
      </c>
      <c r="B3" s="43" t="s">
        <v>2192</v>
      </c>
      <c r="C3" s="43" t="s">
        <v>502</v>
      </c>
      <c r="D3" s="43" t="s">
        <v>547</v>
      </c>
      <c r="E3" s="46" t="s">
        <v>2193</v>
      </c>
    </row>
    <row r="4" spans="1:5">
      <c r="A4" s="42" t="s">
        <v>24</v>
      </c>
      <c r="B4" s="43" t="s">
        <v>2194</v>
      </c>
      <c r="C4" s="43" t="s">
        <v>627</v>
      </c>
      <c r="D4" s="43" t="s">
        <v>1279</v>
      </c>
      <c r="E4" s="46" t="s">
        <v>2195</v>
      </c>
    </row>
    <row r="5" spans="1:5">
      <c r="A5" s="42" t="s">
        <v>25</v>
      </c>
      <c r="B5" s="43" t="s">
        <v>2194</v>
      </c>
      <c r="C5" s="43" t="s">
        <v>2196</v>
      </c>
      <c r="D5" s="43" t="s">
        <v>178</v>
      </c>
      <c r="E5" s="46" t="s">
        <v>2197</v>
      </c>
    </row>
    <row r="6" spans="1:5">
      <c r="A6" s="42" t="s">
        <v>26</v>
      </c>
      <c r="B6" s="43" t="s">
        <v>2198</v>
      </c>
      <c r="C6" s="43" t="s">
        <v>2199</v>
      </c>
      <c r="D6" s="43" t="s">
        <v>1695</v>
      </c>
      <c r="E6" s="46" t="s">
        <v>2200</v>
      </c>
    </row>
    <row r="7" spans="1:5">
      <c r="A7" s="42" t="s">
        <v>27</v>
      </c>
      <c r="B7" s="43" t="s">
        <v>2198</v>
      </c>
      <c r="C7" s="43" t="s">
        <v>2199</v>
      </c>
      <c r="D7" s="43" t="s">
        <v>1172</v>
      </c>
      <c r="E7" s="46" t="s">
        <v>2201</v>
      </c>
    </row>
    <row r="8" spans="1:5">
      <c r="A8" s="42" t="s">
        <v>28</v>
      </c>
      <c r="B8" s="43" t="s">
        <v>2198</v>
      </c>
      <c r="C8" s="43" t="s">
        <v>1033</v>
      </c>
      <c r="D8" s="43" t="s">
        <v>701</v>
      </c>
      <c r="E8" s="46" t="s">
        <v>2202</v>
      </c>
    </row>
    <row r="9" spans="1:5">
      <c r="A9" s="42" t="s">
        <v>29</v>
      </c>
      <c r="B9" s="43" t="s">
        <v>2198</v>
      </c>
      <c r="C9" s="43" t="s">
        <v>1245</v>
      </c>
      <c r="D9" s="43" t="s">
        <v>215</v>
      </c>
      <c r="E9" s="46" t="s">
        <v>2203</v>
      </c>
    </row>
    <row r="10" spans="1:5">
      <c r="A10" s="42" t="s">
        <v>37</v>
      </c>
      <c r="B10" s="43" t="s">
        <v>2204</v>
      </c>
      <c r="C10" s="43" t="s">
        <v>1891</v>
      </c>
      <c r="D10" s="43" t="s">
        <v>1695</v>
      </c>
      <c r="E10" s="142" t="s">
        <v>2205</v>
      </c>
    </row>
    <row r="11" spans="1:5">
      <c r="A11" s="42" t="s">
        <v>30</v>
      </c>
      <c r="B11" s="43" t="s">
        <v>2204</v>
      </c>
      <c r="C11" s="43" t="s">
        <v>2206</v>
      </c>
      <c r="D11" s="43" t="s">
        <v>2207</v>
      </c>
      <c r="E11" s="46" t="s">
        <v>2208</v>
      </c>
    </row>
    <row r="12" spans="1:5">
      <c r="A12" s="42" t="s">
        <v>32</v>
      </c>
      <c r="B12" s="43" t="s">
        <v>2204</v>
      </c>
      <c r="C12" s="43" t="s">
        <v>2209</v>
      </c>
      <c r="D12" s="43" t="s">
        <v>2210</v>
      </c>
      <c r="E12" s="47" t="s">
        <v>2211</v>
      </c>
    </row>
    <row r="13" spans="1:5">
      <c r="A13" s="42" t="s">
        <v>34</v>
      </c>
      <c r="B13" s="43" t="s">
        <v>2204</v>
      </c>
      <c r="C13" s="43" t="s">
        <v>273</v>
      </c>
      <c r="D13" s="43" t="s">
        <v>2212</v>
      </c>
      <c r="E13" s="46" t="s">
        <v>2213</v>
      </c>
    </row>
    <row r="14" spans="1:5">
      <c r="A14" s="42" t="s">
        <v>35</v>
      </c>
      <c r="B14" s="43" t="s">
        <v>2204</v>
      </c>
      <c r="C14" s="43" t="s">
        <v>2214</v>
      </c>
      <c r="D14" s="43" t="s">
        <v>2215</v>
      </c>
      <c r="E14" s="47" t="s">
        <v>2216</v>
      </c>
    </row>
    <row r="15" spans="1:5">
      <c r="A15" s="42" t="s">
        <v>36</v>
      </c>
      <c r="B15" s="43" t="s">
        <v>2204</v>
      </c>
      <c r="C15" s="43" t="s">
        <v>2217</v>
      </c>
      <c r="D15" s="43" t="s">
        <v>308</v>
      </c>
      <c r="E15" s="46" t="s">
        <v>2218</v>
      </c>
    </row>
    <row r="16" spans="1:5">
      <c r="A16" s="42" t="s">
        <v>38</v>
      </c>
      <c r="B16" s="43" t="s">
        <v>2219</v>
      </c>
      <c r="C16" s="43" t="s">
        <v>2220</v>
      </c>
      <c r="D16" s="43" t="s">
        <v>171</v>
      </c>
      <c r="E16" s="46" t="s">
        <v>2221</v>
      </c>
    </row>
    <row r="17" spans="1:5">
      <c r="A17" s="42" t="s">
        <v>39</v>
      </c>
      <c r="B17" s="43" t="s">
        <v>2219</v>
      </c>
      <c r="C17" s="43" t="s">
        <v>2222</v>
      </c>
      <c r="D17" s="43" t="s">
        <v>974</v>
      </c>
      <c r="E17" s="46" t="s">
        <v>2223</v>
      </c>
    </row>
    <row r="18" spans="1:5">
      <c r="A18" s="42" t="s">
        <v>40</v>
      </c>
      <c r="B18" s="43" t="s">
        <v>2219</v>
      </c>
      <c r="C18" s="43" t="s">
        <v>749</v>
      </c>
      <c r="D18" s="43" t="s">
        <v>2039</v>
      </c>
      <c r="E18" s="46" t="s">
        <v>2224</v>
      </c>
    </row>
    <row r="19" spans="1:5">
      <c r="A19" s="42" t="s">
        <v>41</v>
      </c>
      <c r="B19" s="43" t="s">
        <v>2219</v>
      </c>
      <c r="C19" s="43" t="s">
        <v>2225</v>
      </c>
      <c r="D19" s="43" t="s">
        <v>1181</v>
      </c>
      <c r="E19" s="46" t="s">
        <v>2226</v>
      </c>
    </row>
    <row r="20" spans="1:5">
      <c r="A20" s="42" t="s">
        <v>42</v>
      </c>
      <c r="B20" s="43" t="s">
        <v>2219</v>
      </c>
      <c r="C20" s="43" t="s">
        <v>2227</v>
      </c>
      <c r="D20" s="43" t="s">
        <v>1545</v>
      </c>
      <c r="E20" s="46" t="s">
        <v>2228</v>
      </c>
    </row>
    <row r="21" spans="1:5">
      <c r="A21" s="42" t="s">
        <v>43</v>
      </c>
      <c r="B21" s="43" t="s">
        <v>2219</v>
      </c>
      <c r="C21" s="43" t="s">
        <v>2229</v>
      </c>
      <c r="D21" s="43" t="s">
        <v>240</v>
      </c>
      <c r="E21" s="46" t="s">
        <v>2230</v>
      </c>
    </row>
    <row r="22" spans="1:5">
      <c r="A22" s="42" t="s">
        <v>44</v>
      </c>
      <c r="B22" s="43" t="s">
        <v>2219</v>
      </c>
      <c r="C22" s="43" t="s">
        <v>2231</v>
      </c>
      <c r="D22" s="43" t="s">
        <v>358</v>
      </c>
      <c r="E22" s="46" t="s">
        <v>2232</v>
      </c>
    </row>
    <row r="23" spans="1:5">
      <c r="A23" s="42" t="s">
        <v>45</v>
      </c>
      <c r="B23" s="43" t="s">
        <v>2219</v>
      </c>
      <c r="C23" s="43" t="s">
        <v>152</v>
      </c>
      <c r="D23" s="43" t="s">
        <v>2233</v>
      </c>
      <c r="E23" s="47" t="s">
        <v>2234</v>
      </c>
    </row>
    <row r="24" spans="1:5">
      <c r="A24" s="42" t="s">
        <v>46</v>
      </c>
      <c r="B24" s="43" t="s">
        <v>2219</v>
      </c>
      <c r="C24" s="43" t="s">
        <v>2235</v>
      </c>
      <c r="D24" s="43" t="s">
        <v>2236</v>
      </c>
      <c r="E24" s="46" t="s">
        <v>2237</v>
      </c>
    </row>
    <row r="25" spans="1:5">
      <c r="A25" s="42" t="s">
        <v>47</v>
      </c>
      <c r="B25" s="43" t="s">
        <v>2219</v>
      </c>
      <c r="C25" s="43" t="s">
        <v>1137</v>
      </c>
      <c r="D25" s="43" t="s">
        <v>2238</v>
      </c>
      <c r="E25" s="46" t="s">
        <v>2239</v>
      </c>
    </row>
    <row r="26" spans="1:5">
      <c r="A26" s="42" t="s">
        <v>48</v>
      </c>
      <c r="B26" s="43" t="s">
        <v>2219</v>
      </c>
      <c r="C26" s="43" t="s">
        <v>2240</v>
      </c>
      <c r="D26" s="43" t="s">
        <v>610</v>
      </c>
      <c r="E26" s="46" t="s">
        <v>2241</v>
      </c>
    </row>
    <row r="27" spans="1:5">
      <c r="A27" s="42" t="s">
        <v>49</v>
      </c>
      <c r="B27" s="43" t="s">
        <v>2219</v>
      </c>
      <c r="C27" s="43" t="s">
        <v>2242</v>
      </c>
      <c r="D27" s="43" t="s">
        <v>2243</v>
      </c>
      <c r="E27" s="46" t="s">
        <v>2244</v>
      </c>
    </row>
    <row r="28" spans="1:5">
      <c r="A28" s="42" t="s">
        <v>50</v>
      </c>
      <c r="B28" s="43" t="s">
        <v>2219</v>
      </c>
      <c r="C28" s="43" t="s">
        <v>2245</v>
      </c>
      <c r="D28" s="43" t="s">
        <v>2246</v>
      </c>
      <c r="E28" s="46" t="s">
        <v>2247</v>
      </c>
    </row>
    <row r="29" spans="1:5">
      <c r="A29" s="42" t="s">
        <v>51</v>
      </c>
      <c r="B29" s="43" t="s">
        <v>114</v>
      </c>
      <c r="C29" s="43" t="s">
        <v>2248</v>
      </c>
      <c r="D29" s="43" t="s">
        <v>2249</v>
      </c>
      <c r="E29" s="46" t="s">
        <v>2250</v>
      </c>
    </row>
    <row r="30" spans="1:5">
      <c r="A30" s="42" t="s">
        <v>52</v>
      </c>
      <c r="B30" s="43" t="s">
        <v>114</v>
      </c>
      <c r="C30" s="43" t="s">
        <v>2251</v>
      </c>
      <c r="D30" s="43" t="s">
        <v>840</v>
      </c>
      <c r="E30" s="46" t="s">
        <v>2252</v>
      </c>
    </row>
    <row r="31" spans="1:5">
      <c r="A31" s="42" t="s">
        <v>53</v>
      </c>
      <c r="B31" s="43" t="s">
        <v>114</v>
      </c>
      <c r="C31" s="43" t="s">
        <v>1578</v>
      </c>
      <c r="D31" s="43" t="s">
        <v>2243</v>
      </c>
      <c r="E31" s="47" t="s">
        <v>2253</v>
      </c>
    </row>
    <row r="32" spans="1:5">
      <c r="A32" s="42" t="s">
        <v>55</v>
      </c>
      <c r="B32" s="43" t="s">
        <v>114</v>
      </c>
      <c r="C32" s="43" t="s">
        <v>2254</v>
      </c>
      <c r="D32" s="43" t="s">
        <v>2255</v>
      </c>
      <c r="E32" s="47" t="s">
        <v>2256</v>
      </c>
    </row>
    <row r="33" spans="1:5">
      <c r="A33" s="44" t="s">
        <v>56</v>
      </c>
      <c r="B33" s="45" t="s">
        <v>114</v>
      </c>
      <c r="C33" s="45" t="s">
        <v>2257</v>
      </c>
      <c r="D33" s="45" t="s">
        <v>1044</v>
      </c>
      <c r="E33" s="53" t="s">
        <v>2258</v>
      </c>
    </row>
    <row r="34" spans="1:5">
      <c r="A34" s="42" t="s">
        <v>58</v>
      </c>
      <c r="B34" s="45" t="s">
        <v>114</v>
      </c>
      <c r="C34" s="43" t="s">
        <v>2254</v>
      </c>
      <c r="D34" s="43" t="s">
        <v>639</v>
      </c>
      <c r="E34" s="114" t="s">
        <v>2259</v>
      </c>
    </row>
    <row r="35" spans="1:5">
      <c r="A35" s="42" t="s">
        <v>59</v>
      </c>
      <c r="B35" s="45" t="s">
        <v>114</v>
      </c>
      <c r="C35" s="43" t="s">
        <v>650</v>
      </c>
      <c r="D35" s="43" t="s">
        <v>793</v>
      </c>
      <c r="E35" s="114" t="s">
        <v>2260</v>
      </c>
    </row>
    <row r="36" spans="1:5">
      <c r="A36" s="44" t="s">
        <v>60</v>
      </c>
      <c r="B36" s="45" t="s">
        <v>114</v>
      </c>
      <c r="C36" s="45" t="s">
        <v>2261</v>
      </c>
      <c r="D36" s="45" t="s">
        <v>2262</v>
      </c>
      <c r="E36" s="53" t="s">
        <v>2263</v>
      </c>
    </row>
    <row r="37" spans="1:5">
      <c r="A37" s="44" t="s">
        <v>61</v>
      </c>
      <c r="B37" s="45" t="s">
        <v>2264</v>
      </c>
      <c r="C37" s="45" t="s">
        <v>2265</v>
      </c>
      <c r="D37" s="45" t="s">
        <v>2262</v>
      </c>
      <c r="E37" s="46" t="s">
        <v>2266</v>
      </c>
    </row>
    <row r="38" spans="1:5">
      <c r="A38" s="44" t="s">
        <v>62</v>
      </c>
      <c r="B38" s="43" t="s">
        <v>2264</v>
      </c>
      <c r="C38" s="43" t="s">
        <v>2267</v>
      </c>
      <c r="D38" s="43" t="s">
        <v>1756</v>
      </c>
      <c r="E38" s="53" t="s">
        <v>2268</v>
      </c>
    </row>
    <row r="39" spans="1:5">
      <c r="A39" s="44" t="s">
        <v>63</v>
      </c>
      <c r="B39" s="43" t="s">
        <v>2264</v>
      </c>
      <c r="C39" s="43" t="s">
        <v>2269</v>
      </c>
      <c r="D39" s="43" t="s">
        <v>2270</v>
      </c>
      <c r="E39" s="142" t="s">
        <v>2271</v>
      </c>
    </row>
    <row r="40" spans="1:5">
      <c r="A40" s="44" t="s">
        <v>64</v>
      </c>
      <c r="B40" s="43" t="s">
        <v>2264</v>
      </c>
      <c r="C40" s="43" t="s">
        <v>2272</v>
      </c>
      <c r="D40" s="43" t="s">
        <v>2273</v>
      </c>
      <c r="E40" s="114" t="s">
        <v>2274</v>
      </c>
    </row>
    <row r="41" spans="1:5">
      <c r="A41" s="44" t="s">
        <v>65</v>
      </c>
      <c r="B41" s="45" t="s">
        <v>2264</v>
      </c>
      <c r="C41" s="45" t="s">
        <v>2275</v>
      </c>
      <c r="D41" s="45" t="s">
        <v>2276</v>
      </c>
      <c r="E41" s="142" t="s">
        <v>2277</v>
      </c>
    </row>
    <row r="42" spans="1:5">
      <c r="A42" s="44" t="s">
        <v>66</v>
      </c>
      <c r="B42" s="45" t="s">
        <v>2264</v>
      </c>
      <c r="C42" s="45" t="s">
        <v>2278</v>
      </c>
      <c r="D42" s="45" t="s">
        <v>2279</v>
      </c>
      <c r="E42" s="177"/>
    </row>
  </sheetData>
  <hyperlinks>
    <hyperlink ref="E30" r:id="rId1" xr:uid="{D59A6D54-7F7D-456F-BB5E-874C61C4828D}"/>
    <hyperlink ref="E22" r:id="rId2" xr:uid="{72D64080-8CA4-4570-8DED-DEE040C62025}"/>
    <hyperlink ref="E21" r:id="rId3" xr:uid="{606745AC-D5C9-41A9-84FF-E298B9173721}"/>
    <hyperlink ref="E17" r:id="rId4" xr:uid="{3A7218AB-89FB-43A8-AE06-AC91F48EB100}"/>
    <hyperlink ref="E20" r:id="rId5" xr:uid="{ACD04957-3271-4111-9EC8-EC51EB655AA2}"/>
    <hyperlink ref="E27" r:id="rId6" xr:uid="{4F46029F-F744-4E30-B523-D6C9FE98FE54}"/>
    <hyperlink ref="E29" r:id="rId7" xr:uid="{A36C8993-E0FF-491A-BEAF-F62F469FE2B0}"/>
    <hyperlink ref="E4" r:id="rId8" xr:uid="{850E470A-8A5E-4B26-AA0B-66C0848A7759}"/>
    <hyperlink ref="E7" r:id="rId9" xr:uid="{F5FA5DF3-DD46-47A3-B4D3-301EB197DAF2}"/>
    <hyperlink ref="E6" r:id="rId10" xr:uid="{87409E5C-CBD1-4E23-8DE2-ABDFD6409774}"/>
    <hyperlink ref="E24" r:id="rId11" xr:uid="{32C05E62-937A-4B86-8370-ABF2A34D24E0}"/>
    <hyperlink ref="E16" r:id="rId12" xr:uid="{F49E8853-83B1-4DBB-919B-16B8C2787868}"/>
    <hyperlink ref="E15" r:id="rId13" xr:uid="{4EE4FD0B-BDA3-4D3C-9340-DCC0C41F7751}"/>
    <hyperlink ref="E19" r:id="rId14" xr:uid="{DF515473-3E8D-4E67-83D7-CFC46CC029B8}"/>
    <hyperlink ref="E8" r:id="rId15" xr:uid="{7E3205CF-3C37-40B0-A164-20FAE1F47654}"/>
    <hyperlink ref="E3" r:id="rId16" xr:uid="{B12A8B90-4518-42C4-AB9D-8953AD5D8B58}"/>
    <hyperlink ref="E11" r:id="rId17" xr:uid="{CDAFD664-443E-4439-8B0B-27E4275E37DB}"/>
    <hyperlink ref="E13" r:id="rId18" xr:uid="{1CC7C6A1-3069-4AC7-9878-774287CED5C9}"/>
    <hyperlink ref="E2" r:id="rId19" xr:uid="{28DD64C0-A2DF-4DD8-A938-726A8F9938C7}"/>
    <hyperlink ref="E25" r:id="rId20" xr:uid="{CAE16F75-CA10-443F-BE7F-C5A3665BBC85}"/>
    <hyperlink ref="E18" r:id="rId21" xr:uid="{7A8D6FC0-5567-4ED7-8FD2-D865FE87360B}"/>
    <hyperlink ref="E5" r:id="rId22" xr:uid="{79F6081E-D23F-4055-AA65-F206F26DF8E2}"/>
    <hyperlink ref="E28" r:id="rId23" xr:uid="{9F805C16-0E61-4A57-9CE6-0880DD3CA969}"/>
    <hyperlink ref="E37" r:id="rId24" xr:uid="{F4DB095E-CA9F-488C-9250-D0F06856E2D3}"/>
    <hyperlink ref="E26" r:id="rId25" xr:uid="{312DA1B7-DFAA-4101-A53C-009EB516277A}"/>
    <hyperlink ref="E23" r:id="rId26" xr:uid="{F84C51D2-F651-494E-BACE-AEDFD38A1D6A}"/>
    <hyperlink ref="E34" r:id="rId27" xr:uid="{8F94CA42-B4CD-42D0-B835-EB53CC494511}"/>
    <hyperlink ref="E35" r:id="rId28" xr:uid="{9385F31B-F5E4-43C8-9108-0AAC24C700F5}"/>
    <hyperlink ref="E36" r:id="rId29" xr:uid="{04B24F85-3411-41A9-8B24-264D583C1782}"/>
    <hyperlink ref="E33" r:id="rId30" xr:uid="{68F10906-ED91-463C-9840-F3D5AF7D8872}"/>
    <hyperlink ref="E31" r:id="rId31" xr:uid="{58DE1764-F157-49D9-B157-CFEF48899ADE}"/>
    <hyperlink ref="E10" r:id="rId32" xr:uid="{8527F899-6967-4EF9-9B2A-0D1FC33EAFEB}"/>
    <hyperlink ref="E9" r:id="rId33" xr:uid="{BCB25B74-B757-436B-AFBD-9C630518C42E}"/>
    <hyperlink ref="E39" r:id="rId34" xr:uid="{3186DDED-B2DB-4B0A-B8A4-7C604C961200}"/>
    <hyperlink ref="E40" r:id="rId35" xr:uid="{FA2B9A73-05F2-4054-979B-B724DB3C7B00}"/>
  </hyperlinks>
  <pageMargins left="0.7" right="0.7" top="0.75" bottom="0.75" header="0.3" footer="0.3"/>
  <pageSetup orientation="portrait" r:id="rId36"/>
  <tableParts count="1">
    <tablePart r:id="rId3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a9062c5-d36c-4ce7-a46c-5a283cfdbeb5">
      <UserInfo>
        <DisplayName>Pukekohe Volunteers</DisplayName>
        <AccountId>81</AccountId>
        <AccountType/>
      </UserInfo>
      <UserInfo>
        <DisplayName>Pennefather, Josh</DisplayName>
        <AccountId>100</AccountId>
        <AccountType/>
      </UserInfo>
    </SharedWithUsers>
    <TaxCatchAll xmlns="3a9062c5-d36c-4ce7-a46c-5a283cfdbeb5" xsi:nil="true"/>
    <lcf76f155ced4ddcb4097134ff3c332f xmlns="e0424590-4ee5-4f01-ac93-4fded7c46218">
      <Terms xmlns="http://schemas.microsoft.com/office/infopath/2007/PartnerControls"/>
    </lcf76f155ced4ddcb4097134ff3c332f>
    <Pic xmlns="e0424590-4ee5-4f01-ac93-4fded7c46218">
      <Url xsi:nil="true"/>
      <Description xsi:nil="true"/>
    </Pic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B83ACF17DDE49BAC649D18A200478" ma:contentTypeVersion="18" ma:contentTypeDescription="Create a new document." ma:contentTypeScope="" ma:versionID="2e3b27f1adca400bc8ee0aaeef79cd80">
  <xsd:schema xmlns:xsd="http://www.w3.org/2001/XMLSchema" xmlns:xs="http://www.w3.org/2001/XMLSchema" xmlns:p="http://schemas.microsoft.com/office/2006/metadata/properties" xmlns:ns2="3a9062c5-d36c-4ce7-a46c-5a283cfdbeb5" xmlns:ns3="e0424590-4ee5-4f01-ac93-4fded7c46218" targetNamespace="http://schemas.microsoft.com/office/2006/metadata/properties" ma:root="true" ma:fieldsID="4a4dfcd8527756c4bddf6e64cba1a74b" ns2:_="" ns3:_="">
    <xsd:import namespace="3a9062c5-d36c-4ce7-a46c-5a283cfdbeb5"/>
    <xsd:import namespace="e0424590-4ee5-4f01-ac93-4fded7c462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Pic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062c5-d36c-4ce7-a46c-5a283cfdb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fb2ddaa-5ed4-447f-b496-e3ef92a40d98}" ma:internalName="TaxCatchAll" ma:showField="CatchAllData" ma:web="3a9062c5-d36c-4ce7-a46c-5a283cfdb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424590-4ee5-4f01-ac93-4fded7c462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db8ce30-a694-4108-9a7f-921c08d0c7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ic" ma:index="23" nillable="true" ma:displayName="Pic" ma:format="Image" ma:internalName="Pic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715137-8F0C-421E-ACCF-BAF95C7BF7E9}"/>
</file>

<file path=customXml/itemProps2.xml><?xml version="1.0" encoding="utf-8"?>
<ds:datastoreItem xmlns:ds="http://schemas.openxmlformats.org/officeDocument/2006/customXml" ds:itemID="{F716DD27-B7E8-44F8-BC78-7A9F3D8A7E3C}"/>
</file>

<file path=customXml/itemProps3.xml><?xml version="1.0" encoding="utf-8"?>
<ds:datastoreItem xmlns:ds="http://schemas.openxmlformats.org/officeDocument/2006/customXml" ds:itemID="{AD2A0F35-6ACB-401E-BD7D-7B577E29D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Fire and Emergency New Zealand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Pennefather, Joshua</dc:creator>
  <cp:keywords/>
  <dc:description/>
  <cp:lastModifiedBy>Pennefather, Josh</cp:lastModifiedBy>
  <cp:revision/>
  <dcterms:created xsi:type="dcterms:W3CDTF">2023-05-10T08:00:36Z</dcterms:created>
  <dcterms:modified xsi:type="dcterms:W3CDTF">2026-02-02T02:05:00Z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0x010100E6EB83ACF17DDE49BAC649D18A200478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ColorHex">
    <vt:lpwstr/>
  </property>
  <property fmtid="{D5CDD505-2E9C-101B-9397-08002B2CF9AE}" pid="6" name="_Emoji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