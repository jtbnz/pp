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zfe.sharepoint.com/sites/msteams_791879_bafc56/Shared Documents/Attendance Record/"/>
    </mc:Choice>
  </mc:AlternateContent>
  <xr:revisionPtr revIDLastSave="434" documentId="13_ncr:1_{AD9F541F-454B-4EEE-AFA6-E823A1B2BE93}" xr6:coauthVersionLast="47" xr6:coauthVersionMax="47" xr10:uidLastSave="{DDE140CC-37E4-4A13-88E1-A3B2F87F4B5F}"/>
  <bookViews>
    <workbookView xWindow="-28920" yWindow="1860" windowWidth="29040" windowHeight="15720" tabRatio="676" firstSheet="1" activeTab="6" xr2:uid="{EE8EBBE3-01D3-4856-9B7E-F8A5468CF882}"/>
  </bookViews>
  <sheets>
    <sheet name="Call Stats" sheetId="32" state="hidden" r:id="rId1"/>
    <sheet name="Summary" sheetId="2" r:id="rId2"/>
    <sheet name="Total Calls" sheetId="33" r:id="rId3"/>
    <sheet name="Musters" sheetId="13" r:id="rId4"/>
    <sheet name="AllCalls26" sheetId="29" r:id="rId5"/>
    <sheet name="AllMusters26" sheetId="30" r:id="rId6"/>
    <sheet name="SMS" sheetId="31" r:id="rId7"/>
    <sheet name="Jan25" sheetId="1" state="hidden" r:id="rId8"/>
    <sheet name="Feb25" sheetId="14" state="hidden" r:id="rId9"/>
    <sheet name="Mar25" sheetId="17" state="hidden" r:id="rId10"/>
    <sheet name="Apr25" sheetId="18" state="hidden" r:id="rId11"/>
    <sheet name="May25" sheetId="20" state="hidden" r:id="rId12"/>
    <sheet name="Jun25" sheetId="21" state="hidden" r:id="rId13"/>
    <sheet name="Jul25" sheetId="22" state="hidden" r:id="rId14"/>
    <sheet name="Aug25" sheetId="24" state="hidden" r:id="rId15"/>
    <sheet name="Sep25" sheetId="25" state="hidden" r:id="rId16"/>
    <sheet name="Oct25" sheetId="26" state="hidden" r:id="rId17"/>
    <sheet name="Nov25" sheetId="27" state="hidden" r:id="rId18"/>
    <sheet name="Dec25" sheetId="28" state="hidden" r:id="rId19"/>
    <sheet name="Admin" sheetId="15" r:id="rId20"/>
  </sheets>
  <definedNames>
    <definedName name="_xlnm._FilterDatabase" localSheetId="2" hidden="1">'Total Calls'!$A$1:$B$1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44" i="31" l="1"/>
  <c r="K147" i="29"/>
  <c r="BS147" i="29"/>
  <c r="BR147" i="29"/>
  <c r="BQ147" i="29"/>
  <c r="BP147" i="29"/>
  <c r="R147" i="29"/>
  <c r="J32" i="2"/>
  <c r="AY143" i="31"/>
  <c r="K146" i="29"/>
  <c r="R146" i="29"/>
  <c r="BP146" i="29"/>
  <c r="BQ146" i="29"/>
  <c r="BR146" i="29"/>
  <c r="BS146" i="29"/>
  <c r="K145" i="29"/>
  <c r="BS145" i="29"/>
  <c r="BR145" i="29"/>
  <c r="BQ145" i="29"/>
  <c r="BP145" i="29"/>
  <c r="R145" i="29"/>
  <c r="AY142" i="31"/>
  <c r="K144" i="29"/>
  <c r="BS144" i="29"/>
  <c r="BR144" i="29"/>
  <c r="BQ144" i="29"/>
  <c r="BP144" i="29"/>
  <c r="R144" i="29"/>
  <c r="AY141" i="31"/>
  <c r="K143" i="29"/>
  <c r="R143" i="29"/>
  <c r="BP143" i="29"/>
  <c r="BQ143" i="29"/>
  <c r="BR143" i="29"/>
  <c r="BS143" i="29"/>
  <c r="AY140" i="31"/>
  <c r="K142" i="29"/>
  <c r="R142" i="29"/>
  <c r="BP142" i="29"/>
  <c r="BQ142" i="29"/>
  <c r="BR142" i="29"/>
  <c r="BS142" i="29"/>
  <c r="AY139" i="31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AX47" i="2" s="1"/>
  <c r="K141" i="29"/>
  <c r="R2" i="29"/>
  <c r="R3" i="29"/>
  <c r="R4" i="29"/>
  <c r="R5" i="29"/>
  <c r="R6" i="29"/>
  <c r="R7" i="29"/>
  <c r="R8" i="29"/>
  <c r="R9" i="29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R29" i="29"/>
  <c r="R30" i="29"/>
  <c r="R31" i="29"/>
  <c r="R32" i="29"/>
  <c r="R33" i="29"/>
  <c r="R34" i="29"/>
  <c r="R35" i="29"/>
  <c r="R36" i="29"/>
  <c r="R37" i="29"/>
  <c r="R38" i="29"/>
  <c r="R39" i="29"/>
  <c r="R40" i="29"/>
  <c r="R41" i="29"/>
  <c r="R42" i="29"/>
  <c r="R43" i="29"/>
  <c r="R44" i="29"/>
  <c r="R45" i="29"/>
  <c r="R46" i="29"/>
  <c r="R47" i="29"/>
  <c r="R48" i="29"/>
  <c r="R49" i="29"/>
  <c r="R50" i="29"/>
  <c r="R51" i="29"/>
  <c r="R52" i="29"/>
  <c r="R53" i="29"/>
  <c r="R54" i="29"/>
  <c r="R55" i="29"/>
  <c r="R56" i="29"/>
  <c r="R57" i="29"/>
  <c r="R58" i="29"/>
  <c r="R59" i="29"/>
  <c r="R60" i="29"/>
  <c r="R61" i="29"/>
  <c r="R62" i="29"/>
  <c r="R63" i="29"/>
  <c r="R64" i="29"/>
  <c r="R65" i="29"/>
  <c r="R66" i="29"/>
  <c r="R67" i="29"/>
  <c r="R68" i="29"/>
  <c r="R69" i="29"/>
  <c r="R70" i="29"/>
  <c r="R71" i="29"/>
  <c r="R72" i="29"/>
  <c r="R73" i="29"/>
  <c r="R74" i="29"/>
  <c r="R75" i="29"/>
  <c r="R76" i="29"/>
  <c r="R77" i="29"/>
  <c r="R78" i="29"/>
  <c r="R79" i="29"/>
  <c r="R80" i="29"/>
  <c r="R81" i="29"/>
  <c r="R82" i="29"/>
  <c r="R83" i="29"/>
  <c r="R84" i="29"/>
  <c r="R85" i="29"/>
  <c r="R86" i="29"/>
  <c r="R87" i="29"/>
  <c r="R88" i="29"/>
  <c r="R89" i="29"/>
  <c r="R90" i="29"/>
  <c r="R91" i="29"/>
  <c r="R92" i="29"/>
  <c r="R93" i="29"/>
  <c r="R94" i="29"/>
  <c r="R95" i="29"/>
  <c r="R96" i="29"/>
  <c r="R97" i="29"/>
  <c r="R98" i="29"/>
  <c r="R99" i="29"/>
  <c r="R100" i="29"/>
  <c r="R101" i="29"/>
  <c r="R102" i="29"/>
  <c r="R103" i="29"/>
  <c r="R104" i="29"/>
  <c r="R105" i="29"/>
  <c r="R106" i="29"/>
  <c r="R107" i="29"/>
  <c r="R108" i="29"/>
  <c r="R109" i="29"/>
  <c r="R110" i="29"/>
  <c r="R111" i="29"/>
  <c r="R112" i="29"/>
  <c r="R113" i="29"/>
  <c r="R114" i="29"/>
  <c r="R115" i="29"/>
  <c r="R116" i="29"/>
  <c r="R117" i="29"/>
  <c r="R118" i="29"/>
  <c r="R119" i="29"/>
  <c r="R120" i="29"/>
  <c r="R121" i="29"/>
  <c r="R122" i="29"/>
  <c r="R123" i="29"/>
  <c r="R124" i="29"/>
  <c r="R125" i="29"/>
  <c r="R126" i="29"/>
  <c r="R127" i="29"/>
  <c r="R128" i="29"/>
  <c r="R129" i="29"/>
  <c r="R130" i="29"/>
  <c r="R131" i="29"/>
  <c r="R132" i="29"/>
  <c r="R133" i="29"/>
  <c r="R134" i="29"/>
  <c r="R135" i="29"/>
  <c r="R136" i="29"/>
  <c r="R137" i="29"/>
  <c r="R138" i="29"/>
  <c r="R139" i="29"/>
  <c r="R140" i="29"/>
  <c r="R141" i="29"/>
  <c r="BP141" i="29"/>
  <c r="BQ141" i="29"/>
  <c r="BR141" i="29"/>
  <c r="BS141" i="29"/>
  <c r="AY138" i="31"/>
  <c r="AY137" i="31"/>
  <c r="AY136" i="31"/>
  <c r="AY3" i="31"/>
  <c r="AY4" i="31"/>
  <c r="AY5" i="31"/>
  <c r="AY6" i="3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4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37" i="31"/>
  <c r="AY38" i="31"/>
  <c r="AY39" i="31"/>
  <c r="AY40" i="31"/>
  <c r="AY41" i="31"/>
  <c r="AY42" i="31"/>
  <c r="AY43" i="31"/>
  <c r="AY44" i="31"/>
  <c r="AY45" i="31"/>
  <c r="AY46" i="31"/>
  <c r="AY47" i="31"/>
  <c r="AY48" i="31"/>
  <c r="AY49" i="31"/>
  <c r="AY50" i="31"/>
  <c r="AY51" i="31"/>
  <c r="AY52" i="31"/>
  <c r="AY53" i="31"/>
  <c r="AY54" i="31"/>
  <c r="AY55" i="31"/>
  <c r="AY56" i="31"/>
  <c r="AY57" i="31"/>
  <c r="AY58" i="31"/>
  <c r="AY59" i="31"/>
  <c r="AY60" i="31"/>
  <c r="AY61" i="31"/>
  <c r="AY62" i="31"/>
  <c r="AY63" i="31"/>
  <c r="AY64" i="31"/>
  <c r="AY65" i="31"/>
  <c r="AY66" i="31"/>
  <c r="AY67" i="31"/>
  <c r="AY68" i="31"/>
  <c r="AY69" i="31"/>
  <c r="AY70" i="31"/>
  <c r="AY71" i="31"/>
  <c r="AY72" i="31"/>
  <c r="AY73" i="31"/>
  <c r="AY74" i="31"/>
  <c r="AY75" i="31"/>
  <c r="AY76" i="31"/>
  <c r="AY77" i="31"/>
  <c r="AY78" i="31"/>
  <c r="AY79" i="31"/>
  <c r="AY80" i="31"/>
  <c r="AY81" i="31"/>
  <c r="AY82" i="31"/>
  <c r="AY83" i="31"/>
  <c r="AY84" i="31"/>
  <c r="AY85" i="31"/>
  <c r="AY86" i="31"/>
  <c r="AY87" i="31"/>
  <c r="AY88" i="31"/>
  <c r="AY89" i="31"/>
  <c r="AY90" i="31"/>
  <c r="AY91" i="31"/>
  <c r="AY92" i="31"/>
  <c r="AY93" i="31"/>
  <c r="AY94" i="31"/>
  <c r="AY95" i="31"/>
  <c r="AY96" i="31"/>
  <c r="AY97" i="31"/>
  <c r="AY98" i="31"/>
  <c r="AY99" i="31"/>
  <c r="AY100" i="31"/>
  <c r="AY101" i="31"/>
  <c r="AY102" i="31"/>
  <c r="AY103" i="31"/>
  <c r="AY104" i="31"/>
  <c r="AY105" i="31"/>
  <c r="AY106" i="31"/>
  <c r="AY107" i="31"/>
  <c r="AY108" i="31"/>
  <c r="AY109" i="31"/>
  <c r="AY110" i="31"/>
  <c r="AY111" i="31"/>
  <c r="AY112" i="31"/>
  <c r="AY113" i="31"/>
  <c r="AY114" i="31"/>
  <c r="AY115" i="31"/>
  <c r="AY116" i="31"/>
  <c r="AY117" i="31"/>
  <c r="AY118" i="31"/>
  <c r="AY119" i="31"/>
  <c r="AY120" i="31"/>
  <c r="AY121" i="31"/>
  <c r="AY122" i="31"/>
  <c r="AY123" i="31"/>
  <c r="AY124" i="31"/>
  <c r="AY125" i="31"/>
  <c r="AY126" i="31"/>
  <c r="AY127" i="31"/>
  <c r="AY128" i="31"/>
  <c r="AY129" i="31"/>
  <c r="AY130" i="31"/>
  <c r="AY131" i="31"/>
  <c r="AY132" i="31"/>
  <c r="AY133" i="31"/>
  <c r="AY134" i="31"/>
  <c r="AY135" i="31"/>
  <c r="BP140" i="29"/>
  <c r="BQ140" i="29"/>
  <c r="BR140" i="29"/>
  <c r="BS140" i="29"/>
  <c r="BP139" i="29"/>
  <c r="BQ139" i="29"/>
  <c r="BR139" i="29"/>
  <c r="BS139" i="29"/>
  <c r="BP138" i="29"/>
  <c r="BQ138" i="29"/>
  <c r="BR138" i="29"/>
  <c r="BS138" i="29"/>
  <c r="BP137" i="29"/>
  <c r="BQ137" i="29"/>
  <c r="BR137" i="29"/>
  <c r="BS137" i="29"/>
  <c r="BP136" i="29"/>
  <c r="BQ136" i="29"/>
  <c r="BR136" i="29"/>
  <c r="BS136" i="29"/>
  <c r="BP135" i="29"/>
  <c r="BQ135" i="29"/>
  <c r="BR135" i="29"/>
  <c r="BS135" i="29"/>
  <c r="AE11" i="29"/>
  <c r="J11" i="13"/>
  <c r="J11" i="2"/>
  <c r="F24" i="30"/>
  <c r="BB24" i="30"/>
  <c r="BC24" i="30"/>
  <c r="BP134" i="29"/>
  <c r="BQ134" i="29"/>
  <c r="BR134" i="29"/>
  <c r="BS134" i="29"/>
  <c r="BS133" i="29"/>
  <c r="BR133" i="29"/>
  <c r="BQ133" i="29"/>
  <c r="BP133" i="29"/>
  <c r="BP132" i="29"/>
  <c r="BQ132" i="29"/>
  <c r="BR132" i="29"/>
  <c r="BS132" i="29"/>
  <c r="BP131" i="29"/>
  <c r="BQ131" i="29"/>
  <c r="BR131" i="29"/>
  <c r="BS131" i="29"/>
  <c r="BP130" i="29"/>
  <c r="BQ130" i="29"/>
  <c r="BR130" i="29"/>
  <c r="BS130" i="29"/>
  <c r="BP129" i="29"/>
  <c r="BQ129" i="29"/>
  <c r="BR129" i="29"/>
  <c r="BS129" i="29"/>
  <c r="BP128" i="29"/>
  <c r="BQ128" i="29"/>
  <c r="BR128" i="29"/>
  <c r="BS128" i="29"/>
  <c r="BP127" i="29"/>
  <c r="BQ127" i="29"/>
  <c r="BR127" i="29"/>
  <c r="BS127" i="29"/>
  <c r="BP126" i="29"/>
  <c r="BQ126" i="29"/>
  <c r="BR126" i="29"/>
  <c r="BS126" i="29"/>
  <c r="BP125" i="29"/>
  <c r="BQ125" i="29"/>
  <c r="BR125" i="29"/>
  <c r="BS125" i="29"/>
  <c r="BC23" i="30"/>
  <c r="BB23" i="30"/>
  <c r="F23" i="30"/>
  <c r="AU30" i="13" s="1"/>
  <c r="BB22" i="30"/>
  <c r="BB21" i="30"/>
  <c r="BB20" i="30"/>
  <c r="BB19" i="30"/>
  <c r="BB18" i="30"/>
  <c r="BB17" i="30"/>
  <c r="BB16" i="30"/>
  <c r="BB15" i="30"/>
  <c r="AY47" i="13"/>
  <c r="AX47" i="13"/>
  <c r="AW47" i="13"/>
  <c r="AV47" i="13"/>
  <c r="AU47" i="13"/>
  <c r="AT47" i="13"/>
  <c r="AS47" i="13"/>
  <c r="AR47" i="13"/>
  <c r="AQ47" i="13"/>
  <c r="AP47" i="13"/>
  <c r="AY47" i="2"/>
  <c r="AW47" i="2"/>
  <c r="AV47" i="2"/>
  <c r="AU47" i="2"/>
  <c r="AT47" i="2"/>
  <c r="AS47" i="2"/>
  <c r="AR47" i="2"/>
  <c r="AQ47" i="2"/>
  <c r="BS124" i="29"/>
  <c r="BR124" i="29"/>
  <c r="BQ124" i="29"/>
  <c r="BP124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7" i="29"/>
  <c r="K16" i="29"/>
  <c r="AL11" i="29"/>
  <c r="J18" i="13"/>
  <c r="J18" i="2"/>
  <c r="BS123" i="29"/>
  <c r="BR123" i="29"/>
  <c r="BQ123" i="29"/>
  <c r="BP123" i="29"/>
  <c r="BS122" i="29"/>
  <c r="BR122" i="29"/>
  <c r="BQ122" i="29"/>
  <c r="BP122" i="29"/>
  <c r="BS121" i="29"/>
  <c r="BR121" i="29"/>
  <c r="BQ121" i="29"/>
  <c r="BP121" i="29"/>
  <c r="BS120" i="29"/>
  <c r="BR120" i="29"/>
  <c r="BQ120" i="29"/>
  <c r="BP120" i="29"/>
  <c r="BS119" i="29"/>
  <c r="BR119" i="29"/>
  <c r="BQ119" i="29"/>
  <c r="BP119" i="29"/>
  <c r="BS118" i="29"/>
  <c r="BR118" i="29"/>
  <c r="BQ118" i="29"/>
  <c r="BP118" i="29"/>
  <c r="BS117" i="29"/>
  <c r="BR117" i="29"/>
  <c r="BQ117" i="29"/>
  <c r="BP117" i="29"/>
  <c r="BS116" i="29"/>
  <c r="BR116" i="29"/>
  <c r="BQ116" i="29"/>
  <c r="BP116" i="29"/>
  <c r="BS115" i="29"/>
  <c r="BR115" i="29"/>
  <c r="BQ115" i="29"/>
  <c r="BP115" i="29"/>
  <c r="BS114" i="29"/>
  <c r="BR114" i="29"/>
  <c r="BQ114" i="29"/>
  <c r="BP114" i="29"/>
  <c r="F22" i="30"/>
  <c r="BC22" i="30"/>
  <c r="BS113" i="29"/>
  <c r="BR113" i="29"/>
  <c r="BQ113" i="29"/>
  <c r="BP113" i="29"/>
  <c r="BS112" i="29"/>
  <c r="BR112" i="29"/>
  <c r="BQ112" i="29"/>
  <c r="BP112" i="29"/>
  <c r="BS111" i="29"/>
  <c r="BR111" i="29"/>
  <c r="BQ111" i="29"/>
  <c r="BP111" i="29"/>
  <c r="BS110" i="29"/>
  <c r="BR110" i="29"/>
  <c r="BQ110" i="29"/>
  <c r="BP110" i="29"/>
  <c r="BS109" i="29"/>
  <c r="BR109" i="29"/>
  <c r="BQ109" i="29"/>
  <c r="BP109" i="29"/>
  <c r="BS108" i="29"/>
  <c r="BR108" i="29"/>
  <c r="BQ108" i="29"/>
  <c r="BP108" i="29"/>
  <c r="BP107" i="29"/>
  <c r="BQ107" i="29"/>
  <c r="BR107" i="29"/>
  <c r="BS107" i="29"/>
  <c r="BP106" i="29"/>
  <c r="BQ106" i="29"/>
  <c r="BR106" i="29"/>
  <c r="BS106" i="29"/>
  <c r="BS105" i="29"/>
  <c r="BR105" i="29"/>
  <c r="BQ105" i="29"/>
  <c r="BP105" i="29"/>
  <c r="BP104" i="29"/>
  <c r="BQ104" i="29"/>
  <c r="BR104" i="29"/>
  <c r="BS104" i="29"/>
  <c r="BP103" i="29"/>
  <c r="BQ103" i="29"/>
  <c r="BR103" i="29"/>
  <c r="BS103" i="29"/>
  <c r="BS102" i="29"/>
  <c r="BR102" i="29"/>
  <c r="BQ102" i="29"/>
  <c r="BP102" i="29"/>
  <c r="BS101" i="29"/>
  <c r="BR101" i="29"/>
  <c r="BQ101" i="29"/>
  <c r="BP101" i="29"/>
  <c r="BS100" i="29"/>
  <c r="BR100" i="29"/>
  <c r="BQ100" i="29"/>
  <c r="BP100" i="29"/>
  <c r="BP99" i="29"/>
  <c r="BQ99" i="29"/>
  <c r="BR99" i="29"/>
  <c r="BS99" i="29"/>
  <c r="F21" i="30"/>
  <c r="BC21" i="30"/>
  <c r="BP98" i="29"/>
  <c r="BQ98" i="29"/>
  <c r="BR98" i="29"/>
  <c r="BS98" i="29"/>
  <c r="BP97" i="29"/>
  <c r="BQ97" i="29"/>
  <c r="BR97" i="29"/>
  <c r="BS97" i="29"/>
  <c r="BP96" i="29"/>
  <c r="BQ96" i="29"/>
  <c r="BR96" i="29"/>
  <c r="BS96" i="29"/>
  <c r="BP95" i="29"/>
  <c r="BQ95" i="29"/>
  <c r="BR95" i="29"/>
  <c r="BS95" i="29"/>
  <c r="BP94" i="29"/>
  <c r="BQ94" i="29"/>
  <c r="BR94" i="29"/>
  <c r="BS94" i="29"/>
  <c r="BP93" i="29"/>
  <c r="BQ93" i="29"/>
  <c r="BR93" i="29"/>
  <c r="BS93" i="29"/>
  <c r="BP92" i="29"/>
  <c r="BQ92" i="29"/>
  <c r="BR92" i="29"/>
  <c r="BS92" i="29"/>
  <c r="BP91" i="29"/>
  <c r="BQ91" i="29"/>
  <c r="BR91" i="29"/>
  <c r="BS91" i="29"/>
  <c r="BS90" i="29"/>
  <c r="BR90" i="29"/>
  <c r="BQ90" i="29"/>
  <c r="BP90" i="29"/>
  <c r="BP89" i="29"/>
  <c r="BQ89" i="29"/>
  <c r="BR89" i="29"/>
  <c r="BS89" i="29"/>
  <c r="BP88" i="29"/>
  <c r="BQ88" i="29"/>
  <c r="BR88" i="29"/>
  <c r="BS88" i="29"/>
  <c r="BS87" i="29"/>
  <c r="BR87" i="29"/>
  <c r="BQ87" i="29"/>
  <c r="BP87" i="29"/>
  <c r="F20" i="30"/>
  <c r="BC20" i="30"/>
  <c r="BP86" i="29"/>
  <c r="BQ86" i="29"/>
  <c r="BR86" i="29"/>
  <c r="BS86" i="29"/>
  <c r="BP85" i="29"/>
  <c r="BQ85" i="29"/>
  <c r="BR85" i="29"/>
  <c r="BS85" i="29"/>
  <c r="BP84" i="29"/>
  <c r="BQ84" i="29"/>
  <c r="BR84" i="29"/>
  <c r="BS84" i="29"/>
  <c r="BP83" i="29"/>
  <c r="BQ83" i="29"/>
  <c r="BR83" i="29"/>
  <c r="BS83" i="29"/>
  <c r="BP82" i="29"/>
  <c r="BQ82" i="29"/>
  <c r="BR82" i="29"/>
  <c r="BS82" i="29"/>
  <c r="BS81" i="29"/>
  <c r="BR81" i="29"/>
  <c r="BQ81" i="29"/>
  <c r="BP81" i="29"/>
  <c r="BP80" i="29"/>
  <c r="BQ80" i="29"/>
  <c r="BR80" i="29"/>
  <c r="BS80" i="29"/>
  <c r="BS79" i="29"/>
  <c r="BR79" i="29"/>
  <c r="BQ79" i="29"/>
  <c r="BP79" i="29"/>
  <c r="BP78" i="29"/>
  <c r="BQ78" i="29"/>
  <c r="BR78" i="29"/>
  <c r="BS78" i="29"/>
  <c r="F19" i="30"/>
  <c r="BC19" i="30"/>
  <c r="BP77" i="29"/>
  <c r="BQ77" i="29"/>
  <c r="BR77" i="29"/>
  <c r="BS77" i="29"/>
  <c r="BP76" i="29"/>
  <c r="BQ76" i="29"/>
  <c r="BR76" i="29"/>
  <c r="BS76" i="29"/>
  <c r="BP75" i="29"/>
  <c r="BQ75" i="29"/>
  <c r="BR75" i="29"/>
  <c r="BS75" i="29"/>
  <c r="BP74" i="29"/>
  <c r="BQ74" i="29"/>
  <c r="BR74" i="29"/>
  <c r="BS74" i="29"/>
  <c r="BP73" i="29"/>
  <c r="BQ73" i="29"/>
  <c r="BR73" i="29"/>
  <c r="BS73" i="29"/>
  <c r="BP72" i="29"/>
  <c r="BQ72" i="29"/>
  <c r="BR72" i="29"/>
  <c r="BS72" i="29"/>
  <c r="BP71" i="29"/>
  <c r="BQ71" i="29"/>
  <c r="BR71" i="29"/>
  <c r="BS71" i="29"/>
  <c r="BP70" i="29"/>
  <c r="BQ70" i="29"/>
  <c r="BR70" i="29"/>
  <c r="BS70" i="29"/>
  <c r="BS69" i="29"/>
  <c r="BR69" i="29"/>
  <c r="BQ69" i="29"/>
  <c r="BP69" i="29"/>
  <c r="BP68" i="29"/>
  <c r="BQ68" i="29"/>
  <c r="BR68" i="29"/>
  <c r="BS68" i="29"/>
  <c r="BP67" i="29"/>
  <c r="BQ67" i="29"/>
  <c r="BR67" i="29"/>
  <c r="BS67" i="29"/>
  <c r="F18" i="30"/>
  <c r="BC18" i="30"/>
  <c r="BP66" i="29"/>
  <c r="BQ66" i="29"/>
  <c r="BR66" i="29"/>
  <c r="BS66" i="29"/>
  <c r="BS65" i="29"/>
  <c r="BR65" i="29"/>
  <c r="BQ65" i="29"/>
  <c r="BP65" i="29"/>
  <c r="BS64" i="29"/>
  <c r="BR64" i="29"/>
  <c r="BQ64" i="29"/>
  <c r="BP64" i="29"/>
  <c r="BS63" i="29"/>
  <c r="BR63" i="29"/>
  <c r="BQ63" i="29"/>
  <c r="BP63" i="29"/>
  <c r="BS62" i="29"/>
  <c r="BR62" i="29"/>
  <c r="BQ62" i="29"/>
  <c r="BP62" i="29"/>
  <c r="BP61" i="29"/>
  <c r="BQ61" i="29"/>
  <c r="BR61" i="29"/>
  <c r="BS61" i="29"/>
  <c r="BP60" i="29"/>
  <c r="BQ60" i="29"/>
  <c r="BR60" i="29"/>
  <c r="BS60" i="29"/>
  <c r="BP59" i="29"/>
  <c r="BQ59" i="29"/>
  <c r="BR59" i="29"/>
  <c r="BS59" i="29"/>
  <c r="BP58" i="29"/>
  <c r="BQ58" i="29"/>
  <c r="BR58" i="29"/>
  <c r="BS58" i="29"/>
  <c r="BP57" i="29"/>
  <c r="BQ57" i="29"/>
  <c r="BR57" i="29"/>
  <c r="BS57" i="29"/>
  <c r="BS56" i="29"/>
  <c r="BR56" i="29"/>
  <c r="BQ56" i="29"/>
  <c r="BP56" i="29"/>
  <c r="BP55" i="29"/>
  <c r="BQ55" i="29"/>
  <c r="BR55" i="29"/>
  <c r="BS55" i="29"/>
  <c r="BP54" i="29"/>
  <c r="BQ54" i="29"/>
  <c r="BR54" i="29"/>
  <c r="BS54" i="29"/>
  <c r="BP53" i="29"/>
  <c r="BQ53" i="29"/>
  <c r="BR53" i="29"/>
  <c r="BS53" i="29"/>
  <c r="BP52" i="29"/>
  <c r="BQ52" i="29"/>
  <c r="BR52" i="29"/>
  <c r="BS52" i="29"/>
  <c r="BP51" i="29"/>
  <c r="BQ51" i="29"/>
  <c r="BR51" i="29"/>
  <c r="BS51" i="29"/>
  <c r="BP50" i="29"/>
  <c r="BQ50" i="29"/>
  <c r="BR50" i="29"/>
  <c r="BS50" i="29"/>
  <c r="F17" i="30"/>
  <c r="BC17" i="30"/>
  <c r="BP49" i="29"/>
  <c r="BQ49" i="29"/>
  <c r="BR49" i="29"/>
  <c r="BS49" i="29"/>
  <c r="BP48" i="29"/>
  <c r="BQ48" i="29"/>
  <c r="BR48" i="29"/>
  <c r="BS48" i="29"/>
  <c r="BP47" i="29"/>
  <c r="BQ47" i="29"/>
  <c r="BR47" i="29"/>
  <c r="BS47" i="29"/>
  <c r="BS46" i="29"/>
  <c r="BR46" i="29"/>
  <c r="BQ46" i="29"/>
  <c r="BP46" i="29"/>
  <c r="BP45" i="29"/>
  <c r="BQ45" i="29"/>
  <c r="BR45" i="29"/>
  <c r="BS45" i="29"/>
  <c r="BP44" i="29"/>
  <c r="BQ44" i="29"/>
  <c r="BR44" i="29"/>
  <c r="BS44" i="29"/>
  <c r="BP43" i="29"/>
  <c r="BQ43" i="29"/>
  <c r="BR43" i="29"/>
  <c r="BS43" i="29"/>
  <c r="BP42" i="29"/>
  <c r="BQ42" i="29"/>
  <c r="BR42" i="29"/>
  <c r="BS42" i="29"/>
  <c r="BP41" i="29"/>
  <c r="BQ41" i="29"/>
  <c r="BR41" i="29"/>
  <c r="BS41" i="29"/>
  <c r="BS40" i="29"/>
  <c r="BR40" i="29"/>
  <c r="BQ40" i="29"/>
  <c r="BP40" i="29"/>
  <c r="BP39" i="29"/>
  <c r="BQ39" i="29"/>
  <c r="BR39" i="29"/>
  <c r="BS39" i="29"/>
  <c r="BP38" i="29"/>
  <c r="BQ38" i="29"/>
  <c r="BR38" i="29"/>
  <c r="BS38" i="29"/>
  <c r="BS37" i="29"/>
  <c r="BR37" i="29"/>
  <c r="BQ37" i="29"/>
  <c r="BP37" i="29"/>
  <c r="BP36" i="29"/>
  <c r="BQ36" i="29"/>
  <c r="BR36" i="29"/>
  <c r="BS36" i="29"/>
  <c r="F16" i="30"/>
  <c r="BC16" i="30"/>
  <c r="BS35" i="29"/>
  <c r="BR35" i="29"/>
  <c r="BQ35" i="29"/>
  <c r="BP35" i="29"/>
  <c r="BP34" i="29"/>
  <c r="BQ34" i="29"/>
  <c r="BR34" i="29"/>
  <c r="BS34" i="29"/>
  <c r="BP33" i="29"/>
  <c r="BQ33" i="29"/>
  <c r="BR33" i="29"/>
  <c r="BS33" i="29"/>
  <c r="BP32" i="29"/>
  <c r="BQ32" i="29"/>
  <c r="BR32" i="29"/>
  <c r="BS32" i="29"/>
  <c r="BP31" i="29"/>
  <c r="BQ31" i="29"/>
  <c r="BR31" i="29"/>
  <c r="BS31" i="29"/>
  <c r="BP30" i="29"/>
  <c r="BQ30" i="29"/>
  <c r="BR30" i="29"/>
  <c r="BS30" i="29"/>
  <c r="BP29" i="29"/>
  <c r="BQ29" i="29"/>
  <c r="BR29" i="29"/>
  <c r="BS29" i="29"/>
  <c r="BP28" i="29"/>
  <c r="BQ28" i="29"/>
  <c r="BR28" i="29"/>
  <c r="BS28" i="29"/>
  <c r="BS27" i="29"/>
  <c r="BR27" i="29"/>
  <c r="BQ27" i="29"/>
  <c r="BP27" i="29"/>
  <c r="BP26" i="29"/>
  <c r="BQ26" i="29"/>
  <c r="BR26" i="29"/>
  <c r="BS26" i="29"/>
  <c r="BP25" i="29"/>
  <c r="BQ25" i="29"/>
  <c r="BR25" i="29"/>
  <c r="BS25" i="29"/>
  <c r="BP24" i="29"/>
  <c r="BQ24" i="29"/>
  <c r="BR24" i="29"/>
  <c r="BS24" i="29"/>
  <c r="BP23" i="29"/>
  <c r="BQ23" i="29"/>
  <c r="BR23" i="29"/>
  <c r="BS23" i="29"/>
  <c r="BP22" i="29"/>
  <c r="BQ22" i="29"/>
  <c r="BR22" i="29"/>
  <c r="BS22" i="29"/>
  <c r="BP21" i="29"/>
  <c r="BQ21" i="29"/>
  <c r="BR21" i="29"/>
  <c r="BS21" i="29"/>
  <c r="BP20" i="29"/>
  <c r="BQ20" i="29"/>
  <c r="BR20" i="29"/>
  <c r="BS20" i="29"/>
  <c r="BP19" i="29"/>
  <c r="BQ19" i="29"/>
  <c r="BR19" i="29"/>
  <c r="BS19" i="29"/>
  <c r="BP18" i="29"/>
  <c r="BQ18" i="29"/>
  <c r="BR18" i="29"/>
  <c r="BS18" i="29"/>
  <c r="BS17" i="29"/>
  <c r="BR17" i="29"/>
  <c r="BQ17" i="29"/>
  <c r="BP17" i="29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BQ15" i="29"/>
  <c r="BQ2" i="29"/>
  <c r="BQ3" i="29"/>
  <c r="BQ4" i="29"/>
  <c r="BQ5" i="29"/>
  <c r="BQ6" i="29"/>
  <c r="BQ7" i="29"/>
  <c r="BQ8" i="29"/>
  <c r="BQ9" i="29"/>
  <c r="BQ10" i="29"/>
  <c r="BQ13" i="29"/>
  <c r="BQ14" i="29"/>
  <c r="BQ16" i="29"/>
  <c r="BP16" i="29"/>
  <c r="BR16" i="29"/>
  <c r="BS16" i="29"/>
  <c r="K15" i="29"/>
  <c r="BS15" i="29"/>
  <c r="BR15" i="29"/>
  <c r="BP15" i="29"/>
  <c r="J46" i="2"/>
  <c r="BI11" i="29"/>
  <c r="J41" i="13"/>
  <c r="J41" i="2"/>
  <c r="J31" i="13"/>
  <c r="J30" i="13"/>
  <c r="J29" i="13"/>
  <c r="J28" i="13"/>
  <c r="J27" i="13"/>
  <c r="J33" i="13"/>
  <c r="J31" i="2"/>
  <c r="J30" i="2"/>
  <c r="J29" i="2"/>
  <c r="J28" i="2"/>
  <c r="J27" i="2"/>
  <c r="AY11" i="29"/>
  <c r="AX11" i="29"/>
  <c r="AW11" i="29"/>
  <c r="AV11" i="29"/>
  <c r="AU11" i="29"/>
  <c r="BK11" i="29"/>
  <c r="BL11" i="29"/>
  <c r="BB2" i="30"/>
  <c r="BB3" i="30"/>
  <c r="BB4" i="30"/>
  <c r="BB5" i="30"/>
  <c r="BB6" i="30"/>
  <c r="BB7" i="30"/>
  <c r="BB8" i="30"/>
  <c r="BB9" i="30"/>
  <c r="BB10" i="30"/>
  <c r="BB11" i="30"/>
  <c r="BB12" i="30"/>
  <c r="BB13" i="30"/>
  <c r="BB14" i="30"/>
  <c r="AD11" i="29"/>
  <c r="J10" i="13"/>
  <c r="J10" i="2"/>
  <c r="AK11" i="29"/>
  <c r="BJ11" i="29"/>
  <c r="BU7" i="29"/>
  <c r="BU13" i="29"/>
  <c r="BR2" i="29"/>
  <c r="BR3" i="29"/>
  <c r="BR4" i="29"/>
  <c r="BR5" i="29"/>
  <c r="BR6" i="29"/>
  <c r="BR7" i="29"/>
  <c r="BR8" i="29"/>
  <c r="BR9" i="29"/>
  <c r="BR10" i="29"/>
  <c r="BR13" i="29"/>
  <c r="BR14" i="29"/>
  <c r="BS2" i="29"/>
  <c r="BS3" i="29"/>
  <c r="BS4" i="29"/>
  <c r="BS5" i="29"/>
  <c r="BS6" i="29"/>
  <c r="BS7" i="29"/>
  <c r="BS8" i="29"/>
  <c r="BS9" i="29"/>
  <c r="BS10" i="29"/>
  <c r="BS13" i="29"/>
  <c r="BS14" i="29"/>
  <c r="AT11" i="29"/>
  <c r="BA11" i="29"/>
  <c r="BB11" i="29"/>
  <c r="BC11" i="29"/>
  <c r="BD11" i="29"/>
  <c r="BE11" i="29"/>
  <c r="BF11" i="29"/>
  <c r="BG11" i="29"/>
  <c r="BH11" i="29"/>
  <c r="X11" i="29"/>
  <c r="Y11" i="29"/>
  <c r="Z11" i="29"/>
  <c r="AA11" i="29"/>
  <c r="AB11" i="29"/>
  <c r="AC11" i="29"/>
  <c r="AF11" i="29"/>
  <c r="AG11" i="29"/>
  <c r="AH11" i="29"/>
  <c r="AI11" i="29"/>
  <c r="AJ11" i="29"/>
  <c r="AM11" i="29"/>
  <c r="AN11" i="29"/>
  <c r="AO11" i="29"/>
  <c r="AP11" i="29"/>
  <c r="AQ11" i="29"/>
  <c r="AR11" i="29"/>
  <c r="AS11" i="29"/>
  <c r="T6" i="29"/>
  <c r="T5" i="29"/>
  <c r="T3" i="29"/>
  <c r="W3" i="29"/>
  <c r="W4" i="29"/>
  <c r="G2" i="31"/>
  <c r="BC2" i="30"/>
  <c r="BC3" i="30"/>
  <c r="BC4" i="30"/>
  <c r="BC5" i="30"/>
  <c r="BC6" i="30"/>
  <c r="BC7" i="30"/>
  <c r="BC8" i="30"/>
  <c r="BC9" i="30"/>
  <c r="BC10" i="30"/>
  <c r="BC11" i="30"/>
  <c r="BC12" i="30"/>
  <c r="BC13" i="30"/>
  <c r="BC14" i="30"/>
  <c r="BC15" i="30"/>
  <c r="BP2" i="29"/>
  <c r="BP3" i="29"/>
  <c r="BP4" i="29"/>
  <c r="BP5" i="29"/>
  <c r="BP6" i="29"/>
  <c r="BP7" i="29"/>
  <c r="BP8" i="29"/>
  <c r="BP9" i="29"/>
  <c r="BP10" i="29"/>
  <c r="BP13" i="29"/>
  <c r="BP14" i="29"/>
  <c r="I2" i="30"/>
  <c r="E2" i="30"/>
  <c r="D2" i="30"/>
  <c r="G2" i="30" s="1"/>
  <c r="E15" i="30"/>
  <c r="F15" i="30" s="1"/>
  <c r="C2" i="29"/>
  <c r="F2" i="29" s="1"/>
  <c r="B2" i="31"/>
  <c r="F2" i="31" s="1"/>
  <c r="J2" i="29"/>
  <c r="X2" i="2"/>
  <c r="J1" i="2"/>
  <c r="J4" i="2"/>
  <c r="J2" i="2"/>
  <c r="K11" i="2" s="1"/>
  <c r="J1" i="13"/>
  <c r="J2" i="13"/>
  <c r="J5" i="13"/>
  <c r="J6" i="13"/>
  <c r="J7" i="13"/>
  <c r="J8" i="13"/>
  <c r="J9" i="13"/>
  <c r="J12" i="13"/>
  <c r="J13" i="13"/>
  <c r="J14" i="13"/>
  <c r="J15" i="13"/>
  <c r="J16" i="13"/>
  <c r="J19" i="13"/>
  <c r="J20" i="13"/>
  <c r="J21" i="13"/>
  <c r="J22" i="13"/>
  <c r="J23" i="13"/>
  <c r="J24" i="13"/>
  <c r="J25" i="13"/>
  <c r="J26" i="13"/>
  <c r="J34" i="13"/>
  <c r="J4" i="13"/>
  <c r="J35" i="13"/>
  <c r="J36" i="13"/>
  <c r="J26" i="2"/>
  <c r="J5" i="2"/>
  <c r="J6" i="2"/>
  <c r="J35" i="2"/>
  <c r="J7" i="2"/>
  <c r="J8" i="2"/>
  <c r="J9" i="2"/>
  <c r="J12" i="2"/>
  <c r="J13" i="2"/>
  <c r="J14" i="2"/>
  <c r="J15" i="2"/>
  <c r="J16" i="2"/>
  <c r="J19" i="2"/>
  <c r="J20" i="2"/>
  <c r="J21" i="2"/>
  <c r="J22" i="2"/>
  <c r="J23" i="2"/>
  <c r="J24" i="2"/>
  <c r="J25" i="2"/>
  <c r="K25" i="2" s="1"/>
  <c r="J33" i="2"/>
  <c r="J34" i="2"/>
  <c r="J36" i="2"/>
  <c r="AY2" i="31" l="1"/>
  <c r="AP47" i="2"/>
  <c r="AY11" i="13"/>
  <c r="AV30" i="13"/>
  <c r="AY30" i="13"/>
  <c r="AW30" i="13"/>
  <c r="AN11" i="13"/>
  <c r="AT11" i="13"/>
  <c r="AR11" i="13"/>
  <c r="AO11" i="13"/>
  <c r="AU11" i="13"/>
  <c r="AQ11" i="13"/>
  <c r="AP11" i="13"/>
  <c r="AV11" i="13"/>
  <c r="AW11" i="13"/>
  <c r="AX11" i="13"/>
  <c r="AS11" i="13"/>
  <c r="AY11" i="2"/>
  <c r="AX11" i="2"/>
  <c r="AW11" i="2"/>
  <c r="AV11" i="2"/>
  <c r="AU11" i="2"/>
  <c r="AT11" i="2"/>
  <c r="AS11" i="2"/>
  <c r="AR11" i="2"/>
  <c r="AQ11" i="2"/>
  <c r="AP11" i="2"/>
  <c r="AO11" i="2"/>
  <c r="AN11" i="2"/>
  <c r="AE12" i="29"/>
  <c r="AO30" i="13"/>
  <c r="AN30" i="13"/>
  <c r="AR30" i="13"/>
  <c r="AS30" i="13"/>
  <c r="AT30" i="13"/>
  <c r="AP30" i="13"/>
  <c r="AX30" i="13"/>
  <c r="AQ30" i="13"/>
  <c r="AN33" i="13"/>
  <c r="K18" i="2"/>
  <c r="AX33" i="13"/>
  <c r="AP33" i="13"/>
  <c r="AU46" i="13"/>
  <c r="AS46" i="13"/>
  <c r="AV18" i="2"/>
  <c r="AZ47" i="2"/>
  <c r="BB47" i="2" s="1"/>
  <c r="AU18" i="2"/>
  <c r="AT18" i="2"/>
  <c r="AN18" i="2"/>
  <c r="AZ47" i="13"/>
  <c r="BB47" i="13" s="1"/>
  <c r="AR46" i="13"/>
  <c r="AT46" i="13"/>
  <c r="AY18" i="13"/>
  <c r="AN46" i="13"/>
  <c r="AV46" i="13"/>
  <c r="AO46" i="13"/>
  <c r="AW46" i="13"/>
  <c r="AP46" i="13"/>
  <c r="AX46" i="13"/>
  <c r="AR18" i="13"/>
  <c r="AQ46" i="13"/>
  <c r="AY46" i="13"/>
  <c r="AS18" i="13"/>
  <c r="AT18" i="13"/>
  <c r="AU18" i="13"/>
  <c r="AN18" i="13"/>
  <c r="AV18" i="13"/>
  <c r="AO18" i="13"/>
  <c r="AW18" i="13"/>
  <c r="AP18" i="13"/>
  <c r="AX18" i="13"/>
  <c r="AQ18" i="13"/>
  <c r="AO18" i="2"/>
  <c r="AW18" i="2"/>
  <c r="AP18" i="2"/>
  <c r="AX18" i="2"/>
  <c r="AQ18" i="2"/>
  <c r="AY18" i="2"/>
  <c r="AR18" i="2"/>
  <c r="AS18" i="2"/>
  <c r="K36" i="2"/>
  <c r="K7" i="2"/>
  <c r="AL12" i="29"/>
  <c r="K8" i="2"/>
  <c r="K15" i="2"/>
  <c r="K23" i="2"/>
  <c r="K22" i="2"/>
  <c r="AR46" i="2"/>
  <c r="AS19" i="13"/>
  <c r="AV46" i="2"/>
  <c r="AN30" i="2"/>
  <c r="AR24" i="2"/>
  <c r="AU28" i="13"/>
  <c r="AU24" i="2"/>
  <c r="AO24" i="2"/>
  <c r="K31" i="2"/>
  <c r="AP12" i="2"/>
  <c r="AV34" i="13"/>
  <c r="AW28" i="13"/>
  <c r="AR28" i="13"/>
  <c r="AN40" i="13"/>
  <c r="K24" i="2"/>
  <c r="AX28" i="2"/>
  <c r="AR40" i="13"/>
  <c r="AU13" i="13"/>
  <c r="AP28" i="13"/>
  <c r="AO15" i="13"/>
  <c r="AW31" i="13"/>
  <c r="AN36" i="13"/>
  <c r="AY39" i="13"/>
  <c r="AW33" i="13"/>
  <c r="AR6" i="13"/>
  <c r="AP5" i="13"/>
  <c r="AN7" i="13"/>
  <c r="K9" i="2"/>
  <c r="AQ22" i="13"/>
  <c r="AT14" i="13"/>
  <c r="AU26" i="13"/>
  <c r="AX40" i="13"/>
  <c r="AO35" i="13"/>
  <c r="AO12" i="13"/>
  <c r="AP35" i="13"/>
  <c r="AS33" i="13"/>
  <c r="AZ41" i="13"/>
  <c r="BB41" i="13" s="1"/>
  <c r="AS40" i="13"/>
  <c r="AN29" i="13"/>
  <c r="AT40" i="13"/>
  <c r="AY24" i="2"/>
  <c r="AS24" i="2"/>
  <c r="AQ33" i="13"/>
  <c r="AO33" i="13"/>
  <c r="AY21" i="13"/>
  <c r="K6" i="2"/>
  <c r="AW36" i="13"/>
  <c r="K28" i="2"/>
  <c r="AQ10" i="2"/>
  <c r="AV12" i="13"/>
  <c r="AO6" i="13"/>
  <c r="AQ16" i="13"/>
  <c r="AN31" i="13"/>
  <c r="AT12" i="13"/>
  <c r="K10" i="2"/>
  <c r="AT33" i="13"/>
  <c r="AW15" i="13"/>
  <c r="K30" i="2"/>
  <c r="AU33" i="13"/>
  <c r="AR33" i="13"/>
  <c r="K19" i="2"/>
  <c r="AO9" i="2"/>
  <c r="AV5" i="13"/>
  <c r="AR14" i="13"/>
  <c r="AY6" i="13"/>
  <c r="AS20" i="13"/>
  <c r="AU20" i="13"/>
  <c r="AP34" i="13"/>
  <c r="AW10" i="13"/>
  <c r="AX22" i="13"/>
  <c r="AW20" i="13"/>
  <c r="AT26" i="13"/>
  <c r="AT6" i="13"/>
  <c r="AO4" i="13"/>
  <c r="AX34" i="13"/>
  <c r="AP13" i="13"/>
  <c r="AY28" i="13"/>
  <c r="AS26" i="13"/>
  <c r="AV15" i="13"/>
  <c r="AO28" i="13"/>
  <c r="AO38" i="13"/>
  <c r="AS38" i="13"/>
  <c r="AU4" i="13"/>
  <c r="AW14" i="13"/>
  <c r="AR34" i="13"/>
  <c r="AP29" i="13"/>
  <c r="AQ20" i="13"/>
  <c r="AR20" i="13"/>
  <c r="AY15" i="13"/>
  <c r="AX24" i="13"/>
  <c r="AS25" i="13"/>
  <c r="AV19" i="13"/>
  <c r="AS31" i="13"/>
  <c r="AT5" i="13"/>
  <c r="AQ31" i="13"/>
  <c r="E9" i="30"/>
  <c r="AT1" i="13" s="1"/>
  <c r="AT1" i="2" s="1"/>
  <c r="AQ25" i="13"/>
  <c r="AQ10" i="13"/>
  <c r="AO42" i="13"/>
  <c r="AV21" i="13"/>
  <c r="AX21" i="13"/>
  <c r="AN21" i="13"/>
  <c r="AR21" i="13"/>
  <c r="AX39" i="13"/>
  <c r="AQ7" i="13"/>
  <c r="AO31" i="13"/>
  <c r="AN39" i="13"/>
  <c r="AW39" i="13"/>
  <c r="AT21" i="13"/>
  <c r="AW21" i="13"/>
  <c r="AP21" i="13"/>
  <c r="AS7" i="13"/>
  <c r="AR39" i="13"/>
  <c r="AP39" i="13"/>
  <c r="AP31" i="13"/>
  <c r="AW7" i="13"/>
  <c r="AU7" i="13"/>
  <c r="AX42" i="13"/>
  <c r="AV7" i="13"/>
  <c r="AO21" i="13"/>
  <c r="AT39" i="13"/>
  <c r="AT31" i="13"/>
  <c r="AV31" i="13"/>
  <c r="AW42" i="13"/>
  <c r="AS21" i="13"/>
  <c r="AQ21" i="13"/>
  <c r="AV27" i="13"/>
  <c r="AV22" i="13"/>
  <c r="AX7" i="13"/>
  <c r="AX31" i="13"/>
  <c r="AX17" i="13"/>
  <c r="AY16" i="13"/>
  <c r="AW13" i="13"/>
  <c r="AT29" i="13"/>
  <c r="AP9" i="13"/>
  <c r="AQ6" i="13"/>
  <c r="AW35" i="13"/>
  <c r="AX29" i="13"/>
  <c r="AV26" i="13"/>
  <c r="AP22" i="13"/>
  <c r="AY31" i="13"/>
  <c r="AP17" i="13"/>
  <c r="AW17" i="13"/>
  <c r="AS22" i="13"/>
  <c r="AP7" i="13"/>
  <c r="AV39" i="13"/>
  <c r="AT8" i="13"/>
  <c r="AO7" i="13"/>
  <c r="AP42" i="13"/>
  <c r="AO44" i="13"/>
  <c r="AN28" i="13"/>
  <c r="AT28" i="13"/>
  <c r="AX27" i="13"/>
  <c r="AN14" i="13"/>
  <c r="AP6" i="13"/>
  <c r="AX19" i="13"/>
  <c r="AY22" i="13"/>
  <c r="AS17" i="13"/>
  <c r="AQ5" i="13"/>
  <c r="AS29" i="13"/>
  <c r="AP27" i="13"/>
  <c r="E3" i="30"/>
  <c r="AN1" i="13" s="1"/>
  <c r="AN1" i="2" s="1"/>
  <c r="AW8" i="13"/>
  <c r="AV36" i="13"/>
  <c r="AN34" i="13"/>
  <c r="AU16" i="13"/>
  <c r="AO39" i="13"/>
  <c r="AR31" i="13"/>
  <c r="AT38" i="13"/>
  <c r="AT16" i="13"/>
  <c r="E6" i="30"/>
  <c r="AQ1" i="13" s="1"/>
  <c r="AQ1" i="2" s="1"/>
  <c r="AR15" i="13"/>
  <c r="AY7" i="13"/>
  <c r="E14" i="30"/>
  <c r="AY1" i="13" s="1"/>
  <c r="AY1" i="2" s="1"/>
  <c r="AQ14" i="13"/>
  <c r="AS39" i="13"/>
  <c r="AS43" i="13"/>
  <c r="AQ38" i="13"/>
  <c r="AW4" i="13"/>
  <c r="AV37" i="13"/>
  <c r="AS45" i="13"/>
  <c r="AS24" i="13"/>
  <c r="E11" i="30"/>
  <c r="AV1" i="13" s="1"/>
  <c r="AV1" i="2" s="1"/>
  <c r="AS16" i="13"/>
  <c r="AY35" i="13"/>
  <c r="AR36" i="13"/>
  <c r="AX38" i="13"/>
  <c r="AV4" i="13"/>
  <c r="E8" i="30"/>
  <c r="AS1" i="13" s="1"/>
  <c r="AS1" i="2" s="1"/>
  <c r="AY14" i="13"/>
  <c r="AU15" i="13"/>
  <c r="AY19" i="13"/>
  <c r="AT34" i="13"/>
  <c r="AS5" i="13"/>
  <c r="AS34" i="13"/>
  <c r="AV20" i="13"/>
  <c r="AV29" i="13"/>
  <c r="AU37" i="13"/>
  <c r="AU36" i="13"/>
  <c r="AV13" i="13"/>
  <c r="AN5" i="13"/>
  <c r="AR17" i="13"/>
  <c r="AO27" i="13"/>
  <c r="E7" i="30"/>
  <c r="AR1" i="13" s="1"/>
  <c r="AR1" i="2" s="1"/>
  <c r="AU29" i="13"/>
  <c r="AX25" i="13"/>
  <c r="AO17" i="13"/>
  <c r="AQ8" i="13"/>
  <c r="AU6" i="13"/>
  <c r="AX15" i="13"/>
  <c r="AX5" i="13"/>
  <c r="AX20" i="13"/>
  <c r="AU38" i="13"/>
  <c r="AR27" i="13"/>
  <c r="AU5" i="13"/>
  <c r="AS12" i="13"/>
  <c r="AN19" i="13"/>
  <c r="AY17" i="13"/>
  <c r="AR9" i="13"/>
  <c r="AN37" i="13"/>
  <c r="AS37" i="13"/>
  <c r="AN12" i="13"/>
  <c r="AY38" i="13"/>
  <c r="AN8" i="13"/>
  <c r="AO26" i="13"/>
  <c r="AO19" i="13"/>
  <c r="AU34" i="13"/>
  <c r="AW29" i="13"/>
  <c r="AN23" i="13"/>
  <c r="AS23" i="13"/>
  <c r="AV23" i="13"/>
  <c r="AV16" i="13"/>
  <c r="AR26" i="13"/>
  <c r="AV10" i="13"/>
  <c r="AV6" i="13"/>
  <c r="E5" i="30"/>
  <c r="AP1" i="13" s="1"/>
  <c r="AP1" i="2" s="1"/>
  <c r="AW27" i="13"/>
  <c r="AV17" i="13"/>
  <c r="AO14" i="13"/>
  <c r="AS4" i="13"/>
  <c r="AR8" i="13"/>
  <c r="AY27" i="13"/>
  <c r="AP26" i="13"/>
  <c r="AY23" i="13"/>
  <c r="AX4" i="13"/>
  <c r="AP14" i="13"/>
  <c r="AS27" i="13"/>
  <c r="AQ34" i="13"/>
  <c r="AY29" i="13"/>
  <c r="AQ27" i="13"/>
  <c r="AT15" i="13"/>
  <c r="AR5" i="13"/>
  <c r="AV14" i="13"/>
  <c r="AO8" i="13"/>
  <c r="AP16" i="13"/>
  <c r="AO22" i="13"/>
  <c r="AW16" i="13"/>
  <c r="AU14" i="13"/>
  <c r="AS15" i="13"/>
  <c r="AQ23" i="13"/>
  <c r="AP23" i="13"/>
  <c r="AY24" i="13"/>
  <c r="E12" i="30"/>
  <c r="AW1" i="13" s="1"/>
  <c r="AW1" i="2" s="1"/>
  <c r="AU9" i="13"/>
  <c r="AR25" i="13"/>
  <c r="AY12" i="13"/>
  <c r="AY20" i="13"/>
  <c r="AO20" i="13"/>
  <c r="AN16" i="13"/>
  <c r="AN27" i="13"/>
  <c r="AT22" i="13"/>
  <c r="AX6" i="13"/>
  <c r="AO34" i="13"/>
  <c r="AN20" i="13"/>
  <c r="AV8" i="13"/>
  <c r="AS13" i="13"/>
  <c r="AT7" i="13"/>
  <c r="AY8" i="13"/>
  <c r="AT27" i="13"/>
  <c r="AN35" i="13"/>
  <c r="AR13" i="13"/>
  <c r="AU31" i="13"/>
  <c r="AO5" i="13"/>
  <c r="AR24" i="13"/>
  <c r="AY4" i="13"/>
  <c r="AU21" i="13"/>
  <c r="AW44" i="13"/>
  <c r="AQ28" i="13"/>
  <c r="AP40" i="13"/>
  <c r="AO40" i="13"/>
  <c r="AW40" i="13"/>
  <c r="AV28" i="13"/>
  <c r="AX28" i="13"/>
  <c r="AU40" i="13"/>
  <c r="AV24" i="2"/>
  <c r="AY40" i="13"/>
  <c r="K34" i="2"/>
  <c r="K21" i="2"/>
  <c r="K13" i="2"/>
  <c r="K35" i="2"/>
  <c r="K4" i="2"/>
  <c r="AQ40" i="13"/>
  <c r="AS28" i="13"/>
  <c r="AV33" i="13"/>
  <c r="AX24" i="2"/>
  <c r="K27" i="2"/>
  <c r="AY33" i="13"/>
  <c r="K26" i="2"/>
  <c r="AR45" i="13"/>
  <c r="AG12" i="29"/>
  <c r="AX17" i="2"/>
  <c r="AV41" i="2"/>
  <c r="AV9" i="2"/>
  <c r="AI12" i="29"/>
  <c r="AT43" i="13"/>
  <c r="AP44" i="13"/>
  <c r="AX44" i="13"/>
  <c r="AT45" i="13"/>
  <c r="AV17" i="2"/>
  <c r="AA12" i="29"/>
  <c r="AV12" i="29"/>
  <c r="AO16" i="13"/>
  <c r="AT17" i="13"/>
  <c r="AV40" i="13"/>
  <c r="AN17" i="13"/>
  <c r="AQ4" i="13"/>
  <c r="AY25" i="13"/>
  <c r="AQ39" i="13"/>
  <c r="AR7" i="13"/>
  <c r="AY10" i="13"/>
  <c r="AU39" i="13"/>
  <c r="K14" i="2"/>
  <c r="AQ42" i="13"/>
  <c r="AY42" i="13"/>
  <c r="AU43" i="13"/>
  <c r="AQ44" i="13"/>
  <c r="AY44" i="13"/>
  <c r="AU45" i="13"/>
  <c r="AR42" i="13"/>
  <c r="AN43" i="13"/>
  <c r="AV43" i="13"/>
  <c r="AR44" i="13"/>
  <c r="AN45" i="13"/>
  <c r="AV45" i="13"/>
  <c r="AT41" i="2"/>
  <c r="AR23" i="2"/>
  <c r="AT30" i="2"/>
  <c r="AT12" i="29"/>
  <c r="D6" i="29"/>
  <c r="AQ2" i="2" s="1"/>
  <c r="AQ2" i="13" s="1"/>
  <c r="AS42" i="13"/>
  <c r="AO43" i="13"/>
  <c r="AW43" i="13"/>
  <c r="AS44" i="13"/>
  <c r="AO45" i="13"/>
  <c r="AW45" i="13"/>
  <c r="AW35" i="2"/>
  <c r="AO12" i="29"/>
  <c r="BJ12" i="29"/>
  <c r="AX12" i="29"/>
  <c r="AT42" i="13"/>
  <c r="AP43" i="13"/>
  <c r="AX43" i="13"/>
  <c r="AT44" i="13"/>
  <c r="AP45" i="13"/>
  <c r="AX45" i="13"/>
  <c r="AW38" i="2"/>
  <c r="AV13" i="2"/>
  <c r="AW38" i="13"/>
  <c r="W2" i="29"/>
  <c r="BF12" i="29"/>
  <c r="AU42" i="13"/>
  <c r="AQ43" i="13"/>
  <c r="AY43" i="13"/>
  <c r="AU44" i="13"/>
  <c r="AQ45" i="13"/>
  <c r="AY45" i="13"/>
  <c r="AV12" i="2"/>
  <c r="AN42" i="13"/>
  <c r="AV42" i="13"/>
  <c r="AR43" i="13"/>
  <c r="AN44" i="13"/>
  <c r="AV44" i="13"/>
  <c r="AY10" i="2"/>
  <c r="AY33" i="2"/>
  <c r="AY8" i="2"/>
  <c r="AP22" i="2"/>
  <c r="AR12" i="2"/>
  <c r="AU6" i="2"/>
  <c r="AW19" i="2"/>
  <c r="AV35" i="2"/>
  <c r="AO17" i="2"/>
  <c r="AU38" i="2"/>
  <c r="AP33" i="2"/>
  <c r="AY38" i="2"/>
  <c r="AU17" i="2"/>
  <c r="AV14" i="2"/>
  <c r="AN45" i="2"/>
  <c r="AX37" i="2"/>
  <c r="AX40" i="2"/>
  <c r="AX23" i="2"/>
  <c r="AY29" i="2"/>
  <c r="D13" i="29"/>
  <c r="AX2" i="2" s="1"/>
  <c r="AX2" i="13" s="1"/>
  <c r="AQ20" i="2"/>
  <c r="AU14" i="2"/>
  <c r="AP20" i="2"/>
  <c r="AX22" i="2"/>
  <c r="AR16" i="2"/>
  <c r="AO13" i="2"/>
  <c r="AO21" i="2"/>
  <c r="AX44" i="2"/>
  <c r="AV29" i="2"/>
  <c r="AT7" i="2"/>
  <c r="AS29" i="2"/>
  <c r="AR22" i="2"/>
  <c r="AO22" i="2"/>
  <c r="AV27" i="2"/>
  <c r="AY39" i="2"/>
  <c r="AR20" i="2"/>
  <c r="AQ26" i="2"/>
  <c r="AP8" i="2"/>
  <c r="AY12" i="2"/>
  <c r="AU7" i="2"/>
  <c r="AU9" i="2"/>
  <c r="AW34" i="2"/>
  <c r="AY31" i="2"/>
  <c r="AS4" i="2"/>
  <c r="AO25" i="2"/>
  <c r="AR21" i="2"/>
  <c r="AS30" i="2"/>
  <c r="AN12" i="29"/>
  <c r="AQ9" i="2"/>
  <c r="AU23" i="2"/>
  <c r="D4" i="29"/>
  <c r="AO2" i="2" s="1"/>
  <c r="AO2" i="13" s="1"/>
  <c r="AQ29" i="2"/>
  <c r="AV30" i="2"/>
  <c r="AQ7" i="2"/>
  <c r="AW27" i="2"/>
  <c r="AR7" i="2"/>
  <c r="AQ13" i="2"/>
  <c r="AU4" i="2"/>
  <c r="AT28" i="2"/>
  <c r="AW30" i="2"/>
  <c r="AR29" i="2"/>
  <c r="AS9" i="2"/>
  <c r="AQ40" i="2"/>
  <c r="BH12" i="29"/>
  <c r="AR30" i="2"/>
  <c r="D12" i="29"/>
  <c r="AW2" i="2" s="1"/>
  <c r="AW2" i="13" s="1"/>
  <c r="AS25" i="2"/>
  <c r="AS27" i="2"/>
  <c r="AT17" i="2"/>
  <c r="AY13" i="2"/>
  <c r="AW9" i="2"/>
  <c r="AW31" i="2"/>
  <c r="AT15" i="2"/>
  <c r="AS23" i="2"/>
  <c r="AX30" i="2"/>
  <c r="AO12" i="2"/>
  <c r="AP9" i="2"/>
  <c r="AV25" i="2"/>
  <c r="AN9" i="2"/>
  <c r="AT29" i="2"/>
  <c r="AN12" i="2"/>
  <c r="AU15" i="2"/>
  <c r="AS7" i="2"/>
  <c r="AO27" i="2"/>
  <c r="AP29" i="2"/>
  <c r="AQ21" i="2"/>
  <c r="AQ30" i="2"/>
  <c r="AX9" i="2"/>
  <c r="AX25" i="2"/>
  <c r="AS40" i="2"/>
  <c r="AX27" i="2"/>
  <c r="AS19" i="2"/>
  <c r="AV23" i="2"/>
  <c r="AT34" i="2"/>
  <c r="AV40" i="2"/>
  <c r="AQ6" i="2"/>
  <c r="AX20" i="2"/>
  <c r="AR13" i="2"/>
  <c r="AV31" i="2"/>
  <c r="AV16" i="2"/>
  <c r="AO30" i="2"/>
  <c r="AU30" i="2"/>
  <c r="AU31" i="2"/>
  <c r="AM12" i="29"/>
  <c r="BK12" i="29"/>
  <c r="AY45" i="2"/>
  <c r="AR15" i="2"/>
  <c r="AR14" i="2"/>
  <c r="AV34" i="2"/>
  <c r="AN26" i="2"/>
  <c r="AP28" i="2"/>
  <c r="AO10" i="2"/>
  <c r="AP30" i="2"/>
  <c r="AP27" i="2"/>
  <c r="AY30" i="2"/>
  <c r="AO35" i="2"/>
  <c r="AT27" i="2"/>
  <c r="AT12" i="2"/>
  <c r="AQ16" i="2"/>
  <c r="BP11" i="29"/>
  <c r="BB12" i="29"/>
  <c r="AU12" i="29"/>
  <c r="AV44" i="2"/>
  <c r="AX10" i="2"/>
  <c r="AN35" i="2"/>
  <c r="AY36" i="2"/>
  <c r="AX21" i="2"/>
  <c r="AU43" i="2"/>
  <c r="AY34" i="2"/>
  <c r="AV19" i="2"/>
  <c r="AR9" i="2"/>
  <c r="AU12" i="2"/>
  <c r="AU20" i="2"/>
  <c r="AP45" i="2"/>
  <c r="AX15" i="2"/>
  <c r="AP21" i="2"/>
  <c r="AT26" i="2"/>
  <c r="AR10" i="2"/>
  <c r="BQ11" i="29"/>
  <c r="AV4" i="2"/>
  <c r="AT16" i="2"/>
  <c r="AX31" i="2"/>
  <c r="AT23" i="2"/>
  <c r="AR37" i="2"/>
  <c r="AU39" i="2"/>
  <c r="AW37" i="2"/>
  <c r="AP17" i="2"/>
  <c r="AQ35" i="2"/>
  <c r="AQ37" i="2"/>
  <c r="AW33" i="2"/>
  <c r="AN23" i="2"/>
  <c r="AR39" i="2"/>
  <c r="AO26" i="2"/>
  <c r="AO4" i="2"/>
  <c r="AS26" i="2"/>
  <c r="AX39" i="2"/>
  <c r="AQ25" i="2"/>
  <c r="AT36" i="2"/>
  <c r="AW21" i="2"/>
  <c r="AW36" i="2"/>
  <c r="AO34" i="2"/>
  <c r="AQ43" i="2"/>
  <c r="AW44" i="2"/>
  <c r="AS44" i="2"/>
  <c r="AP44" i="2"/>
  <c r="AT44" i="2"/>
  <c r="AR44" i="2"/>
  <c r="AN5" i="2"/>
  <c r="AT33" i="2"/>
  <c r="AY25" i="2"/>
  <c r="AU33" i="2"/>
  <c r="AS22" i="2"/>
  <c r="AT39" i="2"/>
  <c r="AQ33" i="2"/>
  <c r="AY4" i="2"/>
  <c r="AT5" i="2"/>
  <c r="AP26" i="2"/>
  <c r="D11" i="29"/>
  <c r="AV2" i="2" s="1"/>
  <c r="AV2" i="13" s="1"/>
  <c r="AW39" i="2"/>
  <c r="AX5" i="2"/>
  <c r="AQ4" i="2"/>
  <c r="AX7" i="2"/>
  <c r="AR28" i="2"/>
  <c r="AQ22" i="2"/>
  <c r="AU25" i="2"/>
  <c r="AR33" i="2"/>
  <c r="AT22" i="2"/>
  <c r="AW26" i="2"/>
  <c r="AN28" i="2"/>
  <c r="AO33" i="2"/>
  <c r="AV33" i="2"/>
  <c r="AS33" i="2"/>
  <c r="AY26" i="2"/>
  <c r="AV5" i="2"/>
  <c r="AO39" i="2"/>
  <c r="AY7" i="2"/>
  <c r="AU22" i="2"/>
  <c r="AS5" i="2"/>
  <c r="AR26" i="2"/>
  <c r="AT4" i="2"/>
  <c r="AS39" i="2"/>
  <c r="AS28" i="2"/>
  <c r="AW7" i="2"/>
  <c r="AO7" i="2"/>
  <c r="AP25" i="2"/>
  <c r="AO5" i="2"/>
  <c r="AY28" i="2"/>
  <c r="AV26" i="2"/>
  <c r="AW25" i="2"/>
  <c r="AW5" i="2"/>
  <c r="AN44" i="2"/>
  <c r="AQ44" i="2"/>
  <c r="AU44" i="2"/>
  <c r="AN39" i="2"/>
  <c r="AX33" i="2"/>
  <c r="AP5" i="2"/>
  <c r="D7" i="29"/>
  <c r="AR2" i="2" s="1"/>
  <c r="AR2" i="13" s="1"/>
  <c r="AR5" i="2"/>
  <c r="AX26" i="2"/>
  <c r="D8" i="29"/>
  <c r="AS2" i="2" s="1"/>
  <c r="AS2" i="13" s="1"/>
  <c r="AY44" i="2"/>
  <c r="AO44" i="2"/>
  <c r="AN25" i="2"/>
  <c r="AN33" i="2"/>
  <c r="AY5" i="2"/>
  <c r="AR25" i="2"/>
  <c r="AU26" i="2"/>
  <c r="AU28" i="2"/>
  <c r="AQ5" i="2"/>
  <c r="D5" i="29"/>
  <c r="AP2" i="2" s="1"/>
  <c r="AP2" i="13" s="1"/>
  <c r="AV39" i="2"/>
  <c r="AU5" i="2"/>
  <c r="AR4" i="2"/>
  <c r="AO28" i="2"/>
  <c r="AP39" i="2"/>
  <c r="AQ39" i="2"/>
  <c r="AQ28" i="2"/>
  <c r="AT25" i="2"/>
  <c r="AV28" i="2"/>
  <c r="AW28" i="2"/>
  <c r="AN15" i="2"/>
  <c r="AN29" i="2"/>
  <c r="AQ8" i="2"/>
  <c r="AO15" i="2"/>
  <c r="AP10" i="2"/>
  <c r="AU29" i="2"/>
  <c r="AO29" i="2"/>
  <c r="AN13" i="2"/>
  <c r="AP13" i="2"/>
  <c r="AW13" i="2"/>
  <c r="AX8" i="2"/>
  <c r="AO8" i="2"/>
  <c r="AP15" i="2"/>
  <c r="AW10" i="2"/>
  <c r="AT10" i="2"/>
  <c r="AX29" i="2"/>
  <c r="AT13" i="2"/>
  <c r="AS10" i="2"/>
  <c r="AN8" i="2"/>
  <c r="AS13" i="2"/>
  <c r="AV15" i="2"/>
  <c r="AW15" i="2"/>
  <c r="AU10" i="2"/>
  <c r="AU8" i="2"/>
  <c r="AR8" i="2"/>
  <c r="AS8" i="2"/>
  <c r="AU13" i="2"/>
  <c r="AV8" i="2"/>
  <c r="AX13" i="2"/>
  <c r="AT8" i="2"/>
  <c r="AY15" i="2"/>
  <c r="AQ15" i="2"/>
  <c r="AW8" i="2"/>
  <c r="AS15" i="2"/>
  <c r="AW29" i="2"/>
  <c r="AN27" i="2"/>
  <c r="AN14" i="2"/>
  <c r="AP35" i="2"/>
  <c r="AS35" i="2"/>
  <c r="AQ17" i="2"/>
  <c r="AS17" i="2"/>
  <c r="AX14" i="2"/>
  <c r="AR35" i="2"/>
  <c r="AN17" i="2"/>
  <c r="AW14" i="2"/>
  <c r="AT35" i="2"/>
  <c r="AU27" i="2"/>
  <c r="AY35" i="2"/>
  <c r="AY17" i="2"/>
  <c r="AU35" i="2"/>
  <c r="AP14" i="2"/>
  <c r="AR27" i="2"/>
  <c r="AQ14" i="2"/>
  <c r="AX35" i="2"/>
  <c r="AT14" i="2"/>
  <c r="AW17" i="2"/>
  <c r="AY27" i="2"/>
  <c r="AR17" i="2"/>
  <c r="AQ27" i="2"/>
  <c r="AN36" i="2"/>
  <c r="AP31" i="2"/>
  <c r="AQ31" i="2"/>
  <c r="AV36" i="2"/>
  <c r="AR40" i="2"/>
  <c r="AX36" i="2"/>
  <c r="AO36" i="2"/>
  <c r="AO31" i="2"/>
  <c r="AR31" i="2"/>
  <c r="AU40" i="2"/>
  <c r="AT31" i="2"/>
  <c r="AO40" i="2"/>
  <c r="AR36" i="2"/>
  <c r="AN31" i="2"/>
  <c r="AQ36" i="2"/>
  <c r="AS36" i="2"/>
  <c r="AP36" i="2"/>
  <c r="AY40" i="2"/>
  <c r="AP40" i="2"/>
  <c r="AS31" i="2"/>
  <c r="AT40" i="2"/>
  <c r="AU36" i="2"/>
  <c r="AS43" i="2"/>
  <c r="AN43" i="2"/>
  <c r="AV43" i="2"/>
  <c r="AT43" i="2"/>
  <c r="AN16" i="2"/>
  <c r="AN37" i="2"/>
  <c r="AU16" i="2"/>
  <c r="AW23" i="2"/>
  <c r="AQ23" i="2"/>
  <c r="AS16" i="2"/>
  <c r="AY16" i="2"/>
  <c r="AT37" i="2"/>
  <c r="AY43" i="2"/>
  <c r="AX43" i="2"/>
  <c r="AO43" i="2"/>
  <c r="AR43" i="2"/>
  <c r="AS37" i="2"/>
  <c r="AP16" i="2"/>
  <c r="AO16" i="2"/>
  <c r="AU37" i="2"/>
  <c r="AY23" i="2"/>
  <c r="AO37" i="2"/>
  <c r="AP37" i="2"/>
  <c r="AW43" i="2"/>
  <c r="AP43" i="2"/>
  <c r="AV37" i="2"/>
  <c r="AX16" i="2"/>
  <c r="AO23" i="2"/>
  <c r="AY37" i="2"/>
  <c r="AP23" i="2"/>
  <c r="AW16" i="2"/>
  <c r="AQ34" i="2"/>
  <c r="AR34" i="2"/>
  <c r="AP34" i="2"/>
  <c r="AO19" i="2"/>
  <c r="AT19" i="2"/>
  <c r="AP19" i="2"/>
  <c r="AN19" i="2"/>
  <c r="AY19" i="2"/>
  <c r="AU19" i="2"/>
  <c r="AQ19" i="2"/>
  <c r="AX19" i="2"/>
  <c r="AR19" i="2"/>
  <c r="AP41" i="2"/>
  <c r="AQ41" i="2"/>
  <c r="AY41" i="2"/>
  <c r="AX41" i="2"/>
  <c r="AO6" i="2"/>
  <c r="AU41" i="2"/>
  <c r="AN6" i="2"/>
  <c r="AY6" i="2"/>
  <c r="AT6" i="2"/>
  <c r="AR6" i="2"/>
  <c r="AW6" i="2"/>
  <c r="AV6" i="2"/>
  <c r="AO41" i="2"/>
  <c r="AS41" i="2"/>
  <c r="AN41" i="2"/>
  <c r="AW41" i="2"/>
  <c r="AX6" i="2"/>
  <c r="AP6" i="2"/>
  <c r="AS6" i="2"/>
  <c r="AX38" i="2"/>
  <c r="AR38" i="2"/>
  <c r="AT38" i="2"/>
  <c r="AN38" i="2"/>
  <c r="AP38" i="2"/>
  <c r="AV38" i="2"/>
  <c r="AO38" i="2"/>
  <c r="AS38" i="2"/>
  <c r="AQ38" i="2"/>
  <c r="AO20" i="2"/>
  <c r="AW24" i="2"/>
  <c r="AP24" i="2"/>
  <c r="AQ24" i="2"/>
  <c r="AV21" i="2"/>
  <c r="AY21" i="2"/>
  <c r="BG12" i="29"/>
  <c r="AU46" i="2"/>
  <c r="AX45" i="2"/>
  <c r="AT9" i="2"/>
  <c r="AV20" i="2"/>
  <c r="AH12" i="29"/>
  <c r="AN24" i="2"/>
  <c r="AT46" i="2"/>
  <c r="AW45" i="2"/>
  <c r="AX12" i="2"/>
  <c r="AS20" i="2"/>
  <c r="AT20" i="2"/>
  <c r="AQ12" i="2"/>
  <c r="AW20" i="2"/>
  <c r="AW12" i="2"/>
  <c r="AT24" i="2"/>
  <c r="AD12" i="29"/>
  <c r="AQ46" i="2"/>
  <c r="AT45" i="2"/>
  <c r="AU45" i="2"/>
  <c r="AS12" i="2"/>
  <c r="AY9" i="2"/>
  <c r="AF12" i="29"/>
  <c r="AY46" i="2"/>
  <c r="AP46" i="2"/>
  <c r="AR45" i="2"/>
  <c r="AW46" i="2"/>
  <c r="AO46" i="2"/>
  <c r="AS8" i="13"/>
  <c r="AP4" i="13"/>
  <c r="AT10" i="13"/>
  <c r="AO25" i="13"/>
  <c r="AN6" i="13"/>
  <c r="AT23" i="13"/>
  <c r="AV24" i="13"/>
  <c r="E13" i="30"/>
  <c r="AX1" i="13" s="1"/>
  <c r="AX1" i="2" s="1"/>
  <c r="AT37" i="13"/>
  <c r="AU10" i="13"/>
  <c r="AX10" i="13"/>
  <c r="AT24" i="13"/>
  <c r="AR37" i="13"/>
  <c r="AC12" i="29"/>
  <c r="AX13" i="13"/>
  <c r="AS35" i="13"/>
  <c r="K29" i="2"/>
  <c r="K12" i="2"/>
  <c r="AR23" i="13"/>
  <c r="AW37" i="13"/>
  <c r="AN4" i="13"/>
  <c r="AO36" i="13"/>
  <c r="AO23" i="13"/>
  <c r="AW19" i="13"/>
  <c r="AP24" i="13"/>
  <c r="AN25" i="13"/>
  <c r="AX35" i="13"/>
  <c r="AR19" i="13"/>
  <c r="AO9" i="13"/>
  <c r="AO37" i="13"/>
  <c r="AY37" i="13"/>
  <c r="AN22" i="13"/>
  <c r="AU24" i="13"/>
  <c r="Y12" i="29"/>
  <c r="BR11" i="29"/>
  <c r="K41" i="2"/>
  <c r="AR35" i="13"/>
  <c r="E10" i="30"/>
  <c r="AU1" i="13" s="1"/>
  <c r="AU1" i="2" s="1"/>
  <c r="AQ13" i="13"/>
  <c r="AX9" i="13"/>
  <c r="AT20" i="13"/>
  <c r="AQ26" i="13"/>
  <c r="AP37" i="13"/>
  <c r="AQ19" i="13"/>
  <c r="AP38" i="13"/>
  <c r="AS6" i="13"/>
  <c r="AS10" i="13"/>
  <c r="AY36" i="13"/>
  <c r="K5" i="2"/>
  <c r="AN42" i="2"/>
  <c r="AR42" i="2"/>
  <c r="AU34" i="2"/>
  <c r="AS34" i="2"/>
  <c r="AU21" i="2"/>
  <c r="AV10" i="2"/>
  <c r="AV7" i="2"/>
  <c r="AW4" i="2"/>
  <c r="AY20" i="2"/>
  <c r="D9" i="29"/>
  <c r="AT2" i="2" s="1"/>
  <c r="AT2" i="13" s="1"/>
  <c r="AS42" i="2"/>
  <c r="AN7" i="2"/>
  <c r="AW40" i="2"/>
  <c r="D10" i="29"/>
  <c r="AU2" i="2" s="1"/>
  <c r="AU2" i="13" s="1"/>
  <c r="AT21" i="2"/>
  <c r="AX34" i="2"/>
  <c r="AP7" i="2"/>
  <c r="D3" i="29"/>
  <c r="AN2" i="2" s="1"/>
  <c r="AS14" i="2"/>
  <c r="AX4" i="2"/>
  <c r="AP4" i="2"/>
  <c r="AY14" i="2"/>
  <c r="D14" i="29"/>
  <c r="AY2" i="2" s="1"/>
  <c r="AY2" i="13" s="1"/>
  <c r="AO14" i="2"/>
  <c r="AV22" i="2"/>
  <c r="AY22" i="2"/>
  <c r="AW22" i="2"/>
  <c r="AS21" i="2"/>
  <c r="AN10" i="13"/>
  <c r="AW24" i="13"/>
  <c r="AW23" i="13"/>
  <c r="AO24" i="13"/>
  <c r="AU25" i="13"/>
  <c r="AQ24" i="13"/>
  <c r="AU35" i="13"/>
  <c r="AQ12" i="13"/>
  <c r="AS36" i="13"/>
  <c r="AU8" i="13"/>
  <c r="AV35" i="13"/>
  <c r="AR22" i="13"/>
  <c r="AQ9" i="13"/>
  <c r="AX37" i="13"/>
  <c r="AR4" i="13"/>
  <c r="AX36" i="13"/>
  <c r="AT35" i="13"/>
  <c r="AQ17" i="13"/>
  <c r="AW5" i="13"/>
  <c r="AW25" i="13"/>
  <c r="AY5" i="13"/>
  <c r="AW26" i="13"/>
  <c r="AW12" i="13"/>
  <c r="AP36" i="13"/>
  <c r="AR10" i="13"/>
  <c r="AW34" i="13"/>
  <c r="AQ15" i="13"/>
  <c r="AS9" i="13"/>
  <c r="AY9" i="13"/>
  <c r="AN38" i="13"/>
  <c r="AV38" i="13"/>
  <c r="AO10" i="13"/>
  <c r="AR12" i="13"/>
  <c r="AV25" i="13"/>
  <c r="AY13" i="13"/>
  <c r="AP20" i="13"/>
  <c r="AP19" i="13"/>
  <c r="AU23" i="13"/>
  <c r="AR38" i="13"/>
  <c r="AN9" i="13"/>
  <c r="AX26" i="13"/>
  <c r="AT13" i="13"/>
  <c r="AX12" i="13"/>
  <c r="AN26" i="13"/>
  <c r="AT4" i="13"/>
  <c r="AW9" i="13"/>
  <c r="AP12" i="13"/>
  <c r="AQ35" i="13"/>
  <c r="AT36" i="13"/>
  <c r="AP10" i="13"/>
  <c r="AY34" i="13"/>
  <c r="E4" i="30"/>
  <c r="AO1" i="13" s="1"/>
  <c r="AO1" i="2" s="1"/>
  <c r="AU17" i="13"/>
  <c r="AW22" i="13"/>
  <c r="AX8" i="13"/>
  <c r="AU22" i="13"/>
  <c r="AS14" i="13"/>
  <c r="AR29" i="13"/>
  <c r="AT25" i="13"/>
  <c r="AP8" i="13"/>
  <c r="AV9" i="13"/>
  <c r="AY26" i="13"/>
  <c r="AQ29" i="13"/>
  <c r="AP15" i="13"/>
  <c r="AU27" i="13"/>
  <c r="AN15" i="13"/>
  <c r="AT9" i="13"/>
  <c r="AO29" i="13"/>
  <c r="AQ36" i="13"/>
  <c r="AP25" i="13"/>
  <c r="AT19" i="13"/>
  <c r="AR16" i="13"/>
  <c r="AU19" i="13"/>
  <c r="AW6" i="13"/>
  <c r="K33" i="2"/>
  <c r="K20" i="2"/>
  <c r="AV45" i="2"/>
  <c r="K16" i="2"/>
  <c r="AN46" i="2"/>
  <c r="AS46" i="2"/>
  <c r="AR41" i="2"/>
  <c r="AX46" i="2"/>
  <c r="AS45" i="2"/>
  <c r="AQ12" i="29"/>
  <c r="AB12" i="29"/>
  <c r="BS11" i="29"/>
  <c r="BD12" i="29"/>
  <c r="BL12" i="29"/>
  <c r="AP12" i="29"/>
  <c r="AK12" i="29"/>
  <c r="BA12" i="29"/>
  <c r="BE12" i="29"/>
  <c r="BC12" i="29"/>
  <c r="AQ45" i="2"/>
  <c r="AS12" i="29"/>
  <c r="AN13" i="13"/>
  <c r="AJ12" i="29"/>
  <c r="AX14" i="13"/>
  <c r="Z12" i="29"/>
  <c r="AO13" i="13"/>
  <c r="AN22" i="2"/>
  <c r="AN4" i="2"/>
  <c r="AW42" i="2"/>
  <c r="AX42" i="2"/>
  <c r="AN24" i="13"/>
  <c r="AX16" i="13"/>
  <c r="BI12" i="29"/>
  <c r="AX23" i="13"/>
  <c r="AU12" i="13"/>
  <c r="AQ37" i="13"/>
  <c r="AW12" i="29"/>
  <c r="AN21" i="2"/>
  <c r="AN10" i="2"/>
  <c r="AV42" i="2"/>
  <c r="AQ42" i="2"/>
  <c r="AO45" i="2"/>
  <c r="AY12" i="29"/>
  <c r="X12" i="29"/>
  <c r="AR12" i="29"/>
  <c r="AN20" i="2"/>
  <c r="AU42" i="2"/>
  <c r="AP42" i="2"/>
  <c r="AN40" i="2"/>
  <c r="AN34" i="2"/>
  <c r="AO42" i="2"/>
  <c r="AT42" i="2"/>
  <c r="AY42" i="2"/>
  <c r="AZ30" i="13" l="1"/>
  <c r="BB30" i="13" s="1"/>
  <c r="AZ11" i="13"/>
  <c r="AZ11" i="2"/>
  <c r="AZ46" i="13"/>
  <c r="BB46" i="13" s="1"/>
  <c r="BC47" i="2"/>
  <c r="B3" i="33"/>
  <c r="AZ18" i="2"/>
  <c r="BB18" i="2" s="1"/>
  <c r="B40" i="33" s="1"/>
  <c r="AZ18" i="13"/>
  <c r="AZ28" i="13"/>
  <c r="BB28" i="13" s="1"/>
  <c r="AZ20" i="13"/>
  <c r="BB20" i="13" s="1"/>
  <c r="AZ34" i="13"/>
  <c r="BB34" i="13" s="1"/>
  <c r="AZ16" i="13"/>
  <c r="BB16" i="13" s="1"/>
  <c r="AZ40" i="13"/>
  <c r="BB40" i="13" s="1"/>
  <c r="AZ7" i="13"/>
  <c r="BB7" i="13" s="1"/>
  <c r="AZ31" i="13"/>
  <c r="BB31" i="13" s="1"/>
  <c r="AZ39" i="13"/>
  <c r="BB39" i="13" s="1"/>
  <c r="AZ27" i="13"/>
  <c r="BB27" i="13" s="1"/>
  <c r="AZ4" i="13"/>
  <c r="BB4" i="13" s="1"/>
  <c r="AZ33" i="13"/>
  <c r="BB33" i="13" s="1"/>
  <c r="AZ22" i="13"/>
  <c r="BB22" i="13" s="1"/>
  <c r="AZ21" i="13"/>
  <c r="BB21" i="13" s="1"/>
  <c r="AZ45" i="13"/>
  <c r="BB45" i="13" s="1"/>
  <c r="AZ5" i="13"/>
  <c r="BB5" i="13" s="1"/>
  <c r="AZ29" i="13"/>
  <c r="BB29" i="13" s="1"/>
  <c r="AZ28" i="2"/>
  <c r="BB28" i="2" s="1"/>
  <c r="AZ6" i="13"/>
  <c r="BB6" i="13" s="1"/>
  <c r="AZ35" i="13"/>
  <c r="BB35" i="13" s="1"/>
  <c r="AZ9" i="13"/>
  <c r="BB9" i="13" s="1"/>
  <c r="AZ43" i="13"/>
  <c r="BB43" i="13" s="1"/>
  <c r="AZ31" i="2"/>
  <c r="BB31" i="2" s="1"/>
  <c r="B16" i="33" s="1"/>
  <c r="AZ23" i="2"/>
  <c r="BB23" i="2" s="1"/>
  <c r="B27" i="33" s="1"/>
  <c r="AZ42" i="13"/>
  <c r="BB42" i="13" s="1"/>
  <c r="AZ30" i="2"/>
  <c r="BB30" i="2" s="1"/>
  <c r="AZ36" i="13"/>
  <c r="BB36" i="13" s="1"/>
  <c r="AZ24" i="13"/>
  <c r="BB24" i="13" s="1"/>
  <c r="AZ14" i="13"/>
  <c r="BB14" i="13" s="1"/>
  <c r="AZ8" i="13"/>
  <c r="BB8" i="13" s="1"/>
  <c r="AZ23" i="13"/>
  <c r="BB23" i="13" s="1"/>
  <c r="AZ1" i="2"/>
  <c r="AZ17" i="13"/>
  <c r="BB17" i="13" s="1"/>
  <c r="AZ19" i="13"/>
  <c r="BB19" i="13" s="1"/>
  <c r="AZ44" i="13"/>
  <c r="BB44" i="13" s="1"/>
  <c r="AZ15" i="2"/>
  <c r="BB15" i="2" s="1"/>
  <c r="AZ21" i="2"/>
  <c r="BB21" i="2" s="1"/>
  <c r="AZ27" i="2"/>
  <c r="BB27" i="2" s="1"/>
  <c r="B34" i="33" s="1"/>
  <c r="AZ6" i="2"/>
  <c r="BB6" i="2" s="1"/>
  <c r="B28" i="33" s="1"/>
  <c r="AZ16" i="2"/>
  <c r="BB16" i="2" s="1"/>
  <c r="B32" i="33" s="1"/>
  <c r="AZ17" i="2"/>
  <c r="BB17" i="2" s="1"/>
  <c r="B25" i="33" s="1"/>
  <c r="AZ13" i="2"/>
  <c r="BB13" i="2" s="1"/>
  <c r="B22" i="33" s="1"/>
  <c r="AZ29" i="2"/>
  <c r="BB29" i="2" s="1"/>
  <c r="B39" i="33" s="1"/>
  <c r="AZ33" i="2"/>
  <c r="BB33" i="2" s="1"/>
  <c r="B21" i="33" s="1"/>
  <c r="AZ44" i="2"/>
  <c r="BB44" i="2" s="1"/>
  <c r="B5" i="33" s="1"/>
  <c r="AZ26" i="2"/>
  <c r="BB26" i="2" s="1"/>
  <c r="B33" i="33" s="1"/>
  <c r="AZ34" i="2"/>
  <c r="AZ24" i="2"/>
  <c r="BB24" i="2" s="1"/>
  <c r="AZ7" i="2"/>
  <c r="BB7" i="2" s="1"/>
  <c r="AZ12" i="2"/>
  <c r="BB12" i="2" s="1"/>
  <c r="B19" i="33" s="1"/>
  <c r="AZ9" i="2"/>
  <c r="BB9" i="2" s="1"/>
  <c r="B26" i="33" s="1"/>
  <c r="AZ20" i="2"/>
  <c r="AZ10" i="2"/>
  <c r="BB10" i="2" s="1"/>
  <c r="AZ38" i="2"/>
  <c r="BB38" i="2" s="1"/>
  <c r="B7" i="33" s="1"/>
  <c r="AZ35" i="2"/>
  <c r="BB35" i="2" s="1"/>
  <c r="B14" i="33" s="1"/>
  <c r="AZ37" i="2"/>
  <c r="BB37" i="2" s="1"/>
  <c r="B11" i="33" s="1"/>
  <c r="AZ40" i="2"/>
  <c r="BB40" i="2" s="1"/>
  <c r="BA17" i="2"/>
  <c r="AZ8" i="2"/>
  <c r="BB8" i="2" s="1"/>
  <c r="B29" i="33" s="1"/>
  <c r="AZ39" i="2"/>
  <c r="BB39" i="2" s="1"/>
  <c r="B8" i="33" s="1"/>
  <c r="AZ25" i="2"/>
  <c r="AZ45" i="2"/>
  <c r="BB45" i="2" s="1"/>
  <c r="AZ43" i="2"/>
  <c r="BB43" i="2" s="1"/>
  <c r="B6" i="33" s="1"/>
  <c r="AZ41" i="2"/>
  <c r="BB41" i="2" s="1"/>
  <c r="B12" i="33" s="1"/>
  <c r="AZ5" i="2"/>
  <c r="BB5" i="2" s="1"/>
  <c r="B36" i="33" s="1"/>
  <c r="AZ19" i="2"/>
  <c r="BB19" i="2" s="1"/>
  <c r="B38" i="33" s="1"/>
  <c r="AZ36" i="2"/>
  <c r="BB36" i="2" s="1"/>
  <c r="B13" i="33" s="1"/>
  <c r="AZ22" i="2"/>
  <c r="BB22" i="2" s="1"/>
  <c r="AZ1" i="13"/>
  <c r="BC47" i="13" s="1"/>
  <c r="AZ15" i="13"/>
  <c r="BB15" i="13" s="1"/>
  <c r="AZ38" i="13"/>
  <c r="BB38" i="13" s="1"/>
  <c r="AZ37" i="13"/>
  <c r="BB37" i="13" s="1"/>
  <c r="AZ12" i="13"/>
  <c r="BB12" i="13" s="1"/>
  <c r="AZ46" i="2"/>
  <c r="BB46" i="2" s="1"/>
  <c r="AZ26" i="13"/>
  <c r="BB26" i="13" s="1"/>
  <c r="AZ14" i="2"/>
  <c r="AZ2" i="2"/>
  <c r="BA47" i="2" s="1"/>
  <c r="AN2" i="13"/>
  <c r="AZ2" i="13" s="1"/>
  <c r="AZ25" i="13"/>
  <c r="BB25" i="13" s="1"/>
  <c r="AZ4" i="2"/>
  <c r="BB4" i="2" s="1"/>
  <c r="AZ10" i="13"/>
  <c r="BB10" i="13" s="1"/>
  <c r="AZ42" i="2"/>
  <c r="AZ13" i="13"/>
  <c r="BP12" i="29"/>
  <c r="BQ12" i="29"/>
  <c r="BR12" i="29"/>
  <c r="BS12" i="29"/>
  <c r="BA11" i="13" l="1"/>
  <c r="BB11" i="13"/>
  <c r="BA11" i="2"/>
  <c r="BB11" i="2"/>
  <c r="BA41" i="13"/>
  <c r="B23" i="33"/>
  <c r="BB25" i="2"/>
  <c r="BA25" i="2"/>
  <c r="BA14" i="13"/>
  <c r="BA47" i="13"/>
  <c r="BA18" i="2"/>
  <c r="BA18" i="13"/>
  <c r="BB18" i="13"/>
  <c r="BA23" i="13"/>
  <c r="BA38" i="13"/>
  <c r="BA7" i="13"/>
  <c r="BC44" i="13"/>
  <c r="BA34" i="13"/>
  <c r="BA21" i="13"/>
  <c r="BA37" i="13"/>
  <c r="BA19" i="13"/>
  <c r="BB2" i="13"/>
  <c r="BC5" i="13" s="1"/>
  <c r="BA22" i="2"/>
  <c r="BA43" i="13"/>
  <c r="BC46" i="13"/>
  <c r="BA13" i="13"/>
  <c r="BA21" i="2"/>
  <c r="BA34" i="2"/>
  <c r="BA9" i="13"/>
  <c r="BA44" i="13"/>
  <c r="BB34" i="2"/>
  <c r="B31" i="33" s="1"/>
  <c r="BA28" i="13"/>
  <c r="BA45" i="2"/>
  <c r="BA7" i="2"/>
  <c r="BA4" i="13"/>
  <c r="BA12" i="13"/>
  <c r="BC40" i="13"/>
  <c r="BA39" i="13"/>
  <c r="BA25" i="13"/>
  <c r="BA40" i="13"/>
  <c r="BC45" i="13"/>
  <c r="BA5" i="13"/>
  <c r="BA36" i="13"/>
  <c r="BC38" i="13"/>
  <c r="BA46" i="13"/>
  <c r="BA16" i="13"/>
  <c r="BA31" i="13"/>
  <c r="BA30" i="13"/>
  <c r="BA33" i="13"/>
  <c r="BC42" i="13"/>
  <c r="BC17" i="13"/>
  <c r="BA29" i="13"/>
  <c r="BA35" i="13"/>
  <c r="BA24" i="13"/>
  <c r="BA10" i="13"/>
  <c r="BA27" i="13"/>
  <c r="BB13" i="13"/>
  <c r="BC39" i="13"/>
  <c r="BA17" i="13"/>
  <c r="BA40" i="2"/>
  <c r="BA42" i="13"/>
  <c r="BA45" i="13"/>
  <c r="BA20" i="13"/>
  <c r="BA8" i="13"/>
  <c r="BA22" i="13"/>
  <c r="BA6" i="13"/>
  <c r="BC43" i="13"/>
  <c r="BA42" i="2"/>
  <c r="BA30" i="2"/>
  <c r="BA20" i="2"/>
  <c r="BB42" i="2"/>
  <c r="B17" i="33" s="1"/>
  <c r="BA4" i="2"/>
  <c r="BA10" i="2"/>
  <c r="BA28" i="2"/>
  <c r="BB20" i="2"/>
  <c r="B37" i="33" s="1"/>
  <c r="BC38" i="2"/>
  <c r="BA46" i="2"/>
  <c r="BA41" i="2"/>
  <c r="BA15" i="13"/>
  <c r="B9" i="33"/>
  <c r="BB14" i="2"/>
  <c r="BA14" i="2"/>
  <c r="BA26" i="13"/>
  <c r="BC43" i="2"/>
  <c r="BA43" i="2"/>
  <c r="BA23" i="2"/>
  <c r="BA5" i="2"/>
  <c r="BA39" i="2"/>
  <c r="BA16" i="2"/>
  <c r="BA36" i="2"/>
  <c r="BA37" i="2"/>
  <c r="BC44" i="2"/>
  <c r="BA12" i="2"/>
  <c r="BA38" i="2"/>
  <c r="BC39" i="2"/>
  <c r="BA13" i="2"/>
  <c r="BA35" i="2"/>
  <c r="BA33" i="2"/>
  <c r="BA26" i="2"/>
  <c r="BC17" i="2"/>
  <c r="BA29" i="2"/>
  <c r="BA27" i="2"/>
  <c r="BA24" i="2"/>
  <c r="BA31" i="2"/>
  <c r="BA6" i="2"/>
  <c r="BA9" i="2"/>
  <c r="BA44" i="2"/>
  <c r="BA15" i="2"/>
  <c r="BA19" i="2"/>
  <c r="BA8" i="2"/>
  <c r="BB2" i="2"/>
  <c r="BC24" i="2" s="1"/>
  <c r="BC41" i="2"/>
  <c r="B44" i="33"/>
  <c r="B41" i="33"/>
  <c r="BU10" i="29"/>
  <c r="BU4" i="29"/>
  <c r="BU5" i="29"/>
  <c r="BU6" i="29"/>
  <c r="BU11" i="29"/>
  <c r="BU12" i="29"/>
  <c r="B24" i="33"/>
  <c r="B18" i="33"/>
  <c r="B35" i="33"/>
  <c r="B20" i="33"/>
  <c r="BC40" i="2"/>
  <c r="B10" i="33"/>
  <c r="B42" i="33"/>
  <c r="B4" i="33"/>
  <c r="BC45" i="2"/>
  <c r="BU9" i="29"/>
  <c r="BU3" i="29"/>
  <c r="BC7" i="2" l="1"/>
  <c r="BC11" i="13"/>
  <c r="BC11" i="2"/>
  <c r="B30" i="33"/>
  <c r="B15" i="33"/>
  <c r="BC25" i="2"/>
  <c r="BC31" i="13"/>
  <c r="BC33" i="13"/>
  <c r="BC7" i="13"/>
  <c r="BC19" i="13"/>
  <c r="BC6" i="13"/>
  <c r="BC14" i="13"/>
  <c r="BC35" i="13"/>
  <c r="BC29" i="13"/>
  <c r="BC18" i="13"/>
  <c r="BC20" i="13"/>
  <c r="BC36" i="13"/>
  <c r="BC23" i="13"/>
  <c r="BC10" i="13"/>
  <c r="BC46" i="2"/>
  <c r="BC18" i="2"/>
  <c r="BC26" i="13"/>
  <c r="BC12" i="13"/>
  <c r="BC9" i="13"/>
  <c r="BC41" i="13"/>
  <c r="BC30" i="13"/>
  <c r="BC34" i="13"/>
  <c r="BC42" i="2"/>
  <c r="BC24" i="13"/>
  <c r="BC13" i="13"/>
  <c r="BC15" i="13"/>
  <c r="BC16" i="13"/>
  <c r="BC28" i="13"/>
  <c r="BC22" i="13"/>
  <c r="BC27" i="13"/>
  <c r="BC37" i="13"/>
  <c r="BC25" i="13"/>
  <c r="BC21" i="13"/>
  <c r="BC4" i="13"/>
  <c r="BC8" i="13"/>
  <c r="BC20" i="2"/>
  <c r="BC28" i="2"/>
  <c r="BC22" i="2"/>
  <c r="BC10" i="2"/>
  <c r="BC34" i="2"/>
  <c r="BC21" i="2"/>
  <c r="BC30" i="2"/>
  <c r="BC4" i="2"/>
  <c r="B43" i="33"/>
  <c r="BC14" i="2"/>
  <c r="BC35" i="2"/>
  <c r="BC27" i="2"/>
  <c r="BC23" i="2"/>
  <c r="BC37" i="2"/>
  <c r="BC15" i="2"/>
  <c r="BC5" i="2"/>
  <c r="BC26" i="2"/>
  <c r="BC9" i="2"/>
  <c r="BC19" i="2"/>
  <c r="BC16" i="2"/>
  <c r="BC6" i="2"/>
  <c r="BC36" i="2"/>
  <c r="BC33" i="2"/>
  <c r="BC8" i="2"/>
  <c r="BC29" i="2"/>
  <c r="BC13" i="2"/>
  <c r="BC12" i="2"/>
  <c r="BC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tc={639DB558-DA5E-45C4-A616-0D4F7EB3E662}</author>
  </authors>
  <commentList>
    <comment ref="S46" authorId="0" shapeId="0" xr:uid="{639DB558-DA5E-45C4-A616-0D4F7EB3E662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19th August 24</t>
      </text>
    </comment>
  </commentList>
</comments>
</file>

<file path=xl/sharedStrings.xml><?xml version="1.0" encoding="utf-8"?>
<sst xmlns="http://schemas.openxmlformats.org/spreadsheetml/2006/main" count="6541" uniqueCount="630">
  <si>
    <t>Call event type</t>
  </si>
  <si>
    <t>Musters</t>
  </si>
  <si>
    <t>Total Calls</t>
  </si>
  <si>
    <t>Total</t>
  </si>
  <si>
    <t>Monthly Call Count</t>
  </si>
  <si>
    <t>Month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</si>
  <si>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</si>
  <si>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</si>
  <si>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</si>
  <si>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</si>
  <si>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</si>
  <si>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</si>
  <si>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</si>
  <si>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</si>
  <si>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</t>
  </si>
  <si>
    <t>Totals</t>
  </si>
  <si>
    <t>January</t>
  </si>
  <si>
    <t>Febuary</t>
  </si>
  <si>
    <t>March</t>
  </si>
  <si>
    <t>April</t>
  </si>
  <si>
    <t>Average Call Attendance</t>
  </si>
  <si>
    <t>CFO John Robinson</t>
  </si>
  <si>
    <t>OF</t>
  </si>
  <si>
    <t>DCFO Bharat Ravji</t>
  </si>
  <si>
    <t>SSO Darcy Hart</t>
  </si>
  <si>
    <t>SSO Vaughan Wood</t>
  </si>
  <si>
    <t>SO Richard Jellyman</t>
  </si>
  <si>
    <t>SO Richard Irving</t>
  </si>
  <si>
    <t>SO Jon White</t>
  </si>
  <si>
    <t>SO William O'Connell</t>
  </si>
  <si>
    <t>SFF Brent Reynolds</t>
  </si>
  <si>
    <t>DR*</t>
  </si>
  <si>
    <t>SFF Joseph O'Neill-Gregory</t>
  </si>
  <si>
    <t>DR</t>
  </si>
  <si>
    <t>SFF Grant Robertson</t>
  </si>
  <si>
    <t>SFF William O'Connell</t>
  </si>
  <si>
    <t>SFF Robert Mayo</t>
  </si>
  <si>
    <t>SFF Brody Jellyman</t>
  </si>
  <si>
    <t>SFF Darryn Pritchard</t>
  </si>
  <si>
    <t>QFF Symon Maxwell</t>
  </si>
  <si>
    <t>QFF Ian Chapman</t>
  </si>
  <si>
    <t>QFF Melanie Yates</t>
  </si>
  <si>
    <t>QFF Maree Primrose</t>
  </si>
  <si>
    <t>QFF Russell Clarke</t>
  </si>
  <si>
    <t>QFF Andrew Bond</t>
  </si>
  <si>
    <t>QFF Alan Binnie</t>
  </si>
  <si>
    <t>QFF Josh Pennefather</t>
  </si>
  <si>
    <t>QFF Ben Killgour</t>
  </si>
  <si>
    <t>QFF Dallas Steele</t>
  </si>
  <si>
    <t>QFF Nick Grayson</t>
  </si>
  <si>
    <t>QFF Jason Court</t>
  </si>
  <si>
    <t>QFF Crystal McConchie</t>
  </si>
  <si>
    <t>FF Jimmy Doyle</t>
  </si>
  <si>
    <t>FF Dimmy Bell-Kainiu</t>
  </si>
  <si>
    <t>FF Mitch Court</t>
  </si>
  <si>
    <t>*</t>
  </si>
  <si>
    <t>FF Jamie O'Hare</t>
  </si>
  <si>
    <t>FF Kaitlyn Evans</t>
  </si>
  <si>
    <t>-</t>
  </si>
  <si>
    <t>FF Jaime Moore</t>
  </si>
  <si>
    <t>FF Torrens Butcher</t>
  </si>
  <si>
    <t>FF Matt Humber</t>
  </si>
  <si>
    <t>RFF Leone Humber</t>
  </si>
  <si>
    <t>RFF Joel Robbins</t>
  </si>
  <si>
    <t>RFF Tracey Brownlee</t>
  </si>
  <si>
    <t>RFF Sacha Hoole</t>
  </si>
  <si>
    <t>RFF Callum Reid</t>
  </si>
  <si>
    <t>RFF Jack Piggott-Newton</t>
  </si>
  <si>
    <t>RFF Caleb Wanhill</t>
  </si>
  <si>
    <t>Name</t>
  </si>
  <si>
    <t>Number</t>
  </si>
  <si>
    <t>Total Musters</t>
  </si>
  <si>
    <t>Average</t>
  </si>
  <si>
    <t>Novober</t>
  </si>
  <si>
    <t>FF James O'Hare</t>
  </si>
  <si>
    <t>RFF Jack Piggott Newton</t>
  </si>
  <si>
    <t>Call Number</t>
  </si>
  <si>
    <t>Completion time</t>
  </si>
  <si>
    <t>Time</t>
  </si>
  <si>
    <t>Date2</t>
  </si>
  <si>
    <t>Date</t>
  </si>
  <si>
    <t>Next Call Number</t>
  </si>
  <si>
    <t>AI Response ID</t>
  </si>
  <si>
    <t>Event Number2</t>
  </si>
  <si>
    <t>Event Number</t>
  </si>
  <si>
    <t>MonthNo</t>
  </si>
  <si>
    <t>Row Number</t>
  </si>
  <si>
    <t>Event Type</t>
  </si>
  <si>
    <t>Incident Info2</t>
  </si>
  <si>
    <t>Incident Info</t>
  </si>
  <si>
    <t>CPN</t>
  </si>
  <si>
    <t>Number of Trucks</t>
  </si>
  <si>
    <t>Appliances</t>
  </si>
  <si>
    <t>Address2</t>
  </si>
  <si>
    <t xml:space="preserve">Address </t>
  </si>
  <si>
    <t>Cross Streets</t>
  </si>
  <si>
    <t>Result</t>
  </si>
  <si>
    <t>OIC</t>
  </si>
  <si>
    <t>Number of Responders</t>
  </si>
  <si>
    <t>Number of Drivers</t>
  </si>
  <si>
    <t>Number of Officers</t>
  </si>
  <si>
    <t>Number of FF</t>
  </si>
  <si>
    <t>Submitted By</t>
  </si>
  <si>
    <t>Notes</t>
  </si>
  <si>
    <t>Current Call Count:</t>
  </si>
  <si>
    <t>Current Month</t>
  </si>
  <si>
    <t>Next Row</t>
  </si>
  <si>
    <t>OFFICER, DRIVER, RECRUIT</t>
  </si>
  <si>
    <t>RC</t>
  </si>
  <si>
    <t>Jan</t>
  </si>
  <si>
    <t>Chainsaw Op</t>
  </si>
  <si>
    <t>C</t>
  </si>
  <si>
    <t>Less than 2 OF</t>
  </si>
  <si>
    <t>Feb</t>
  </si>
  <si>
    <t>BA Filler</t>
  </si>
  <si>
    <t>BA</t>
  </si>
  <si>
    <t>Less than 2 DR</t>
  </si>
  <si>
    <t>Mar</t>
  </si>
  <si>
    <t>FF</t>
  </si>
  <si>
    <t>Less Than 6 FF</t>
  </si>
  <si>
    <t>Apr</t>
  </si>
  <si>
    <t>Less than 8 Total</t>
  </si>
  <si>
    <t>2 P Calls</t>
  </si>
  <si>
    <t>Less than 1 OF</t>
  </si>
  <si>
    <t>Aug</t>
  </si>
  <si>
    <t>Less than 1 DR</t>
  </si>
  <si>
    <t>Sep</t>
  </si>
  <si>
    <t>Calls attended</t>
  </si>
  <si>
    <t>Less Than 3 FF</t>
  </si>
  <si>
    <t>Oct</t>
  </si>
  <si>
    <t>% To Date</t>
  </si>
  <si>
    <t>Less than 4 Total</t>
  </si>
  <si>
    <t>Nov</t>
  </si>
  <si>
    <t>1 P Calls</t>
  </si>
  <si>
    <t>Dec</t>
  </si>
  <si>
    <t>Needs Editing.</t>
  </si>
  <si>
    <t>F4370351</t>
  </si>
  <si>
    <t>PFA/Alarm Activation</t>
  </si>
  <si>
    <t>Fresh and Save Pukekohe 243-245 Manukau RD</t>
  </si>
  <si>
    <t>I</t>
  </si>
  <si>
    <t>Robbins</t>
  </si>
  <si>
    <t>F4370508</t>
  </si>
  <si>
    <t>MVC</t>
  </si>
  <si>
    <t>Waiuku RD/Eastern Drain RD</t>
  </si>
  <si>
    <t>Bell-Kainiu</t>
  </si>
  <si>
    <t>F4370687</t>
  </si>
  <si>
    <t>Medical</t>
  </si>
  <si>
    <t>Pukekohe Hospital</t>
  </si>
  <si>
    <t>Grant</t>
  </si>
  <si>
    <t>F4370895</t>
  </si>
  <si>
    <t>Drury school</t>
  </si>
  <si>
    <t>Josh</t>
  </si>
  <si>
    <t>F4371664</t>
  </si>
  <si>
    <t>Structure Fire</t>
  </si>
  <si>
    <t>114b Princes St</t>
  </si>
  <si>
    <t>Wood</t>
  </si>
  <si>
    <t>F4372291</t>
  </si>
  <si>
    <t>Bed Bath and Beyond Pukekohe. 132 Manukau RD</t>
  </si>
  <si>
    <t>F4372334</t>
  </si>
  <si>
    <t>Pukekohe High School, 14 Harris St</t>
  </si>
  <si>
    <t>F4372820</t>
  </si>
  <si>
    <t>Fire in Vicinity</t>
  </si>
  <si>
    <t>Anselmi Ridge Rd / Valley Rd</t>
  </si>
  <si>
    <t>Crystal</t>
  </si>
  <si>
    <t>F4373222</t>
  </si>
  <si>
    <t>Pukekohe Town Hall</t>
  </si>
  <si>
    <t>F4373454</t>
  </si>
  <si>
    <t>704 Harrisville Rd, Pukekohe East</t>
  </si>
  <si>
    <t>F4373630</t>
  </si>
  <si>
    <t>Vegetation Fire</t>
  </si>
  <si>
    <t xml:space="preserve">Runciman road Pukekohe east </t>
  </si>
  <si>
    <t>Vaughan</t>
  </si>
  <si>
    <t>F4373886</t>
  </si>
  <si>
    <t>309 Karaka</t>
  </si>
  <si>
    <t>F4374112</t>
  </si>
  <si>
    <t>66 Aka Aka road, Puni</t>
  </si>
  <si>
    <t xml:space="preserve">Evans </t>
  </si>
  <si>
    <t>F4374423</t>
  </si>
  <si>
    <t>Seddon Street Pukekohe</t>
  </si>
  <si>
    <t xml:space="preserve">Hoole </t>
  </si>
  <si>
    <t>New Image Group Paerata, 25 Crown RD</t>
  </si>
  <si>
    <t>F4374653</t>
  </si>
  <si>
    <t>Pita House Pakuranga. 2 Cortina Pl</t>
  </si>
  <si>
    <t>F4374662</t>
  </si>
  <si>
    <t>2 508 Massey Rd Mangere</t>
  </si>
  <si>
    <t>F4375186</t>
  </si>
  <si>
    <t>801 Paerata Rd, Wesley College Girls Dormitory</t>
  </si>
  <si>
    <t>Yates</t>
  </si>
  <si>
    <t>F4375200</t>
  </si>
  <si>
    <t>17 King St</t>
  </si>
  <si>
    <t>F4375593</t>
  </si>
  <si>
    <t>19 Perla Rd</t>
  </si>
  <si>
    <t>F4375614</t>
  </si>
  <si>
    <t>Wily Rd, Puni</t>
  </si>
  <si>
    <t>OCONNELL</t>
  </si>
  <si>
    <t>F4376964</t>
  </si>
  <si>
    <t>59b Kayes Road</t>
  </si>
  <si>
    <t xml:space="preserve">Grayson </t>
  </si>
  <si>
    <t>F4377042</t>
  </si>
  <si>
    <t>Pukekohe water treatment plant 148 Seddon St</t>
  </si>
  <si>
    <t>Hoole</t>
  </si>
  <si>
    <t>F4377473</t>
  </si>
  <si>
    <t>24 Wellington Street</t>
  </si>
  <si>
    <t>Ohare</t>
  </si>
  <si>
    <t>F4377502</t>
  </si>
  <si>
    <t>204 Pōkeno Road Pokeno</t>
  </si>
  <si>
    <t xml:space="preserve">Crystal </t>
  </si>
  <si>
    <t>24 Wellington St</t>
  </si>
  <si>
    <t xml:space="preserve">9 Wrightson Way Pukekohe </t>
  </si>
  <si>
    <t>F4377720</t>
  </si>
  <si>
    <t xml:space="preserve">22 Regis Park Drive Pukekohe </t>
  </si>
  <si>
    <t>F4377804</t>
  </si>
  <si>
    <t xml:space="preserve">5 Tokerau Crescent Pukekohe </t>
  </si>
  <si>
    <t>F4379101</t>
  </si>
  <si>
    <t xml:space="preserve">Person stuck in elevator </t>
  </si>
  <si>
    <t>Pukekohe Plaza, 5 Wesley st</t>
  </si>
  <si>
    <t>Moore</t>
  </si>
  <si>
    <t>F4379737</t>
  </si>
  <si>
    <t>Ringcutter</t>
  </si>
  <si>
    <t>24 Wellington st</t>
  </si>
  <si>
    <t>Butcher</t>
  </si>
  <si>
    <t>F4380173</t>
  </si>
  <si>
    <t>Palms Healthcare Resthome, 104 Harris St</t>
  </si>
  <si>
    <t>F4380952</t>
  </si>
  <si>
    <t xml:space="preserve">4 Rural view </t>
  </si>
  <si>
    <t>Bharat</t>
  </si>
  <si>
    <t>F4381371</t>
  </si>
  <si>
    <t>Child stuck in Swing</t>
  </si>
  <si>
    <t>Rosa Biich Park</t>
  </si>
  <si>
    <t>F4381439</t>
  </si>
  <si>
    <t>Paerata Rd</t>
  </si>
  <si>
    <t>Mayo</t>
  </si>
  <si>
    <t>F4382086</t>
  </si>
  <si>
    <t>107 Heights Road</t>
  </si>
  <si>
    <t>Grayson</t>
  </si>
  <si>
    <t>F4382367</t>
  </si>
  <si>
    <t xml:space="preserve">Wesley College </t>
  </si>
  <si>
    <t>Pritchard</t>
  </si>
  <si>
    <t>F4383700</t>
  </si>
  <si>
    <t xml:space="preserve">4 Manukau Rd </t>
  </si>
  <si>
    <t>KILLA</t>
  </si>
  <si>
    <t>F4383755</t>
  </si>
  <si>
    <t>Franklin Rd Pukekohe</t>
  </si>
  <si>
    <t>F4384164</t>
  </si>
  <si>
    <t xml:space="preserve">126 Muir RD Karaka </t>
  </si>
  <si>
    <t>F4384504</t>
  </si>
  <si>
    <t>23 Kitchener Road Waiuku</t>
  </si>
  <si>
    <t>Jelly</t>
  </si>
  <si>
    <t>F4384932</t>
  </si>
  <si>
    <t>5 Wesley Steet, Pukekohe</t>
  </si>
  <si>
    <t>F4385589</t>
  </si>
  <si>
    <t xml:space="preserve">6 Rata PL </t>
  </si>
  <si>
    <t>F4385679</t>
  </si>
  <si>
    <t>56B Needham RD Paerata</t>
  </si>
  <si>
    <t>F4385726</t>
  </si>
  <si>
    <t>Smoke in vicinity</t>
  </si>
  <si>
    <t>Kennelly Cres, Pukekohe</t>
  </si>
  <si>
    <t>Clarke</t>
  </si>
  <si>
    <t>F4385948</t>
  </si>
  <si>
    <t>Tree fallen on car</t>
  </si>
  <si>
    <t>East St, Pukekohe</t>
  </si>
  <si>
    <t>F4385987</t>
  </si>
  <si>
    <t>Powerline down 8 Princess St</t>
  </si>
  <si>
    <t>8 Princes st</t>
  </si>
  <si>
    <t>F4386116</t>
  </si>
  <si>
    <t>Mercer Mushrooms. 55 Morrison RD</t>
  </si>
  <si>
    <t>F4386138</t>
  </si>
  <si>
    <t>Kennelly Cr</t>
  </si>
  <si>
    <t>F4386708</t>
  </si>
  <si>
    <t>Best Start Paerata Rise 20 Jonah Lomu DR</t>
  </si>
  <si>
    <t>F4386879</t>
  </si>
  <si>
    <t xml:space="preserve">130-142 Queen St Pukekohe </t>
  </si>
  <si>
    <t xml:space="preserve">Chapman </t>
  </si>
  <si>
    <t>F4387207</t>
  </si>
  <si>
    <t xml:space="preserve">Smoke in Vicinity </t>
  </si>
  <si>
    <t>Kennelly Cr, Pukekohe</t>
  </si>
  <si>
    <t>F4387405</t>
  </si>
  <si>
    <t>43 Ostrich Farm Road</t>
  </si>
  <si>
    <t>Jon</t>
  </si>
  <si>
    <t>F4388251</t>
  </si>
  <si>
    <t>14 Emsworth act</t>
  </si>
  <si>
    <t>F4388263</t>
  </si>
  <si>
    <t>42 Birdwood Rd</t>
  </si>
  <si>
    <t>F4388923</t>
  </si>
  <si>
    <t>19b the glade south</t>
  </si>
  <si>
    <t>Maxwell</t>
  </si>
  <si>
    <t>F4389362</t>
  </si>
  <si>
    <t>HAZMAT</t>
  </si>
  <si>
    <t>2 Cranleigh Way Bombay</t>
  </si>
  <si>
    <t>F4389555</t>
  </si>
  <si>
    <t>12 Regis Park Dr</t>
  </si>
  <si>
    <t>F4389723</t>
  </si>
  <si>
    <t xml:space="preserve">Patumahoe Road., Patumahoe </t>
  </si>
  <si>
    <t>F4390369</t>
  </si>
  <si>
    <t>Fence on fire</t>
  </si>
  <si>
    <t>13 Birdwood Road</t>
  </si>
  <si>
    <t>F4390660</t>
  </si>
  <si>
    <t>Smoke in Vicinity</t>
  </si>
  <si>
    <t>Pollock Road</t>
  </si>
  <si>
    <t>F4390785</t>
  </si>
  <si>
    <t>Victoria St, Pukekohe</t>
  </si>
  <si>
    <t>F4390852</t>
  </si>
  <si>
    <t>303 Buckland rd</t>
  </si>
  <si>
    <t>F4391839</t>
  </si>
  <si>
    <t>Rescue</t>
  </si>
  <si>
    <t>12 14 Seaway Rd Clark’s beach</t>
  </si>
  <si>
    <t>F4391846</t>
  </si>
  <si>
    <t>232 Glenbrook road, Karaka</t>
  </si>
  <si>
    <t>F4392961</t>
  </si>
  <si>
    <t xml:space="preserve">25 king st, Pukekohe </t>
  </si>
  <si>
    <t>F4393539</t>
  </si>
  <si>
    <t xml:space="preserve">AK48 Southern Motorway Bombay </t>
  </si>
  <si>
    <t>F4394188</t>
  </si>
  <si>
    <t>Paerata rd</t>
  </si>
  <si>
    <t>Binnie</t>
  </si>
  <si>
    <t>F4395272</t>
  </si>
  <si>
    <t>Cinema 3 85 Edinburgh st</t>
  </si>
  <si>
    <t>Steeeeeley</t>
  </si>
  <si>
    <t>F4395281</t>
  </si>
  <si>
    <t>Nelson street</t>
  </si>
  <si>
    <t>Steeley</t>
  </si>
  <si>
    <t>F4395444</t>
  </si>
  <si>
    <t>118 Logan Road, Buckland</t>
  </si>
  <si>
    <t>F4395709</t>
  </si>
  <si>
    <t>Seddon Street</t>
  </si>
  <si>
    <t>F4396563</t>
  </si>
  <si>
    <t xml:space="preserve">Pukekohe Reformed Church, 2 Victoria Street Pukekohe </t>
  </si>
  <si>
    <t>F4396988</t>
  </si>
  <si>
    <t>13 Maurice Harding</t>
  </si>
  <si>
    <t>F4397792</t>
  </si>
  <si>
    <t>Smoke from building</t>
  </si>
  <si>
    <t>RSA Pukekohe - 17 Edinburgh St</t>
  </si>
  <si>
    <t>F4398157</t>
  </si>
  <si>
    <t>2289 Great South Rd Bombay</t>
  </si>
  <si>
    <t>F4398814</t>
  </si>
  <si>
    <t>96 Mauku Road Patumahoe</t>
  </si>
  <si>
    <t>F4398818</t>
  </si>
  <si>
    <t>80 Frederick Street Hillsborough Auckland</t>
  </si>
  <si>
    <t>F4398990</t>
  </si>
  <si>
    <t>Pukekohe east / Runciman road</t>
  </si>
  <si>
    <t>F4399006</t>
  </si>
  <si>
    <t>Yates Road Pukekohe</t>
  </si>
  <si>
    <t>Nick</t>
  </si>
  <si>
    <t>F4399021</t>
  </si>
  <si>
    <t>140 King Street</t>
  </si>
  <si>
    <t>F4399412</t>
  </si>
  <si>
    <t>24 Beatty Road</t>
  </si>
  <si>
    <t>F4399500</t>
  </si>
  <si>
    <t>182-196 Manukau Road, Pukekohe</t>
  </si>
  <si>
    <t>F4400292</t>
  </si>
  <si>
    <t>Pukekohe East RD/Bombay On Ramp</t>
  </si>
  <si>
    <t>F4403569</t>
  </si>
  <si>
    <t xml:space="preserve">Railway overbridge </t>
  </si>
  <si>
    <t>F4404204</t>
  </si>
  <si>
    <t>Assist public</t>
  </si>
  <si>
    <t>2B Hall St</t>
  </si>
  <si>
    <t>F44044177</t>
  </si>
  <si>
    <t>44-74</t>
  </si>
  <si>
    <t>Pak n save</t>
  </si>
  <si>
    <t>F4404543</t>
  </si>
  <si>
    <t>Corbett Road/Hart Road</t>
  </si>
  <si>
    <t>F4405121</t>
  </si>
  <si>
    <t xml:space="preserve">108 King street, Pukekohe </t>
  </si>
  <si>
    <t>Jason Court</t>
  </si>
  <si>
    <t>F4405166</t>
  </si>
  <si>
    <t xml:space="preserve">Waikato ExWy (SB) </t>
  </si>
  <si>
    <t>F4405482</t>
  </si>
  <si>
    <t>6 Svenden RD Pukekohe</t>
  </si>
  <si>
    <t>F4405783</t>
  </si>
  <si>
    <t>2 / 38 Botany Rd Botany downs</t>
  </si>
  <si>
    <t>Callum Reid</t>
  </si>
  <si>
    <t>F4406815</t>
  </si>
  <si>
    <t>Cameron town road</t>
  </si>
  <si>
    <t>Oconnell</t>
  </si>
  <si>
    <t>F4407125</t>
  </si>
  <si>
    <t>40 Cameron town road</t>
  </si>
  <si>
    <t>F4407219</t>
  </si>
  <si>
    <t xml:space="preserve">42-54 Nelson street, Pukekohe </t>
  </si>
  <si>
    <t>F4407222</t>
  </si>
  <si>
    <t xml:space="preserve">Rubbish Fire </t>
  </si>
  <si>
    <t>18 Buckville Road</t>
  </si>
  <si>
    <t>F4407847</t>
  </si>
  <si>
    <t>646 Glenbrook Rd kingseat</t>
  </si>
  <si>
    <t>F4407960</t>
  </si>
  <si>
    <t>Tōtara Road Bombay</t>
  </si>
  <si>
    <t>F4411014</t>
  </si>
  <si>
    <t>Car leaking fuel</t>
  </si>
  <si>
    <t>Bp Pukekohe, 76 Edinburgh Street</t>
  </si>
  <si>
    <t>Ravji</t>
  </si>
  <si>
    <t>F4411034</t>
  </si>
  <si>
    <t>Hole in Ground</t>
  </si>
  <si>
    <t>109 Logan Road</t>
  </si>
  <si>
    <t>F4411189</t>
  </si>
  <si>
    <t>20 Helland DR Bombay</t>
  </si>
  <si>
    <t>F4411191</t>
  </si>
  <si>
    <t>4 Yashili DR Pokeno</t>
  </si>
  <si>
    <t>F4411403</t>
  </si>
  <si>
    <t>Pukekohe Hill School</t>
  </si>
  <si>
    <t>F4412389</t>
  </si>
  <si>
    <t>801 Paerata Road</t>
  </si>
  <si>
    <t>F4412759</t>
  </si>
  <si>
    <t>Palms Lifecare</t>
  </si>
  <si>
    <t>F4412763</t>
  </si>
  <si>
    <t>Ring Cutter Required</t>
  </si>
  <si>
    <t>Pukekohe Fire Station</t>
  </si>
  <si>
    <t>F4412823</t>
  </si>
  <si>
    <t>Counties Fitness</t>
  </si>
  <si>
    <t>F4412866</t>
  </si>
  <si>
    <t>Water Leak</t>
  </si>
  <si>
    <t>136 Seddon Street</t>
  </si>
  <si>
    <t>F4413060</t>
  </si>
  <si>
    <t>43 Helvetia Road</t>
  </si>
  <si>
    <t>F4414541</t>
  </si>
  <si>
    <t xml:space="preserve">Laing Road, Karaka </t>
  </si>
  <si>
    <t>F4415412</t>
  </si>
  <si>
    <t>Browns Road Tuakau</t>
  </si>
  <si>
    <t>F4416069</t>
  </si>
  <si>
    <t>Tree Fire</t>
  </si>
  <si>
    <t xml:space="preserve">7 Glasgow Rd Pukekohe </t>
  </si>
  <si>
    <t>F4416268</t>
  </si>
  <si>
    <t>1/25 Childs Avenue</t>
  </si>
  <si>
    <t>F4416915</t>
  </si>
  <si>
    <t>2/36 Mason Ave pukekohe</t>
  </si>
  <si>
    <t>F4417241</t>
  </si>
  <si>
    <t>Fuse box sparking</t>
  </si>
  <si>
    <t>2/26 Mason Ave</t>
  </si>
  <si>
    <t>F4417261</t>
  </si>
  <si>
    <t xml:space="preserve">Smoke in vicinity </t>
  </si>
  <si>
    <t>Adam’s Road South</t>
  </si>
  <si>
    <t>F4417638</t>
  </si>
  <si>
    <t>93 Jamieson RD Buckland</t>
  </si>
  <si>
    <t>F4417687</t>
  </si>
  <si>
    <t xml:space="preserve">WK501 Waikato EXWY Great South Rd Bombay XStr Beaver Rd </t>
  </si>
  <si>
    <t>F4418031</t>
  </si>
  <si>
    <t>SH 1 Mercer</t>
  </si>
  <si>
    <t>F441867</t>
  </si>
  <si>
    <t>Paerata rise roundabout</t>
  </si>
  <si>
    <t>F4418547</t>
  </si>
  <si>
    <t xml:space="preserve">116-120 King Street, Pukekohe </t>
  </si>
  <si>
    <t>F4419173</t>
  </si>
  <si>
    <t>Rubbish Fire</t>
  </si>
  <si>
    <t>17 Moloney Tce, Pukekohe</t>
  </si>
  <si>
    <t>F4419834</t>
  </si>
  <si>
    <t>115 Aka aka Road Puni</t>
  </si>
  <si>
    <t>F4420026</t>
  </si>
  <si>
    <t xml:space="preserve">Patumahoe Rd/pollock Rd </t>
  </si>
  <si>
    <t>F4420113</t>
  </si>
  <si>
    <t>60a Cape Hill Road</t>
  </si>
  <si>
    <t xml:space="preserve">Darcy </t>
  </si>
  <si>
    <t>F4420366</t>
  </si>
  <si>
    <t>Lewis Rd, Karaka</t>
  </si>
  <si>
    <t>F4420684</t>
  </si>
  <si>
    <t>45B Landscape Rd, Pukekohe</t>
  </si>
  <si>
    <t>F4420802</t>
  </si>
  <si>
    <t>Princess Street</t>
  </si>
  <si>
    <t>F4421177</t>
  </si>
  <si>
    <t>18 Waller Rd Mauku</t>
  </si>
  <si>
    <t>F4421318</t>
  </si>
  <si>
    <t>Mvchevy</t>
  </si>
  <si>
    <t>F4421386</t>
  </si>
  <si>
    <t>Bombay Food and Berverage</t>
  </si>
  <si>
    <t>Muster Number</t>
  </si>
  <si>
    <t>Row</t>
  </si>
  <si>
    <t>Type</t>
  </si>
  <si>
    <t>In Attendance</t>
  </si>
  <si>
    <t>Leave</t>
  </si>
  <si>
    <t>Current Muster Number</t>
  </si>
  <si>
    <t>Next Muster Number</t>
  </si>
  <si>
    <t>Next Row Number</t>
  </si>
  <si>
    <t>Muster</t>
  </si>
  <si>
    <t>Fire Station</t>
  </si>
  <si>
    <t>L</t>
  </si>
  <si>
    <t>.</t>
  </si>
  <si>
    <t xml:space="preserve">Grant </t>
  </si>
  <si>
    <t>Meeting</t>
  </si>
  <si>
    <t>Response ID</t>
  </si>
  <si>
    <t>ROW</t>
  </si>
  <si>
    <t>Address</t>
  </si>
  <si>
    <t>SMS Task Done (Initial)</t>
  </si>
  <si>
    <t>GR</t>
  </si>
  <si>
    <t>JP</t>
  </si>
  <si>
    <t>N</t>
  </si>
  <si>
    <t>44-74 Queen St</t>
  </si>
  <si>
    <t>F4404177</t>
  </si>
  <si>
    <t>192 Union Road, Mauku</t>
  </si>
  <si>
    <t>Event Count</t>
  </si>
  <si>
    <t>Start time</t>
  </si>
  <si>
    <t>Email</t>
  </si>
  <si>
    <t>SO Darryn Pritchard</t>
  </si>
  <si>
    <t>SO Rhys Thomas</t>
  </si>
  <si>
    <t>SFF Samuel Vivian</t>
  </si>
  <si>
    <t>SFF Amy Devereaux</t>
  </si>
  <si>
    <t>SFF Jon White</t>
  </si>
  <si>
    <t>QFF Rueben Dodd</t>
  </si>
  <si>
    <t>QFF Jonno Ryan</t>
  </si>
  <si>
    <t>QFF Rafael Nazareth</t>
  </si>
  <si>
    <t>QFF Melissa Jones</t>
  </si>
  <si>
    <t>FF Ben Killgour</t>
  </si>
  <si>
    <t>FF Dallas Steele</t>
  </si>
  <si>
    <t>FF Braith Halliday</t>
  </si>
  <si>
    <t>FF Nick Grayson</t>
  </si>
  <si>
    <t>FF Jason Court</t>
  </si>
  <si>
    <t>FF Lee-Roy Staunton</t>
  </si>
  <si>
    <t>FF Crystal-Lee McConchie</t>
  </si>
  <si>
    <t>RFF Mitch Court</t>
  </si>
  <si>
    <t>RFF James O'Hare</t>
  </si>
  <si>
    <t>RFF Kaitlyn Evans</t>
  </si>
  <si>
    <t>RFF Jamie Moore2</t>
  </si>
  <si>
    <t>RFF Torrens Butcher</t>
  </si>
  <si>
    <t>RFF Matt Humber</t>
  </si>
  <si>
    <t>Enter name of person submitting this form:2</t>
  </si>
  <si>
    <t>RFF Jamie Moore</t>
  </si>
  <si>
    <t>Enter name of person submitting this form:</t>
  </si>
  <si>
    <t>FF Crystal-Lee McConchie*</t>
  </si>
  <si>
    <t>RFF James O'Hare*</t>
  </si>
  <si>
    <t>RFF Leone Humber*</t>
  </si>
  <si>
    <t>Display Name</t>
  </si>
  <si>
    <t>Rank</t>
  </si>
  <si>
    <t>First Name</t>
  </si>
  <si>
    <t>Last Name</t>
  </si>
  <si>
    <t>CFO</t>
  </si>
  <si>
    <t>John</t>
  </si>
  <si>
    <t>Robinson</t>
  </si>
  <si>
    <t>John.Robinson@fireandemergency.nz</t>
  </si>
  <si>
    <t>DCFO</t>
  </si>
  <si>
    <t>Bharat.Ravji@fireandemergency.nz</t>
  </si>
  <si>
    <t>SSO</t>
  </si>
  <si>
    <t>Darcy</t>
  </si>
  <si>
    <t>Hart</t>
  </si>
  <si>
    <t>Darcy.Hart@fireandemergency.nz</t>
  </si>
  <si>
    <t>Vaughan.Wood@fireandemergency.nz</t>
  </si>
  <si>
    <t>SO</t>
  </si>
  <si>
    <t>Richard</t>
  </si>
  <si>
    <t>Jellyman</t>
  </si>
  <si>
    <t>Richard.Jellyman@fireandemergency.nz</t>
  </si>
  <si>
    <t>Irving</t>
  </si>
  <si>
    <t>Richard.Irving@fireandemergency.nz</t>
  </si>
  <si>
    <t>Darryn</t>
  </si>
  <si>
    <t>Darryn.Pritchard@fireandemergency.nz</t>
  </si>
  <si>
    <t>White</t>
  </si>
  <si>
    <t>Jon.White@fireandemergency.nz</t>
  </si>
  <si>
    <t>SFF</t>
  </si>
  <si>
    <t>Brody</t>
  </si>
  <si>
    <t>Brody.Jellyman@fireandemergency.nz</t>
  </si>
  <si>
    <t>Brent</t>
  </si>
  <si>
    <t>Reynolds</t>
  </si>
  <si>
    <t>Brent.Reynolds@fireandemergency.nz</t>
  </si>
  <si>
    <t>Joseph</t>
  </si>
  <si>
    <t>O'Neill-Gregory</t>
  </si>
  <si>
    <t>Joseph.O'Neill-Gregory@fireandemergency.nz</t>
  </si>
  <si>
    <t>Robertson</t>
  </si>
  <si>
    <t>Grant.Robertson@fireandemergency.nz</t>
  </si>
  <si>
    <t>William</t>
  </si>
  <si>
    <t>O'Connell</t>
  </si>
  <si>
    <t>William.O'Connell@fireandemergency.nz</t>
  </si>
  <si>
    <t>Robert</t>
  </si>
  <si>
    <t>Robert.Mayo@fireandemergency.nz</t>
  </si>
  <si>
    <t>QFF</t>
  </si>
  <si>
    <t>Symon</t>
  </si>
  <si>
    <t>Symon.Maxwell@fireandemergency.nz</t>
  </si>
  <si>
    <t>Ian</t>
  </si>
  <si>
    <t>Chapman</t>
  </si>
  <si>
    <t>Ian.Chapman@fireandemergency.nz</t>
  </si>
  <si>
    <t>Melanie</t>
  </si>
  <si>
    <t>Melanie.Yates@fireandemergency.nz</t>
  </si>
  <si>
    <t>Maree</t>
  </si>
  <si>
    <t>Primrose</t>
  </si>
  <si>
    <t>Maree.Primrose@fireandemergency.nz</t>
  </si>
  <si>
    <t>Russell</t>
  </si>
  <si>
    <t>Russell.Clarke@fireandemergency.nz</t>
  </si>
  <si>
    <t>Andrew</t>
  </si>
  <si>
    <t>Bond</t>
  </si>
  <si>
    <t>Andrew.Bond@fireandemergency.nz</t>
  </si>
  <si>
    <t>Alan</t>
  </si>
  <si>
    <t>Alan.Binnie2@fireandemergency.nz</t>
  </si>
  <si>
    <t>Pennefather</t>
  </si>
  <si>
    <t>Josh.Pennefather@fireandemergency.nz</t>
  </si>
  <si>
    <t>Ben</t>
  </si>
  <si>
    <t>Killgour</t>
  </si>
  <si>
    <t>Ben.Killgour@fireandemergency.nz</t>
  </si>
  <si>
    <t>Dallas</t>
  </si>
  <si>
    <t>Steele</t>
  </si>
  <si>
    <t>Dallas.Steele@fireandemergency.nz</t>
  </si>
  <si>
    <t>Nick.Grayson@fireandemergency.nz</t>
  </si>
  <si>
    <t>Jason</t>
  </si>
  <si>
    <t>Court</t>
  </si>
  <si>
    <t>Jason.Court@fireandemergency.nz</t>
  </si>
  <si>
    <t>Crystal-Lee</t>
  </si>
  <si>
    <t>McConchie</t>
  </si>
  <si>
    <t>Crystal-Lee.McConchie@fireandemergency.nz</t>
  </si>
  <si>
    <t>Jimmy</t>
  </si>
  <si>
    <t>Doyle</t>
  </si>
  <si>
    <t>Jimmy.Doyle@fireandemergency.nz</t>
  </si>
  <si>
    <t>Dimmy</t>
  </si>
  <si>
    <t>Dimmy.Bell-Kainiu@fireandemergency.nz</t>
  </si>
  <si>
    <t>Mitch</t>
  </si>
  <si>
    <t>Mitch.Court@fireandemergency.nz</t>
  </si>
  <si>
    <t>Jamie</t>
  </si>
  <si>
    <t>O'Hare</t>
  </si>
  <si>
    <t>Jamie.O'Hare@fireandemergency.nz</t>
  </si>
  <si>
    <t>Kaitlyn</t>
  </si>
  <si>
    <t>Evans</t>
  </si>
  <si>
    <t>Kaitlyn.Evans@fireandemergency.nz</t>
  </si>
  <si>
    <t>Jaime.Moore@fireandemergency.nz</t>
  </si>
  <si>
    <t>Torrens</t>
  </si>
  <si>
    <t>Torrens.Butcher@fireandemergency.nz</t>
  </si>
  <si>
    <t>Matt</t>
  </si>
  <si>
    <t>Humber</t>
  </si>
  <si>
    <t>Matt.Humber@fireandemergency.nz</t>
  </si>
  <si>
    <t>RFF</t>
  </si>
  <si>
    <t>Leone</t>
  </si>
  <si>
    <t>Leone.Humber@fireandemergency.nz</t>
  </si>
  <si>
    <t>Joel</t>
  </si>
  <si>
    <t>Joel.Robbins@fireandemergency.nz</t>
  </si>
  <si>
    <t>Tracey</t>
  </si>
  <si>
    <t>Brownlee</t>
  </si>
  <si>
    <t>Tracey.Brownlee@fireandemergency.nz</t>
  </si>
  <si>
    <t>Sacha</t>
  </si>
  <si>
    <t>Sacha.Hoole@fireandemergency.nz</t>
  </si>
  <si>
    <t>Callum</t>
  </si>
  <si>
    <t>Reid</t>
  </si>
  <si>
    <t>Callum.Reid2@fireandemergency.nz</t>
  </si>
  <si>
    <t>Jack</t>
  </si>
  <si>
    <t>Piggott-Newton</t>
  </si>
  <si>
    <t>Caleb</t>
  </si>
  <si>
    <t>Wanhill</t>
  </si>
  <si>
    <t>QFF Hendri de Bruin</t>
  </si>
  <si>
    <t>F4421656</t>
  </si>
  <si>
    <t>Valley school 42 East Street</t>
  </si>
  <si>
    <t>Titi Rd, Mauku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</si>
</sst>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;&quot;0&quot;"/>
    <numFmt numFmtId="165" formatCode="m/d/yy\ h:mm:ss\ AM/PM"/>
    <numFmt numFmtId="166" formatCode="mmmm"/>
    <numFmt numFmtId="167" formatCode="d/m/yy\ h:mm:ss\ AM/PM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rgb="FFDDEBF7"/>
      </patternFill>
    </fill>
    <fill>
      <patternFill patternType="solid">
        <fgColor theme="0" tint="-0.249977111117893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FFEB9C"/>
        <bgColor rgb="FF000000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textRotation="90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textRotation="90"/>
    </xf>
    <xf numFmtId="14" fontId="2" fillId="0" borderId="0" xfId="0" applyNumberFormat="1" applyFont="1" applyAlignment="1">
      <alignment horizontal="center" vertical="center" textRotation="90"/>
    </xf>
    <xf numFmtId="14" fontId="0" fillId="0" borderId="0" xfId="0" applyNumberFormat="1"/>
    <xf numFmtId="0" fontId="1" fillId="2" borderId="0" xfId="0" applyFont="1" applyFill="1" applyAlignment="1">
      <alignment horizontal="right" vertical="center"/>
    </xf>
    <xf numFmtId="14" fontId="1" fillId="2" borderId="0" xfId="0" applyNumberFormat="1" applyFont="1" applyFill="1" applyAlignment="1">
      <alignment horizontal="right" vertic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7" borderId="0" xfId="0" applyFill="1"/>
    <xf numFmtId="0" fontId="1" fillId="2" borderId="3" xfId="0" applyFont="1" applyFill="1" applyBorder="1"/>
    <xf numFmtId="0" fontId="3" fillId="0" borderId="4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right" vertical="center"/>
    </xf>
    <xf numFmtId="14" fontId="4" fillId="3" borderId="2" xfId="0" applyNumberFormat="1" applyFont="1" applyFill="1" applyBorder="1" applyAlignment="1">
      <alignment horizontal="center" vertical="center" textRotation="90"/>
    </xf>
    <xf numFmtId="164" fontId="3" fillId="3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textRotation="90"/>
    </xf>
    <xf numFmtId="1" fontId="2" fillId="7" borderId="0" xfId="0" applyNumberFormat="1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0" fontId="0" fillId="5" borderId="0" xfId="0" applyFill="1"/>
    <xf numFmtId="164" fontId="3" fillId="6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1" fillId="2" borderId="7" xfId="0" applyFont="1" applyFill="1" applyBorder="1"/>
    <xf numFmtId="164" fontId="3" fillId="3" borderId="6" xfId="0" applyNumberFormat="1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7" borderId="0" xfId="0" applyFill="1" applyAlignment="1">
      <alignment horizontal="center" vertical="center"/>
    </xf>
    <xf numFmtId="14" fontId="0" fillId="9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textRotation="90" wrapText="1"/>
    </xf>
    <xf numFmtId="165" fontId="0" fillId="0" borderId="0" xfId="0" applyNumberFormat="1"/>
    <xf numFmtId="164" fontId="3" fillId="0" borderId="6" xfId="0" applyNumberFormat="1" applyFont="1" applyBorder="1" applyAlignment="1">
      <alignment horizontal="center"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6" fillId="0" borderId="4" xfId="0" applyFont="1" applyBorder="1"/>
    <xf numFmtId="0" fontId="6" fillId="0" borderId="3" xfId="0" applyFont="1" applyBorder="1"/>
    <xf numFmtId="0" fontId="6" fillId="0" borderId="8" xfId="0" applyFont="1" applyBorder="1"/>
    <xf numFmtId="0" fontId="6" fillId="0" borderId="7" xfId="0" applyFont="1" applyBorder="1"/>
    <xf numFmtId="0" fontId="7" fillId="0" borderId="10" xfId="1" applyFill="1" applyBorder="1"/>
    <xf numFmtId="0" fontId="7" fillId="0" borderId="10" xfId="1" applyBorder="1"/>
    <xf numFmtId="1" fontId="2" fillId="5" borderId="0" xfId="0" applyNumberFormat="1" applyFont="1" applyFill="1"/>
    <xf numFmtId="1" fontId="0" fillId="5" borderId="0" xfId="0" applyNumberFormat="1" applyFill="1" applyAlignment="1">
      <alignment horizontal="center" vertical="center"/>
    </xf>
    <xf numFmtId="164" fontId="3" fillId="10" borderId="6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0" fontId="7" fillId="0" borderId="7" xfId="1" applyBorder="1"/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textRotation="90"/>
    </xf>
    <xf numFmtId="164" fontId="0" fillId="0" borderId="2" xfId="0" applyNumberFormat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164" fontId="3" fillId="7" borderId="8" xfId="0" applyNumberFormat="1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 textRotation="90"/>
    </xf>
    <xf numFmtId="0" fontId="3" fillId="4" borderId="4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9" borderId="0" xfId="0" applyFont="1" applyFill="1"/>
    <xf numFmtId="164" fontId="0" fillId="8" borderId="2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0" fillId="0" borderId="0" xfId="0" applyNumberFormat="1"/>
    <xf numFmtId="14" fontId="2" fillId="0" borderId="0" xfId="0" applyNumberFormat="1" applyFont="1"/>
    <xf numFmtId="0" fontId="2" fillId="0" borderId="0" xfId="0" applyFont="1" applyAlignment="1">
      <alignment wrapText="1"/>
    </xf>
    <xf numFmtId="20" fontId="0" fillId="0" borderId="0" xfId="0" applyNumberFormat="1"/>
    <xf numFmtId="0" fontId="1" fillId="12" borderId="1" xfId="0" applyFont="1" applyFill="1" applyBorder="1" applyAlignment="1">
      <alignment textRotation="90"/>
    </xf>
    <xf numFmtId="164" fontId="0" fillId="6" borderId="6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11" fillId="0" borderId="0" xfId="0" applyFont="1"/>
    <xf numFmtId="14" fontId="10" fillId="0" borderId="0" xfId="0" applyNumberFormat="1" applyFont="1"/>
    <xf numFmtId="0" fontId="9" fillId="0" borderId="0" xfId="0" applyFont="1" applyAlignment="1">
      <alignment wrapText="1"/>
    </xf>
    <xf numFmtId="14" fontId="8" fillId="0" borderId="0" xfId="0" applyNumberFormat="1" applyFont="1"/>
    <xf numFmtId="20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7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9" fontId="0" fillId="0" borderId="0" xfId="2" applyFont="1" applyAlignment="1">
      <alignment horizontal="left" vertical="center"/>
    </xf>
    <xf numFmtId="1" fontId="3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wrapText="1"/>
    </xf>
    <xf numFmtId="166" fontId="0" fillId="0" borderId="0" xfId="0" applyNumberFormat="1"/>
    <xf numFmtId="1" fontId="0" fillId="0" borderId="0" xfId="0" applyNumberFormat="1"/>
    <xf numFmtId="0" fontId="6" fillId="0" borderId="0" xfId="0" applyFont="1"/>
    <xf numFmtId="1" fontId="13" fillId="0" borderId="0" xfId="0" applyNumberFormat="1" applyFont="1"/>
    <xf numFmtId="0" fontId="2" fillId="7" borderId="2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textRotation="90" wrapText="1"/>
    </xf>
    <xf numFmtId="0" fontId="3" fillId="0" borderId="4" xfId="0" applyFont="1" applyBorder="1"/>
    <xf numFmtId="0" fontId="3" fillId="4" borderId="4" xfId="0" applyFont="1" applyFill="1" applyBorder="1"/>
    <xf numFmtId="164" fontId="3" fillId="3" borderId="2" xfId="0" applyNumberFormat="1" applyFont="1" applyFill="1" applyBorder="1"/>
    <xf numFmtId="1" fontId="4" fillId="7" borderId="4" xfId="0" applyNumberFormat="1" applyFont="1" applyFill="1" applyBorder="1"/>
    <xf numFmtId="164" fontId="3" fillId="0" borderId="2" xfId="0" applyNumberFormat="1" applyFont="1" applyBorder="1"/>
    <xf numFmtId="1" fontId="3" fillId="0" borderId="4" xfId="0" applyNumberFormat="1" applyFont="1" applyBorder="1"/>
    <xf numFmtId="0" fontId="3" fillId="3" borderId="1" xfId="0" applyFont="1" applyFill="1" applyBorder="1"/>
    <xf numFmtId="0" fontId="3" fillId="0" borderId="1" xfId="0" applyFont="1" applyBorder="1"/>
    <xf numFmtId="1" fontId="2" fillId="5" borderId="0" xfId="0" applyNumberFormat="1" applyFont="1" applyFill="1" applyAlignment="1">
      <alignment wrapText="1"/>
    </xf>
    <xf numFmtId="0" fontId="7" fillId="0" borderId="3" xfId="1" applyBorder="1"/>
    <xf numFmtId="164" fontId="3" fillId="11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textRotation="90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textRotation="90"/>
    </xf>
    <xf numFmtId="0" fontId="2" fillId="0" borderId="0" xfId="0" applyFont="1" applyAlignment="1">
      <alignment horizontal="center" vertical="top" textRotation="90"/>
    </xf>
    <xf numFmtId="1" fontId="0" fillId="0" borderId="0" xfId="0" applyNumberFormat="1" applyAlignment="1">
      <alignment horizontal="center" textRotation="90" wrapText="1"/>
    </xf>
    <xf numFmtId="0" fontId="2" fillId="0" borderId="0" xfId="2" applyNumberFormat="1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9" fontId="12" fillId="0" borderId="0" xfId="2" applyFont="1" applyAlignment="1">
      <alignment horizontal="left" vertical="center"/>
    </xf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horizontal="right" vertical="center" textRotation="90"/>
    </xf>
    <xf numFmtId="0" fontId="2" fillId="0" borderId="0" xfId="0" applyFont="1" applyAlignment="1">
      <alignment horizontal="right" vertical="center" textRotation="90"/>
    </xf>
    <xf numFmtId="0" fontId="0" fillId="0" borderId="0" xfId="0" applyAlignment="1">
      <alignment horizontal="left" vertical="center" textRotation="90"/>
    </xf>
    <xf numFmtId="0" fontId="2" fillId="0" borderId="0" xfId="2" applyNumberFormat="1" applyFont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  <xf numFmtId="0" fontId="2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" fontId="0" fillId="0" borderId="0" xfId="2" applyNumberFormat="1" applyFont="1" applyAlignment="1">
      <alignment horizontal="left" vertical="center"/>
    </xf>
    <xf numFmtId="0" fontId="7" fillId="0" borderId="3" xfId="1" applyFill="1" applyBorder="1"/>
    <xf numFmtId="0" fontId="3" fillId="8" borderId="4" xfId="0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164" fontId="3" fillId="6" borderId="6" xfId="0" applyNumberFormat="1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0" fillId="0" borderId="0" xfId="0" applyNumberFormat="1" applyAlignment="1">
      <alignment horizontal="right" vertical="center" textRotation="90"/>
    </xf>
    <xf numFmtId="1" fontId="2" fillId="0" borderId="0" xfId="0" applyNumberFormat="1" applyFont="1" applyAlignment="1">
      <alignment horizontal="right" vertical="center" textRotation="90"/>
    </xf>
    <xf numFmtId="1" fontId="2" fillId="0" borderId="0" xfId="2" applyNumberFormat="1" applyFont="1" applyAlignment="1">
      <alignment horizontal="left" vertical="center"/>
    </xf>
    <xf numFmtId="1" fontId="2" fillId="0" borderId="0" xfId="2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0" fillId="7" borderId="0" xfId="0" applyNumberFormat="1" applyFill="1" applyAlignment="1">
      <alignment horizontal="center" vertical="center"/>
    </xf>
    <xf numFmtId="164" fontId="0" fillId="10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3" fillId="8" borderId="6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0" fontId="1" fillId="2" borderId="11" xfId="0" applyFont="1" applyFill="1" applyBorder="1"/>
    <xf numFmtId="0" fontId="3" fillId="15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9" fontId="14" fillId="16" borderId="5" xfId="0" applyNumberFormat="1" applyFont="1" applyFill="1" applyBorder="1" applyAlignment="1">
      <alignment horizontal="center" vertical="center"/>
    </xf>
    <xf numFmtId="0" fontId="6" fillId="0" borderId="7" xfId="1" applyFont="1" applyFill="1" applyBorder="1"/>
    <xf numFmtId="166" fontId="0" fillId="0" borderId="0" xfId="0" applyNumberFormat="1" applyAlignment="1">
      <alignment horizontal="left" vertical="center" wrapText="1"/>
    </xf>
    <xf numFmtId="9" fontId="15" fillId="0" borderId="0" xfId="2" applyFont="1" applyFill="1" applyAlignment="1">
      <alignment horizontal="center" vertical="center"/>
    </xf>
    <xf numFmtId="9" fontId="15" fillId="0" borderId="0" xfId="2" applyFont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wrapText="1"/>
    </xf>
    <xf numFmtId="0" fontId="0" fillId="0" borderId="0" xfId="0" applyNumberFormat="1" applyFill="1" applyAlignment="1"/>
    <xf numFmtId="167" fontId="0" fillId="0" borderId="0" xfId="0" applyNumberFormat="1" applyFill="1" applyAlignment="1"/>
    <xf numFmtId="20" fontId="0" fillId="0" borderId="0" xfId="0" applyNumberFormat="1" applyFill="1" applyAlignment="1"/>
    <xf numFmtId="14" fontId="0" fillId="0" borderId="0" xfId="0" applyNumberFormat="1" applyFill="1" applyAlignment="1"/>
    <xf numFmtId="0" fontId="0" fillId="0" borderId="0" xfId="0" applyNumberFormat="1" applyFill="1"/>
    <xf numFmtId="0" fontId="0" fillId="0" borderId="0" xfId="0" applyNumberFormat="1" applyFill="1" applyAlignment="1">
      <alignment wrapText="1"/>
    </xf>
    <xf numFmtId="166" fontId="0" fillId="0" borderId="0" xfId="0" applyNumberFormat="1" applyFill="1" applyAlignment="1">
      <alignment horizontal="left" vertical="center" wrapText="1"/>
    </xf>
    <xf numFmtId="14" fontId="0" fillId="0" borderId="0" xfId="0" applyNumberFormat="1" applyFill="1"/>
    <xf numFmtId="1" fontId="0" fillId="0" borderId="0" xfId="0" applyNumberFormat="1" applyFill="1"/>
    <xf numFmtId="0" fontId="0" fillId="0" borderId="0" xfId="0" applyNumberForma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Fill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4" fillId="9" borderId="0" xfId="0" applyFont="1" applyFill="1" applyAlignment="1"/>
    <xf numFmtId="0" fontId="4" fillId="9" borderId="9" xfId="0" applyFont="1" applyFill="1" applyBorder="1" applyAlignment="1"/>
    <xf numFmtId="0" fontId="6" fillId="0" borderId="8" xfId="0" applyFont="1" applyFill="1" applyBorder="1"/>
    <xf numFmtId="0" fontId="6" fillId="0" borderId="7" xfId="0" applyFont="1" applyFill="1" applyBorder="1"/>
    <xf numFmtId="164" fontId="3" fillId="5" borderId="2" xfId="0" applyNumberFormat="1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99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/mm/yyyy"/>
    </dxf>
    <dxf>
      <numFmt numFmtId="19" formatCode="d/mm/yyyy"/>
    </dxf>
    <dxf>
      <font>
        <b/>
        <i val="0"/>
      </font>
    </dxf>
    <dxf>
      <fill>
        <patternFill>
          <bgColor rgb="FFFFC000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</font>
    </dxf>
    <dxf>
      <font>
        <color rgb="FF00B0F0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gradientFill>
          <stop position="0">
            <color rgb="FFF00000"/>
          </stop>
          <stop position="1">
            <color rgb="FF00B050"/>
          </stop>
        </gradient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9BC2E6"/>
        </left>
        <right/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9BC2E6"/>
        </top>
        <bottom style="thin">
          <color rgb="FF9BC2E6"/>
        </bottom>
      </border>
    </dxf>
    <dxf>
      <border outline="0">
        <top style="thin">
          <color rgb="FF9BC2E6"/>
        </top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5" formatCode="m/d/yy\ h:mm:ss\ AM/PM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19" formatCode="d/mm/yyyy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5" formatCode="m/d/yy\ h:mm:ss\ AM/PM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m/d/yy\ h:mm:ss\ AM/P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9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/mm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90" wrapText="0" indent="0" justifyLastLine="0" shrinkToFit="0" readingOrder="0"/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66" formatCode="mmmm"/>
    </dxf>
    <dxf>
      <numFmt numFmtId="19" formatCode="d/mm/yyyy"/>
      <fill>
        <patternFill patternType="none">
          <bgColor auto="1"/>
        </patternFill>
      </fill>
    </dxf>
    <dxf>
      <numFmt numFmtId="165" formatCode="m/d/yy\ h:mm:ss\ AM/PM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</dxf>
    <dxf>
      <alignment horizontal="general" vertical="bottom" textRotation="9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bgColor auto="1"/>
        </patternFill>
      </fill>
    </dxf>
    <dxf>
      <numFmt numFmtId="19" formatCode="d/mm/yyyy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" formatCode="0"/>
      <alignment horizontal="left" vertical="center" textRotation="0" wrapText="1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</dxf>
    <dxf>
      <numFmt numFmtId="166" formatCode="mmmm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9" formatCode="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5" formatCode="h:mm"/>
    </dxf>
    <dxf>
      <numFmt numFmtId="25" formatCode="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7" formatCode="d/m/yy\ h:mm:ss\ AM/PM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alignment horizontal="general" vertical="bottom" textRotation="0" wrapText="0" indent="0" justifyLastLine="0" shrinkToFit="0" readingOrder="0"/>
    </dxf>
    <dxf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&quot;0&quot;"/>
      <fill>
        <patternFill patternType="solid">
          <fgColor theme="4" tint="0.79998168889431442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#,##0;&quot;0&quot;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#,##0;&quot;0&quot;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#,##0;&quot;0&quot;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 xr9:uid="{18CC8777-1ECE-4B97-8ECB-A06C2399E548}">
      <tableStyleElement type="wholeTable" dxfId="997"/>
      <tableStyleElement type="headerRow" dxfId="996"/>
      <tableStyleElement type="totalRow" dxfId="995"/>
      <tableStyleElement type="firstColumn" dxfId="994"/>
      <tableStyleElement type="lastColumn" dxfId="993"/>
      <tableStyleElement type="firstRowStripe" dxfId="992"/>
      <tableStyleElement type="firstColumnStripe" dxfId="991"/>
    </tableStyle>
  </tableStyles>
  <colors>
    <mruColors>
      <color rgb="FF66FF33"/>
      <color rgb="FFF0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nnefather, Josh" id="{A7200EB9-2D13-4A07-9871-D7EE2E6B6357}" userId="S::Josh.Pennefather@fireandemergency.nz::9ae8d934-2051-4714-abcb-7b440d108e1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46D040-7DB7-47C0-9DD4-D7FCD6143A5E}" name="Summary23" displayName="Summary23" ref="A1:AM47" headerRowCount="0" totalsRowShown="0">
  <tableColumns count="39">
    <tableColumn id="1" xr3:uid="{039FF28D-E15F-451C-A70F-E74ED2A9FEAB}" name="Names" headerRowDxfId="990" dataDxfId="989"/>
    <tableColumn id="4" xr3:uid="{286F3729-7465-43A6-9BE0-7A2CFF74AF0D}" name="Column4"/>
    <tableColumn id="3" xr3:uid="{CF275C94-205B-40EF-9CBB-C4D52A3D96C7}" name="Column3" dataDxfId="988"/>
    <tableColumn id="2" xr3:uid="{9B654342-F339-4248-A082-7F4117EC76B2}" name="Column2" dataDxfId="987"/>
    <tableColumn id="5" xr3:uid="{61898756-44BC-43DA-822B-F398A82ACC4C}" name="Column5"/>
    <tableColumn id="6" xr3:uid="{8F4243FD-95A3-4C9C-9D76-98B379C377BE}" name="Column6"/>
    <tableColumn id="7" xr3:uid="{F90BCB3E-9D41-4280-86C6-0BD4FFD59954}" name="Column7"/>
    <tableColumn id="8" xr3:uid="{4030547B-7B16-49D3-8BB9-D26A4C4652EA}" name="Column8"/>
    <tableColumn id="9" xr3:uid="{9D89C8C8-48BC-4655-A823-323A6D0ABEBA}" name="Column9"/>
    <tableColumn id="13" xr3:uid="{C66FF1A9-230A-4015-ABCE-8C0CF28ACC8A}" name="Column92" dataDxfId="986">
      <calculatedColumnFormula>SUM(B2:I2)</calculatedColumnFormula>
    </tableColumn>
    <tableColumn id="10" xr3:uid="{0F15D9E4-42DB-4540-944F-3F90FF80EFB8}" name="Column10"/>
    <tableColumn id="11" xr3:uid="{151C1E9A-85C4-4F01-AAD9-2B3D2C99A5E8}" name="Column1"/>
    <tableColumn id="12" xr3:uid="{C31E44EC-EB80-4075-AE71-947A4D816112}" name="Column11"/>
    <tableColumn id="14" xr3:uid="{8F84BFFE-80A3-4ED0-A518-0CCEA2FB375A}" name="Column12"/>
    <tableColumn id="15" xr3:uid="{D5C1FBE9-9763-4B08-90FF-45C8D4DC1B64}" name="Column13"/>
    <tableColumn id="16" xr3:uid="{B562B820-6822-42A2-A943-E0D4AD396717}" name="Column14"/>
    <tableColumn id="17" xr3:uid="{88973808-0B5A-485F-AF70-6A80F278EC33}" name="Column15"/>
    <tableColumn id="18" xr3:uid="{80F93D4D-A4DD-424A-990A-A10CC9335877}" name="Column16" dataDxfId="985"/>
    <tableColumn id="19" xr3:uid="{DC7A0E98-5DEF-40A8-B87D-BFC6B23737E8}" name="Column17"/>
    <tableColumn id="20" xr3:uid="{4FC2B321-F0F8-4542-B0D5-5EE478EF46ED}" name="Column18"/>
    <tableColumn id="21" xr3:uid="{8DF233A2-B9E9-430B-9E09-E79558FE1047}" name="Column19" dataDxfId="984"/>
    <tableColumn id="22" xr3:uid="{E6F04AD4-1CAC-4104-B8A7-714636B77A5D}" name="Column20" dataDxfId="983"/>
    <tableColumn id="23" xr3:uid="{E2DB9AF6-F6F9-4185-A278-067A397C9C60}" name="Column21" dataDxfId="982"/>
    <tableColumn id="24" xr3:uid="{6D3E4FD1-BC35-4370-AAF9-977E009E12C1}" name="Column22" dataDxfId="981"/>
    <tableColumn id="25" xr3:uid="{9FC140E5-2850-45D3-923B-EC26DD2D4AD8}" name="Column23" dataDxfId="980"/>
    <tableColumn id="26" xr3:uid="{2685093B-5E00-4CFB-83F8-AC96EB7605C9}" name="Column24" dataDxfId="979"/>
    <tableColumn id="27" xr3:uid="{C26B2A2D-87FC-40A9-ADFD-09F40F493223}" name="Column25" dataDxfId="978"/>
    <tableColumn id="28" xr3:uid="{B89A767F-3952-4073-AEA1-25A8C1C8D59E}" name="Column26" dataDxfId="977"/>
    <tableColumn id="29" xr3:uid="{A5A0C598-61BC-4D44-815D-6A8007C84ACD}" name="Column27" dataDxfId="976"/>
    <tableColumn id="30" xr3:uid="{17266E5C-3873-4DB2-9AED-D200BA19040F}" name="Column28" dataDxfId="975"/>
    <tableColumn id="31" xr3:uid="{6BD5DCB3-7678-4D20-9490-D6A42830CF85}" name="Column29" dataDxfId="974"/>
    <tableColumn id="32" xr3:uid="{A96DB585-66D0-4BE3-8F13-60E9378D115C}" name="Column30" dataDxfId="973"/>
    <tableColumn id="33" xr3:uid="{50DDB9D5-5DD2-4CC2-BD20-59E866C91921}" name="Column31" dataDxfId="972"/>
    <tableColumn id="34" xr3:uid="{31B82DCA-B0EC-47C9-957F-F0F40B183E8E}" name="Column32" dataDxfId="971"/>
    <tableColumn id="35" xr3:uid="{6818DEC2-6C11-4240-9ADC-94C15AFADB7F}" name="Column33" dataDxfId="970"/>
    <tableColumn id="36" xr3:uid="{4D08B66A-57F3-48EE-9A41-47234AAF1DA9}" name="Column34" dataDxfId="969"/>
    <tableColumn id="37" xr3:uid="{C36EB54C-0353-407E-A8F7-7CDD631DC0CD}" name="Column35" dataDxfId="968"/>
    <tableColumn id="38" xr3:uid="{71A4C861-B7FF-41AD-8CDA-B9C26E9CDED2}" name="Column36" dataDxfId="967"/>
    <tableColumn id="39" xr3:uid="{2B423732-5E53-4FC9-8D61-2E6B75D29CEB}" name="Column37" dataDxfId="966"/>
  </tableColumns>
  <tableStyleInfo name="TableStyleMedium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B4E238-7C8E-4FCB-AB14-1C0B21B34D67}" name="Calls25" displayName="Calls25" ref="A1:BU147" totalsRowShown="0" headerRowDxfId="965" dataDxfId="964">
  <autoFilter ref="A1:BU147" xr:uid="{3DB4E238-7C8E-4FCB-AB14-1C0B21B34D67}"/>
  <tableColumns count="73">
    <tableColumn id="1" xr3:uid="{DFDFB77A-7317-4F04-BC31-C7125B842F42}" name="Call Number" dataDxfId="963"/>
    <tableColumn id="3" xr3:uid="{231BE7EF-48F9-4185-86A7-99396D66C0BD}" name="Completion time" dataDxfId="962"/>
    <tableColumn id="10" xr3:uid="{C4A8312E-3089-4840-BFD9-882614E80004}" name="Time" dataDxfId="961"/>
    <tableColumn id="16" xr3:uid="{99AA2F85-E74F-4B43-B6C7-CAC113F63990}" name="Date2" dataDxfId="960"/>
    <tableColumn id="2" xr3:uid="{8E211C21-8F56-4E46-8422-E78A89CD0F01}" name="Date" dataDxfId="959"/>
    <tableColumn id="5" xr3:uid="{484AE044-7769-4753-82D0-7D8E338DE100}" name="Next Call Number" dataDxfId="958">
      <calculatedColumnFormula>(C2+1)</calculatedColumnFormula>
    </tableColumn>
    <tableColumn id="66" xr3:uid="{7ABF0EE2-75CE-49CC-AFDB-B7FE0CAE8AC8}" name="AI Response ID"/>
    <tableColumn id="54" xr3:uid="{FA23C7E9-41FC-42FB-95D5-6B0453B0CB8C}" name="Event Number2"/>
    <tableColumn id="6" xr3:uid="{C255C0FB-AD40-438F-86CA-297100FFF359}" name="Event Number" dataDxfId="957"/>
    <tableColumn id="64" xr3:uid="{0334E156-4AFF-4968-93BB-02FD7323F2C1}" name="Month" dataDxfId="956"/>
    <tableColumn id="69" xr3:uid="{025B58A6-02B2-427E-B937-6FC5C6D5044B}" name="MonthNo" dataDxfId="955"/>
    <tableColumn id="70" xr3:uid="{5BFFA998-40D6-4554-8782-F952AD47BE7B}" name="Row Number" dataDxfId="954"/>
    <tableColumn id="13" xr3:uid="{54502133-D1A5-4080-8227-1243F5449105}" name="Event Type" dataDxfId="953"/>
    <tableColumn id="63" xr3:uid="{E1DF2C93-8F36-4399-9637-729E15E808E1}" name="Incident Info2" dataDxfId="952"/>
    <tableColumn id="46" xr3:uid="{FBA22D8E-0343-409F-AB92-7030EA3F9FC8}" name="Incident Info" dataDxfId="951"/>
    <tableColumn id="12" xr3:uid="{42D38467-0645-469B-A023-27C1C9116412}" name="CPN" dataDxfId="950"/>
    <tableColumn id="36" xr3:uid="{481A8A09-5CFC-430F-BBBC-13EC52C9D5EE}" name="Number of Trucks" dataDxfId="949"/>
    <tableColumn id="65" xr3:uid="{3439BAB7-B288-47FF-A7FC-6AE2EEA09368}" name="Appliances" dataDxfId="948">
      <calculatedColumnFormula>MAX($L15:$L1134)+1</calculatedColumnFormula>
    </tableColumn>
    <tableColumn id="11" xr3:uid="{0F849BFA-4A9F-4DE5-B7C2-D72953A68898}" name="Address2" dataDxfId="947"/>
    <tableColumn id="8" xr3:uid="{A5983AEB-6638-4DF9-9C15-FB81930FD730}" name="Address " dataDxfId="946"/>
    <tableColumn id="9" xr3:uid="{36C11040-AFBA-4FFE-9DAA-E26EB7E1A2E5}" name="Cross Streets" dataDxfId="945"/>
    <tableColumn id="14" xr3:uid="{DEF92DBB-808C-4EE2-87EC-F5EAB96B177E}" name="Result" dataDxfId="944"/>
    <tableColumn id="15" xr3:uid="{0E32144C-7DAC-4962-87D8-682DF4005ED2}" name="OIC" dataDxfId="943"/>
    <tableColumn id="17" xr3:uid="{A88B24BC-6DC0-4111-A0BC-446786B123E0}" name="CFO John Robinson" dataDxfId="942"/>
    <tableColumn id="18" xr3:uid="{3A26C2EA-4159-4572-857D-C9738F16021A}" name="DCFO Bharat Ravji" dataDxfId="941"/>
    <tableColumn id="19" xr3:uid="{F1F87F90-0D2B-42DB-B075-264F2FB848F8}" name="SSO Darcy Hart" dataDxfId="940"/>
    <tableColumn id="20" xr3:uid="{1489BB51-322A-47E3-909B-ECD80EBE6A3D}" name="SSO Vaughan Wood" dataDxfId="939"/>
    <tableColumn id="21" xr3:uid="{A49A6BD8-9BFC-4ED4-9D5B-5A65EBFC4BE4}" name="SO Richard Jellyman" dataDxfId="938"/>
    <tableColumn id="22" xr3:uid="{A31F95BA-84B5-4FB4-8D30-B136C320A1D7}" name="SO Richard Irving" dataDxfId="937"/>
    <tableColumn id="42" xr3:uid="{8BF72168-EBE0-4B8D-A197-DB92936712B7}" name="SO Jon White" dataDxfId="936"/>
    <tableColumn id="23" xr3:uid="{7D61D368-EEA7-41EA-85EB-C2CF9540F3E5}" name="SO William O'Connell" dataDxfId="935"/>
    <tableColumn id="25" xr3:uid="{5033AE2B-FA75-4512-B00F-AE5D173CA484}" name="SFF Brent Reynolds" dataDxfId="934"/>
    <tableColumn id="26" xr3:uid="{A79B88F3-B72D-4D37-B8E3-1AD1AF8171FD}" name="SFF Joseph O'Neill-Gregory" dataDxfId="933"/>
    <tableColumn id="27" xr3:uid="{153CD59C-A3DC-442E-B2F5-BE4102A6F3B4}" name="SFF Grant Robertson" dataDxfId="932"/>
    <tableColumn id="28" xr3:uid="{44730888-C96C-463D-9A7C-31D2463528AF}" name="SFF William O'Connell" dataDxfId="931"/>
    <tableColumn id="32" xr3:uid="{447E53ED-516C-4467-968F-F606BE44F326}" name="SFF Robert Mayo" dataDxfId="930"/>
    <tableColumn id="24" xr3:uid="{48AAB98E-C85F-46B9-BCF3-CCF78A2C859D}" name="SFF Brody Jellyman" dataDxfId="929"/>
    <tableColumn id="48" xr3:uid="{04A11747-D02F-4648-A3F2-42775EAE288B}" name="SFF Darryn Pritchard" dataDxfId="928"/>
    <tableColumn id="33" xr3:uid="{70A8E6A6-E151-40F3-9CF1-EE9043FD355C}" name="QFF Symon Maxwell" dataDxfId="927"/>
    <tableColumn id="35" xr3:uid="{4591C132-024C-47C8-81E2-04200F3476BA}" name="QFF Ian Chapman" dataDxfId="926"/>
    <tableColumn id="37" xr3:uid="{6D35B13A-7A3A-4985-ADF4-6BC7E2137A75}" name="QFF Melanie Yates" dataDxfId="925"/>
    <tableColumn id="38" xr3:uid="{D0F1E602-0546-45E3-B74E-B3A271E99E00}" name="QFF Maree Primrose" dataDxfId="924"/>
    <tableColumn id="39" xr3:uid="{9563B81A-5788-40B1-8A6C-0BB7A4BEDBDD}" name="QFF Russell Clarke" dataDxfId="923"/>
    <tableColumn id="40" xr3:uid="{26CD8B05-2071-4357-9DA5-F627223A0B02}" name="QFF Andrew Bond" dataDxfId="922"/>
    <tableColumn id="41" xr3:uid="{663425C9-FA1B-4981-9639-67BDF83F6415}" name="QFF Alan Binnie" dataDxfId="921"/>
    <tableColumn id="43" xr3:uid="{7267F942-A520-4AAA-9BC8-083C9BEC9A66}" name="QFF Josh Pennefather" dataDxfId="920"/>
    <tableColumn id="44" xr3:uid="{3B78AFD5-4BB7-46CD-86F7-07FDACE1EA1A}" name="QFF Ben Killgour" dataDxfId="919"/>
    <tableColumn id="73" xr3:uid="{DD850EED-E9F9-4C72-9C43-E0CF0AFBDDE3}" name="QFF Dallas Steele" dataDxfId="918"/>
    <tableColumn id="67" xr3:uid="{A11C6A5F-18D0-46C3-AAEC-5778D423AEEC}" name="QFF Nick Grayson" dataDxfId="917"/>
    <tableColumn id="53" xr3:uid="{34C9F7FA-25A5-4856-B916-7C1921786275}" name="QFF Jason Court" dataDxfId="916"/>
    <tableColumn id="50" xr3:uid="{BDBCE05E-BAC4-4017-82F1-D0F2C85E8A5C}" name="QFF Crystal McConchie" dataDxfId="915"/>
    <tableColumn id="51" xr3:uid="{50B6DD12-65D9-435A-8F73-47D1DC383009}" name="QFF Hendri de Bruin" dataDxfId="103"/>
    <tableColumn id="45" xr3:uid="{A65BC64F-BD91-49F6-87CE-32CC248A7C44}" name="FF Jimmy Doyle" dataDxfId="914"/>
    <tableColumn id="47" xr3:uid="{B404FC35-CA71-48EB-8B6C-41BD5036A27D}" name="FF Dimmy Bell-Kainiu" dataDxfId="913"/>
    <tableColumn id="56" xr3:uid="{299CC34D-D78D-4506-B212-414A0E9D339D}" name="FF Mitch Court" dataDxfId="912"/>
    <tableColumn id="57" xr3:uid="{51550522-0AA7-4710-B29D-AB98F4E70360}" name="FF Jamie O'Hare" dataDxfId="911"/>
    <tableColumn id="68" xr3:uid="{9A366525-1690-4FE4-AA0A-963CC89058E6}" name="FF Kaitlyn Evans" dataDxfId="910"/>
    <tableColumn id="60" xr3:uid="{9F816277-474A-47E9-900F-3ED8FAE99F08}" name="FF Jaime Moore" dataDxfId="909"/>
    <tableColumn id="61" xr3:uid="{0B3F62AD-06AE-4232-B230-67542AAE8679}" name="FF Torrens Butcher" dataDxfId="908"/>
    <tableColumn id="62" xr3:uid="{EB9570A6-88BA-4B11-BB96-E8661E04D581}" name="FF Matt Humber" dataDxfId="907"/>
    <tableColumn id="74" xr3:uid="{B285559C-D7A8-4516-877C-AA0A64483ED5}" name="RFF Leone Humber" dataDxfId="906"/>
    <tableColumn id="34" xr3:uid="{E076E107-8F90-484A-A597-039E1CEB9195}" name="RFF Joel Robbins" dataDxfId="905"/>
    <tableColumn id="59" xr3:uid="{FF562DE3-220B-49F0-AFB9-71444FC1764C}" name="RFF Tracey Brownlee" dataDxfId="904"/>
    <tableColumn id="31" xr3:uid="{A079CDA5-938F-455D-8D1E-36295BC4DA7D}" name="RFF Sacha Hoole" dataDxfId="903"/>
    <tableColumn id="76" xr3:uid="{B84E5E8F-AA1B-4266-8A53-34A3A0353DEE}" name="RFF Callum Reid" dataDxfId="902"/>
    <tableColumn id="75" xr3:uid="{7311C019-E949-4697-8513-7E9BDDF8DB3F}" name="RFF Jack Piggott-Newton" dataDxfId="901"/>
    <tableColumn id="49" xr3:uid="{89F83B1C-0F26-4C3D-ADA7-5F4FD21D2B0B}" name="RFF Caleb Wanhill" dataDxfId="900"/>
    <tableColumn id="71" xr3:uid="{D50701B0-78A9-4D37-89DD-9EDD3DF87407}" name="Number of Responders" dataDxfId="899">
      <calculatedColumnFormula>COUNTIF($X2:$BH2, "I")</calculatedColumnFormula>
    </tableColumn>
    <tableColumn id="72" xr3:uid="{953DAF7C-CAF4-4EEE-BE98-E1D78CCF31F4}" name="Number of Drivers" dataDxfId="898">
      <calculatedColumnFormula>COUNTIFS($X2:$BH2, "I",$X$2:$BH$2, "DR" )</calculatedColumnFormula>
    </tableColumn>
    <tableColumn id="30" xr3:uid="{5A35804F-289A-440C-9366-025E8BD265B3}" name="Number of Officers" dataDxfId="897">
      <calculatedColumnFormula>COUNTIFS($X2:$BH2, "I",$X$5:$BH$5, "OF" )</calculatedColumnFormula>
    </tableColumn>
    <tableColumn id="29" xr3:uid="{C297BE09-49FF-4975-BB36-EFEA194B2AA9}" name="Number of FF" dataDxfId="896">
      <calculatedColumnFormula>COUNTIFS($X2:$BH2, "I",$X$5:$BH$5, "FF" )</calculatedColumnFormula>
    </tableColumn>
    <tableColumn id="7" xr3:uid="{27DA9263-6DAF-4528-A365-7DC031916747}" name="Submitted By" dataDxfId="895"/>
    <tableColumn id="4" xr3:uid="{467F96C5-BF41-4DF4-BC2E-D53DC895E474}" name="Notes" dataDxfId="89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DA2605-CDC1-4AFE-A074-76B65D52EC60}" name="Musters25" displayName="Musters25" ref="A1:BD24" totalsRowShown="0" headerRowDxfId="893" dataDxfId="892">
  <autoFilter ref="A1:BD24" xr:uid="{1ADA2605-CDC1-4AFE-A074-76B65D52EC60}"/>
  <tableColumns count="56">
    <tableColumn id="4" xr3:uid="{EC4E9831-300A-4A5B-BB58-ACF4E251D7EB}" name="Muster Number" dataDxfId="891"/>
    <tableColumn id="1" xr3:uid="{B8F208BA-5EDC-4C32-8216-71EC86E1F6B5}" name="Number" dataDxfId="890"/>
    <tableColumn id="3" xr3:uid="{3B47F994-7C58-4954-8F1F-1BA14E9855EA}" name="Time" dataDxfId="889"/>
    <tableColumn id="7" xr3:uid="{E1A18530-3DF7-4502-90C5-6A480A8833F7}" name="Date" dataDxfId="888"/>
    <tableColumn id="5" xr3:uid="{84DA49CC-C985-424D-A0FC-1A5893AEC86B}" name="Month" dataDxfId="887">
      <calculatedColumnFormula>$D2</calculatedColumnFormula>
    </tableColumn>
    <tableColumn id="6" xr3:uid="{C0E378CC-12F0-4524-8406-8333D4E6BF12}" name="MonthNo" dataDxfId="886">
      <calculatedColumnFormula>MONTH($E2)</calculatedColumnFormula>
    </tableColumn>
    <tableColumn id="54" xr3:uid="{32F0DDF2-DE99-436C-B396-68DBB4467C13}" name="Row" dataDxfId="885">
      <calculatedColumnFormula>MAX(G3:G1008)+1</calculatedColumnFormula>
    </tableColumn>
    <tableColumn id="46" xr3:uid="{D0A066A8-814E-46DF-B19A-E87973D69A95}" name="Type" dataDxfId="884"/>
    <tableColumn id="8" xr3:uid="{DEBF277F-CE4E-44A5-9F85-28C5E169E86F}" name="Address " dataDxfId="883"/>
    <tableColumn id="9" xr3:uid="{2CE1FF38-2B95-4B9D-837C-1E62E90DEFAA}" name="CFO John Robinson" dataDxfId="882"/>
    <tableColumn id="10" xr3:uid="{2CDB3CBC-E684-473C-9898-D87060736B4A}" name="DCFO Bharat Ravji" dataDxfId="881"/>
    <tableColumn id="11" xr3:uid="{A0B24064-3CC8-40B7-8F0D-3AE0E4F0A82D}" name="SSO Darcy Hart" dataDxfId="880"/>
    <tableColumn id="12" xr3:uid="{5E0E9758-0508-40B8-9D11-26769EEFE43D}" name="SSO Vaughan Wood" dataDxfId="879"/>
    <tableColumn id="13" xr3:uid="{88C7FD13-6AAA-4774-B175-E28514647F64}" name="SO Richard Jellyman" dataDxfId="878"/>
    <tableColumn id="14" xr3:uid="{4E7082EA-6093-45D8-96C0-90EFB2E199F4}" name="SO Richard Irving" dataDxfId="877"/>
    <tableColumn id="21" xr3:uid="{D93DF3EE-41D8-4BE0-85A7-41691B725F8D}" name="SO Jon White" dataDxfId="876"/>
    <tableColumn id="15" xr3:uid="{B9867F49-FC1E-46CE-A59A-76DA9264BCE7}" name="SO William O'Connell" dataDxfId="875"/>
    <tableColumn id="17" xr3:uid="{C50AF25A-7571-40FB-BAA3-555527EA95FF}" name="SFF Brent Reynolds" dataDxfId="874"/>
    <tableColumn id="18" xr3:uid="{9070A786-47F9-42BF-831C-034612071DA7}" name="SFF Joseph O'Neill-Gregory" dataDxfId="873"/>
    <tableColumn id="19" xr3:uid="{BFCA8D74-EB4B-4EC2-9B26-968C34B78787}" name="SFF Grant Robertson" dataDxfId="872"/>
    <tableColumn id="20" xr3:uid="{1D34E212-568C-46FB-8FF9-3E9AB0157F7F}" name="SFF William O'Connell" dataDxfId="871"/>
    <tableColumn id="24" xr3:uid="{B586117C-9B79-4D76-A127-01540C972CE1}" name="SFF Robert Mayo" dataDxfId="870"/>
    <tableColumn id="16" xr3:uid="{DC3AEDE3-3A3D-4DD5-A722-DBC954FE449D}" name="SFF Brody Jellyman" dataDxfId="869"/>
    <tableColumn id="39" xr3:uid="{5DCCBFF1-435E-4752-B5D1-3E4C6170C859}" name="SFF Darryn Pritchard" dataDxfId="868"/>
    <tableColumn id="25" xr3:uid="{37AF783F-8A40-4B5D-8C15-8B9FABD6E408}" name="QFF Symon Maxwell" dataDxfId="867"/>
    <tableColumn id="27" xr3:uid="{ABE82CCF-EC51-4476-B1A6-E78A2342D6DF}" name="QFF Ian Chapman" dataDxfId="866"/>
    <tableColumn id="29" xr3:uid="{FEF0C487-84FA-4D79-9DBB-E8CDE78A70B0}" name="QFF Melanie Yates" dataDxfId="865"/>
    <tableColumn id="30" xr3:uid="{A0B40117-F696-455F-9EE0-F8FDB0B21784}" name="QFF Maree Primrose" dataDxfId="864"/>
    <tableColumn id="31" xr3:uid="{1CEE65DA-02DB-4ABC-88CD-84A2C2DE9CD2}" name="QFF Russell Clarke" dataDxfId="863"/>
    <tableColumn id="32" xr3:uid="{ABECE7A6-810F-4FFE-8342-B779C1B2EBE4}" name="QFF Andrew Bond" dataDxfId="862"/>
    <tableColumn id="33" xr3:uid="{E6908BDB-CEFB-4D15-93AB-8291C72F8C6B}" name="QFF Alan Binnie" dataDxfId="861"/>
    <tableColumn id="35" xr3:uid="{C5AB1145-D6F9-4932-BBD6-5826C324C0AD}" name="QFF Josh Pennefather" dataDxfId="860"/>
    <tableColumn id="36" xr3:uid="{A34D5934-2D35-46F6-A1DE-BB7AC0BC2BA5}" name="QFF Ben Killgour" dataDxfId="859"/>
    <tableColumn id="41" xr3:uid="{905144AA-CB10-4F1C-8A1A-FF2013B86CCD}" name="QFF Dallas Steele" dataDxfId="858"/>
    <tableColumn id="34" xr3:uid="{423E7980-A6B9-4876-9937-39016B3AA4A9}" name="QFF Nick Grayson" dataDxfId="857"/>
    <tableColumn id="28" xr3:uid="{19B762E2-23D7-41EE-8970-7D5177184037}" name="QFF Jason Court" dataDxfId="856"/>
    <tableColumn id="26" xr3:uid="{CBEEC327-A32D-4377-9E2B-6AD05BA91B89}" name="QFF Crystal McConchie" dataDxfId="855"/>
    <tableColumn id="42" xr3:uid="{21139523-9854-4B2B-992B-537F9A897E3D}" name="QFF Hendri de Bruin" dataDxfId="104"/>
    <tableColumn id="37" xr3:uid="{F11FE198-E1C7-4A97-B825-C451A56BA4CE}" name="FF Jimmy Doyle" dataDxfId="854"/>
    <tableColumn id="38" xr3:uid="{07880D41-AD38-4079-A0C9-979B337FDB14}" name="FF Dimmy Bell-Kainiu" dataDxfId="853"/>
    <tableColumn id="47" xr3:uid="{34D032AF-B2E1-46B4-B17F-7AFFB2423D8D}" name="FF Mitch Court" dataDxfId="852"/>
    <tableColumn id="48" xr3:uid="{0DAD8443-4AA3-47AF-A2C3-600C0E708D1C}" name="FF Jamie O'Hare" dataDxfId="851"/>
    <tableColumn id="55" xr3:uid="{EBB0D236-386C-4D1D-82B2-46FCE93E216D}" name="FF Kaitlyn Evans" dataDxfId="850"/>
    <tableColumn id="51" xr3:uid="{A9CE23D4-6901-4474-A23E-43CB660C1848}" name="FF Jaime Moore" dataDxfId="849"/>
    <tableColumn id="52" xr3:uid="{16AAEB6D-9331-4FB8-B0ED-A7D55ADB27D0}" name="FF Torrens Butcher" dataDxfId="848"/>
    <tableColumn id="53" xr3:uid="{6BAE58BA-E2CF-47F6-9253-111F6387F86A}" name="FF Matt Humber" dataDxfId="847"/>
    <tableColumn id="44" xr3:uid="{33E59BDD-6274-41FB-9D53-A61EE6B3C296}" name="RFF Leone Humber" dataDxfId="846"/>
    <tableColumn id="2" xr3:uid="{E8EF1644-9736-41F0-9CA1-08880A348CA8}" name="RFF Joel Robbins" dataDxfId="845"/>
    <tableColumn id="23" xr3:uid="{F535D77C-EB85-42C8-BBB7-46F774BD626F}" name="RFF Tracey Brownlee" dataDxfId="844"/>
    <tableColumn id="22" xr3:uid="{A05001F2-9245-4DEB-997F-938D3FDAE113}" name="RFF Sacha Hoole" dataDxfId="843"/>
    <tableColumn id="45" xr3:uid="{CCA27223-C017-47E2-8310-A24BA3C51A54}" name="RFF Callum Reid" dataDxfId="842"/>
    <tableColumn id="49" xr3:uid="{1F20A466-CEB3-4A83-8EDB-64D559BB036F}" name="RFF Jack Piggott-Newton" dataDxfId="841"/>
    <tableColumn id="40" xr3:uid="{FA92C265-A468-4CC5-AA0A-7BDB9BAAE24E}" name="RFF Caleb Wanhill" dataDxfId="840"/>
    <tableColumn id="57" xr3:uid="{CB27C10E-77D7-4EB3-8019-140597A18B29}" name="In Attendance" dataDxfId="839">
      <calculatedColumnFormula>COUNTIF($J2:$AX2,"I")</calculatedColumnFormula>
    </tableColumn>
    <tableColumn id="58" xr3:uid="{6B5ACFAB-F1BD-4453-9F8E-BA13FE4E582C}" name="Leave" dataDxfId="838">
      <calculatedColumnFormula>COUNTIF($J2:$AT2,"L")</calculatedColumnFormula>
    </tableColumn>
    <tableColumn id="56" xr3:uid="{760BEDD4-ABE9-486D-A830-DC5DAAB5C6D3}" name="Submitted By" dataDxfId="8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372656-D277-4E01-BE6E-817E0280ACA0}" name="sms" displayName="sms" ref="A1:BA145" totalsRowCount="1" headerRowDxfId="836" dataDxfId="835">
  <autoFilter ref="A1:BA144" xr:uid="{09372656-D277-4E01-BE6E-817E0280ACA0}"/>
  <tableColumns count="53">
    <tableColumn id="47" xr3:uid="{0815E4B7-DF82-4F30-857B-E70E2FCCC5CC}" name="Call Number" dataDxfId="834"/>
    <tableColumn id="48" xr3:uid="{AECF7E99-3F82-485E-8DBC-B5E13C868232}" name="Response ID" dataDxfId="833"/>
    <tableColumn id="53" xr3:uid="{83D566D4-802B-4843-A59F-7FAAF6F38E7F}" name="ROW"/>
    <tableColumn id="1" xr3:uid="{B8AF3080-95F6-47A7-B418-962E5A373CC7}" name="Date" dataDxfId="832" totalsRowDxfId="49"/>
    <tableColumn id="49" xr3:uid="{73BFBFD7-85C8-4C28-B8ED-238578F53CC9}" name="Address" dataDxfId="831" totalsRowDxfId="48"/>
    <tableColumn id="2" xr3:uid="{C8829977-1D4C-498D-8D05-0F223F37A8BB}" name="Event Number" dataDxfId="830" totalsRowDxfId="47"/>
    <tableColumn id="3" xr3:uid="{8F47CC41-1C50-493C-9F87-471679EE6A8E}" name="CFO John Robinson" dataDxfId="829" totalsRowDxfId="46"/>
    <tableColumn id="4" xr3:uid="{7CB32FB9-93B4-468E-897A-8497B36FBDEF}" name="DCFO Bharat Ravji" dataDxfId="828" totalsRowDxfId="45"/>
    <tableColumn id="5" xr3:uid="{CB564453-D3C5-441C-9867-BBD83579DF5E}" name="SSO Darcy Hart" dataDxfId="827" totalsRowDxfId="44"/>
    <tableColumn id="6" xr3:uid="{E9206060-D745-4BFA-A87D-007CBCAAAA15}" name="SSO Vaughan Wood" dataDxfId="826" totalsRowDxfId="43"/>
    <tableColumn id="7" xr3:uid="{F99ED959-E516-450D-9CC0-3583BF794569}" name="SO Richard Irving" dataDxfId="825" totalsRowDxfId="42"/>
    <tableColumn id="8" xr3:uid="{066B27C3-91FD-48FC-A49E-B5C10DCCA5E4}" name="SO Richard Jellyman" dataDxfId="824" totalsRowDxfId="41"/>
    <tableColumn id="9" xr3:uid="{80D573E8-D765-467D-A08C-8E3E44079423}" name="SO William O'Connell" dataDxfId="823" totalsRowDxfId="40"/>
    <tableColumn id="17" xr3:uid="{EEA893E7-8DF8-4D85-A9A7-9285806858C4}" name="SO Jon White" dataDxfId="822" totalsRowDxfId="39"/>
    <tableColumn id="10" xr3:uid="{3ACE1FC9-ECBA-400A-BC6C-8E34E50DED49}" name="SFF Brody Jellyman" dataDxfId="821" totalsRowDxfId="38"/>
    <tableColumn id="12" xr3:uid="{2BB600AF-825B-4F10-B1DC-96955B4EC4AE}" name="SFF Robert Mayo" dataDxfId="820" totalsRowDxfId="37"/>
    <tableColumn id="13" xr3:uid="{D7C40AE4-E5B6-433D-B433-EAD3B3020E6B}" name="SFF William O'Connell" dataDxfId="819" totalsRowDxfId="36"/>
    <tableColumn id="14" xr3:uid="{2E8E8781-8985-4298-9BE0-94529284A09F}" name="SFF Joseph O'Neill-Gregory" dataDxfId="818" totalsRowDxfId="35"/>
    <tableColumn id="34" xr3:uid="{40EDE5B7-78E5-4ED9-810D-A28B495D51EA}" name="SFF Darryn Pritchard" dataDxfId="817" totalsRowDxfId="34"/>
    <tableColumn id="15" xr3:uid="{5A03C6C0-730C-424E-899C-6356A7CDFA48}" name="SFF Brent Reynolds" dataDxfId="816" totalsRowDxfId="33"/>
    <tableColumn id="16" xr3:uid="{301508C6-2EDA-4EE7-9157-259FFD218AEE}" name="SFF Grant Robertson" dataDxfId="815" totalsRowDxfId="32"/>
    <tableColumn id="19" xr3:uid="{B5F1BABD-68C9-4ED0-9DAD-B47DCD2B4C8F}" name="QFF Alan Binnie" dataDxfId="814" totalsRowDxfId="31"/>
    <tableColumn id="20" xr3:uid="{394F2111-A3A6-4138-9F49-0B4D9561494D}" name="QFF Andrew Bond" dataDxfId="813" totalsRowDxfId="30"/>
    <tableColumn id="21" xr3:uid="{299497FA-384C-40F3-97EC-CBC52A6DA3CE}" name="QFF Ian Chapman" dataDxfId="812" totalsRowDxfId="29"/>
    <tableColumn id="22" xr3:uid="{865EEFD7-3957-4DEB-AC4A-D2446EA27501}" name="QFF Russell Clarke" dataDxfId="811" totalsRowDxfId="28"/>
    <tableColumn id="46" xr3:uid="{94D15FAB-AA44-4C47-93F4-EFB6A11C36E1}" name="QFF Jason Court" dataDxfId="810" totalsRowDxfId="27"/>
    <tableColumn id="36" xr3:uid="{C61D7BF4-B524-4229-A261-69B82B55E1DB}" name="QFF Hendri de Bruin" dataDxfId="105" totalsRowDxfId="26"/>
    <tableColumn id="23" xr3:uid="{28C0A64A-205B-4916-970D-03DB81E8A1F9}" name="QFF Nick Grayson" dataDxfId="809" totalsRowDxfId="25"/>
    <tableColumn id="18" xr3:uid="{91DE2065-4FB7-4222-8AC8-138F146947AE}" name="QFF Ben Killgour" dataDxfId="808" totalsRowDxfId="24"/>
    <tableColumn id="26" xr3:uid="{D4E1B770-EA27-475B-B064-D7FBBB4B2F68}" name="QFF Symon Maxwell" dataDxfId="807" totalsRowDxfId="23"/>
    <tableColumn id="25" xr3:uid="{71B1262F-CE7E-4678-9779-7687DEAB5904}" name="QFF Crystal McConchie" dataDxfId="806" totalsRowDxfId="22"/>
    <tableColumn id="27" xr3:uid="{D128A87D-FF57-4B95-9816-84DD42521345}" name="QFF Josh Pennefather" dataDxfId="805" totalsRowDxfId="21"/>
    <tableColumn id="28" xr3:uid="{D1E633D9-B798-46A5-87FC-96851D490AFD}" name="QFF Maree Primrose" dataDxfId="804" totalsRowDxfId="20"/>
    <tableColumn id="35" xr3:uid="{3F5BA7E4-755D-4517-BC43-D79B9008FD78}" name="QFF Dallas Steele" dataDxfId="803" totalsRowDxfId="19"/>
    <tableColumn id="30" xr3:uid="{1D78A36B-1441-4D77-8C77-DA595F15CF86}" name="QFF Melanie Yates" dataDxfId="802" totalsRowDxfId="18"/>
    <tableColumn id="31" xr3:uid="{FD138F55-E3D0-4192-8D46-12CFAA629249}" name="FF Dimmy Bell-Kainiu" dataDxfId="801" totalsRowDxfId="17"/>
    <tableColumn id="38" xr3:uid="{09FB42A0-4DE7-4659-9A82-594D6059FEC5}" name="FF Torrens Butcher" dataDxfId="800" totalsRowDxfId="16"/>
    <tableColumn id="55" xr3:uid="{8148F5ED-C03E-40A2-9E89-53AFDDE58430}" name="FF Mitch Court" dataDxfId="799" totalsRowDxfId="15"/>
    <tableColumn id="33" xr3:uid="{945CC66B-DD4D-4632-B6A0-EF559AACD8C0}" name="FF Jimmy Doyle" dataDxfId="798" totalsRowDxfId="14"/>
    <tableColumn id="56" xr3:uid="{449E4DE7-AE85-4242-A1B8-EF37A09E27AC}" name="FF Kaitlyn Evans" dataDxfId="797" totalsRowDxfId="13"/>
    <tableColumn id="42" xr3:uid="{9FEFE2FF-3CF6-4C31-BA9A-2BB8DDEE2782}" name="FF Matt Humber" dataDxfId="796" totalsRowDxfId="12"/>
    <tableColumn id="41" xr3:uid="{2794DA79-FC77-45F1-874B-80017D5B379E}" name="FF Jaime Moore" dataDxfId="795" totalsRowDxfId="11"/>
    <tableColumn id="57" xr3:uid="{80145769-4EFE-4E87-97AA-6837BE3ACC53}" name="FF Jamie O'Hare" dataDxfId="794" totalsRowDxfId="10"/>
    <tableColumn id="24" xr3:uid="{44D0121C-125F-437F-A42D-BAB5860F02D0}" name="RFF Tracey Brownlee" dataDxfId="793" totalsRowDxfId="9"/>
    <tableColumn id="29" xr3:uid="{98FF2A8A-1F67-4BD0-86EF-1C204292F6EF}" name="RFF Sacha Hoole" dataDxfId="792" totalsRowDxfId="8"/>
    <tableColumn id="43" xr3:uid="{A7D33CD7-1E6B-48C8-AED1-AEDEBA249910}" name="RFF Leone Humber" dataDxfId="791" totalsRowDxfId="7"/>
    <tableColumn id="11" xr3:uid="{F6D955CC-C577-4C75-B904-6888F7EDFD06}" name="RFF Joel Robbins" dataDxfId="790" totalsRowDxfId="6"/>
    <tableColumn id="50" xr3:uid="{FE6B0D2B-2951-4680-8EC6-6D2840F4C37A}" name="RFF Callum Reid" dataDxfId="789" totalsRowDxfId="5"/>
    <tableColumn id="58" xr3:uid="{4F538C54-3D4D-453E-A32E-19E8E992F819}" name="RFF Jack Piggott-Newton" dataDxfId="788" totalsRowDxfId="4"/>
    <tableColumn id="32" xr3:uid="{68B0AE34-4180-4B33-A3B8-6DA7BC25F230}" name="RFF Caleb Wanhill" dataDxfId="787" totalsRowDxfId="3"/>
    <tableColumn id="52" xr3:uid="{150B28EC-77E9-43E4-A64D-B9E2F49DB100}" name="Number of Responders" dataDxfId="786" totalsRowDxfId="2">
      <calculatedColumnFormula>COUNTIF($F2:$AX2, "I")</calculatedColumnFormula>
    </tableColumn>
    <tableColumn id="51" xr3:uid="{5B424B9C-03A9-458C-A2C7-0A1505669812}" name="Notes" dataDxfId="785" totalsRowDxfId="1"/>
    <tableColumn id="54" xr3:uid="{84074E22-1CA9-460F-83F8-4E41353E3A4C}" name="SMS Task Done (Initial)" dataDxfId="784" totalsRowDxfId="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AE4BF-313F-4D0B-8861-850EB2D506A9}" name="MJan25" displayName="MJan25" ref="A1:BB2" totalsRowShown="0" headerRowDxfId="783" dataDxfId="782">
  <tableColumns count="54">
    <tableColumn id="1" xr3:uid="{9BD1EC79-F64F-4921-976F-AEA6C47645F9}" name="Event Count" dataDxfId="781"/>
    <tableColumn id="2" xr3:uid="{49B032A6-5A8E-4419-BF67-00A8286236F2}" name="Start time" dataDxfId="780"/>
    <tableColumn id="3" xr3:uid="{54C8F238-BEA9-47AB-9B24-2246831D55C5}" name="Completion time" dataDxfId="779"/>
    <tableColumn id="4" xr3:uid="{B40A3864-3DBF-4189-881D-EAD48AE2B042}" name="Email" dataDxfId="778"/>
    <tableColumn id="5" xr3:uid="{4FFC6431-F524-4037-AA88-01869E51A3FB}" name="Name" dataDxfId="777"/>
    <tableColumn id="6" xr3:uid="{C9E0753C-09F2-442E-B920-43B8447037B7}" name="Event Number" dataDxfId="776"/>
    <tableColumn id="7" xr3:uid="{8767716B-0C0E-4E56-AD5D-5FA64C4A7CA8}" name="Date" dataDxfId="775"/>
    <tableColumn id="46" xr3:uid="{C0594232-E052-4814-8ADA-1F34BAE18772}" name="Incident Info" dataDxfId="774"/>
    <tableColumn id="8" xr3:uid="{FC55B378-B020-4091-8902-87F8FC409317}" name="Address " dataDxfId="773"/>
    <tableColumn id="9" xr3:uid="{5B534F08-73F9-4A6A-9D66-7B377AB3450A}" name="CFO John Robinson" dataDxfId="772"/>
    <tableColumn id="10" xr3:uid="{6F563EEE-152C-4A9B-89C3-001A716A5502}" name="DCFO Bharat Ravji" dataDxfId="771"/>
    <tableColumn id="11" xr3:uid="{B85AF3DD-BA34-4F0E-A853-2B6387C3A024}" name="SSO Darcy Hart" dataDxfId="770"/>
    <tableColumn id="12" xr3:uid="{A5C45993-87E3-4720-B485-7C564C19E22C}" name="SSO Vaughan Wood" dataDxfId="769"/>
    <tableColumn id="13" xr3:uid="{52AF7CCA-E8A9-4B6A-9C3C-71D7682B1D5A}" name="SO Richard Jellyman" dataDxfId="768"/>
    <tableColumn id="14" xr3:uid="{CA73BFF1-759F-48DF-9F8F-E4066272F908}" name="SO Richard Irving" dataDxfId="767"/>
    <tableColumn id="15" xr3:uid="{018F8DFB-C85A-4998-AC54-85117D5A2B5C}" name="SO Darryn Pritchard" dataDxfId="766"/>
    <tableColumn id="16" xr3:uid="{9021DA87-C52C-410B-ADE0-F0701B5C56DA}" name="SO Rhys Thomas" dataDxfId="765"/>
    <tableColumn id="17" xr3:uid="{D47C6C7B-4BF6-424F-BD7B-31A5E781BB14}" name="SFF Brent Reynolds" dataDxfId="764"/>
    <tableColumn id="18" xr3:uid="{9232D4AD-67CF-4761-9966-5903BA8D9945}" name="SFF Joseph O'Neill-Gregory" dataDxfId="763"/>
    <tableColumn id="20" xr3:uid="{8BDBE7D6-B3A9-4AEA-8256-4CE479293EB8}" name="SFF Grant Robertson" dataDxfId="762"/>
    <tableColumn id="21" xr3:uid="{7FB50AF8-BD2E-46E8-B1EB-6DA41C75C05C}" name="SFF William O'Connell" dataDxfId="761"/>
    <tableColumn id="22" xr3:uid="{388FCA1D-62E7-4F00-BFF0-9DAD26E99B72}" name="SFF Samuel Vivian" dataDxfId="760"/>
    <tableColumn id="23" xr3:uid="{92439AE1-9237-47BC-8C9B-3CFB671ABD59}" name="SFF Amy Devereaux" dataDxfId="759"/>
    <tableColumn id="24" xr3:uid="{01532D6B-9A95-44E2-BD06-B5CEB65276E9}" name="SFF Jon White" dataDxfId="758"/>
    <tableColumn id="28" xr3:uid="{5BA306D0-6469-4733-A4E9-3F71133C9733}" name="SFF Robert Mayo" dataDxfId="757"/>
    <tableColumn id="25" xr3:uid="{C985CBE1-F251-412C-90C2-3C89A3143C37}" name="QFF Symon Maxwell" dataDxfId="756"/>
    <tableColumn id="26" xr3:uid="{14CC4F14-AA83-43C5-A496-365BA533B0C3}" name="QFF Rueben Dodd" dataDxfId="755"/>
    <tableColumn id="27" xr3:uid="{56F1EB28-8642-43ED-AAC7-2361CAFFFCE3}" name="QFF Ian Chapman" dataDxfId="754"/>
    <tableColumn id="29" xr3:uid="{6EC45FFE-E698-4E0A-9DED-B1A673E41AB5}" name="QFF Jonno Ryan" dataDxfId="753"/>
    <tableColumn id="30" xr3:uid="{FEA83EF0-9B62-44F0-864E-76D44FB73D71}" name="QFF Melanie Yates" dataDxfId="752"/>
    <tableColumn id="33" xr3:uid="{93E15E10-8F7D-46BF-B162-FE6638236E7D}" name="QFF Maree Primrose" dataDxfId="751"/>
    <tableColumn id="34" xr3:uid="{8A94D42E-2127-46D6-94A0-AA66850E3EFA}" name="QFF Russell Clarke" dataDxfId="750"/>
    <tableColumn id="36" xr3:uid="{E66398D2-0A0D-4D5A-A6BB-368401C6A69A}" name="QFF Andrew Bond" dataDxfId="749"/>
    <tableColumn id="47" xr3:uid="{8B98289B-A2EC-4483-9F1F-81A34587DB83}" name="QFF Alan Binnie" dataDxfId="748"/>
    <tableColumn id="55" xr3:uid="{A268CA6A-DE93-4C7D-B798-33D2FBF65D7B}" name="QFF Rafael Nazareth" dataDxfId="747"/>
    <tableColumn id="41" xr3:uid="{FD789094-59F6-4224-850F-954571578877}" name="QFF Josh Pennefather" dataDxfId="746"/>
    <tableColumn id="50" xr3:uid="{6016EAAD-AAFE-4962-8BA9-351F101B0BD7}" name="QFF Melissa Jones" dataDxfId="745"/>
    <tableColumn id="37" xr3:uid="{ED0A1AA5-46BD-4536-88D3-933BDB9DF730}" name="FF Jimmy Doyle" dataDxfId="744"/>
    <tableColumn id="40" xr3:uid="{5AAF79A3-DB20-4EAC-A6FF-B5A8C8D46BF7}" name="FF Dimmy Bell-Kainiu" dataDxfId="743"/>
    <tableColumn id="56" xr3:uid="{A743BA3A-56F0-4C9B-A57E-EFEF854FA934}" name="FF Ben Killgour" dataDxfId="742"/>
    <tableColumn id="43" xr3:uid="{70583B76-8AE3-4F13-A49B-FD33BA54DDF9}" name="FF Dallas Steele" dataDxfId="741"/>
    <tableColumn id="45" xr3:uid="{F06A65BE-7A47-4F43-B8EE-F5F1F5A85D8B}" name="FF Braith Halliday" dataDxfId="740"/>
    <tableColumn id="44" xr3:uid="{280DFF28-C0C0-4193-A830-0B5C86E07ECD}" name="FF Nick Grayson" dataDxfId="739"/>
    <tableColumn id="52" xr3:uid="{D56AF758-7547-4599-94B4-68DE813A7408}" name="FF Jason Court" dataDxfId="738"/>
    <tableColumn id="53" xr3:uid="{99C753E6-F036-42ED-8EEA-DFA3EF396377}" name="FF Lee-Roy Staunton" dataDxfId="737"/>
    <tableColumn id="31" xr3:uid="{3803C81B-AF62-49F2-A70D-62207E3288C1}" name="FF Crystal-Lee McConchie" dataDxfId="736"/>
    <tableColumn id="49" xr3:uid="{3817B6F2-F099-4FCB-90F4-A721B3013471}" name="RFF Mitch Court" dataDxfId="735"/>
    <tableColumn id="38" xr3:uid="{C30C0CF3-B2C4-41AF-A2AE-0853E94E3E42}" name="RFF James O'Hare" dataDxfId="734"/>
    <tableColumn id="39" xr3:uid="{5E1746A5-51A1-4201-84A3-519127BA08A2}" name="RFF Leone Humber" dataDxfId="733"/>
    <tableColumn id="19" xr3:uid="{E74DA6E6-0BDF-47A0-9521-152C207C4CA2}" name="RFF Kaitlyn Evans" dataDxfId="732"/>
    <tableColumn id="42" xr3:uid="{8456B455-00BF-436E-ADDC-9DC9DD5A01CA}" name="RFF Jamie Moore2" dataDxfId="731"/>
    <tableColumn id="48" xr3:uid="{493314E9-EF30-4225-9A16-DA0ADBDDDD65}" name="RFF Torrens Butcher" dataDxfId="730"/>
    <tableColumn id="54" xr3:uid="{5610D2BC-B3C0-4875-BD35-0AF28FFD2CCD}" name="RFF Matt Humber" dataDxfId="729"/>
    <tableColumn id="32" xr3:uid="{9B7B1407-D629-4B8A-8E8E-8EFC8C14C24F}" name="Enter name of person submitting this form:2" dataDxfId="7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A4F859-CE72-424E-BF6D-5624CC71941C}" name="MFeb24" displayName="MFeb24" ref="A1:BB2" totalsRowShown="0" headerRowDxfId="727">
  <sortState xmlns:xlrd2="http://schemas.microsoft.com/office/spreadsheetml/2017/richdata2" ref="A2:BB2">
    <sortCondition ref="F2"/>
  </sortState>
  <tableColumns count="54">
    <tableColumn id="1" xr3:uid="{9072745E-26CA-4F74-85A8-81A674499F0B}" name="Event Count" dataDxfId="726"/>
    <tableColumn id="2" xr3:uid="{293031A6-12F8-4646-ACF3-AA3B55E28934}" name="Start time" dataDxfId="725"/>
    <tableColumn id="3" xr3:uid="{53CE6447-4E14-4D8C-9BD1-BB1654FFC92D}" name="Completion time" dataDxfId="724"/>
    <tableColumn id="4" xr3:uid="{6B8CA81C-8320-4BC4-B5D6-54BBE0A90C19}" name="Email" dataDxfId="723"/>
    <tableColumn id="5" xr3:uid="{02D07FF4-BD16-4B05-9C7B-76424DF4A23E}" name="Name" dataDxfId="722"/>
    <tableColumn id="6" xr3:uid="{61B97D25-6CD3-4302-9A6A-3243A7D753BD}" name="Event Number" dataDxfId="721"/>
    <tableColumn id="7" xr3:uid="{FA0D2DE5-EB27-4488-B623-C4885234B869}" name="Date" dataDxfId="720"/>
    <tableColumn id="46" xr3:uid="{B03DE205-8BB5-4742-AD75-3A11B587557A}" name="Incident Info" dataDxfId="719"/>
    <tableColumn id="8" xr3:uid="{1720FCB3-C0EB-47D2-88F1-FCAAE49EF266}" name="Address " dataDxfId="718"/>
    <tableColumn id="9" xr3:uid="{B6E3F164-1C3C-4941-8779-2EFD645F1974}" name="CFO John Robinson" dataDxfId="717"/>
    <tableColumn id="10" xr3:uid="{696A7258-C6BB-4F16-9D97-C7A6FA920B9C}" name="DCFO Bharat Ravji" dataDxfId="716"/>
    <tableColumn id="11" xr3:uid="{2F885619-2C31-45F0-96D6-F0B7D79FF55D}" name="SSO Darcy Hart" dataDxfId="715"/>
    <tableColumn id="12" xr3:uid="{A9402859-4219-456F-A826-393C5143EF99}" name="SSO Vaughan Wood" dataDxfId="714"/>
    <tableColumn id="13" xr3:uid="{E0ABB160-13C9-43E3-8685-93BDEDD6F0F1}" name="SO Richard Jellyman" dataDxfId="713"/>
    <tableColumn id="14" xr3:uid="{F4627904-DAC1-46CB-BAFA-0CFB769CC8F6}" name="SO Richard Irving" dataDxfId="712"/>
    <tableColumn id="15" xr3:uid="{A6196860-0283-4AA4-99C8-D2E0204E41AA}" name="SO Darryn Pritchard" dataDxfId="711"/>
    <tableColumn id="16" xr3:uid="{62A02273-EB8D-4DCA-9424-37144AD4E8CC}" name="SO Rhys Thomas" dataDxfId="710"/>
    <tableColumn id="17" xr3:uid="{D526A327-EB8F-4876-934E-2981B7DB8EB4}" name="SFF Brent Reynolds" dataDxfId="709"/>
    <tableColumn id="18" xr3:uid="{0C91D70D-1377-450B-B46D-733ADF7F8ECA}" name="SFF Joseph O'Neill-Gregory" dataDxfId="708"/>
    <tableColumn id="20" xr3:uid="{84032116-5180-4B78-9909-4AFFF296769A}" name="SFF Grant Robertson" dataDxfId="707"/>
    <tableColumn id="21" xr3:uid="{7964BE5F-97A2-4C1A-AA5C-FC20F8812169}" name="SFF William O'Connell" dataDxfId="706"/>
    <tableColumn id="22" xr3:uid="{3B441ED3-71AB-46E3-AE54-48DB807A27A4}" name="SFF Samuel Vivian" dataDxfId="705"/>
    <tableColumn id="23" xr3:uid="{0B85E8AA-7398-463C-BCE7-5E3B56B0A9E5}" name="SFF Amy Devereaux" dataDxfId="704"/>
    <tableColumn id="24" xr3:uid="{5D3C0AAC-27FD-48A2-AF9C-3EE6F7B758BC}" name="SFF Jon White" dataDxfId="703"/>
    <tableColumn id="28" xr3:uid="{8691317B-296F-4EE8-9BC2-AC9E92C3FCE1}" name="SFF Robert Mayo" dataDxfId="702"/>
    <tableColumn id="25" xr3:uid="{B54B6BE7-118F-405F-AED5-B6908723B508}" name="QFF Symon Maxwell" dataDxfId="701"/>
    <tableColumn id="26" xr3:uid="{61C3B8B5-ED88-48CB-9610-5241ADCF98EB}" name="QFF Rueben Dodd" dataDxfId="700"/>
    <tableColumn id="27" xr3:uid="{06BE47AF-8485-4312-ACEE-D142F37396CD}" name="QFF Ian Chapman" dataDxfId="699"/>
    <tableColumn id="29" xr3:uid="{6BB13A63-E7DF-4C0C-A1F0-A9404C346A3B}" name="QFF Jonno Ryan" dataDxfId="698"/>
    <tableColumn id="30" xr3:uid="{5740E54A-95AB-45FB-93D4-BBD9583B9322}" name="QFF Melanie Yates" dataDxfId="697"/>
    <tableColumn id="33" xr3:uid="{CE829460-5241-4897-8DBD-EA1A6485CAAC}" name="QFF Maree Primrose" dataDxfId="696"/>
    <tableColumn id="34" xr3:uid="{12E88361-BCB9-4234-82AE-B7CB8328F93C}" name="QFF Russell Clarke" dataDxfId="695"/>
    <tableColumn id="36" xr3:uid="{0FE8BE4F-00F6-4BAE-95FB-F37B642A3737}" name="QFF Andrew Bond" dataDxfId="694"/>
    <tableColumn id="47" xr3:uid="{47E42E48-EDA1-451E-98A1-E3B09C30C4AF}" name="QFF Alan Binnie" dataDxfId="693"/>
    <tableColumn id="55" xr3:uid="{65D8C017-E0B1-46C4-A762-2C2D1D736207}" name="QFF Rafael Nazareth" dataDxfId="692"/>
    <tableColumn id="41" xr3:uid="{45F46368-D41D-47A5-B8B9-DA5CA212DBC4}" name="QFF Josh Pennefather" dataDxfId="691"/>
    <tableColumn id="50" xr3:uid="{B15638CC-BE70-4E65-9A55-64FE5FCD88AF}" name="QFF Melissa Jones" dataDxfId="690"/>
    <tableColumn id="37" xr3:uid="{459F9344-657A-4F75-9121-FD8CEC8C5B04}" name="FF Jimmy Doyle" dataDxfId="689"/>
    <tableColumn id="40" xr3:uid="{1A878419-99E1-4B55-80D0-3FDE28A4F717}" name="FF Dimmy Bell-Kainiu" dataDxfId="688"/>
    <tableColumn id="56" xr3:uid="{B477F063-6ECA-41EF-A7A7-8DFF6C6E72A9}" name="FF Ben Killgour" dataDxfId="687"/>
    <tableColumn id="43" xr3:uid="{F6DC05AE-321B-495A-AF14-7C5CF870FDFF}" name="FF Dallas Steele" dataDxfId="686"/>
    <tableColumn id="45" xr3:uid="{7A9E4940-5451-49F5-8F74-E9E2455BC1BB}" name="FF Braith Halliday" dataDxfId="685"/>
    <tableColumn id="44" xr3:uid="{1CEE100F-DEE5-4026-ACF9-9DFBA90FEF30}" name="FF Nick Grayson" dataDxfId="684"/>
    <tableColumn id="52" xr3:uid="{2C66D672-7865-4FCA-8D86-7580DD5FB03C}" name="FF Jason Court" dataDxfId="683"/>
    <tableColumn id="53" xr3:uid="{CFB5B341-D839-4B9D-9ACB-639614F80505}" name="FF Lee-Roy Staunton" dataDxfId="682"/>
    <tableColumn id="31" xr3:uid="{CABB243E-E015-429B-A09B-10AE6AB94479}" name="FF Crystal-Lee McConchie" dataDxfId="681"/>
    <tableColumn id="49" xr3:uid="{FA496DBB-266D-48B1-AFB1-6D30E46B4AC4}" name="RFF Mitch Court" dataDxfId="680"/>
    <tableColumn id="38" xr3:uid="{3A19C61D-6C70-418A-A5F3-FA337D2FF1D5}" name="RFF James O'Hare" dataDxfId="679"/>
    <tableColumn id="39" xr3:uid="{43252B13-681C-4022-A724-BEF254A9BCF6}" name="RFF Leone Humber" dataDxfId="678"/>
    <tableColumn id="19" xr3:uid="{7F318581-AAB2-44AE-9B32-4C9C41E349FE}" name="RFF Kaitlyn Evans" dataDxfId="677"/>
    <tableColumn id="35" xr3:uid="{267A15D7-8804-4DD7-8BA0-BFBC6D9C5729}" name="RFF Jamie Moore" dataDxfId="676"/>
    <tableColumn id="42" xr3:uid="{197F8BEA-1939-47D8-B018-F3A3676D6C23}" name="RFF Torrens Butcher" dataDxfId="675"/>
    <tableColumn id="48" xr3:uid="{B38E9C17-F0B6-49FC-84A3-B6B62231505C}" name="RFF Matt Humber" dataDxfId="674"/>
    <tableColumn id="54" xr3:uid="{26EF5A41-51FF-4DB8-ADDE-04D01B1F7B10}" name="Enter name of person submitting this form:" dataDxfId="67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6A9F0C-2CA2-4828-A0DF-ADEAD594ADB8}" name="MMar24" displayName="MMar24" ref="A1:BB2" totalsRowShown="0" headerRowDxfId="672">
  <tableColumns count="54">
    <tableColumn id="1" xr3:uid="{B5CF1D35-36C4-4C14-847E-CA8752BE2115}" name="Event Count" dataDxfId="671"/>
    <tableColumn id="2" xr3:uid="{6B27A2C0-0DCF-4461-8BED-4D5B19611EAA}" name="Start time" dataDxfId="670"/>
    <tableColumn id="3" xr3:uid="{5D5724DE-BAC4-44C4-BB5F-E93534D4B4C4}" name="Completion time" dataDxfId="669"/>
    <tableColumn id="4" xr3:uid="{B6E75D3E-DBF1-4671-8EC5-4EFB6178AA4F}" name="Email" dataDxfId="668"/>
    <tableColumn id="5" xr3:uid="{123823A2-58BA-4D45-883B-990F8676D98C}" name="Name" dataDxfId="667"/>
    <tableColumn id="6" xr3:uid="{E4BAB7B4-D2D2-4B04-9179-D6A8F0CE18D7}" name="Event Number" dataDxfId="666"/>
    <tableColumn id="7" xr3:uid="{57733FF4-F26C-42D9-A0EC-F9C2664BA9D6}" name="Date" dataDxfId="665"/>
    <tableColumn id="46" xr3:uid="{ABBD44BF-44EA-4990-B098-29ED92C5F9E7}" name="Incident Info" dataDxfId="664"/>
    <tableColumn id="8" xr3:uid="{0A2321D9-3C8D-4C48-AB87-034A8BE63304}" name="Address " dataDxfId="663"/>
    <tableColumn id="9" xr3:uid="{58D84089-B6A7-46DD-BE63-03B255BE30B0}" name="CFO John Robinson" dataDxfId="662"/>
    <tableColumn id="10" xr3:uid="{0E5731A4-6FEB-41E9-BB96-90972DC85CB8}" name="DCFO Bharat Ravji" dataDxfId="661"/>
    <tableColumn id="11" xr3:uid="{2C104C42-FF43-44E2-8C7B-486754A6485B}" name="SSO Darcy Hart" dataDxfId="660"/>
    <tableColumn id="12" xr3:uid="{C95F8FF5-5884-4E6F-BF5A-5550D72BCE82}" name="SSO Vaughan Wood" dataDxfId="659"/>
    <tableColumn id="13" xr3:uid="{581B019C-D4CD-4D8E-B6A8-B909C47AAEE9}" name="SO Richard Jellyman" dataDxfId="658"/>
    <tableColumn id="14" xr3:uid="{157A398F-75A6-4103-9F5A-273C09867E5A}" name="SO Richard Irving" dataDxfId="657"/>
    <tableColumn id="15" xr3:uid="{EEB20F90-631E-41E2-856A-7011E33D9EE9}" name="SO Darryn Pritchard" dataDxfId="656"/>
    <tableColumn id="16" xr3:uid="{02018538-DE73-4920-908F-81611C27D298}" name="SO Rhys Thomas" dataDxfId="655"/>
    <tableColumn id="17" xr3:uid="{7CC65D02-B4EB-472D-9990-AD3B27019C6E}" name="SFF Brent Reynolds" dataDxfId="654"/>
    <tableColumn id="18" xr3:uid="{34AC43B9-88E2-4D81-AB6C-DA12FC2136A1}" name="SFF Joseph O'Neill-Gregory" dataDxfId="653"/>
    <tableColumn id="20" xr3:uid="{E0A843EA-BAF7-4D56-A534-E87917BB3A04}" name="SFF Grant Robertson" dataDxfId="652"/>
    <tableColumn id="21" xr3:uid="{2713FA96-78A4-43CA-A215-3C9298CD2BC0}" name="SFF William O'Connell" dataDxfId="651"/>
    <tableColumn id="22" xr3:uid="{31358C39-ACEA-4A3B-B1A0-2F9DE57AC10C}" name="SFF Samuel Vivian" dataDxfId="650"/>
    <tableColumn id="23" xr3:uid="{32230D9E-AAE8-494E-9161-9AA421D26C3A}" name="SFF Amy Devereaux" dataDxfId="649"/>
    <tableColumn id="24" xr3:uid="{678A4D08-5FFD-4492-938F-C5619DA86457}" name="SFF Jon White" dataDxfId="648"/>
    <tableColumn id="28" xr3:uid="{DCFA1C66-8DFB-4B66-A888-2FA8C1E3E0F1}" name="SFF Robert Mayo" dataDxfId="647"/>
    <tableColumn id="25" xr3:uid="{FC9E6383-9AB2-4D35-9490-E8FC445E3A72}" name="QFF Symon Maxwell" dataDxfId="646"/>
    <tableColumn id="26" xr3:uid="{AC6DB6FE-323D-4CDA-8786-EB4CE2D64EE9}" name="QFF Rueben Dodd" dataDxfId="645"/>
    <tableColumn id="27" xr3:uid="{A6C1B86C-62A1-4513-A7FF-90EE58E55E05}" name="QFF Ian Chapman" dataDxfId="644"/>
    <tableColumn id="29" xr3:uid="{42358330-E8B3-48E9-9933-01B0498869CF}" name="QFF Jonno Ryan" dataDxfId="643"/>
    <tableColumn id="30" xr3:uid="{D9966C7D-970D-4F47-B602-393ED92C5212}" name="QFF Melanie Yates" dataDxfId="642"/>
    <tableColumn id="33" xr3:uid="{E1FA621F-F1CF-4C62-80B7-B86DF7AF321D}" name="QFF Maree Primrose" dataDxfId="641"/>
    <tableColumn id="34" xr3:uid="{074B172C-646E-494C-9588-55904B248C5B}" name="QFF Russell Clarke" dataDxfId="640"/>
    <tableColumn id="36" xr3:uid="{1AA80D9C-4CA1-4642-B75A-AA464DF07735}" name="QFF Andrew Bond" dataDxfId="639"/>
    <tableColumn id="47" xr3:uid="{4E01EC3C-AD1E-4FE4-9380-80987594846A}" name="QFF Alan Binnie" dataDxfId="638"/>
    <tableColumn id="55" xr3:uid="{F32AA701-D05D-4955-90AA-2FFB592D1B85}" name="QFF Rafael Nazareth" dataDxfId="637"/>
    <tableColumn id="41" xr3:uid="{A970CF4E-C7CE-44E0-A152-0F26AB86B112}" name="QFF Josh Pennefather" dataDxfId="636"/>
    <tableColumn id="50" xr3:uid="{4A3A6C32-1700-4094-9B67-49EF3327A783}" name="QFF Melissa Jones" dataDxfId="635"/>
    <tableColumn id="37" xr3:uid="{FFDBA694-E2F2-4166-B0EF-50762B140B76}" name="FF Jimmy Doyle" dataDxfId="634"/>
    <tableColumn id="40" xr3:uid="{A42E943E-632E-4A97-96A4-1C16946A96C6}" name="FF Dimmy Bell-Kainiu" dataDxfId="633"/>
    <tableColumn id="56" xr3:uid="{CF449B2C-C35C-4D0A-984E-96BE05CA125F}" name="FF Ben Killgour" dataDxfId="632"/>
    <tableColumn id="43" xr3:uid="{F9F98C2B-D8E1-4F24-8C3B-FC6137075366}" name="FF Dallas Steele" dataDxfId="631"/>
    <tableColumn id="45" xr3:uid="{E744CCED-9881-42D1-B9FB-32306E8DE75C}" name="FF Braith Halliday" dataDxfId="630"/>
    <tableColumn id="44" xr3:uid="{78B00229-E83D-4B1C-8DE0-373CF99BB449}" name="FF Nick Grayson" dataDxfId="629"/>
    <tableColumn id="52" xr3:uid="{8C3D9943-972D-4888-BED0-CA61FF4B322D}" name="FF Jason Court" dataDxfId="628"/>
    <tableColumn id="53" xr3:uid="{53BDB156-C230-41EC-93D7-5AC1E29EB9ED}" name="FF Lee-Roy Staunton" dataDxfId="627"/>
    <tableColumn id="31" xr3:uid="{1A2DC210-8B8C-4B9D-87CF-2F84843D3B18}" name="FF Crystal-Lee McConchie*" dataDxfId="626"/>
    <tableColumn id="49" xr3:uid="{CC98C736-C626-400E-80D9-D98BA979606F}" name="RFF Mitch Court" dataDxfId="625"/>
    <tableColumn id="38" xr3:uid="{1016D237-D5F5-4D3F-85DB-CC8D3B5F7E12}" name="RFF James O'Hare*" dataDxfId="624"/>
    <tableColumn id="39" xr3:uid="{A5D95BC0-AC57-4752-BEA2-452C7778D688}" name="RFF Leone Humber*" dataDxfId="623"/>
    <tableColumn id="51" xr3:uid="{A969DC7F-764C-4DD9-AD4A-9B99D1920BF1}" name="RFF Kaitlyn Evans" dataDxfId="622"/>
    <tableColumn id="35" xr3:uid="{B79F1634-0300-495C-BE02-061C62498F92}" name="RFF Jamie Moore" dataDxfId="621"/>
    <tableColumn id="42" xr3:uid="{BC39E4F2-82C0-4DA5-90E5-730821907B7A}" name="RFF Torrens Butcher" dataDxfId="620"/>
    <tableColumn id="48" xr3:uid="{E3990671-0D65-48D6-90D6-89B1DD5402F8}" name="RFF Matt Humber" dataDxfId="619"/>
    <tableColumn id="54" xr3:uid="{B4275360-B568-4122-81F8-099BFD745743}" name="Enter name of person submitting this form:" dataDxfId="6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645D2E-37DD-443C-9277-B1FDF7D0BF0F}" name="MApr24" displayName="MApr24" ref="A1:BB2" totalsRowShown="0" headerRowDxfId="617">
  <tableColumns count="54">
    <tableColumn id="1" xr3:uid="{89B59987-9D13-44AC-9B30-A302A13A0B55}" name="Event Count" dataDxfId="616"/>
    <tableColumn id="2" xr3:uid="{15AB4834-109A-432D-837C-FA93A6FE9972}" name="Start time" dataDxfId="615"/>
    <tableColumn id="3" xr3:uid="{51C5A6E1-EC99-48E0-B83A-4B5C8BA0966B}" name="Completion time" dataDxfId="614"/>
    <tableColumn id="4" xr3:uid="{5B88F9F6-6742-4040-8F19-A4EA0EC82D49}" name="Email" dataDxfId="613"/>
    <tableColumn id="5" xr3:uid="{7896489F-37E6-4B51-8796-1FD20EC4BC52}" name="Name" dataDxfId="612"/>
    <tableColumn id="6" xr3:uid="{DEE5D930-371C-4E76-B38A-E307C1DC28DB}" name="Event Number" dataDxfId="611"/>
    <tableColumn id="7" xr3:uid="{5C29A877-11B5-4C48-A067-8EB1ABFADDD4}" name="Date" dataDxfId="610"/>
    <tableColumn id="46" xr3:uid="{A42F1AAF-B849-48B0-A525-C8126F95D884}" name="Incident Info" dataDxfId="609"/>
    <tableColumn id="8" xr3:uid="{302B23D6-B5DC-4A31-BB12-267DA015B470}" name="Address " dataDxfId="608"/>
    <tableColumn id="9" xr3:uid="{3D6B3D21-C8D2-4C44-9E22-7D223CAD7673}" name="CFO John Robinson" dataDxfId="607"/>
    <tableColumn id="10" xr3:uid="{4BCDE5FF-33DC-4078-A8E6-9B66E3B5362D}" name="DCFO Bharat Ravji" dataDxfId="606"/>
    <tableColumn id="11" xr3:uid="{FFD1F819-0EA3-4D3F-93AF-1E4AB681B20A}" name="SSO Darcy Hart" dataDxfId="605"/>
    <tableColumn id="12" xr3:uid="{9E71DEED-C237-4904-8315-0ABE7FD11E17}" name="SSO Vaughan Wood" dataDxfId="604"/>
    <tableColumn id="13" xr3:uid="{973FBD54-A857-40C8-8322-4358800B0522}" name="SO Richard Jellyman" dataDxfId="603"/>
    <tableColumn id="14" xr3:uid="{F0E4B809-4C26-49E1-BEE8-E11B726E7737}" name="SO Richard Irving" dataDxfId="602"/>
    <tableColumn id="15" xr3:uid="{CA8F914E-8722-400A-A75B-6EBE7973DB9D}" name="SO Darryn Pritchard" dataDxfId="601"/>
    <tableColumn id="16" xr3:uid="{19045400-059E-4AA1-917E-768AB4E35B9A}" name="SO Rhys Thomas" dataDxfId="600"/>
    <tableColumn id="17" xr3:uid="{5048B1A4-C5C6-49FD-9BE0-67227F363487}" name="SFF Brent Reynolds" dataDxfId="599"/>
    <tableColumn id="18" xr3:uid="{C126C58C-8B12-4CA9-B0CD-0FFA5B3BA232}" name="SFF Joseph O'Neill-Gregory" dataDxfId="598"/>
    <tableColumn id="20" xr3:uid="{9ED5870D-6B80-426F-A753-F492FC3E53D2}" name="SFF Grant Robertson" dataDxfId="597"/>
    <tableColumn id="21" xr3:uid="{839AF9C7-BD28-4149-B23A-FE146854C143}" name="SFF William O'Connell" dataDxfId="596"/>
    <tableColumn id="22" xr3:uid="{92ABF367-516E-4CA8-A443-D20D03FC74D5}" name="SFF Samuel Vivian" dataDxfId="595"/>
    <tableColumn id="23" xr3:uid="{942B4204-7090-4A4D-887A-B9BA3CB9CC6F}" name="SFF Amy Devereaux" dataDxfId="594"/>
    <tableColumn id="24" xr3:uid="{42CCB314-7409-4DD0-9778-7F4496BC88E6}" name="SFF Jon White" dataDxfId="593"/>
    <tableColumn id="28" xr3:uid="{BF364D19-277A-4543-B12F-58094756FB15}" name="SFF Robert Mayo" dataDxfId="592"/>
    <tableColumn id="25" xr3:uid="{9E0E2B2E-4E22-484F-89F8-8836699E5EA3}" name="QFF Symon Maxwell" dataDxfId="591"/>
    <tableColumn id="26" xr3:uid="{02A228A4-B36E-4CC5-B658-EA082A367AD1}" name="QFF Rueben Dodd" dataDxfId="590"/>
    <tableColumn id="27" xr3:uid="{F82740DA-90C8-463C-AE6E-0E4081A41B55}" name="QFF Ian Chapman" dataDxfId="589"/>
    <tableColumn id="29" xr3:uid="{41CCF46E-EA3F-44FA-A986-050CF9F1E0A5}" name="QFF Jonno Ryan" dataDxfId="588"/>
    <tableColumn id="30" xr3:uid="{36C1D947-E21D-4D60-ADF0-BF60E1FA59E4}" name="QFF Melanie Yates" dataDxfId="587"/>
    <tableColumn id="33" xr3:uid="{9AE0874E-7CBD-4FD7-9021-7D0A1F551AD1}" name="QFF Maree Primrose" dataDxfId="586"/>
    <tableColumn id="34" xr3:uid="{A4A849D0-79E3-4594-AB00-D68A8F3DF0BE}" name="QFF Russell Clarke" dataDxfId="585"/>
    <tableColumn id="36" xr3:uid="{AAFEBE01-8FC3-487A-A75A-F0660491D386}" name="QFF Andrew Bond" dataDxfId="584"/>
    <tableColumn id="47" xr3:uid="{1ADE2243-943E-4217-ABC1-8A1781B76CBD}" name="QFF Alan Binnie" dataDxfId="583"/>
    <tableColumn id="55" xr3:uid="{9416FB42-CAE3-4397-A9F2-5E4BEAFA3170}" name="QFF Rafael Nazareth" dataDxfId="582"/>
    <tableColumn id="41" xr3:uid="{40667879-D85F-465D-A7B4-B72BE5B8965C}" name="QFF Josh Pennefather" dataDxfId="581"/>
    <tableColumn id="50" xr3:uid="{B76D9F2C-131C-4B1C-A6BA-901E3C419BB6}" name="QFF Melissa Jones" dataDxfId="580"/>
    <tableColumn id="37" xr3:uid="{F31D8F66-F3DF-4980-ACCA-89E77EA1C75E}" name="FF Jimmy Doyle" dataDxfId="579"/>
    <tableColumn id="40" xr3:uid="{1AB15960-BE13-4B0E-A087-3B6A7DCE64CB}" name="FF Dimmy Bell-Kainiu" dataDxfId="578"/>
    <tableColumn id="56" xr3:uid="{114CC2F6-6F90-4587-AD50-4395DCF67DAB}" name="FF Ben Killgour" dataDxfId="577"/>
    <tableColumn id="43" xr3:uid="{52A56163-268E-4D5D-8771-12530B2103AD}" name="FF Dallas Steele" dataDxfId="576"/>
    <tableColumn id="45" xr3:uid="{9280AFEA-CD81-4DDD-9924-5DEC355B3BD2}" name="FF Braith Halliday" dataDxfId="575"/>
    <tableColumn id="44" xr3:uid="{6AA5F62E-E64B-4651-9629-3602E87408FF}" name="FF Nick Grayson" dataDxfId="574"/>
    <tableColumn id="52" xr3:uid="{3968517C-B2E6-4F36-AC9F-E8429BA55832}" name="FF Jason Court" dataDxfId="573"/>
    <tableColumn id="53" xr3:uid="{C9D17CB4-0C1A-4EFF-8F8B-77C292792640}" name="FF Lee-Roy Staunton" dataDxfId="572"/>
    <tableColumn id="31" xr3:uid="{57F5CDD5-B119-43EA-BAAB-E5E2C6B48D2B}" name="FF Crystal-Lee McConchie" dataDxfId="571"/>
    <tableColumn id="49" xr3:uid="{6CF057B3-B6D1-4D3C-A28D-73661E18E5C3}" name="RFF Mitch Court" dataDxfId="570"/>
    <tableColumn id="38" xr3:uid="{CD6A2A4A-C823-43DF-B328-D418481A95C0}" name="RFF James O'Hare" dataDxfId="569"/>
    <tableColumn id="39" xr3:uid="{16E5E32D-E910-44B9-8595-09D96D2F3F17}" name="RFF Leone Humber" dataDxfId="568"/>
    <tableColumn id="51" xr3:uid="{2389B715-2528-46CE-A610-763BBAA20D84}" name="RFF Kaitlyn Evans" dataDxfId="567"/>
    <tableColumn id="35" xr3:uid="{8C662608-60E6-4668-92A0-118A9EA8890E}" name="RFF Jamie Moore" dataDxfId="566"/>
    <tableColumn id="42" xr3:uid="{C54348B2-E68C-4714-9312-FFBBFCA4E9CD}" name="RFF Torrens Butcher" dataDxfId="565"/>
    <tableColumn id="48" xr3:uid="{8474003A-91EB-47D6-A201-3118E2BF78F6}" name="RFF Matt Humber" dataDxfId="564"/>
    <tableColumn id="54" xr3:uid="{FCFC3B0B-5D73-42A2-90B0-68F8876F4170}" name="Enter name of person submitting this form:" dataDxfId="5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7426BD-8462-415A-9DA9-ED37675FE96C}" name="MMay24" displayName="MMay24" ref="A1:BB2" totalsRowShown="0" headerRowDxfId="562">
  <tableColumns count="54">
    <tableColumn id="1" xr3:uid="{D80C3341-2ADE-4574-860A-E54915F75583}" name="Event Count" dataDxfId="561"/>
    <tableColumn id="2" xr3:uid="{B4E76D61-ECE6-431B-A9DB-BD5A17A7A8AF}" name="Start time" dataDxfId="560"/>
    <tableColumn id="3" xr3:uid="{216DEB03-14F5-43F9-B6A9-997EEECB3AB9}" name="Completion time" dataDxfId="559"/>
    <tableColumn id="4" xr3:uid="{E975C213-04CD-41E3-9B1D-3B9D9E6E321B}" name="Email" dataDxfId="558"/>
    <tableColumn id="5" xr3:uid="{DE3D0079-A868-4291-88E1-A3B840606738}" name="Name" dataDxfId="557"/>
    <tableColumn id="6" xr3:uid="{571FEE8C-866E-4252-AA72-CAA83B3CE1A3}" name="Event Number" dataDxfId="556"/>
    <tableColumn id="7" xr3:uid="{83721218-BC11-4D1E-A5A4-EDA3DE2809B8}" name="Date" dataDxfId="555"/>
    <tableColumn id="46" xr3:uid="{348CC7D5-B799-4FB9-AC90-A811A74F4CC1}" name="Incident Info" dataDxfId="554"/>
    <tableColumn id="8" xr3:uid="{CB087207-9185-42DC-93CA-AB85C0514D53}" name="Address " dataDxfId="553"/>
    <tableColumn id="9" xr3:uid="{A25484EB-A378-4363-BBF8-2D56A0863AEB}" name="CFO John Robinson" dataDxfId="552"/>
    <tableColumn id="10" xr3:uid="{9CDC3987-0211-4ADA-B431-5E7384C29C24}" name="DCFO Bharat Ravji" dataDxfId="551"/>
    <tableColumn id="11" xr3:uid="{EAB11FAD-53E9-4741-9401-C34D778978BD}" name="SSO Darcy Hart" dataDxfId="550"/>
    <tableColumn id="12" xr3:uid="{86B9D685-8EB8-4D8B-BEC1-DE283B911073}" name="SSO Vaughan Wood" dataDxfId="549"/>
    <tableColumn id="13" xr3:uid="{9D817896-4EEB-4D02-A96A-5F8D58E120C2}" name="SO Richard Jellyman" dataDxfId="548"/>
    <tableColumn id="14" xr3:uid="{D773D463-5251-4E79-99BC-7004330536A7}" name="SO Richard Irving" dataDxfId="547"/>
    <tableColumn id="15" xr3:uid="{DB188F19-6570-48FE-97FB-BABD30159630}" name="SO Darryn Pritchard" dataDxfId="546"/>
    <tableColumn id="16" xr3:uid="{F36B2FF0-73BA-486A-9EBD-BC937D30BC0D}" name="SO Rhys Thomas" dataDxfId="545"/>
    <tableColumn id="17" xr3:uid="{37A6451E-6718-4C79-95B6-B328CD5D82FB}" name="SFF Brent Reynolds" dataDxfId="544"/>
    <tableColumn id="18" xr3:uid="{4EDC9FB7-E47E-476E-9DD7-BE5B35CB3563}" name="SFF Joseph O'Neill-Gregory" dataDxfId="543"/>
    <tableColumn id="20" xr3:uid="{58B28C99-1887-435B-8D65-3F469E6370FB}" name="SFF Grant Robertson" dataDxfId="542"/>
    <tableColumn id="21" xr3:uid="{7A243D27-A810-4A86-BDC7-412A0D68315C}" name="SFF William O'Connell" dataDxfId="541"/>
    <tableColumn id="22" xr3:uid="{273C9385-F41C-4EE1-97D1-1C772866BB86}" name="SFF Samuel Vivian" dataDxfId="540"/>
    <tableColumn id="23" xr3:uid="{CC4795D2-616D-45A1-98F0-E93A6D22C63D}" name="SFF Amy Devereaux" dataDxfId="539"/>
    <tableColumn id="24" xr3:uid="{9730BA9B-A8A9-4AA9-BD3C-E968E2AB4C65}" name="SFF Jon White" dataDxfId="538"/>
    <tableColumn id="28" xr3:uid="{1BE22A2F-5ED7-41CE-B4B8-628A4105B6AA}" name="SFF Robert Mayo" dataDxfId="537"/>
    <tableColumn id="25" xr3:uid="{BD7E68C1-1D6F-4ECE-A0D6-64DA8E653003}" name="QFF Symon Maxwell" dataDxfId="536"/>
    <tableColumn id="26" xr3:uid="{358E1645-649D-4F78-969A-7954DED9D2C9}" name="QFF Rueben Dodd" dataDxfId="535"/>
    <tableColumn id="27" xr3:uid="{0FF22BC5-C70A-4DB5-9F4B-55A301B9D30A}" name="QFF Ian Chapman" dataDxfId="534"/>
    <tableColumn id="29" xr3:uid="{9001F3ED-1018-4A24-BC7E-5CA2CCE34981}" name="QFF Jonno Ryan" dataDxfId="533"/>
    <tableColumn id="30" xr3:uid="{E0A57816-AB2F-4785-804B-C3E7FE2E82E5}" name="QFF Melanie Yates" dataDxfId="532"/>
    <tableColumn id="33" xr3:uid="{1B2D4D50-4CD1-4757-BFAE-188BCF172DFC}" name="QFF Maree Primrose" dataDxfId="531"/>
    <tableColumn id="34" xr3:uid="{C1D41BB9-33E3-4481-8C49-CC815DB19D66}" name="QFF Russell Clarke" dataDxfId="530"/>
    <tableColumn id="36" xr3:uid="{7D07CFDD-2980-46E3-9203-7F6443E972F4}" name="QFF Andrew Bond" dataDxfId="529"/>
    <tableColumn id="47" xr3:uid="{71037E78-2A26-49C4-8239-D23BF62574F1}" name="QFF Alan Binnie" dataDxfId="528"/>
    <tableColumn id="55" xr3:uid="{B63446F3-F57A-4FA9-9D63-341C685E595A}" name="QFF Rafael Nazareth" dataDxfId="527"/>
    <tableColumn id="41" xr3:uid="{736E0802-BBDF-4A84-8960-46B25F445C36}" name="QFF Josh Pennefather" dataDxfId="526"/>
    <tableColumn id="50" xr3:uid="{75C0A562-35C9-4298-8416-3FF68A8AA604}" name="QFF Melissa Jones" dataDxfId="525"/>
    <tableColumn id="37" xr3:uid="{48544546-BFCD-4794-8940-CF48EBCDFCFA}" name="FF Jimmy Doyle" dataDxfId="524"/>
    <tableColumn id="40" xr3:uid="{62BF117E-70FA-4E07-A05F-6A4A0DDE154F}" name="FF Dimmy Bell-Kainiu" dataDxfId="523"/>
    <tableColumn id="56" xr3:uid="{E8A80F53-254C-48CC-8DAD-90DBC12B9093}" name="FF Ben Killgour" dataDxfId="522"/>
    <tableColumn id="43" xr3:uid="{2208FED0-7EB1-4903-80D7-09C46320ED0C}" name="FF Dallas Steele" dataDxfId="521"/>
    <tableColumn id="45" xr3:uid="{0774ECA2-7584-487F-BBC0-C7B881096150}" name="FF Braith Halliday" dataDxfId="520"/>
    <tableColumn id="44" xr3:uid="{7AFBF172-BEF6-4694-8708-131F1CFD0702}" name="FF Nick Grayson" dataDxfId="519"/>
    <tableColumn id="52" xr3:uid="{20275B20-6921-4C7F-B663-BB56E4C7EB7F}" name="FF Jason Court" dataDxfId="518"/>
    <tableColumn id="53" xr3:uid="{03A933AF-E116-4BBB-A06A-3826896F4C6F}" name="FF Lee-Roy Staunton" dataDxfId="517"/>
    <tableColumn id="31" xr3:uid="{55B4C03D-7705-48B7-8C62-55DD66C89D05}" name="FF Crystal-Lee McConchie" dataDxfId="516"/>
    <tableColumn id="49" xr3:uid="{9A40D462-CB00-4EE9-A1C7-5337D099DD13}" name="RFF Mitch Court" dataDxfId="515"/>
    <tableColumn id="38" xr3:uid="{4BE77C5F-923A-48D8-8525-6D5E37A33127}" name="RFF James O'Hare" dataDxfId="514"/>
    <tableColumn id="39" xr3:uid="{ED53B775-B19A-4F26-8262-D069DF6841C2}" name="RFF Leone Humber" dataDxfId="513"/>
    <tableColumn id="51" xr3:uid="{6CFF21A9-F3B1-4861-87CC-FD0A659C5714}" name="RFF Kaitlyn Evans" dataDxfId="512"/>
    <tableColumn id="19" xr3:uid="{CD27D5A7-FB54-4F38-B58C-D90BD35FBA05}" name="RFF Jamie Moore" dataDxfId="511"/>
    <tableColumn id="35" xr3:uid="{2843C319-B047-47A3-9855-56B9E2D435A8}" name="RFF Torrens Butcher" dataDxfId="510"/>
    <tableColumn id="42" xr3:uid="{B7696AA2-7BEF-4F8E-BA81-57FC17727AD6}" name="RFF Matt Humber" dataDxfId="509"/>
    <tableColumn id="54" xr3:uid="{F5106CA8-A146-4D1B-BCE7-997E21877F33}" name="Enter name of person submitting this form:" dataDxfId="50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DAB2BD-11C7-4C9F-AED3-216DAB06D2AC}" name="MJun24" displayName="MJun24" ref="A1:BB2" totalsRowShown="0" headerRowDxfId="507" dataDxfId="506">
  <tableColumns count="54">
    <tableColumn id="1" xr3:uid="{F3EBF67C-D540-4F97-864F-94BE133FBCE3}" name="Event Count" dataDxfId="505"/>
    <tableColumn id="2" xr3:uid="{B29E93EE-565E-4EA9-8FCC-FB9E080FF23F}" name="Start time" dataDxfId="504"/>
    <tableColumn id="3" xr3:uid="{6966D090-304B-422D-A53A-B33C5BE552B6}" name="Completion time" dataDxfId="503"/>
    <tableColumn id="4" xr3:uid="{02A8DD16-A05E-4F65-8BDB-5A9AD7C99B3B}" name="Email" dataDxfId="502"/>
    <tableColumn id="5" xr3:uid="{177078BB-658C-4C27-9FC3-7405C5668D6E}" name="Name" dataDxfId="501"/>
    <tableColumn id="6" xr3:uid="{2CD55A35-1FC0-4524-A228-ADD8EC12080A}" name="Event Number" dataDxfId="500"/>
    <tableColumn id="7" xr3:uid="{FB13D7A7-D0BD-4B67-AB70-61851692FD87}" name="Date" dataDxfId="499"/>
    <tableColumn id="46" xr3:uid="{328A5BE3-5936-4EB7-9A66-7C4B27421ADC}" name="Incident Info" dataDxfId="498"/>
    <tableColumn id="8" xr3:uid="{329C0AB6-ADD1-45C8-BBC8-D751CFC7B6DB}" name="Address " dataDxfId="497"/>
    <tableColumn id="9" xr3:uid="{CD641585-8BBD-4634-824F-4C2B07CD668F}" name="CFO John Robinson" dataDxfId="496"/>
    <tableColumn id="10" xr3:uid="{713EEC03-9C51-485B-940F-2CF57FAE9D9D}" name="DCFO Bharat Ravji" dataDxfId="495"/>
    <tableColumn id="11" xr3:uid="{B2F2BACC-9EE6-417F-AA5E-D7B2A1586560}" name="SSO Darcy Hart" dataDxfId="494"/>
    <tableColumn id="12" xr3:uid="{C872A48D-B8A7-4768-9112-7A80B2D1B093}" name="SSO Vaughan Wood" dataDxfId="493"/>
    <tableColumn id="13" xr3:uid="{5BCA275E-AEEA-4D26-8219-EC34694EA562}" name="SO Richard Jellyman" dataDxfId="492"/>
    <tableColumn id="14" xr3:uid="{31C7AC68-FFFD-483A-A438-E19F0A194581}" name="SO Richard Irving" dataDxfId="491"/>
    <tableColumn id="15" xr3:uid="{2178358A-B5EE-47A9-BA7F-1BB5892FF48E}" name="SO Darryn Pritchard" dataDxfId="490"/>
    <tableColumn id="16" xr3:uid="{B639BADD-5B69-44F9-8338-2D5BF903F4FD}" name="SO Rhys Thomas" dataDxfId="489"/>
    <tableColumn id="17" xr3:uid="{3EFC71A3-AEB4-4E9C-B322-C45C8B6A7592}" name="SFF Brent Reynolds" dataDxfId="488"/>
    <tableColumn id="18" xr3:uid="{EB4BFB78-40F6-40A6-8E46-5B23D025BF17}" name="SFF Joseph O'Neill-Gregory" dataDxfId="487"/>
    <tableColumn id="20" xr3:uid="{1726D65F-EF44-4732-A634-F21AF3993B55}" name="SFF Grant Robertson" dataDxfId="486"/>
    <tableColumn id="21" xr3:uid="{25ED2A15-F1E1-40EE-B80F-BBA46402E1BA}" name="SFF William O'Connell" dataDxfId="485"/>
    <tableColumn id="22" xr3:uid="{012A9E0F-77B1-459A-B91E-E7F22D57A00C}" name="SFF Samuel Vivian" dataDxfId="484"/>
    <tableColumn id="23" xr3:uid="{8EEEA96C-12EC-4E4A-951B-97B0131CDE2C}" name="SFF Amy Devereaux" dataDxfId="483"/>
    <tableColumn id="24" xr3:uid="{D172B7FC-E52B-4476-8388-6CEA3EA08B4B}" name="SFF Jon White" dataDxfId="482"/>
    <tableColumn id="28" xr3:uid="{E0F52876-3234-42A8-9AE1-4922FB9B138C}" name="SFF Robert Mayo" dataDxfId="481"/>
    <tableColumn id="25" xr3:uid="{BB4DC8FA-5804-4956-8167-6C5BF6929082}" name="QFF Symon Maxwell" dataDxfId="480"/>
    <tableColumn id="26" xr3:uid="{8ACECFFB-E68B-4B3E-8D1D-D567F37C2FA9}" name="QFF Rueben Dodd" dataDxfId="479"/>
    <tableColumn id="27" xr3:uid="{609C06B9-E4A6-4003-95D4-7769F982F981}" name="QFF Ian Chapman" dataDxfId="478"/>
    <tableColumn id="29" xr3:uid="{F7ABC0E7-626E-4118-9A4E-B2C1869DA082}" name="QFF Jonno Ryan" dataDxfId="477"/>
    <tableColumn id="30" xr3:uid="{4B44F3B3-812A-4112-A1BA-6014642D1C4C}" name="QFF Melanie Yates" dataDxfId="476"/>
    <tableColumn id="33" xr3:uid="{4DFD41BE-897A-4A88-B0BB-3B5442084922}" name="QFF Maree Primrose" dataDxfId="475"/>
    <tableColumn id="34" xr3:uid="{612FF695-F5D3-44E3-94AD-C4555EB2877B}" name="QFF Russell Clarke" dataDxfId="474"/>
    <tableColumn id="36" xr3:uid="{AE2D1F93-A28C-4E1A-AA22-8BDD013C694A}" name="QFF Andrew Bond" dataDxfId="473"/>
    <tableColumn id="47" xr3:uid="{2A477519-8CFC-46A7-841E-AD05DBB95B1E}" name="QFF Alan Binnie" dataDxfId="472"/>
    <tableColumn id="55" xr3:uid="{3F41D944-9B97-40CC-ADFB-38A8887F7671}" name="QFF Rafael Nazareth" dataDxfId="471"/>
    <tableColumn id="41" xr3:uid="{1C4CC127-45B8-4691-B755-BA0B6EAED08E}" name="QFF Josh Pennefather" dataDxfId="470"/>
    <tableColumn id="50" xr3:uid="{1F3E18AB-17B5-48BC-9797-390939827519}" name="QFF Melissa Jones" dataDxfId="469"/>
    <tableColumn id="37" xr3:uid="{E55602CF-A31C-4717-9316-E51F27498208}" name="FF Jimmy Doyle" dataDxfId="468"/>
    <tableColumn id="40" xr3:uid="{C96B1D00-A4DE-4690-B1E1-2EC4A01EA3CA}" name="FF Dimmy Bell-Kainiu" dataDxfId="467"/>
    <tableColumn id="56" xr3:uid="{BE6DB834-6411-492C-940F-9F84524FF4C5}" name="FF Ben Killgour" dataDxfId="466"/>
    <tableColumn id="43" xr3:uid="{4BDD678B-37FE-4CCA-B276-569D5F2F6884}" name="FF Dallas Steele" dataDxfId="465"/>
    <tableColumn id="45" xr3:uid="{C33936A8-1BCA-463C-AA4A-EA272FE44474}" name="FF Braith Halliday" dataDxfId="464"/>
    <tableColumn id="44" xr3:uid="{6566AE41-B8EA-4505-B75F-13F8DF6468BF}" name="FF Nick Grayson" dataDxfId="463"/>
    <tableColumn id="52" xr3:uid="{9B1A5C16-B770-4330-A0F6-8596373074E9}" name="FF Jason Court" dataDxfId="462"/>
    <tableColumn id="53" xr3:uid="{B10AB91A-8E6E-4DFE-993C-ED741E84539C}" name="FF Lee-Roy Staunton" dataDxfId="461"/>
    <tableColumn id="31" xr3:uid="{C6B1141C-EE70-4845-B453-45895D38712B}" name="FF Crystal-Lee McConchie" dataDxfId="460"/>
    <tableColumn id="49" xr3:uid="{65E3578C-1B50-440E-BEFD-13DD88334692}" name="RFF Mitch Court" dataDxfId="459"/>
    <tableColumn id="38" xr3:uid="{2BC7DEDF-EF97-452F-A5AA-16FDCB26C236}" name="RFF James O'Hare" dataDxfId="458"/>
    <tableColumn id="39" xr3:uid="{2D518FF0-04F8-4DB8-A592-AB376FC4EDC2}" name="RFF Leone Humber" dataDxfId="457"/>
    <tableColumn id="51" xr3:uid="{34C6F52C-AC12-4066-84C9-17353250230F}" name="RFF Kaitlyn Evans" dataDxfId="456"/>
    <tableColumn id="19" xr3:uid="{7AC7DE61-F035-4D00-B866-C662FADF5F1E}" name="RFF Jamie Moore" dataDxfId="455"/>
    <tableColumn id="35" xr3:uid="{4691AF0F-028B-491F-8B4C-69CA4C50DA5E}" name="RFF Torrens Butcher" dataDxfId="454"/>
    <tableColumn id="42" xr3:uid="{DE45ABD9-532C-406D-B24E-A13D28FACAF8}" name="RFF Matt Humber" dataDxfId="453"/>
    <tableColumn id="54" xr3:uid="{2A4EB084-12FB-4500-8615-2ECE2D999A44}" name="Enter name of person submitting this form:" dataDxfId="45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D8D2A5-E381-4492-B898-85373730C696}" name="MJuL24" displayName="MJuL24" ref="A1:BB2" totalsRowShown="0" headerRowDxfId="451" dataDxfId="450">
  <tableColumns count="54">
    <tableColumn id="1" xr3:uid="{885B0B11-466C-4632-AF5E-62A8A4B95BF7}" name="Event Count" dataDxfId="449"/>
    <tableColumn id="2" xr3:uid="{B60583EA-DC8C-489E-B82E-2D00008AD15E}" name="Start time" dataDxfId="448"/>
    <tableColumn id="3" xr3:uid="{26884EE0-5275-41F5-B784-634720BB9C3A}" name="Completion time" dataDxfId="447"/>
    <tableColumn id="4" xr3:uid="{C3531AC4-7F9E-4827-ABA3-F1FE455A946E}" name="Email" dataDxfId="446"/>
    <tableColumn id="5" xr3:uid="{4EB1AF52-B300-4FD9-852C-3CB0DD39A4AB}" name="Name" dataDxfId="445"/>
    <tableColumn id="6" xr3:uid="{BADFD990-8EA9-47F1-8096-3755B43AE85D}" name="Event Number" dataDxfId="444"/>
    <tableColumn id="7" xr3:uid="{3BD06D4C-093C-485B-8AF6-0EAF34F46398}" name="Date" dataDxfId="443"/>
    <tableColumn id="46" xr3:uid="{1A535283-FFE7-4831-9979-BA72CACBCB04}" name="Incident Info" dataDxfId="442"/>
    <tableColumn id="8" xr3:uid="{B8B71051-EEFB-469F-AEF9-C3869A375B9A}" name="Address " dataDxfId="441"/>
    <tableColumn id="9" xr3:uid="{A660D258-4370-4257-A659-9B221D898DC0}" name="CFO John Robinson" dataDxfId="440"/>
    <tableColumn id="10" xr3:uid="{4E58A05B-3C1D-4EF7-B0A9-4E98A85C83A8}" name="DCFO Bharat Ravji" dataDxfId="439"/>
    <tableColumn id="11" xr3:uid="{8FE6F83D-1531-4A0D-B6E7-3E288C731E68}" name="SSO Darcy Hart" dataDxfId="438"/>
    <tableColumn id="12" xr3:uid="{7F731846-A230-4C7C-8DBC-7270BE3A61EE}" name="SSO Vaughan Wood" dataDxfId="437"/>
    <tableColumn id="13" xr3:uid="{E499078E-0A6D-479E-A0C8-8D2832D7A900}" name="SO Richard Jellyman" dataDxfId="436"/>
    <tableColumn id="14" xr3:uid="{0FBE2D62-55A7-45FE-B6B1-9B3D96A32A76}" name="SO Richard Irving" dataDxfId="435"/>
    <tableColumn id="15" xr3:uid="{D2B210DB-91BF-4F5E-BEEC-5E5C7AB1EE69}" name="SO Darryn Pritchard" dataDxfId="434"/>
    <tableColumn id="16" xr3:uid="{24DE47FA-ACF3-4F92-BEEC-79A30ED1BBDB}" name="SO Rhys Thomas" dataDxfId="433"/>
    <tableColumn id="17" xr3:uid="{D9891E3C-8159-4A25-B6F7-53D9B6329321}" name="SFF Brent Reynolds" dataDxfId="432"/>
    <tableColumn id="18" xr3:uid="{D8611669-C334-4EFA-85C3-F357A4D64898}" name="SFF Joseph O'Neill-Gregory" dataDxfId="431"/>
    <tableColumn id="20" xr3:uid="{CF75A5A7-6F8D-429D-AC7E-E8EEA5B8489C}" name="SFF Grant Robertson" dataDxfId="430"/>
    <tableColumn id="21" xr3:uid="{C0854BFD-4FF6-4D2F-9A1F-C86621DD3CA7}" name="SFF William O'Connell" dataDxfId="429"/>
    <tableColumn id="22" xr3:uid="{D5FB0349-8871-417D-B38E-2D691D8ECC31}" name="SFF Samuel Vivian" dataDxfId="428"/>
    <tableColumn id="23" xr3:uid="{1A093FB7-59D4-4A3A-8839-AE5DC71D4BA6}" name="SFF Amy Devereaux" dataDxfId="427"/>
    <tableColumn id="24" xr3:uid="{171C5A3C-09F2-459F-88DC-83E1C61C3E5C}" name="SFF Jon White" dataDxfId="426"/>
    <tableColumn id="28" xr3:uid="{37D525C6-1EF4-4C70-81C9-928648D84A76}" name="SFF Robert Mayo" dataDxfId="425"/>
    <tableColumn id="25" xr3:uid="{AC00D46E-D3F5-4242-B6B9-CDF909FF90BB}" name="QFF Symon Maxwell" dataDxfId="424"/>
    <tableColumn id="26" xr3:uid="{F40D7773-C211-448A-AA75-D5048A365683}" name="QFF Rueben Dodd" dataDxfId="423"/>
    <tableColumn id="27" xr3:uid="{17D26683-F9DE-4F4D-94F4-24928A165D94}" name="QFF Ian Chapman" dataDxfId="422"/>
    <tableColumn id="29" xr3:uid="{7791479D-923C-424B-827B-870F5F1751E2}" name="QFF Jonno Ryan" dataDxfId="421"/>
    <tableColumn id="30" xr3:uid="{5AEE2A23-D8AD-4B70-B8A1-88A0ADF13499}" name="QFF Melanie Yates" dataDxfId="420"/>
    <tableColumn id="33" xr3:uid="{D427AD34-F4AA-4DF9-9766-F4E23B3EB412}" name="QFF Maree Primrose" dataDxfId="419"/>
    <tableColumn id="34" xr3:uid="{7C4113B6-1AD7-429F-B3E4-013E8F82B01C}" name="QFF Russell Clarke" dataDxfId="418"/>
    <tableColumn id="36" xr3:uid="{F50314B9-8C3C-40BD-B6E2-F6088A1B547D}" name="QFF Andrew Bond" dataDxfId="417"/>
    <tableColumn id="47" xr3:uid="{869473B3-17DC-4335-865F-6620DD3FFE73}" name="QFF Alan Binnie" dataDxfId="416"/>
    <tableColumn id="55" xr3:uid="{7C62EAD6-4E62-4115-A6D4-A29874034286}" name="QFF Rafael Nazareth" dataDxfId="415"/>
    <tableColumn id="41" xr3:uid="{EFD02EBF-B3F7-4129-804F-D71F59476B01}" name="QFF Josh Pennefather" dataDxfId="414"/>
    <tableColumn id="50" xr3:uid="{9979B2A8-1526-47BA-A004-BB432FC8C79C}" name="QFF Melissa Jones" dataDxfId="413"/>
    <tableColumn id="37" xr3:uid="{C8339CBE-8FE3-419F-8F0E-9D7185DFFCCE}" name="FF Jimmy Doyle" dataDxfId="412"/>
    <tableColumn id="40" xr3:uid="{26A7912C-28E8-4933-B753-E3C659B30C41}" name="FF Dimmy Bell-Kainiu" dataDxfId="411"/>
    <tableColumn id="56" xr3:uid="{88D9A860-8624-4E29-A6C1-7BB565416808}" name="FF Ben Killgour" dataDxfId="410"/>
    <tableColumn id="43" xr3:uid="{86C73E54-F047-46D7-96B1-5BD1A93635AF}" name="FF Dallas Steele" dataDxfId="409"/>
    <tableColumn id="45" xr3:uid="{6BA7AF5E-4C44-43D7-B53E-1546C9296038}" name="FF Braith Halliday" dataDxfId="408"/>
    <tableColumn id="44" xr3:uid="{6EBF2152-CEE6-48FA-81E3-A742BA8EC111}" name="FF Nick Grayson" dataDxfId="407"/>
    <tableColumn id="52" xr3:uid="{695222AE-4A89-466E-B0A5-DD88E12A2A5E}" name="FF Jason Court" dataDxfId="406"/>
    <tableColumn id="53" xr3:uid="{8EDC5F93-1232-4D4F-816C-6460218E5D78}" name="FF Lee-Roy Staunton" dataDxfId="405"/>
    <tableColumn id="31" xr3:uid="{7322A63D-FFDC-4314-B9B4-8C508AD261F2}" name="FF Crystal-Lee McConchie" dataDxfId="404"/>
    <tableColumn id="49" xr3:uid="{F7B46B52-0F75-40C9-A930-D007B27640D1}" name="RFF Mitch Court" dataDxfId="403"/>
    <tableColumn id="38" xr3:uid="{40218009-B6E7-4956-9E9A-EDDAD284EBD2}" name="RFF James O'Hare" dataDxfId="402"/>
    <tableColumn id="39" xr3:uid="{B35BF95B-1B7A-4AD0-BA7A-F2F0D1FBEF2E}" name="RFF Leone Humber" dataDxfId="401"/>
    <tableColumn id="51" xr3:uid="{E06F5984-EE42-408B-9024-AE64B76A0F46}" name="RFF Kaitlyn Evans" dataDxfId="400"/>
    <tableColumn id="19" xr3:uid="{2974032C-0582-40C7-9D97-713F316972C4}" name="RFF Jamie Moore" dataDxfId="399"/>
    <tableColumn id="35" xr3:uid="{12362C22-2F30-4EDA-B00B-83E4BB41945B}" name="RFF Torrens Butcher" dataDxfId="398"/>
    <tableColumn id="42" xr3:uid="{700BDAF2-6653-4D52-B679-A2BFE5C095D5}" name="RFF Matt Humber" dataDxfId="397"/>
    <tableColumn id="54" xr3:uid="{A62E09F0-91A8-4B75-AFE6-8BF561A5EC1D}" name="Enter name of person submitting this form:" dataDxfId="39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67C10B-EE2E-422D-9EF2-73724487DED7}" name="MAug24" displayName="MAug24" ref="A1:BB2" totalsRowShown="0" headerRowDxfId="395" dataDxfId="394">
  <tableColumns count="54">
    <tableColumn id="1" xr3:uid="{AAC4B245-130C-4D38-BC61-A7BE33B02B56}" name="Event Count" dataDxfId="393"/>
    <tableColumn id="2" xr3:uid="{A4E664C7-CDF7-4797-A30F-D2B32C7F740C}" name="Start time" dataDxfId="392"/>
    <tableColumn id="3" xr3:uid="{99035519-1639-4DFE-8803-3A75B52EA08C}" name="Completion time" dataDxfId="391"/>
    <tableColumn id="4" xr3:uid="{F69B5767-6E72-43B5-A7DA-4341836599AD}" name="Email" dataDxfId="390"/>
    <tableColumn id="5" xr3:uid="{F31A7952-BF6A-49DC-9CA4-86788EF051E7}" name="Name" dataDxfId="389"/>
    <tableColumn id="6" xr3:uid="{C61311F5-D8CA-471F-A3B7-3812AA58A262}" name="Event Number" dataDxfId="388"/>
    <tableColumn id="7" xr3:uid="{9124AA98-89DC-42B7-AD49-96C984794C18}" name="Date" dataDxfId="387"/>
    <tableColumn id="46" xr3:uid="{70D6FE4E-2727-4068-9FB4-27EAD916AFD2}" name="Incident Info" dataDxfId="386"/>
    <tableColumn id="8" xr3:uid="{2AC5D067-3ACE-4A3D-A717-818A3094B7AE}" name="Address " dataDxfId="385"/>
    <tableColumn id="9" xr3:uid="{9BAD077E-5512-496A-BBFF-A33CD79BD9C4}" name="CFO John Robinson" dataDxfId="384"/>
    <tableColumn id="10" xr3:uid="{9B6BACE4-7989-419A-A0AC-D31B6EA742ED}" name="DCFO Bharat Ravji" dataDxfId="383"/>
    <tableColumn id="11" xr3:uid="{9C5BE1DD-68E4-4882-914F-3C5052D3E752}" name="SSO Darcy Hart" dataDxfId="382"/>
    <tableColumn id="12" xr3:uid="{B3B79452-E6C1-4520-B652-92996562DCB1}" name="SSO Vaughan Wood" dataDxfId="381"/>
    <tableColumn id="13" xr3:uid="{F08491A8-A643-49F9-B761-A9FB4AECD3C6}" name="SO Richard Jellyman" dataDxfId="380"/>
    <tableColumn id="14" xr3:uid="{952D8160-7588-4BC1-B645-6632AA6F68C4}" name="SO Richard Irving" dataDxfId="379"/>
    <tableColumn id="15" xr3:uid="{1D55F682-D976-495C-BA1C-D55BA8F1D390}" name="SO Darryn Pritchard" dataDxfId="378"/>
    <tableColumn id="16" xr3:uid="{39A75B1A-2066-4F17-9742-0DE36B2BF7E5}" name="SO Rhys Thomas" dataDxfId="377"/>
    <tableColumn id="17" xr3:uid="{BD66F6B3-1ABF-4C0F-BD2D-CF359D127D54}" name="SFF Brent Reynolds" dataDxfId="376"/>
    <tableColumn id="18" xr3:uid="{C898A5AF-4EF6-4F5E-A6AB-B14617E42464}" name="SFF Joseph O'Neill-Gregory" dataDxfId="375"/>
    <tableColumn id="20" xr3:uid="{E55B5FBD-EF48-40D6-85F1-D621BFCE0B55}" name="SFF Grant Robertson" dataDxfId="374"/>
    <tableColumn id="21" xr3:uid="{70FDC3AC-0DE9-4E63-8C49-BCCE0CDBE203}" name="SFF William O'Connell" dataDxfId="373"/>
    <tableColumn id="22" xr3:uid="{8ECC7530-1B00-47E2-983D-D55BBEF5AE54}" name="SFF Samuel Vivian" dataDxfId="372"/>
    <tableColumn id="23" xr3:uid="{6EE1C127-3DB3-44B7-865C-19F0E2AD5B1A}" name="SFF Amy Devereaux" dataDxfId="371"/>
    <tableColumn id="24" xr3:uid="{9A4FADFB-3AD3-4890-8736-AC6D879AEA30}" name="SFF Jon White" dataDxfId="370"/>
    <tableColumn id="28" xr3:uid="{139D61CD-1BA4-4AB1-AA23-E2AEB1CB747C}" name="SFF Robert Mayo" dataDxfId="369"/>
    <tableColumn id="25" xr3:uid="{2F30861F-6E82-4684-90AD-FC52931D9BF0}" name="QFF Symon Maxwell" dataDxfId="368"/>
    <tableColumn id="26" xr3:uid="{2DD8A459-8141-44FC-B65D-3047F6A211D9}" name="QFF Rueben Dodd" dataDxfId="367"/>
    <tableColumn id="27" xr3:uid="{1E111DC2-D20F-4839-AF0D-79BFA94597DD}" name="QFF Ian Chapman" dataDxfId="366"/>
    <tableColumn id="29" xr3:uid="{40069662-770D-4D20-8887-E789497F49C0}" name="QFF Jonno Ryan" dataDxfId="365"/>
    <tableColumn id="30" xr3:uid="{87D80B9A-F3AD-4684-96F7-63C60B8FF436}" name="QFF Melanie Yates" dataDxfId="364"/>
    <tableColumn id="33" xr3:uid="{C482432C-3E47-4E8B-868E-A6E9D31300BB}" name="QFF Maree Primrose" dataDxfId="363"/>
    <tableColumn id="34" xr3:uid="{20CB05BF-EB09-4D05-80A5-67D4858A8819}" name="QFF Russell Clarke" dataDxfId="362"/>
    <tableColumn id="36" xr3:uid="{315A2C03-E54A-4D80-AEF6-C79447739E2F}" name="QFF Andrew Bond" dataDxfId="361"/>
    <tableColumn id="47" xr3:uid="{009D6C11-0B8A-49FD-AE55-57AB4B3611EC}" name="QFF Alan Binnie" dataDxfId="360"/>
    <tableColumn id="55" xr3:uid="{A5261BBF-5C67-437B-9D81-148D793CAC77}" name="QFF Rafael Nazareth" dataDxfId="359"/>
    <tableColumn id="41" xr3:uid="{96F48F20-78CB-4DFB-BCB7-82F7C67EBCC6}" name="QFF Josh Pennefather" dataDxfId="358"/>
    <tableColumn id="50" xr3:uid="{C7FA5BAE-5F82-49AC-B8BC-CBFD05DFB54A}" name="QFF Melissa Jones" dataDxfId="357"/>
    <tableColumn id="37" xr3:uid="{DCB497EE-A4B1-4F12-8650-6397A417B6B6}" name="FF Jimmy Doyle" dataDxfId="356"/>
    <tableColumn id="40" xr3:uid="{09CDAF91-CF99-4A35-91E8-53330A900FBB}" name="FF Dimmy Bell-Kainiu" dataDxfId="355"/>
    <tableColumn id="56" xr3:uid="{07CFCF6A-3D71-4E39-8106-0A0E331416D0}" name="FF Ben Killgour" dataDxfId="354"/>
    <tableColumn id="43" xr3:uid="{69950DF2-9018-4D9B-8737-0D3745222933}" name="FF Dallas Steele" dataDxfId="353"/>
    <tableColumn id="45" xr3:uid="{D3B5F03F-C6F5-470D-8C25-24C3B31B7A69}" name="FF Braith Halliday" dataDxfId="352"/>
    <tableColumn id="44" xr3:uid="{D99C2248-7EED-4D67-B9B9-D17E04393B07}" name="FF Nick Grayson" dataDxfId="351"/>
    <tableColumn id="52" xr3:uid="{9E7364E7-AA5C-4C88-ACBC-D9730BC7EB72}" name="FF Jason Court" dataDxfId="350"/>
    <tableColumn id="53" xr3:uid="{F1021291-C3AF-4382-B50D-A0131FE6818E}" name="FF Lee-Roy Staunton" dataDxfId="349"/>
    <tableColumn id="31" xr3:uid="{965D129B-375B-4F9C-B77D-E0B30566BDAC}" name="FF Crystal-Lee McConchie" dataDxfId="348"/>
    <tableColumn id="49" xr3:uid="{D00CDD86-691B-485E-B932-0A4FF560C214}" name="RFF Mitch Court" dataDxfId="347"/>
    <tableColumn id="38" xr3:uid="{36555D59-E16F-49BF-AE32-2D5B5E3ADDA9}" name="RFF James O'Hare" dataDxfId="346"/>
    <tableColumn id="39" xr3:uid="{49A36AD3-CE45-458D-B861-3C9743F01261}" name="RFF Leone Humber" dataDxfId="345"/>
    <tableColumn id="51" xr3:uid="{C62A781E-C02F-41ED-901F-7DE7081E00B3}" name="RFF Kaitlyn Evans" dataDxfId="344"/>
    <tableColumn id="19" xr3:uid="{CB52D759-6299-4A8A-82EB-E3130C0765C4}" name="RFF Jamie Moore" dataDxfId="343"/>
    <tableColumn id="35" xr3:uid="{325C57F8-61E5-46F3-9B38-3394D71E3426}" name="RFF Torrens Butcher" dataDxfId="342"/>
    <tableColumn id="42" xr3:uid="{459A876C-D5C0-4A35-9474-EE50E361F4EE}" name="RFF Matt Humber" dataDxfId="341"/>
    <tableColumn id="54" xr3:uid="{2E038ED8-D5BA-445D-A169-6872D64D40A2}" name="Enter name of person submitting this form:" dataDxfId="3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570A86-1A47-4E58-B628-A83F790B7E39}" name="MSep24" displayName="MSep24" ref="A1:BB2" totalsRowShown="0" headerRowDxfId="339" dataDxfId="338">
  <tableColumns count="54">
    <tableColumn id="1" xr3:uid="{EC3CFB42-690D-4E0B-B9F0-CDB682FC8992}" name="Event Count" dataDxfId="337"/>
    <tableColumn id="2" xr3:uid="{C47DA0C7-7770-46BF-8CDF-BBA0AF5E6B79}" name="Start time" dataDxfId="336"/>
    <tableColumn id="3" xr3:uid="{AA1685C8-6F9D-45F3-B5B0-C08B4894B675}" name="Completion time" dataDxfId="335"/>
    <tableColumn id="4" xr3:uid="{789020EF-5B6E-43A8-AAB7-3C4FA2B2A47F}" name="Email" dataDxfId="334"/>
    <tableColumn id="5" xr3:uid="{BEEE1283-780E-42FF-AA0D-DEE25733C7C6}" name="Name" dataDxfId="333"/>
    <tableColumn id="6" xr3:uid="{B3DE626F-40A2-44F6-BF87-F348452323D5}" name="Event Number" dataDxfId="332"/>
    <tableColumn id="7" xr3:uid="{A523375F-2B4B-4A7D-BA99-12A59D6C8B0C}" name="Date" dataDxfId="331"/>
    <tableColumn id="46" xr3:uid="{B712A4DF-B06E-4554-8A4A-E4CBE9F94697}" name="Incident Info" dataDxfId="330"/>
    <tableColumn id="8" xr3:uid="{90E12FC4-BFF4-4CFD-AA05-208BD544329E}" name="Address " dataDxfId="329"/>
    <tableColumn id="9" xr3:uid="{8AB9EDE0-9238-4952-A075-4D709E3DF499}" name="CFO John Robinson" dataDxfId="328"/>
    <tableColumn id="10" xr3:uid="{F86B5C62-0DA1-4EBD-85FB-B4BD9484C3F1}" name="DCFO Bharat Ravji" dataDxfId="327"/>
    <tableColumn id="11" xr3:uid="{BA3DDD7F-0FD1-4242-9A7B-727A65692634}" name="SSO Darcy Hart" dataDxfId="326"/>
    <tableColumn id="12" xr3:uid="{DE353B6C-3F21-4B51-AF60-A1488A8D97EC}" name="SSO Vaughan Wood" dataDxfId="325"/>
    <tableColumn id="13" xr3:uid="{F5BF6AD1-A927-4453-A6D9-337D12019664}" name="SO Richard Jellyman" dataDxfId="324"/>
    <tableColumn id="14" xr3:uid="{F40563F9-F308-4173-B023-9238A805AA7B}" name="SO Richard Irving" dataDxfId="323"/>
    <tableColumn id="15" xr3:uid="{B6176AAF-9E8D-4EE3-A803-08835917FE88}" name="SO Darryn Pritchard" dataDxfId="322"/>
    <tableColumn id="16" xr3:uid="{A9708604-68A1-41EF-A515-B41C8D7B1C80}" name="SO Rhys Thomas" dataDxfId="321"/>
    <tableColumn id="17" xr3:uid="{2A0E6607-D510-4937-A643-3C55D46BB924}" name="SFF Brent Reynolds" dataDxfId="320"/>
    <tableColumn id="18" xr3:uid="{8B633BEE-93DE-4C9D-A5AB-0F209FF0DF5D}" name="SFF Joseph O'Neill-Gregory" dataDxfId="319"/>
    <tableColumn id="20" xr3:uid="{66F85831-A3F0-43DE-8898-BD37930EC494}" name="SFF Grant Robertson" dataDxfId="318"/>
    <tableColumn id="21" xr3:uid="{F62AC36B-90FD-42AE-9B6A-384A85F56A88}" name="SFF William O'Connell" dataDxfId="317"/>
    <tableColumn id="22" xr3:uid="{BF5849E8-93F8-404C-BE22-077DA524C912}" name="SFF Samuel Vivian" dataDxfId="316"/>
    <tableColumn id="23" xr3:uid="{0254ABED-7BA4-4018-9D40-5754AD282136}" name="SFF Amy Devereaux" dataDxfId="315"/>
    <tableColumn id="24" xr3:uid="{F2EB8979-B77C-4E78-B9A8-2D199AD81DAB}" name="SFF Jon White" dataDxfId="314"/>
    <tableColumn id="28" xr3:uid="{7A71D7B9-2B6B-4E96-9A7A-FCCF1E3F51EB}" name="SFF Robert Mayo" dataDxfId="313"/>
    <tableColumn id="25" xr3:uid="{1C3E6D8F-69B4-4151-B239-3C39E6B9AEB5}" name="QFF Symon Maxwell" dataDxfId="312"/>
    <tableColumn id="26" xr3:uid="{04A7DD26-2E79-4021-B9A9-7AFE3DCE1D10}" name="QFF Rueben Dodd" dataDxfId="311"/>
    <tableColumn id="27" xr3:uid="{61B133CF-B6F3-41DA-A49F-6A1918773994}" name="QFF Ian Chapman" dataDxfId="310"/>
    <tableColumn id="29" xr3:uid="{4E90E985-361C-4BF2-9018-89DDDF96DB79}" name="QFF Jonno Ryan" dataDxfId="309"/>
    <tableColumn id="30" xr3:uid="{887888B3-9612-4012-8D0D-04DBBD24B5FF}" name="QFF Melanie Yates" dataDxfId="308"/>
    <tableColumn id="33" xr3:uid="{374DE61B-2669-4BE8-AFFF-44E1889DBD8E}" name="QFF Maree Primrose" dataDxfId="307"/>
    <tableColumn id="34" xr3:uid="{148ADD17-50FA-44D1-9BFA-99689A37DA8C}" name="QFF Russell Clarke" dataDxfId="306"/>
    <tableColumn id="36" xr3:uid="{AAC83286-2C05-40BA-BC3B-2E703E14BC17}" name="QFF Andrew Bond" dataDxfId="305"/>
    <tableColumn id="47" xr3:uid="{FD0853FB-37A3-4AA5-BFC2-A7AFD3D6EBA2}" name="QFF Alan Binnie" dataDxfId="304"/>
    <tableColumn id="55" xr3:uid="{10E509FC-7260-47C1-AB3A-6E929E48862B}" name="QFF Rafael Nazareth" dataDxfId="303"/>
    <tableColumn id="41" xr3:uid="{32737D78-1261-441C-A37D-C87235D695AC}" name="QFF Josh Pennefather" dataDxfId="302"/>
    <tableColumn id="50" xr3:uid="{62F8BA75-8554-45DA-97B1-62C015C64384}" name="QFF Melissa Jones" dataDxfId="301"/>
    <tableColumn id="37" xr3:uid="{9DF0C7D0-F72E-463B-9E78-20DB9E15819A}" name="FF Jimmy Doyle" dataDxfId="300"/>
    <tableColumn id="40" xr3:uid="{E0D97E6F-5E02-4AE6-AA85-A8110691CCEB}" name="FF Dimmy Bell-Kainiu" dataDxfId="299"/>
    <tableColumn id="56" xr3:uid="{9DBC18E5-BE8E-4287-BF14-C585902A6018}" name="FF Ben Killgour" dataDxfId="298"/>
    <tableColumn id="43" xr3:uid="{25373401-CE5E-4CED-8787-702F83C0A7C6}" name="FF Dallas Steele" dataDxfId="297"/>
    <tableColumn id="45" xr3:uid="{8D19CBC6-7F03-46CC-9DAA-B2C4842B920A}" name="FF Braith Halliday" dataDxfId="296"/>
    <tableColumn id="44" xr3:uid="{5B8DE9CC-D399-442F-B917-247CC9738D89}" name="FF Nick Grayson" dataDxfId="295"/>
    <tableColumn id="52" xr3:uid="{D28181C4-23A6-4117-A319-ED571B1A8F50}" name="FF Jason Court" dataDxfId="294"/>
    <tableColumn id="53" xr3:uid="{7CAC2E47-CAB5-4918-AB22-795D61B6214E}" name="FF Lee-Roy Staunton" dataDxfId="293"/>
    <tableColumn id="31" xr3:uid="{340D3691-20CE-4661-8599-CA01D179E73B}" name="FF Crystal-Lee McConchie" dataDxfId="292"/>
    <tableColumn id="49" xr3:uid="{535FA925-A02B-49DE-9C4A-0BDDD9C81E63}" name="RFF Mitch Court" dataDxfId="291"/>
    <tableColumn id="38" xr3:uid="{DE2E71AA-7A9E-4755-AA9F-E9D7F77E62A6}" name="RFF James O'Hare" dataDxfId="290"/>
    <tableColumn id="39" xr3:uid="{1B5A5287-6086-458D-B2E6-8F12A2902EF1}" name="RFF Leone Humber" dataDxfId="289"/>
    <tableColumn id="51" xr3:uid="{94FE9986-A235-4776-A937-7F2D7E35E473}" name="RFF Kaitlyn Evans" dataDxfId="288"/>
    <tableColumn id="19" xr3:uid="{616B4267-4F5A-4280-8EBD-0E75B5AE50E9}" name="RFF Jamie Moore" dataDxfId="287"/>
    <tableColumn id="35" xr3:uid="{D33DDE75-0AD7-48AA-A695-9A2C86214082}" name="RFF Torrens Butcher" dataDxfId="286"/>
    <tableColumn id="42" xr3:uid="{D58D8E0B-CE3C-46D3-B058-BB7F67BA4BDB}" name="RFF Matt Humber" dataDxfId="285"/>
    <tableColumn id="54" xr3:uid="{AC8A0C82-2F88-482A-890F-687B44FD5B6F}" name="Enter name of person submitting this form:" dataDxfId="28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323ADB-2546-4A18-BDF3-DCC9B7F62BF7}" name="MOct24" displayName="MOct24" ref="A1:BB2" totalsRowShown="0" headerRowDxfId="283" dataDxfId="282">
  <tableColumns count="54">
    <tableColumn id="1" xr3:uid="{F2FD0F9A-563F-4309-80DF-B80AC91177C1}" name="Event Count" dataDxfId="281"/>
    <tableColumn id="2" xr3:uid="{F39E4459-E32F-4FA8-8F9D-AE0BAA59B0B5}" name="Start time" dataDxfId="280"/>
    <tableColumn id="3" xr3:uid="{347BFFA8-525A-444B-9AD8-F4577BF4E3C0}" name="Completion time" dataDxfId="279"/>
    <tableColumn id="4" xr3:uid="{5485DFAE-1A8D-4290-B07B-EBB8BA9F7341}" name="Email" dataDxfId="278"/>
    <tableColumn id="5" xr3:uid="{96A246FA-3178-49F5-952F-BB93D343F366}" name="Name" dataDxfId="277"/>
    <tableColumn id="6" xr3:uid="{0AFA0364-2E36-4AF2-904E-740DAC09F3C1}" name="Event Number" dataDxfId="276"/>
    <tableColumn id="7" xr3:uid="{AF1659A2-808F-4109-82BB-8CAB4857E83C}" name="Date" dataDxfId="275"/>
    <tableColumn id="46" xr3:uid="{CA052ADE-2CFA-4B68-AD1A-CE76DC2BA3BA}" name="Incident Info" dataDxfId="274"/>
    <tableColumn id="8" xr3:uid="{53EB3116-E078-45E8-A29E-D0EDD56CE8FF}" name="Address " dataDxfId="273"/>
    <tableColumn id="9" xr3:uid="{020438D3-7D07-43C8-9522-F6375D6458F2}" name="CFO John Robinson" dataDxfId="272"/>
    <tableColumn id="10" xr3:uid="{AB2A26A4-B25C-4FFE-AD07-2C901ADF90A0}" name="DCFO Bharat Ravji" dataDxfId="271"/>
    <tableColumn id="11" xr3:uid="{EF8FF9B3-D9F0-4BAA-860E-B758DDFA0556}" name="SSO Darcy Hart" dataDxfId="270"/>
    <tableColumn id="12" xr3:uid="{961AFC1F-A32C-4E1A-A52A-51791407AD1F}" name="SSO Vaughan Wood" dataDxfId="269"/>
    <tableColumn id="13" xr3:uid="{387E130F-32C2-4332-B838-0378EB9CA8FA}" name="SO Richard Jellyman" dataDxfId="268"/>
    <tableColumn id="14" xr3:uid="{9056F94E-E7F7-4DD2-8716-682B15DCAD45}" name="SO Richard Irving" dataDxfId="267"/>
    <tableColumn id="15" xr3:uid="{6B7E072B-3403-4BD1-9B9A-EC51410B06F8}" name="SO Darryn Pritchard" dataDxfId="266"/>
    <tableColumn id="16" xr3:uid="{26EB8043-7C6D-4F1B-9EF4-66271DBB882A}" name="SO Rhys Thomas" dataDxfId="265"/>
    <tableColumn id="17" xr3:uid="{5F5813C2-F64A-42E6-83D7-DAA7D77C943E}" name="SFF Brent Reynolds" dataDxfId="264"/>
    <tableColumn id="18" xr3:uid="{29ED58DA-004E-4EEC-A878-2883F6571423}" name="SFF Joseph O'Neill-Gregory" dataDxfId="263"/>
    <tableColumn id="20" xr3:uid="{59802E28-219A-4494-A557-5BDEE6306694}" name="SFF Grant Robertson" dataDxfId="262"/>
    <tableColumn id="21" xr3:uid="{774CFB09-E8A4-4E38-A39D-0B3ED6E575B3}" name="SFF William O'Connell" dataDxfId="261"/>
    <tableColumn id="22" xr3:uid="{69EF8CAE-62F2-49FC-9B24-3ED314055F45}" name="SFF Samuel Vivian" dataDxfId="260"/>
    <tableColumn id="23" xr3:uid="{F194544A-8D02-4905-954C-6283CA223739}" name="SFF Amy Devereaux" dataDxfId="259"/>
    <tableColumn id="24" xr3:uid="{437E711C-FA5D-4347-9FA8-D451A789157D}" name="SFF Jon White" dataDxfId="258"/>
    <tableColumn id="28" xr3:uid="{EC01608D-8CAB-44E4-99B1-DD00B20FEA22}" name="SFF Robert Mayo" dataDxfId="257"/>
    <tableColumn id="25" xr3:uid="{BAC65DC1-C428-4897-A5F0-7A48BD62AC42}" name="QFF Symon Maxwell" dataDxfId="256"/>
    <tableColumn id="26" xr3:uid="{01EB1CA9-69D1-48C3-92DE-1E7E4A1172DC}" name="QFF Rueben Dodd" dataDxfId="255"/>
    <tableColumn id="27" xr3:uid="{9AB562B5-AA3E-422A-AA61-0F58E56E62C4}" name="QFF Ian Chapman" dataDxfId="254"/>
    <tableColumn id="29" xr3:uid="{952B4585-666F-41BC-A638-CD608AED43A7}" name="QFF Jonno Ryan" dataDxfId="253"/>
    <tableColumn id="30" xr3:uid="{719F88BF-EC7A-40C5-B7D5-5FDEE43E3618}" name="QFF Melanie Yates" dataDxfId="252"/>
    <tableColumn id="33" xr3:uid="{5F00C152-9A50-44AC-9351-A897824F3357}" name="QFF Maree Primrose" dataDxfId="251"/>
    <tableColumn id="34" xr3:uid="{C3C7F629-5841-4401-B3F4-946F552EFC1A}" name="QFF Russell Clarke" dataDxfId="250"/>
    <tableColumn id="36" xr3:uid="{67B4496E-AD9A-4006-92CE-80617795A8F5}" name="QFF Andrew Bond" dataDxfId="249"/>
    <tableColumn id="47" xr3:uid="{0FD29966-50CE-47F1-AC83-D33FC5EDC865}" name="QFF Alan Binnie" dataDxfId="248"/>
    <tableColumn id="55" xr3:uid="{FC068730-210D-491C-B58C-159D2707AB4C}" name="QFF Rafael Nazareth" dataDxfId="247"/>
    <tableColumn id="41" xr3:uid="{CE1AFD82-3090-425B-9F52-62F8CDD7CB50}" name="QFF Josh Pennefather" dataDxfId="246"/>
    <tableColumn id="50" xr3:uid="{8A160A82-F1DF-4C1C-A4C9-C45900B469B0}" name="QFF Melissa Jones" dataDxfId="245"/>
    <tableColumn id="37" xr3:uid="{D70FA5E0-3EA9-4759-8CF3-E9CB12C67C31}" name="FF Jimmy Doyle" dataDxfId="244"/>
    <tableColumn id="40" xr3:uid="{C8186F20-C87D-4BAA-B738-5C2049D7FE7C}" name="FF Dimmy Bell-Kainiu" dataDxfId="243"/>
    <tableColumn id="56" xr3:uid="{2DA1C3DF-6077-4114-B300-9BDC3356DE1C}" name="FF Ben Killgour" dataDxfId="242"/>
    <tableColumn id="43" xr3:uid="{0757A6D2-1ED0-47F6-A7A5-563D779DA407}" name="FF Dallas Steele" dataDxfId="241"/>
    <tableColumn id="45" xr3:uid="{AC4ED966-6247-4E5F-94BB-C4B57E65973F}" name="FF Braith Halliday" dataDxfId="240"/>
    <tableColumn id="44" xr3:uid="{44E8424B-5627-4539-92E8-8D7BABACA347}" name="FF Nick Grayson" dataDxfId="239"/>
    <tableColumn id="52" xr3:uid="{156A8936-A44D-4D98-9ABA-153C07AF39ED}" name="FF Jason Court" dataDxfId="238"/>
    <tableColumn id="53" xr3:uid="{5680D276-A111-43BE-ABC3-DE579A401FEE}" name="FF Lee-Roy Staunton" dataDxfId="237"/>
    <tableColumn id="31" xr3:uid="{394B6538-A471-4252-AA3A-6F07A711C84D}" name="FF Crystal-Lee McConchie" dataDxfId="236"/>
    <tableColumn id="49" xr3:uid="{09EC877C-E04F-4A27-AA8F-88A4B231BA4B}" name="RFF Mitch Court" dataDxfId="235"/>
    <tableColumn id="38" xr3:uid="{143218ED-2E09-4B8F-A692-FD8482F739B0}" name="RFF James O'Hare" dataDxfId="234"/>
    <tableColumn id="39" xr3:uid="{546E17A0-3CC8-4AD1-A014-E2468C4A043C}" name="RFF Leone Humber" dataDxfId="233"/>
    <tableColumn id="51" xr3:uid="{C2D71CFD-7698-4B4F-991F-0372B71ADE11}" name="RFF Kaitlyn Evans" dataDxfId="232"/>
    <tableColumn id="19" xr3:uid="{DB349134-ADFA-4EBF-86F2-909B8C8D91D3}" name="RFF Jamie Moore" dataDxfId="231"/>
    <tableColumn id="35" xr3:uid="{957F6544-D764-4F30-B823-6C6AD26E292D}" name="RFF Torrens Butcher" dataDxfId="230"/>
    <tableColumn id="42" xr3:uid="{0CE66E52-6CF7-4225-BF9E-920E67C5CBC4}" name="RFF Matt Humber" dataDxfId="229"/>
    <tableColumn id="54" xr3:uid="{A7395B3D-3B36-4ECD-802F-15F22ED32E47}" name="Enter name of person submitting this form:" dataDxfId="22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6D5B13-A076-4CB2-9921-CD98FB9058CE}" name="MNov24" displayName="MNov24" ref="A1:BB2" totalsRowShown="0" headerRowDxfId="227" dataDxfId="226">
  <tableColumns count="54">
    <tableColumn id="1" xr3:uid="{4E6056CE-F45E-43D8-A944-D9F6D27AB3B2}" name="Event Count" dataDxfId="225"/>
    <tableColumn id="2" xr3:uid="{98D4D3A9-299D-40A6-861B-525481E45909}" name="Start time" dataDxfId="224"/>
    <tableColumn id="3" xr3:uid="{89B92A0C-CB08-437D-AD77-FF249E4AC6AE}" name="Completion time" dataDxfId="223"/>
    <tableColumn id="4" xr3:uid="{7736F96B-4681-4EBF-A4AF-3EB777FD7D46}" name="Email" dataDxfId="222"/>
    <tableColumn id="5" xr3:uid="{322A7C13-89AA-4D80-B7B5-5AD0AF68BB21}" name="Name" dataDxfId="221"/>
    <tableColumn id="6" xr3:uid="{B1A7D1AA-F277-4951-97EE-01634AA897F4}" name="Event Number" dataDxfId="220"/>
    <tableColumn id="7" xr3:uid="{9ECE9BE8-CE1C-4D2A-A5D7-502306A94598}" name="Date" dataDxfId="219"/>
    <tableColumn id="46" xr3:uid="{C0680AA5-9F47-4099-AA8C-7DDE9C6385FE}" name="Incident Info" dataDxfId="218"/>
    <tableColumn id="8" xr3:uid="{F88CF906-8395-4F8E-A0AE-5F49013F6D95}" name="Address " dataDxfId="217"/>
    <tableColumn id="9" xr3:uid="{4C3AF364-1346-4FBE-B027-DB720566FDF5}" name="CFO John Robinson" dataDxfId="216"/>
    <tableColumn id="10" xr3:uid="{15241E79-7F01-4916-BABA-6D82E6E06F15}" name="DCFO Bharat Ravji" dataDxfId="215"/>
    <tableColumn id="11" xr3:uid="{C641066C-3E68-458F-92ED-C6B19E086536}" name="SSO Darcy Hart" dataDxfId="214"/>
    <tableColumn id="12" xr3:uid="{585BE556-BD9A-480B-8A73-2CB3CC446046}" name="SSO Vaughan Wood" dataDxfId="213"/>
    <tableColumn id="13" xr3:uid="{61E64842-B5E4-49B8-8F30-1AF056AAE3FD}" name="SO Richard Jellyman" dataDxfId="212"/>
    <tableColumn id="14" xr3:uid="{D11899C7-6928-4E95-8638-B70D92ED4CA8}" name="SO Richard Irving" dataDxfId="211"/>
    <tableColumn id="15" xr3:uid="{DCC43F32-865E-46CB-BBF5-056770F7392A}" name="SO Darryn Pritchard" dataDxfId="210"/>
    <tableColumn id="16" xr3:uid="{F3387F49-AC5D-4368-8583-C37C81AEB43D}" name="SO Rhys Thomas" dataDxfId="209"/>
    <tableColumn id="17" xr3:uid="{3D927BB2-294F-4626-920C-77850080BBBF}" name="SFF Brent Reynolds" dataDxfId="208"/>
    <tableColumn id="18" xr3:uid="{6C934904-5CF8-4B59-9692-5E5232084A50}" name="SFF Joseph O'Neill-Gregory" dataDxfId="207"/>
    <tableColumn id="20" xr3:uid="{1EAD98FB-D941-47F5-97AE-FC75EC1AB4DA}" name="SFF Grant Robertson" dataDxfId="206"/>
    <tableColumn id="21" xr3:uid="{4B44A5FB-E548-4000-B653-0F0837AAF222}" name="SFF William O'Connell" dataDxfId="205"/>
    <tableColumn id="22" xr3:uid="{1C1A059D-F755-4BE3-8B2D-399A3D60BB50}" name="SFF Samuel Vivian" dataDxfId="204"/>
    <tableColumn id="23" xr3:uid="{EA6F814E-232F-40EB-AB60-FB82C17F6C2C}" name="SFF Amy Devereaux" dataDxfId="203"/>
    <tableColumn id="24" xr3:uid="{22B9635E-47B5-4216-A16D-8601483E2FC8}" name="SFF Jon White" dataDxfId="202"/>
    <tableColumn id="28" xr3:uid="{0F7F8B77-7E5E-4F30-B1F8-4BF4955E4234}" name="SFF Robert Mayo" dataDxfId="201"/>
    <tableColumn id="25" xr3:uid="{F8A8D0F3-FF07-43D1-A33E-350926614C3A}" name="QFF Symon Maxwell" dataDxfId="200"/>
    <tableColumn id="26" xr3:uid="{0174501A-A9DD-43B9-AA19-3D2239F6E359}" name="QFF Rueben Dodd" dataDxfId="199"/>
    <tableColumn id="27" xr3:uid="{E639918E-5355-4E1C-A4C1-E50801371A98}" name="QFF Ian Chapman" dataDxfId="198"/>
    <tableColumn id="29" xr3:uid="{5897904D-3C76-481C-B2C8-9D838AF2B7C5}" name="QFF Jonno Ryan" dataDxfId="197"/>
    <tableColumn id="30" xr3:uid="{E1FF3EAE-325E-4DD5-BC50-312B3B094CC4}" name="QFF Melanie Yates" dataDxfId="196"/>
    <tableColumn id="33" xr3:uid="{8EAFEBB7-66AB-44B3-A550-B5B7FE975ECC}" name="QFF Maree Primrose" dataDxfId="195"/>
    <tableColumn id="34" xr3:uid="{DA0701F8-E1B5-4A43-84D7-FD7BEB58694A}" name="QFF Russell Clarke" dataDxfId="194"/>
    <tableColumn id="36" xr3:uid="{38C601F3-1BCA-4081-89BA-FB1656A0C7F2}" name="QFF Andrew Bond" dataDxfId="193"/>
    <tableColumn id="47" xr3:uid="{F360FD72-B9EE-410E-89F2-6257A9FB91A1}" name="QFF Alan Binnie" dataDxfId="192"/>
    <tableColumn id="55" xr3:uid="{E8C3AC00-F94B-4D84-92A5-273B34418077}" name="QFF Rafael Nazareth" dataDxfId="191"/>
    <tableColumn id="41" xr3:uid="{44D8E8F9-CCC1-4DFB-ABA3-BCFBC1637EF8}" name="QFF Josh Pennefather" dataDxfId="190"/>
    <tableColumn id="50" xr3:uid="{0A7BDFEF-2D31-4840-8B61-8F0D2AD29590}" name="QFF Melissa Jones" dataDxfId="189"/>
    <tableColumn id="37" xr3:uid="{D29F278E-53C1-4FC4-876C-108B113974CA}" name="FF Jimmy Doyle" dataDxfId="188"/>
    <tableColumn id="40" xr3:uid="{3434CB22-DBB2-4018-9A43-F033D38CCFE6}" name="FF Dimmy Bell-Kainiu" dataDxfId="187"/>
    <tableColumn id="56" xr3:uid="{DCC16E1B-EA0C-4159-AF5D-1FDD5E0BF50D}" name="FF Ben Killgour" dataDxfId="186"/>
    <tableColumn id="43" xr3:uid="{13140C85-DF58-4009-B45F-0ED6E03B1915}" name="FF Dallas Steele" dataDxfId="185"/>
    <tableColumn id="45" xr3:uid="{D6B7974C-13FF-451B-A5E0-4F1141A14C25}" name="FF Braith Halliday" dataDxfId="184"/>
    <tableColumn id="44" xr3:uid="{7BFCAB31-90FD-4981-928C-9D9C43330075}" name="FF Nick Grayson" dataDxfId="183"/>
    <tableColumn id="52" xr3:uid="{5151D949-AC2E-428D-9324-55757E342A14}" name="FF Jason Court" dataDxfId="182"/>
    <tableColumn id="53" xr3:uid="{6E58DF63-11C4-4750-B634-DC91E8DD0D8C}" name="FF Lee-Roy Staunton" dataDxfId="181"/>
    <tableColumn id="31" xr3:uid="{C6D8CA9B-F655-4292-88BB-10167EFC256E}" name="FF Crystal-Lee McConchie" dataDxfId="180"/>
    <tableColumn id="49" xr3:uid="{E726765B-3BE4-4090-8585-9D027718C0DA}" name="RFF Mitch Court" dataDxfId="179"/>
    <tableColumn id="38" xr3:uid="{B815AB90-9BE5-423A-9B3F-838A9EC60B7D}" name="RFF James O'Hare" dataDxfId="178"/>
    <tableColumn id="39" xr3:uid="{0EC907C9-BD69-479D-809F-0E69E3542B8F}" name="RFF Leone Humber" dataDxfId="177"/>
    <tableColumn id="51" xr3:uid="{8F781936-2E52-49CA-90DD-3C2D947C858D}" name="RFF Kaitlyn Evans" dataDxfId="176"/>
    <tableColumn id="19" xr3:uid="{50AF7057-EFE0-4F68-A5E4-5090BEC60C71}" name="RFF Jamie Moore" dataDxfId="175"/>
    <tableColumn id="35" xr3:uid="{26D0C58A-5144-4F2A-9B6D-B03A3EEC8A98}" name="RFF Torrens Butcher" dataDxfId="174"/>
    <tableColumn id="42" xr3:uid="{F5A06C5A-3B01-4228-B5A7-A135D1F481BC}" name="RFF Matt Humber" dataDxfId="173"/>
    <tableColumn id="54" xr3:uid="{16FE0D49-6DC1-4D5C-B26B-5E4842A70287}" name="Enter name of person submitting this form:" dataDxfId="17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780712-10D7-47F7-B83F-38ED6A667DAD}" name="MDec24" displayName="MDec24" ref="A1:BB2" totalsRowShown="0" headerRowDxfId="171" dataDxfId="170">
  <tableColumns count="54">
    <tableColumn id="1" xr3:uid="{57416B76-E7DB-4E6C-8864-DDD64DDD8C3D}" name="Event Count" dataDxfId="169"/>
    <tableColumn id="2" xr3:uid="{CE86B03E-0E84-4A76-A593-BB303EC649F2}" name="Start time" dataDxfId="168"/>
    <tableColumn id="3" xr3:uid="{789D6733-C172-4E82-9FCF-3E5993B42B1C}" name="Completion time" dataDxfId="167"/>
    <tableColumn id="4" xr3:uid="{F0D44735-FC76-4520-BF51-C6519FCA762C}" name="Email" dataDxfId="166"/>
    <tableColumn id="5" xr3:uid="{7AB87BB0-B195-4783-86A5-89C5F36A29A0}" name="Name" dataDxfId="165"/>
    <tableColumn id="6" xr3:uid="{D38E30AA-DEBC-450A-972B-9B49AC2113C2}" name="Event Number" dataDxfId="164"/>
    <tableColumn id="7" xr3:uid="{207B7E78-B8A0-45C5-B87C-C2BEE9CE9328}" name="Date" dataDxfId="163"/>
    <tableColumn id="46" xr3:uid="{2225432D-1D77-4FBC-98B4-47BB10F77541}" name="Incident Info" dataDxfId="162"/>
    <tableColumn id="8" xr3:uid="{775310C2-C87E-4358-8360-B012D296B827}" name="Address " dataDxfId="161"/>
    <tableColumn id="9" xr3:uid="{3EA0B34B-3D63-410B-893C-434B55CB3BE3}" name="CFO John Robinson" dataDxfId="160"/>
    <tableColumn id="10" xr3:uid="{CEBEC2F2-350F-42C1-B868-14A12D9AA1FC}" name="DCFO Bharat Ravji" dataDxfId="159"/>
    <tableColumn id="11" xr3:uid="{F8ED45B2-9F58-467F-BB5B-79F6B6ADE9D7}" name="SSO Darcy Hart" dataDxfId="158"/>
    <tableColumn id="12" xr3:uid="{F7EFC082-9524-47A4-8072-AEF59AA687D1}" name="SSO Vaughan Wood" dataDxfId="157"/>
    <tableColumn id="13" xr3:uid="{BBD7A032-B688-400A-83A7-816AEA7FC945}" name="SO Richard Jellyman" dataDxfId="156"/>
    <tableColumn id="14" xr3:uid="{32C3D1E0-3D02-4280-877C-F53580971EF3}" name="SO Richard Irving" dataDxfId="155"/>
    <tableColumn id="15" xr3:uid="{19FC02F0-8B4E-46B7-8948-82FF7A468435}" name="SO Darryn Pritchard" dataDxfId="154"/>
    <tableColumn id="16" xr3:uid="{895D2E98-A447-445E-B439-6489D6E31A93}" name="SO Rhys Thomas" dataDxfId="153"/>
    <tableColumn id="17" xr3:uid="{071F6B0D-3AD5-4A3F-9EF1-40964F587C4E}" name="SFF Brent Reynolds" dataDxfId="152"/>
    <tableColumn id="18" xr3:uid="{8F0412DB-5078-489B-99C0-D6003C317D14}" name="SFF Joseph O'Neill-Gregory" dataDxfId="151"/>
    <tableColumn id="20" xr3:uid="{7816A76F-55A2-42F2-A1BA-4D0C9BBB388C}" name="SFF Grant Robertson" dataDxfId="150"/>
    <tableColumn id="21" xr3:uid="{7D85F59C-805E-4434-B5DF-79A179F9233A}" name="SFF William O'Connell" dataDxfId="149"/>
    <tableColumn id="22" xr3:uid="{957FFDBC-0DF1-4E62-8655-9335EA90FA8A}" name="SFF Samuel Vivian" dataDxfId="148"/>
    <tableColumn id="23" xr3:uid="{E2E1FC1B-0D42-4D47-9A54-4AF48FF94CB0}" name="SFF Amy Devereaux" dataDxfId="147"/>
    <tableColumn id="24" xr3:uid="{898261FD-9037-480F-8B3D-64A555D546F4}" name="SFF Jon White" dataDxfId="146"/>
    <tableColumn id="28" xr3:uid="{F46B1D3C-D1F0-4C20-AADC-288AEF7A3893}" name="SFF Robert Mayo" dataDxfId="145"/>
    <tableColumn id="25" xr3:uid="{629C2E1C-F55F-4225-B3CD-74E70E2AA05C}" name="QFF Symon Maxwell" dataDxfId="144"/>
    <tableColumn id="26" xr3:uid="{1F105D9E-8C56-4C2E-BD7D-BD2E9CD2D6F7}" name="QFF Rueben Dodd" dataDxfId="143"/>
    <tableColumn id="27" xr3:uid="{26735B1A-4C9B-4933-931A-90E1A70C6870}" name="QFF Ian Chapman" dataDxfId="142"/>
    <tableColumn id="29" xr3:uid="{DEC25007-0FEB-4856-8279-19D4D75C1769}" name="QFF Jonno Ryan" dataDxfId="141"/>
    <tableColumn id="30" xr3:uid="{280B024D-A395-4214-B0C6-BEC9EED46B19}" name="QFF Melanie Yates" dataDxfId="140"/>
    <tableColumn id="33" xr3:uid="{B2724005-9442-4F47-BF5F-E3B02EB770AB}" name="QFF Maree Primrose" dataDxfId="139"/>
    <tableColumn id="34" xr3:uid="{84C77BD9-5DE4-4DED-BDDE-D15405851D48}" name="QFF Russell Clarke" dataDxfId="138"/>
    <tableColumn id="36" xr3:uid="{21B40BF5-52A4-4503-A5F8-ABF59571B9F1}" name="QFF Andrew Bond" dataDxfId="137"/>
    <tableColumn id="47" xr3:uid="{FD74171E-69A3-44DA-8E5F-20726D112361}" name="QFF Alan Binnie" dataDxfId="136"/>
    <tableColumn id="55" xr3:uid="{BBC04B53-4C52-41DB-BD93-16C96873820C}" name="QFF Rafael Nazareth" dataDxfId="135"/>
    <tableColumn id="41" xr3:uid="{C0729B8F-0BFD-4893-A6EE-AAD383A25F0F}" name="QFF Josh Pennefather" dataDxfId="134"/>
    <tableColumn id="50" xr3:uid="{A952E753-406C-46A4-AE07-D30D41D8ECF0}" name="QFF Melissa Jones" dataDxfId="133"/>
    <tableColumn id="37" xr3:uid="{BA22BAD7-FCF8-4520-B18A-677E977E78D6}" name="FF Jimmy Doyle" dataDxfId="132"/>
    <tableColumn id="40" xr3:uid="{DF114C32-C454-45F4-AC2C-42714B27CE64}" name="FF Dimmy Bell-Kainiu" dataDxfId="131"/>
    <tableColumn id="56" xr3:uid="{8625C57D-59C7-4732-B8C9-1D4697EDD542}" name="FF Ben Killgour" dataDxfId="130"/>
    <tableColumn id="43" xr3:uid="{AFA7D9A1-0F28-4B26-BAFA-2B7900D1C63C}" name="FF Dallas Steele" dataDxfId="129"/>
    <tableColumn id="45" xr3:uid="{B56BC7DE-49AA-4154-90ED-1901634D9AC7}" name="FF Braith Halliday" dataDxfId="128"/>
    <tableColumn id="44" xr3:uid="{7A806763-B281-43B7-B5B1-51A7A1DB1A9C}" name="FF Nick Grayson" dataDxfId="127"/>
    <tableColumn id="52" xr3:uid="{BF43D86F-5BAD-4AFA-8D60-99F0C8774BD7}" name="FF Jason Court" dataDxfId="126"/>
    <tableColumn id="53" xr3:uid="{3948E656-04F7-4F1A-9426-8366AA204C85}" name="FF Lee-Roy Staunton" dataDxfId="125"/>
    <tableColumn id="31" xr3:uid="{A703310A-1CEE-4E8B-89FC-88838C448A5E}" name="FF Crystal-Lee McConchie" dataDxfId="124"/>
    <tableColumn id="49" xr3:uid="{CA703AAE-46EB-4204-83CA-DE7616C9D5DE}" name="RFF Mitch Court" dataDxfId="123"/>
    <tableColumn id="38" xr3:uid="{DD09064B-181D-43E1-9005-E5710B040D60}" name="RFF James O'Hare" dataDxfId="122"/>
    <tableColumn id="39" xr3:uid="{07A292D9-2BFF-4AA0-B438-6C58F89BC0DA}" name="RFF Leone Humber" dataDxfId="121"/>
    <tableColumn id="51" xr3:uid="{9D7022EC-9A11-4918-A689-831F6AB6A970}" name="RFF Kaitlyn Evans" dataDxfId="120"/>
    <tableColumn id="19" xr3:uid="{57398E3C-853E-4396-92DA-F598A88C91F1}" name="RFF Jamie Moore" dataDxfId="119"/>
    <tableColumn id="35" xr3:uid="{E3FE4D4C-6478-4608-94E8-A519886B8EC9}" name="RFF Torrens Butcher" dataDxfId="118"/>
    <tableColumn id="42" xr3:uid="{E9C74E21-6421-4AE8-9609-435858BC90AA}" name="RFF Matt Humber" dataDxfId="117"/>
    <tableColumn id="54" xr3:uid="{12868A93-7CF5-40F1-8549-A784FAF2C81C}" name="Enter name of person submitting this form:" dataDxfId="1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012AD0-E9D6-4E29-867C-C39B153121D4}" name="Admin" displayName="Admin" ref="A1:E43" totalsRowShown="0" headerRowDxfId="115" dataDxfId="113" headerRowBorderDxfId="114" tableBorderDxfId="112" totalsRowBorderDxfId="111">
  <autoFilter ref="A1:E43" xr:uid="{5B012AD0-E9D6-4E29-867C-C39B153121D4}"/>
  <tableColumns count="5">
    <tableColumn id="1" xr3:uid="{ABE9B41B-CA62-4F76-B30C-E04EE61D1F07}" name="Display Name" dataDxfId="110"/>
    <tableColumn id="2" xr3:uid="{BBAB9098-36D3-44AB-8D09-B5449925B31C}" name="Rank" dataDxfId="109"/>
    <tableColumn id="3" xr3:uid="{6F6DAE81-7E17-4274-BF4A-D6A503115AB2}" name="First Name" dataDxfId="108"/>
    <tableColumn id="4" xr3:uid="{56F1CBA7-5A77-433E-B909-6C1A8E6D9669}" name="Last Name" dataDxfId="107"/>
    <tableColumn id="5" xr3:uid="{696E375E-E7AF-4A4D-8584-EC6496D8124D}" name="Email" dataDxfId="106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6" dT="2025-11-13T07:04:16.42" personId="{A7200EB9-2D13-4A07-9871-D7EE2E6B6357}" id="{639DB558-DA5E-45C4-A616-0D4F7EB3E662}">
    <text>Left 19th August 24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mailto:Robert.Mayo@fireandemergency.nz" TargetMode="External"/><Relationship Id="rId18" Type="http://schemas.openxmlformats.org/officeDocument/2006/relationships/hyperlink" Target="mailto:Grant.Robertson@fireandemergency.nz" TargetMode="External"/><Relationship Id="rId26" Type="http://schemas.openxmlformats.org/officeDocument/2006/relationships/hyperlink" Target="mailto:Josh.Pennefather@fireandemergency.nz" TargetMode="External"/><Relationship Id="rId21" Type="http://schemas.openxmlformats.org/officeDocument/2006/relationships/hyperlink" Target="mailto:Melanie.Yates@fireandemergency.nz" TargetMode="External"/><Relationship Id="rId34" Type="http://schemas.openxmlformats.org/officeDocument/2006/relationships/hyperlink" Target="mailto:Tracey.Brownlee@fireandemergency.nz" TargetMode="External"/><Relationship Id="rId7" Type="http://schemas.openxmlformats.org/officeDocument/2006/relationships/hyperlink" Target="mailto:Jimmy.Doyle@fireandemergency.nz" TargetMode="External"/><Relationship Id="rId12" Type="http://schemas.openxmlformats.org/officeDocument/2006/relationships/hyperlink" Target="mailto:Symon.Maxwell@fireandemergency.nz" TargetMode="External"/><Relationship Id="rId17" Type="http://schemas.openxmlformats.org/officeDocument/2006/relationships/hyperlink" Target="mailto:Brent.Reynolds@fireandemergency.nz" TargetMode="External"/><Relationship Id="rId25" Type="http://schemas.openxmlformats.org/officeDocument/2006/relationships/hyperlink" Target="mailto:Nick.Grayson@fireandemergency.nz" TargetMode="External"/><Relationship Id="rId33" Type="http://schemas.openxmlformats.org/officeDocument/2006/relationships/hyperlink" Target="mailto:Jon.White@fireandemergency.nz" TargetMode="External"/><Relationship Id="rId2" Type="http://schemas.openxmlformats.org/officeDocument/2006/relationships/hyperlink" Target="mailto:Alan.Binnie2@fireandemergency.nz" TargetMode="External"/><Relationship Id="rId16" Type="http://schemas.openxmlformats.org/officeDocument/2006/relationships/hyperlink" Target="mailto:Bharat.Ravji@fireandemergency.nz" TargetMode="External"/><Relationship Id="rId20" Type="http://schemas.openxmlformats.org/officeDocument/2006/relationships/hyperlink" Target="mailto:Dallas.Steele@fireandemergency.nz" TargetMode="External"/><Relationship Id="rId29" Type="http://schemas.openxmlformats.org/officeDocument/2006/relationships/hyperlink" Target="mailto:Matt.Humber@fireandemergency.nz" TargetMode="External"/><Relationship Id="rId1" Type="http://schemas.openxmlformats.org/officeDocument/2006/relationships/hyperlink" Target="mailto:Dimmy.Bell-Kainiu@fireandemergency.nz" TargetMode="External"/><Relationship Id="rId6" Type="http://schemas.openxmlformats.org/officeDocument/2006/relationships/hyperlink" Target="mailto:Jason.Court@fireandemergency.nz" TargetMode="External"/><Relationship Id="rId11" Type="http://schemas.openxmlformats.org/officeDocument/2006/relationships/hyperlink" Target="mailto:Ben.Killgour@fireandemergency.nz" TargetMode="External"/><Relationship Id="rId24" Type="http://schemas.openxmlformats.org/officeDocument/2006/relationships/hyperlink" Target="mailto:Leone.Humber@fireandemergency.nz" TargetMode="External"/><Relationship Id="rId32" Type="http://schemas.openxmlformats.org/officeDocument/2006/relationships/hyperlink" Target="mailto:Brody.Jellyman@fireandemergency.nz" TargetMode="External"/><Relationship Id="rId37" Type="http://schemas.openxmlformats.org/officeDocument/2006/relationships/table" Target="../tables/table17.xml"/><Relationship Id="rId5" Type="http://schemas.openxmlformats.org/officeDocument/2006/relationships/hyperlink" Target="mailto:Russell.Clarke@fireandemergency.nz" TargetMode="External"/><Relationship Id="rId15" Type="http://schemas.openxmlformats.org/officeDocument/2006/relationships/hyperlink" Target="mailto:Darryn.Pritchard@fireandemergency.nz" TargetMode="External"/><Relationship Id="rId23" Type="http://schemas.openxmlformats.org/officeDocument/2006/relationships/hyperlink" Target="mailto:Crystal-Lee.McConchie@fireandemergency.nz" TargetMode="External"/><Relationship Id="rId28" Type="http://schemas.openxmlformats.org/officeDocument/2006/relationships/hyperlink" Target="mailto:Torrens.Butcher@fireandemergency.nz" TargetMode="External"/><Relationship Id="rId36" Type="http://schemas.openxmlformats.org/officeDocument/2006/relationships/printerSettings" Target="../printerSettings/printerSettings8.bin"/><Relationship Id="rId10" Type="http://schemas.openxmlformats.org/officeDocument/2006/relationships/hyperlink" Target="mailto:Richard.Jellyman@fireandemergency.nz" TargetMode="External"/><Relationship Id="rId19" Type="http://schemas.openxmlformats.org/officeDocument/2006/relationships/hyperlink" Target="mailto:John.Robinson@fireandemergency.nz" TargetMode="External"/><Relationship Id="rId31" Type="http://schemas.openxmlformats.org/officeDocument/2006/relationships/hyperlink" Target="mailto:Mitch.Court@fireandemergency.nz" TargetMode="External"/><Relationship Id="rId4" Type="http://schemas.openxmlformats.org/officeDocument/2006/relationships/hyperlink" Target="mailto:Ian.Chapman@fireandemergency.nz" TargetMode="External"/><Relationship Id="rId9" Type="http://schemas.openxmlformats.org/officeDocument/2006/relationships/hyperlink" Target="mailto:Richard.Irving@fireandemergency.nz" TargetMode="External"/><Relationship Id="rId14" Type="http://schemas.openxmlformats.org/officeDocument/2006/relationships/hyperlink" Target="mailto:Maree.Primrose@fireandemergency.nz" TargetMode="External"/><Relationship Id="rId22" Type="http://schemas.openxmlformats.org/officeDocument/2006/relationships/hyperlink" Target="mailto:Vaughan.Wood@fireandemergency.nz" TargetMode="External"/><Relationship Id="rId27" Type="http://schemas.openxmlformats.org/officeDocument/2006/relationships/hyperlink" Target="mailto:Jaime.Moore@fireandemergency.nz" TargetMode="External"/><Relationship Id="rId30" Type="http://schemas.openxmlformats.org/officeDocument/2006/relationships/hyperlink" Target="mailto:Kaitlyn.Evans@fireandemergency.nz" TargetMode="External"/><Relationship Id="rId35" Type="http://schemas.openxmlformats.org/officeDocument/2006/relationships/hyperlink" Target="mailto:Sacha.Hoole@fireandemergency.nz" TargetMode="External"/><Relationship Id="rId8" Type="http://schemas.openxmlformats.org/officeDocument/2006/relationships/hyperlink" Target="mailto:Darcy.Hart@fireandemergency.nz" TargetMode="External"/><Relationship Id="rId3" Type="http://schemas.openxmlformats.org/officeDocument/2006/relationships/hyperlink" Target="mailto:Andrew.Bond@fireandemergency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8289-B8AC-41C3-A3FB-B5E2AD14DE96}">
  <dimension ref="B4"/>
  <sheetViews>
    <sheetView workbookViewId="0"/>
  </sheetViews>
  <sheetFormatPr defaultRowHeight="15" x14ac:dyDescent="0.25"/>
  <sheetData>
    <row r="4" spans="2:2" x14ac:dyDescent="0.25"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DCC-64E2-4AE5-BE1F-3FE72052DCAD}">
  <sheetPr codeName="Sheet1"/>
  <dimension ref="A1:BD47"/>
  <sheetViews>
    <sheetView zoomScaleNormal="100" workbookViewId="0">
      <pane xSplit="1" ySplit="3" topLeftCell="B29" activePane="bottomRight" state="frozen"/>
      <selection pane="topRight" activeCell="B3" sqref="B3"/>
      <selection pane="bottomLeft" activeCell="A6" sqref="A6"/>
      <selection pane="bottomRight" activeCell="N55" sqref="N55"/>
    </sheetView>
  </sheetViews>
  <sheetFormatPr defaultRowHeight="15" x14ac:dyDescent="0.25"/>
  <cols>
    <col min="1" max="1" width="27.7109375" style="2" customWidth="1"/>
    <col min="2" max="10" width="3.7109375" customWidth="1"/>
    <col min="11" max="11" width="6.28515625" bestFit="1" customWidth="1"/>
    <col min="12" max="19" width="3.7109375" customWidth="1"/>
    <col min="20" max="23" width="4" customWidth="1"/>
    <col min="24" max="24" width="4.28515625" bestFit="1" customWidth="1"/>
    <col min="25" max="25" width="6.28515625" bestFit="1" customWidth="1"/>
    <col min="26" max="37" width="4" customWidth="1"/>
    <col min="38" max="39" width="6.28515625" customWidth="1"/>
    <col min="40" max="40" width="3.7109375" bestFit="1" customWidth="1"/>
    <col min="41" max="43" width="3.7109375" customWidth="1"/>
    <col min="44" max="44" width="3.7109375" bestFit="1" customWidth="1"/>
    <col min="45" max="47" width="3.7109375" customWidth="1"/>
    <col min="48" max="51" width="4" customWidth="1"/>
    <col min="52" max="52" width="4" bestFit="1" customWidth="1"/>
    <col min="53" max="53" width="7.7109375" bestFit="1" customWidth="1"/>
    <col min="54" max="54" width="6.85546875" customWidth="1"/>
    <col min="55" max="55" width="11.28515625" bestFit="1" customWidth="1"/>
    <col min="56" max="302" width="5" customWidth="1"/>
  </cols>
  <sheetData>
    <row r="1" spans="1:56" s="1" customFormat="1" ht="17.25" customHeight="1" x14ac:dyDescent="0.25">
      <c r="A1" s="2" t="s">
        <v>1</v>
      </c>
      <c r="B1" s="3">
        <v>3</v>
      </c>
      <c r="C1" s="3">
        <v>4</v>
      </c>
      <c r="D1" s="3">
        <v>4</v>
      </c>
      <c r="E1" s="3">
        <v>5</v>
      </c>
      <c r="F1" s="3">
        <v>4</v>
      </c>
      <c r="G1" s="3">
        <v>4</v>
      </c>
      <c r="H1" s="3">
        <v>4</v>
      </c>
      <c r="I1" s="3">
        <v>2</v>
      </c>
      <c r="J1" s="24">
        <f>SUM(B1:I1)</f>
        <v>30</v>
      </c>
      <c r="K1" s="64">
        <v>2023</v>
      </c>
      <c r="L1" s="11">
        <v>3</v>
      </c>
      <c r="M1" s="11">
        <v>4</v>
      </c>
      <c r="N1" s="11">
        <v>4</v>
      </c>
      <c r="O1" s="11">
        <v>5</v>
      </c>
      <c r="P1" s="11">
        <v>4</v>
      </c>
      <c r="Q1" s="11">
        <v>4</v>
      </c>
      <c r="R1" s="11">
        <v>5</v>
      </c>
      <c r="S1" s="11">
        <v>5</v>
      </c>
      <c r="T1" s="4">
        <v>5</v>
      </c>
      <c r="U1" s="11">
        <v>4</v>
      </c>
      <c r="V1" s="4">
        <v>4</v>
      </c>
      <c r="W1" s="11">
        <v>3</v>
      </c>
      <c r="X1" s="24">
        <v>50</v>
      </c>
      <c r="Y1" s="64">
        <v>2024</v>
      </c>
      <c r="Z1" s="62">
        <v>3</v>
      </c>
      <c r="AA1" s="62">
        <v>4</v>
      </c>
      <c r="AB1" s="62">
        <v>4</v>
      </c>
      <c r="AC1" s="62">
        <v>5</v>
      </c>
      <c r="AD1" s="62">
        <v>4</v>
      </c>
      <c r="AE1" s="62">
        <v>4</v>
      </c>
      <c r="AF1" s="62">
        <v>5</v>
      </c>
      <c r="AG1" s="62">
        <v>5</v>
      </c>
      <c r="AH1" s="62">
        <v>5</v>
      </c>
      <c r="AI1" s="62">
        <v>4</v>
      </c>
      <c r="AJ1" s="62">
        <v>4</v>
      </c>
      <c r="AK1" s="62">
        <v>3</v>
      </c>
      <c r="AL1" s="24">
        <v>50</v>
      </c>
      <c r="AM1" s="64">
        <v>2025</v>
      </c>
      <c r="AN1" s="62">
        <f>(Musters!AN1)</f>
        <v>4</v>
      </c>
      <c r="AO1" s="62">
        <f>(Musters!AO1)</f>
        <v>4</v>
      </c>
      <c r="AP1" s="62">
        <f>(Musters!AP1)</f>
        <v>2</v>
      </c>
      <c r="AQ1" s="62">
        <f>(Musters!AQ1)</f>
        <v>0</v>
      </c>
      <c r="AR1" s="62">
        <f>(Musters!AR1)</f>
        <v>0</v>
      </c>
      <c r="AS1" s="62">
        <f>(Musters!AS1)</f>
        <v>0</v>
      </c>
      <c r="AT1" s="62">
        <f>(Musters!AT1)</f>
        <v>0</v>
      </c>
      <c r="AU1" s="62">
        <f>(Musters!AU1)</f>
        <v>0</v>
      </c>
      <c r="AV1" s="62">
        <f>(Musters!AV1)</f>
        <v>0</v>
      </c>
      <c r="AW1" s="62">
        <f>(Musters!AW1)</f>
        <v>0</v>
      </c>
      <c r="AX1" s="62">
        <f>(Musters!AX1)</f>
        <v>0</v>
      </c>
      <c r="AY1" s="62">
        <f>(Musters!AY1)</f>
        <v>0</v>
      </c>
      <c r="AZ1" s="24">
        <f>SUM(AN1:AY1)</f>
        <v>10</v>
      </c>
      <c r="BA1" s="64">
        <v>2026</v>
      </c>
      <c r="BB1" s="48" t="s">
        <v>2</v>
      </c>
      <c r="BC1" s="64" t="s">
        <v>3</v>
      </c>
    </row>
    <row r="2" spans="1:56" s="7" customFormat="1" ht="29.25" customHeight="1" x14ac:dyDescent="0.25">
      <c r="A2" s="8" t="s">
        <v>4</v>
      </c>
      <c r="B2" s="4">
        <v>32</v>
      </c>
      <c r="C2" s="3">
        <v>46</v>
      </c>
      <c r="D2" s="4">
        <v>47</v>
      </c>
      <c r="E2" s="3">
        <v>28</v>
      </c>
      <c r="F2" s="4">
        <v>38</v>
      </c>
      <c r="G2" s="3">
        <v>46</v>
      </c>
      <c r="H2" s="4">
        <v>43</v>
      </c>
      <c r="I2" s="54">
        <v>44</v>
      </c>
      <c r="J2" s="24">
        <f>SUM(B2:I2)</f>
        <v>324</v>
      </c>
      <c r="K2" s="35"/>
      <c r="L2" s="4">
        <v>58</v>
      </c>
      <c r="M2" s="11">
        <v>48</v>
      </c>
      <c r="N2" s="4">
        <v>47</v>
      </c>
      <c r="O2" s="11">
        <v>38</v>
      </c>
      <c r="P2" s="4">
        <v>55</v>
      </c>
      <c r="Q2" s="11">
        <v>43</v>
      </c>
      <c r="R2" s="4">
        <v>44</v>
      </c>
      <c r="S2" s="11">
        <v>49</v>
      </c>
      <c r="T2" s="4">
        <v>36</v>
      </c>
      <c r="U2" s="11">
        <v>42</v>
      </c>
      <c r="V2" s="4">
        <v>47</v>
      </c>
      <c r="W2" s="11">
        <v>52</v>
      </c>
      <c r="X2" s="24">
        <f>SUM($L$2:$W$2)</f>
        <v>559</v>
      </c>
      <c r="Y2" s="35"/>
      <c r="Z2" s="21">
        <v>57</v>
      </c>
      <c r="AA2" s="94">
        <v>48</v>
      </c>
      <c r="AB2" s="21">
        <v>70</v>
      </c>
      <c r="AC2" s="94">
        <v>42</v>
      </c>
      <c r="AD2" s="21">
        <v>68</v>
      </c>
      <c r="AE2" s="94">
        <v>35</v>
      </c>
      <c r="AF2" s="21">
        <v>56</v>
      </c>
      <c r="AG2" s="94">
        <v>53</v>
      </c>
      <c r="AH2" s="21">
        <v>47</v>
      </c>
      <c r="AI2" s="22">
        <v>39</v>
      </c>
      <c r="AJ2" s="21">
        <v>58</v>
      </c>
      <c r="AK2" s="22">
        <v>79</v>
      </c>
      <c r="AL2" s="24">
        <v>652</v>
      </c>
      <c r="AM2" s="35"/>
      <c r="AN2" s="21">
        <f>AllCalls26!$D$3</f>
        <v>60</v>
      </c>
      <c r="AO2" s="94">
        <f>AllCalls26!$D$4</f>
        <v>44</v>
      </c>
      <c r="AP2" s="21">
        <f>AllCalls26!$D$5</f>
        <v>29</v>
      </c>
      <c r="AQ2" s="94">
        <f>AllCalls26!$D$6</f>
        <v>0</v>
      </c>
      <c r="AR2" s="21">
        <f>AllCalls26!$D$7</f>
        <v>0</v>
      </c>
      <c r="AS2" s="94">
        <f>AllCalls26!$D$8</f>
        <v>0</v>
      </c>
      <c r="AT2" s="21">
        <f>AllCalls26!$D$9</f>
        <v>0</v>
      </c>
      <c r="AU2" s="94">
        <f>AllCalls26!$D$10</f>
        <v>0</v>
      </c>
      <c r="AV2" s="21">
        <f>AllCalls26!$D$11</f>
        <v>0</v>
      </c>
      <c r="AW2" s="22">
        <f>AllCalls26!$D$12</f>
        <v>0</v>
      </c>
      <c r="AX2" s="21">
        <f>AllCalls26!$D$13</f>
        <v>0</v>
      </c>
      <c r="AY2" s="22">
        <f>AllCalls26!$D$14</f>
        <v>0</v>
      </c>
      <c r="AZ2" s="24">
        <f>SUM(AN2:AY2)</f>
        <v>133</v>
      </c>
      <c r="BA2" s="35"/>
      <c r="BB2" s="48">
        <f>SUM($J2,$X2,AZ2)</f>
        <v>1016</v>
      </c>
      <c r="BC2" s="35"/>
    </row>
    <row r="3" spans="1:56" ht="59.25" customHeight="1" x14ac:dyDescent="0.25">
      <c r="A3" s="9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5" t="s">
        <v>10</v>
      </c>
      <c r="G3" s="6" t="s">
        <v>11</v>
      </c>
      <c r="H3" s="5" t="s">
        <v>12</v>
      </c>
      <c r="I3" s="6" t="s">
        <v>13</v>
      </c>
      <c r="J3" s="6" t="s">
        <v>14</v>
      </c>
      <c r="K3" s="25" t="s">
        <v>15</v>
      </c>
      <c r="L3" s="5" t="s">
        <v>16</v>
      </c>
      <c r="M3" s="6" t="s">
        <v>17</v>
      </c>
      <c r="N3" s="5" t="s">
        <v>18</v>
      </c>
      <c r="O3" s="6" t="s">
        <v>19</v>
      </c>
      <c r="P3" s="5" t="s">
        <v>6</v>
      </c>
      <c r="Q3" s="6" t="s">
        <v>7</v>
      </c>
      <c r="R3" s="5" t="s">
        <v>8</v>
      </c>
      <c r="S3" s="6" t="s">
        <v>9</v>
      </c>
      <c r="T3" s="5" t="s">
        <v>10</v>
      </c>
      <c r="U3" s="6" t="s">
        <v>11</v>
      </c>
      <c r="V3" s="5" t="s">
        <v>12</v>
      </c>
      <c r="W3" s="6" t="s">
        <v>13</v>
      </c>
      <c r="X3" s="5" t="s">
        <v>14</v>
      </c>
      <c r="Y3" s="25" t="s">
        <v>15</v>
      </c>
      <c r="Z3" s="20" t="s">
        <v>16</v>
      </c>
      <c r="AA3" s="59" t="s">
        <v>17</v>
      </c>
      <c r="AB3" s="20" t="s">
        <v>18</v>
      </c>
      <c r="AC3" s="59" t="s">
        <v>19</v>
      </c>
      <c r="AD3" s="20" t="s">
        <v>6</v>
      </c>
      <c r="AE3" s="59" t="s">
        <v>7</v>
      </c>
      <c r="AF3" s="20" t="s">
        <v>8</v>
      </c>
      <c r="AG3" s="59" t="s">
        <v>9</v>
      </c>
      <c r="AH3" s="20" t="s">
        <v>10</v>
      </c>
      <c r="AI3" s="59" t="s">
        <v>11</v>
      </c>
      <c r="AJ3" s="20" t="s">
        <v>12</v>
      </c>
      <c r="AK3" s="59" t="s">
        <v>13</v>
      </c>
      <c r="AL3" s="20" t="s">
        <v>14</v>
      </c>
      <c r="AM3" s="25" t="s">
        <v>15</v>
      </c>
      <c r="AN3" s="20" t="s">
        <v>16</v>
      </c>
      <c r="AO3" s="59" t="s">
        <v>17</v>
      </c>
      <c r="AP3" s="20" t="s">
        <v>18</v>
      </c>
      <c r="AQ3" s="59" t="s">
        <v>19</v>
      </c>
      <c r="AR3" s="20" t="s">
        <v>6</v>
      </c>
      <c r="AS3" s="59" t="s">
        <v>7</v>
      </c>
      <c r="AT3" s="20" t="s">
        <v>8</v>
      </c>
      <c r="AU3" s="59" t="s">
        <v>9</v>
      </c>
      <c r="AV3" s="20" t="s">
        <v>10</v>
      </c>
      <c r="AW3" s="59" t="s">
        <v>11</v>
      </c>
      <c r="AX3" s="20" t="s">
        <v>12</v>
      </c>
      <c r="AY3" s="59" t="s">
        <v>13</v>
      </c>
      <c r="AZ3" s="20" t="s">
        <v>14</v>
      </c>
      <c r="BA3" s="25" t="s">
        <v>15</v>
      </c>
      <c r="BB3" s="59" t="s">
        <v>2</v>
      </c>
      <c r="BC3" s="102" t="s">
        <v>20</v>
      </c>
    </row>
    <row r="4" spans="1:56" x14ac:dyDescent="0.25">
      <c r="A4" s="2" t="s">
        <v>21</v>
      </c>
      <c r="B4" s="21">
        <v>21</v>
      </c>
      <c r="C4" s="22">
        <v>25</v>
      </c>
      <c r="D4" s="12">
        <v>16</v>
      </c>
      <c r="E4" s="13">
        <v>15</v>
      </c>
      <c r="F4" s="12">
        <v>11</v>
      </c>
      <c r="G4" s="13">
        <v>20</v>
      </c>
      <c r="H4" s="12">
        <v>18</v>
      </c>
      <c r="I4" s="13">
        <v>25</v>
      </c>
      <c r="J4" s="12">
        <f>SUM($B4:$I4)</f>
        <v>151</v>
      </c>
      <c r="K4" s="26">
        <f>(J4/$J$2)</f>
        <v>0.4660493827160494</v>
      </c>
      <c r="L4" s="12">
        <v>34</v>
      </c>
      <c r="M4" s="3">
        <v>22</v>
      </c>
      <c r="N4" s="12">
        <v>22</v>
      </c>
      <c r="O4" s="3">
        <v>19</v>
      </c>
      <c r="P4" s="12">
        <v>24</v>
      </c>
      <c r="Q4" s="3">
        <v>19</v>
      </c>
      <c r="R4" s="12">
        <v>27</v>
      </c>
      <c r="S4" s="3">
        <v>18</v>
      </c>
      <c r="T4" s="12">
        <v>18</v>
      </c>
      <c r="U4" s="56">
        <v>17</v>
      </c>
      <c r="V4" s="12">
        <v>16</v>
      </c>
      <c r="W4" s="56">
        <v>21</v>
      </c>
      <c r="X4" s="12">
        <v>257</v>
      </c>
      <c r="Y4" s="26">
        <v>0.46206115515288787</v>
      </c>
      <c r="Z4" s="21">
        <v>35</v>
      </c>
      <c r="AA4" s="18">
        <v>27</v>
      </c>
      <c r="AB4" s="21">
        <v>36</v>
      </c>
      <c r="AC4" s="18">
        <v>20</v>
      </c>
      <c r="AD4" s="21">
        <v>29</v>
      </c>
      <c r="AE4" s="18">
        <v>16</v>
      </c>
      <c r="AF4" s="21">
        <v>21</v>
      </c>
      <c r="AG4" s="18">
        <v>18</v>
      </c>
      <c r="AH4" s="21">
        <v>22</v>
      </c>
      <c r="AI4" s="22">
        <v>9</v>
      </c>
      <c r="AJ4" s="21">
        <v>24</v>
      </c>
      <c r="AK4" s="22">
        <v>50</v>
      </c>
      <c r="AL4" s="21">
        <v>307</v>
      </c>
      <c r="AM4" s="26">
        <v>0.47085889570552147</v>
      </c>
      <c r="AN4" s="21">
        <f>COUNTIFS((AllCalls26!$X$15:$X$5112),"I",(AllCalls26!$K$15:$K$5112),"1")</f>
        <v>29</v>
      </c>
      <c r="AO4" s="18">
        <f>COUNTIFS((AllCalls26!$X$15:$X$5112),"I",(AllCalls26!$K$15:$K$5112),"2")</f>
        <v>25</v>
      </c>
      <c r="AP4" s="21">
        <f>COUNTIFS((AllCalls26!$X$15:$X$5112),"I",(AllCalls26!$K$15:$K$5112),"3")</f>
        <v>8</v>
      </c>
      <c r="AQ4" s="18">
        <f>COUNTIFS((AllCalls26!$X$15:$X$5112),"I",(AllCalls26!$K$15:$K$5112),"4")</f>
        <v>0</v>
      </c>
      <c r="AR4" s="21">
        <f>COUNTIFS((AllCalls26!$X$15:$X$5112),"I",(AllCalls26!$K$15:$K$5112),"5")</f>
        <v>0</v>
      </c>
      <c r="AS4" s="18">
        <f>COUNTIFS((AllCalls26!$X$15:$X$5112),"I",(AllCalls26!$K$15:$K$5112),"6")</f>
        <v>0</v>
      </c>
      <c r="AT4" s="21">
        <f>COUNTIFS((AllCalls26!$X$15:$X$5112),"I",(AllCalls26!$K$15:$K$5112),"7")</f>
        <v>0</v>
      </c>
      <c r="AU4" s="18">
        <f>COUNTIFS((AllCalls26!$X$15:$X$5112),"I",(AllCalls26!$K$15:$K$5112),"8")</f>
        <v>0</v>
      </c>
      <c r="AV4" s="21">
        <f>COUNTIFS((AllCalls26!$X$15:$X$5112),"I",(AllCalls26!$K$15:$K$5112),"9")</f>
        <v>0</v>
      </c>
      <c r="AW4" s="22">
        <f>COUNTIFS((AllCalls26!$X$15:$X$5112),"I",(AllCalls26!$K$15:$K$5112),"10")</f>
        <v>0</v>
      </c>
      <c r="AX4" s="21">
        <f>COUNTIFS((AllCalls26!$X$15:$X$5112),"I",(AllCalls26!$K$15:$K$5112),"11")</f>
        <v>0</v>
      </c>
      <c r="AY4" s="22">
        <f>COUNTIFS((AllCalls26!$X$15:$X$5112),"I",(AllCalls26!$K$15:$K$5112),"12")</f>
        <v>0</v>
      </c>
      <c r="AZ4" s="21">
        <f>SUM($AN4:$AY4)</f>
        <v>62</v>
      </c>
      <c r="BA4" s="26">
        <f>(SUM($AZ4))/SUM($AZ$2)</f>
        <v>0.46616541353383456</v>
      </c>
      <c r="BB4" s="12">
        <f>SUM($J4,$X4,$AZ4)</f>
        <v>470</v>
      </c>
      <c r="BC4" s="26">
        <f>(SUM(BB4))/SUM($BB$2)</f>
        <v>0.4625984251968504</v>
      </c>
      <c r="BD4" t="s">
        <v>22</v>
      </c>
    </row>
    <row r="5" spans="1:56" x14ac:dyDescent="0.25">
      <c r="A5" s="2" t="s">
        <v>23</v>
      </c>
      <c r="B5" s="21">
        <v>14</v>
      </c>
      <c r="C5" s="22">
        <v>13</v>
      </c>
      <c r="D5" s="12">
        <v>21</v>
      </c>
      <c r="E5" s="13">
        <v>15</v>
      </c>
      <c r="F5" s="12">
        <v>2</v>
      </c>
      <c r="G5" s="13">
        <v>14</v>
      </c>
      <c r="H5" s="12">
        <v>26</v>
      </c>
      <c r="I5" s="13">
        <v>20</v>
      </c>
      <c r="J5" s="12">
        <f t="shared" ref="J5:J34" si="0">SUM($B5:$I5)</f>
        <v>125</v>
      </c>
      <c r="K5" s="26">
        <f t="shared" ref="K5:K36" si="1">(J5/$J$2)</f>
        <v>0.38580246913580246</v>
      </c>
      <c r="L5" s="12">
        <v>40</v>
      </c>
      <c r="M5" s="3">
        <v>24</v>
      </c>
      <c r="N5" s="12">
        <v>17</v>
      </c>
      <c r="O5" s="3">
        <v>26</v>
      </c>
      <c r="P5" s="12">
        <v>29</v>
      </c>
      <c r="Q5" s="3">
        <v>14</v>
      </c>
      <c r="R5" s="12">
        <v>29</v>
      </c>
      <c r="S5" s="3">
        <v>24</v>
      </c>
      <c r="T5" s="12">
        <v>2</v>
      </c>
      <c r="U5" s="56">
        <v>17</v>
      </c>
      <c r="V5" s="12">
        <v>19</v>
      </c>
      <c r="W5" s="56">
        <v>2</v>
      </c>
      <c r="X5" s="12">
        <v>243</v>
      </c>
      <c r="Y5" s="26">
        <v>0.41676104190260477</v>
      </c>
      <c r="Z5" s="21">
        <v>21</v>
      </c>
      <c r="AA5" s="60">
        <v>32</v>
      </c>
      <c r="AB5" s="21">
        <v>43</v>
      </c>
      <c r="AC5" s="60">
        <v>26</v>
      </c>
      <c r="AD5" s="21">
        <v>37</v>
      </c>
      <c r="AE5" s="60">
        <v>18</v>
      </c>
      <c r="AF5" s="21">
        <v>35</v>
      </c>
      <c r="AG5" s="60">
        <v>33</v>
      </c>
      <c r="AH5" s="21">
        <v>0</v>
      </c>
      <c r="AI5" s="61">
        <v>19</v>
      </c>
      <c r="AJ5" s="21">
        <v>39</v>
      </c>
      <c r="AK5" s="61">
        <v>57</v>
      </c>
      <c r="AL5" s="21">
        <v>360</v>
      </c>
      <c r="AM5" s="26">
        <v>0.55214723926380371</v>
      </c>
      <c r="AN5" s="21">
        <f>COUNTIFS((AllCalls26!$Y$15:$Y$5112),"I",(AllCalls26!$K$15:$K$5112),"1")</f>
        <v>32</v>
      </c>
      <c r="AO5" s="60">
        <f>COUNTIFS((AllCalls26!$Y$15:$Y$5112),"I",(AllCalls26!$K$15:$K$5112),"2")</f>
        <v>22</v>
      </c>
      <c r="AP5" s="21">
        <f>COUNTIFS((AllCalls26!$Y$15:$Y$5112),"I",(AllCalls26!$K$15:$K$5112),"3")</f>
        <v>17</v>
      </c>
      <c r="AQ5" s="60">
        <f>COUNTIFS((AllCalls26!$Y$15:$Y$5112),"I",(AllCalls26!$K$15:$K$5112),"4")</f>
        <v>0</v>
      </c>
      <c r="AR5" s="21">
        <f>COUNTIFS((AllCalls26!$Y$15:$Y$5112),"I",(AllCalls26!$K$15:$K$5112),"5")</f>
        <v>0</v>
      </c>
      <c r="AS5" s="60">
        <f>COUNTIFS((AllCalls26!$Y$15:$Y$5112),"I",(AllCalls26!$K$15:$K$5112),"6")</f>
        <v>0</v>
      </c>
      <c r="AT5" s="21">
        <f>COUNTIFS((AllCalls26!$Y$15:$Y$5112),"I",(AllCalls26!$K$15:$K$5112),"7")</f>
        <v>0</v>
      </c>
      <c r="AU5" s="60">
        <f>COUNTIFS((AllCalls26!$Y$15:$Y$5112),"I",(AllCalls26!$K$15:$K$5112),"8")</f>
        <v>0</v>
      </c>
      <c r="AV5" s="21">
        <f>COUNTIFS((AllCalls26!$Y$15:$Y$5112),"I",(AllCalls26!$K$15:$K$5112),"9")</f>
        <v>0</v>
      </c>
      <c r="AW5" s="61">
        <f>COUNTIFS((AllCalls26!$Y$15:$Y$5112),"I",(AllCalls26!$K$15:$K$5112),"10")</f>
        <v>0</v>
      </c>
      <c r="AX5" s="21">
        <f>COUNTIFS((AllCalls26!$Y$15:$Y$5112),"I",(AllCalls26!$K$15:$K$5112),"11")</f>
        <v>0</v>
      </c>
      <c r="AY5" s="61">
        <f>COUNTIFS((AllCalls26!$Y$15:$Y$5112),"I",(AllCalls26!$K$15:$K$5112),"12")</f>
        <v>0</v>
      </c>
      <c r="AZ5" s="21">
        <f t="shared" ref="AZ5:AZ46" si="2">SUM($AN5:$AY5)</f>
        <v>71</v>
      </c>
      <c r="BA5" s="26">
        <f t="shared" ref="BA5:BA45" si="3">(SUM($AZ5))/SUM($AZ$2)</f>
        <v>0.53383458646616544</v>
      </c>
      <c r="BB5" s="12">
        <f t="shared" ref="BB5:BB41" si="4">SUM($J5,$X5,$AZ5)</f>
        <v>439</v>
      </c>
      <c r="BC5" s="26">
        <f t="shared" ref="BC5:BC36" si="5">(SUM(BB5))/SUM($BB$2)</f>
        <v>0.43208661417322836</v>
      </c>
      <c r="BD5" t="s">
        <v>22</v>
      </c>
    </row>
    <row r="6" spans="1:56" x14ac:dyDescent="0.25">
      <c r="A6" s="2" t="s">
        <v>24</v>
      </c>
      <c r="B6" s="21">
        <v>4</v>
      </c>
      <c r="C6" s="22">
        <v>10</v>
      </c>
      <c r="D6" s="12">
        <v>10</v>
      </c>
      <c r="E6" s="13">
        <v>9</v>
      </c>
      <c r="F6" s="12">
        <v>12</v>
      </c>
      <c r="G6" s="13">
        <v>18</v>
      </c>
      <c r="H6" s="12">
        <v>12</v>
      </c>
      <c r="I6" s="13">
        <v>16</v>
      </c>
      <c r="J6" s="12">
        <f t="shared" si="0"/>
        <v>91</v>
      </c>
      <c r="K6" s="26">
        <f t="shared" si="1"/>
        <v>0.28086419753086422</v>
      </c>
      <c r="L6" s="12">
        <v>18</v>
      </c>
      <c r="M6" s="3">
        <v>13</v>
      </c>
      <c r="N6" s="12">
        <v>8</v>
      </c>
      <c r="O6" s="3">
        <v>8</v>
      </c>
      <c r="P6" s="12">
        <v>10</v>
      </c>
      <c r="Q6" s="3">
        <v>5</v>
      </c>
      <c r="R6" s="12">
        <v>17</v>
      </c>
      <c r="S6" s="3">
        <v>21</v>
      </c>
      <c r="T6" s="12">
        <v>11</v>
      </c>
      <c r="U6" s="56">
        <v>17</v>
      </c>
      <c r="V6" s="12">
        <v>7</v>
      </c>
      <c r="W6" s="56">
        <v>30</v>
      </c>
      <c r="X6" s="12">
        <v>165</v>
      </c>
      <c r="Y6" s="26">
        <v>0.28992072480181202</v>
      </c>
      <c r="Z6" s="21">
        <v>16</v>
      </c>
      <c r="AA6" s="18">
        <v>13</v>
      </c>
      <c r="AB6" s="21">
        <v>11</v>
      </c>
      <c r="AC6" s="18">
        <v>18</v>
      </c>
      <c r="AD6" s="21">
        <v>21</v>
      </c>
      <c r="AE6" s="18">
        <v>6</v>
      </c>
      <c r="AF6" s="21">
        <v>19</v>
      </c>
      <c r="AG6" s="18">
        <v>13</v>
      </c>
      <c r="AH6" s="21">
        <v>12</v>
      </c>
      <c r="AI6" s="22">
        <v>11</v>
      </c>
      <c r="AJ6" s="21">
        <v>13</v>
      </c>
      <c r="AK6" s="22">
        <v>16</v>
      </c>
      <c r="AL6" s="21">
        <v>169</v>
      </c>
      <c r="AM6" s="26">
        <v>0.25920245398773006</v>
      </c>
      <c r="AN6" s="21">
        <f>COUNTIFS((AllCalls26!$Z$15:$Z$5112),"I",(AllCalls26!$K$15:$K$5112),"1")</f>
        <v>16</v>
      </c>
      <c r="AO6" s="18">
        <f>COUNTIFS((AllCalls26!$Z$15:$Z$5112),"I",(AllCalls26!$K$15:$K$5112),"2")</f>
        <v>7</v>
      </c>
      <c r="AP6" s="21">
        <f>COUNTIFS((AllCalls26!$Z$15:$Z$5112),"I",(AllCalls26!$K$15:$K$5112),"3")</f>
        <v>6</v>
      </c>
      <c r="AQ6" s="18">
        <f>COUNTIFS((AllCalls26!$Z$15:$Z$5112),"I",(AllCalls26!$K$15:$K$5112),"4")</f>
        <v>0</v>
      </c>
      <c r="AR6" s="21">
        <f>COUNTIFS((AllCalls26!$Z$15:$Z$5112),"I",(AllCalls26!$K$15:$K$5112),"5")</f>
        <v>0</v>
      </c>
      <c r="AS6" s="18">
        <f>COUNTIFS((AllCalls26!$Z$15:$Z$5112),"I",(AllCalls26!$K$15:$K$5112),"6")</f>
        <v>0</v>
      </c>
      <c r="AT6" s="21">
        <f>COUNTIFS((AllCalls26!$Z$15:$Z$5112),"I",(AllCalls26!$K$15:$K$5112),"7")</f>
        <v>0</v>
      </c>
      <c r="AU6" s="18">
        <f>COUNTIFS((AllCalls26!$Z$15:$Z$5112),"I",(AllCalls26!$K$15:$K$5112),"8")</f>
        <v>0</v>
      </c>
      <c r="AV6" s="21">
        <f>COUNTIFS((AllCalls26!$Z$15:$Z$5112),"I",(AllCalls26!$K$15:$K$5112),"9")</f>
        <v>0</v>
      </c>
      <c r="AW6" s="22">
        <f>COUNTIFS((AllCalls26!$Z$15:$Z$5112),"I",(AllCalls26!$K$15:$K$5112),"10")</f>
        <v>0</v>
      </c>
      <c r="AX6" s="21">
        <f>COUNTIFS((AllCalls26!$Z$15:$Z$5112),"I",(AllCalls26!$K$15:$K$5112),"11")</f>
        <v>0</v>
      </c>
      <c r="AY6" s="22">
        <f>COUNTIFS((AllCalls26!$Z$15:$Z$5112),"I",(AllCalls26!$K$15:$K$5112),"12")</f>
        <v>0</v>
      </c>
      <c r="AZ6" s="21">
        <f t="shared" si="2"/>
        <v>29</v>
      </c>
      <c r="BA6" s="26">
        <f t="shared" si="3"/>
        <v>0.21804511278195488</v>
      </c>
      <c r="BB6" s="12">
        <f t="shared" si="4"/>
        <v>285</v>
      </c>
      <c r="BC6" s="26">
        <f t="shared" si="5"/>
        <v>0.28051181102362205</v>
      </c>
      <c r="BD6" t="s">
        <v>22</v>
      </c>
    </row>
    <row r="7" spans="1:56" x14ac:dyDescent="0.25">
      <c r="A7" s="2" t="s">
        <v>25</v>
      </c>
      <c r="B7" s="21">
        <v>21</v>
      </c>
      <c r="C7" s="22">
        <v>15</v>
      </c>
      <c r="D7" s="12">
        <v>34</v>
      </c>
      <c r="E7" s="13">
        <v>9</v>
      </c>
      <c r="F7" s="12">
        <v>13</v>
      </c>
      <c r="G7" s="13">
        <v>14</v>
      </c>
      <c r="H7" s="12">
        <v>26</v>
      </c>
      <c r="I7" s="13">
        <v>22</v>
      </c>
      <c r="J7" s="12">
        <f t="shared" si="0"/>
        <v>154</v>
      </c>
      <c r="K7" s="26">
        <f t="shared" si="1"/>
        <v>0.47530864197530864</v>
      </c>
      <c r="L7" s="12">
        <v>50</v>
      </c>
      <c r="M7" s="3">
        <v>27</v>
      </c>
      <c r="N7" s="12">
        <v>17</v>
      </c>
      <c r="O7" s="3">
        <v>26</v>
      </c>
      <c r="P7" s="12">
        <v>27</v>
      </c>
      <c r="Q7" s="3">
        <v>23</v>
      </c>
      <c r="R7" s="12">
        <v>36</v>
      </c>
      <c r="S7" s="3">
        <v>27</v>
      </c>
      <c r="T7" s="12">
        <v>20</v>
      </c>
      <c r="U7" s="56">
        <v>20</v>
      </c>
      <c r="V7" s="12">
        <v>30</v>
      </c>
      <c r="W7" s="56">
        <v>34</v>
      </c>
      <c r="X7" s="12">
        <v>337</v>
      </c>
      <c r="Y7" s="26">
        <v>0.55605889014722532</v>
      </c>
      <c r="Z7" s="21">
        <v>30</v>
      </c>
      <c r="AA7" s="60">
        <v>33</v>
      </c>
      <c r="AB7" s="21">
        <v>39</v>
      </c>
      <c r="AC7" s="60">
        <v>24</v>
      </c>
      <c r="AD7" s="21">
        <v>21</v>
      </c>
      <c r="AE7" s="60">
        <v>21</v>
      </c>
      <c r="AF7" s="21">
        <v>43</v>
      </c>
      <c r="AG7" s="60">
        <v>33</v>
      </c>
      <c r="AH7" s="21">
        <v>39</v>
      </c>
      <c r="AI7" s="61">
        <v>29</v>
      </c>
      <c r="AJ7" s="21">
        <v>49</v>
      </c>
      <c r="AK7" s="61">
        <v>70</v>
      </c>
      <c r="AL7" s="21">
        <v>431</v>
      </c>
      <c r="AM7" s="26">
        <v>0.66104294478527603</v>
      </c>
      <c r="AN7" s="21">
        <f>COUNTIFS((AllCalls26!$AA$15:$AA$5112),"I",(AllCalls26!$K$15:$K$5112),"1")</f>
        <v>49</v>
      </c>
      <c r="AO7" s="60">
        <f>COUNTIFS((AllCalls26!$AA$15:$AA$5112),"I",(AllCalls26!$K$15:$K$5112),"2")</f>
        <v>28</v>
      </c>
      <c r="AP7" s="21">
        <f>COUNTIFS((AllCalls26!$AA$15:$AA$5112),"I",(AllCalls26!$K$15:$K$5112),"3")</f>
        <v>20</v>
      </c>
      <c r="AQ7" s="60">
        <f>COUNTIFS((AllCalls26!$AA$15:$AA$5112),"I",(AllCalls26!$K$15:$K$5112),"4")</f>
        <v>0</v>
      </c>
      <c r="AR7" s="21">
        <f>COUNTIFS((AllCalls26!$AA$15:$AA$5112),"I",(AllCalls26!$K$15:$K$5112),"5")</f>
        <v>0</v>
      </c>
      <c r="AS7" s="60">
        <f>COUNTIFS((AllCalls26!$AA$15:$AA$5112),"I",(AllCalls26!$K$15:$K$5112),"6")</f>
        <v>0</v>
      </c>
      <c r="AT7" s="21">
        <f>COUNTIFS((AllCalls26!$AA$15:$AA$5112),"I",(AllCalls26!$K$15:$K$5112),"7")</f>
        <v>0</v>
      </c>
      <c r="AU7" s="60">
        <f>COUNTIFS((AllCalls26!$AA$15:$AA$5112),"I",(AllCalls26!$K$15:$K$5112),"8")</f>
        <v>0</v>
      </c>
      <c r="AV7" s="21">
        <f>COUNTIFS((AllCalls26!$AA$15:$AA$5112),"I",(AllCalls26!$K$15:$K$5112),"9")</f>
        <v>0</v>
      </c>
      <c r="AW7" s="61">
        <f>COUNTIFS((AllCalls26!$AA$15:$AA$5112),"I",(AllCalls26!$K$15:$K$5112),"10")</f>
        <v>0</v>
      </c>
      <c r="AX7" s="21">
        <f>COUNTIFS((AllCalls26!$AA$15:$AA$5112),"I",(AllCalls26!$K$15:$K$5112),"11")</f>
        <v>0</v>
      </c>
      <c r="AY7" s="61">
        <f>COUNTIFS((AllCalls26!$AA$15:$AA$5112),"I",(AllCalls26!$K$15:$K$5112),"12")</f>
        <v>0</v>
      </c>
      <c r="AZ7" s="21">
        <f t="shared" si="2"/>
        <v>97</v>
      </c>
      <c r="BA7" s="26">
        <f t="shared" si="3"/>
        <v>0.72932330827067671</v>
      </c>
      <c r="BB7" s="12">
        <f t="shared" si="4"/>
        <v>588</v>
      </c>
      <c r="BC7" s="26">
        <f>(SUM(BB7))/SUM($BB$2)</f>
        <v>0.57874015748031493</v>
      </c>
      <c r="BD7" t="s">
        <v>22</v>
      </c>
    </row>
    <row r="8" spans="1:56" x14ac:dyDescent="0.25">
      <c r="A8" s="2" t="s">
        <v>26</v>
      </c>
      <c r="B8" s="21">
        <v>8</v>
      </c>
      <c r="C8" s="22">
        <v>23</v>
      </c>
      <c r="D8" s="12">
        <v>22</v>
      </c>
      <c r="E8" s="13">
        <v>10</v>
      </c>
      <c r="F8" s="12">
        <v>10</v>
      </c>
      <c r="G8" s="13">
        <v>25</v>
      </c>
      <c r="H8" s="12">
        <v>13</v>
      </c>
      <c r="I8" s="13">
        <v>10</v>
      </c>
      <c r="J8" s="12">
        <f t="shared" si="0"/>
        <v>121</v>
      </c>
      <c r="K8" s="26">
        <f t="shared" si="1"/>
        <v>0.37345679012345678</v>
      </c>
      <c r="L8" s="12">
        <v>3</v>
      </c>
      <c r="M8" s="3">
        <v>11</v>
      </c>
      <c r="N8" s="12">
        <v>19</v>
      </c>
      <c r="O8" s="3">
        <v>8</v>
      </c>
      <c r="P8" s="12">
        <v>12</v>
      </c>
      <c r="Q8" s="3">
        <v>2</v>
      </c>
      <c r="R8" s="12">
        <v>14</v>
      </c>
      <c r="S8" s="3">
        <v>20</v>
      </c>
      <c r="T8" s="12">
        <v>6</v>
      </c>
      <c r="U8" s="56">
        <v>6</v>
      </c>
      <c r="V8" s="12">
        <v>21</v>
      </c>
      <c r="W8" s="56">
        <v>23</v>
      </c>
      <c r="X8" s="12">
        <v>145</v>
      </c>
      <c r="Y8" s="26">
        <v>0.30124575311438279</v>
      </c>
      <c r="Z8" s="21">
        <v>19</v>
      </c>
      <c r="AA8" s="18">
        <v>15</v>
      </c>
      <c r="AB8" s="21">
        <v>26</v>
      </c>
      <c r="AC8" s="18">
        <v>26</v>
      </c>
      <c r="AD8" s="21">
        <v>40</v>
      </c>
      <c r="AE8" s="18">
        <v>18</v>
      </c>
      <c r="AF8" s="21">
        <v>29</v>
      </c>
      <c r="AG8" s="18">
        <v>0</v>
      </c>
      <c r="AH8" s="21">
        <v>16</v>
      </c>
      <c r="AI8" s="22">
        <v>9</v>
      </c>
      <c r="AJ8" s="21">
        <v>8</v>
      </c>
      <c r="AK8" s="22">
        <v>28</v>
      </c>
      <c r="AL8" s="21">
        <v>234</v>
      </c>
      <c r="AM8" s="26">
        <v>0.35889570552147237</v>
      </c>
      <c r="AN8" s="21">
        <f>COUNTIFS((AllCalls26!$AB$15:$AB$5112),"I",(AllCalls26!$K$15:$K$5112),"1")</f>
        <v>16</v>
      </c>
      <c r="AO8" s="18">
        <f>COUNTIFS((AllCalls26!$AB$15:$AB$5112),"I",(AllCalls26!$K$15:$K$5112),"2")</f>
        <v>18</v>
      </c>
      <c r="AP8" s="21">
        <f>COUNTIFS((AllCalls26!$AB$15:$AB$5112),"I",(AllCalls26!$K$15:$K$5112),"3")</f>
        <v>16</v>
      </c>
      <c r="AQ8" s="18">
        <f>COUNTIFS((AllCalls26!$AB$15:$AB$5112),"I",(AllCalls26!$K$15:$K$5112),"4")</f>
        <v>0</v>
      </c>
      <c r="AR8" s="21">
        <f>COUNTIFS((AllCalls26!$AB$15:$AB$5112),"I",(AllCalls26!$K$15:$K$5112),"5")</f>
        <v>0</v>
      </c>
      <c r="AS8" s="18">
        <f>COUNTIFS((AllCalls26!$AB$15:$AB$5112),"I",(AllCalls26!$K$15:$K$5112),"6")</f>
        <v>0</v>
      </c>
      <c r="AT8" s="21">
        <f>COUNTIFS((AllCalls26!$AB$15:$AB$5112),"I",(AllCalls26!$K$15:$K$5112),"7")</f>
        <v>0</v>
      </c>
      <c r="AU8" s="18">
        <f>COUNTIFS((AllCalls26!$AB$15:$AB$5112),"I",(AllCalls26!$K$15:$K$5112),"8")</f>
        <v>0</v>
      </c>
      <c r="AV8" s="21">
        <f>COUNTIFS((AllCalls26!$AB$15:$AB$5112),"I",(AllCalls26!$K$15:$K$5112),"9")</f>
        <v>0</v>
      </c>
      <c r="AW8" s="22">
        <f>COUNTIFS((AllCalls26!$AB$15:$AB$5112),"I",(AllCalls26!$K$15:$K$5112),"10")</f>
        <v>0</v>
      </c>
      <c r="AX8" s="21">
        <f>COUNTIFS((AllCalls26!$AB$15:$AB$5112),"I",(AllCalls26!$K$15:$K$5112),"11")</f>
        <v>0</v>
      </c>
      <c r="AY8" s="22">
        <f>COUNTIFS((AllCalls26!$AB$15:$AB$5112),"I",(AllCalls26!$K$15:$K$5112),"12")</f>
        <v>0</v>
      </c>
      <c r="AZ8" s="21">
        <f t="shared" si="2"/>
        <v>50</v>
      </c>
      <c r="BA8" s="26">
        <f t="shared" si="3"/>
        <v>0.37593984962406013</v>
      </c>
      <c r="BB8" s="12">
        <f t="shared" si="4"/>
        <v>316</v>
      </c>
      <c r="BC8" s="26">
        <f t="shared" si="5"/>
        <v>0.3110236220472441</v>
      </c>
      <c r="BD8" t="s">
        <v>22</v>
      </c>
    </row>
    <row r="9" spans="1:56" x14ac:dyDescent="0.25">
      <c r="A9" s="2" t="s">
        <v>27</v>
      </c>
      <c r="B9" s="21">
        <v>18</v>
      </c>
      <c r="C9" s="22">
        <v>17</v>
      </c>
      <c r="D9" s="12">
        <v>21</v>
      </c>
      <c r="E9" s="13">
        <v>7</v>
      </c>
      <c r="F9" s="12">
        <v>18</v>
      </c>
      <c r="G9" s="13">
        <v>10</v>
      </c>
      <c r="H9" s="12">
        <v>7</v>
      </c>
      <c r="I9" s="13">
        <v>7</v>
      </c>
      <c r="J9" s="12">
        <f t="shared" si="0"/>
        <v>105</v>
      </c>
      <c r="K9" s="26">
        <f t="shared" si="1"/>
        <v>0.32407407407407407</v>
      </c>
      <c r="L9" s="12">
        <v>12</v>
      </c>
      <c r="M9" s="3">
        <v>13</v>
      </c>
      <c r="N9" s="12">
        <v>2</v>
      </c>
      <c r="O9" s="3">
        <v>10</v>
      </c>
      <c r="P9" s="12">
        <v>32</v>
      </c>
      <c r="Q9" s="3">
        <v>3</v>
      </c>
      <c r="R9" s="12">
        <v>4</v>
      </c>
      <c r="S9" s="3">
        <v>12</v>
      </c>
      <c r="T9" s="12">
        <v>14</v>
      </c>
      <c r="U9" s="56">
        <v>4</v>
      </c>
      <c r="V9" s="12">
        <v>5</v>
      </c>
      <c r="W9" s="56">
        <v>25</v>
      </c>
      <c r="X9" s="12">
        <v>136</v>
      </c>
      <c r="Y9" s="26">
        <v>0.27293318233295583</v>
      </c>
      <c r="Z9" s="21">
        <v>13</v>
      </c>
      <c r="AA9" s="60">
        <v>7</v>
      </c>
      <c r="AB9" s="21">
        <v>11</v>
      </c>
      <c r="AC9" s="60">
        <v>8</v>
      </c>
      <c r="AD9" s="21">
        <v>19</v>
      </c>
      <c r="AE9" s="60">
        <v>12</v>
      </c>
      <c r="AF9" s="21">
        <v>18</v>
      </c>
      <c r="AG9" s="60">
        <v>5</v>
      </c>
      <c r="AH9" s="21">
        <v>8</v>
      </c>
      <c r="AI9" s="61">
        <v>2</v>
      </c>
      <c r="AJ9" s="21">
        <v>19</v>
      </c>
      <c r="AK9" s="61">
        <v>6</v>
      </c>
      <c r="AL9" s="21">
        <v>128</v>
      </c>
      <c r="AM9" s="26">
        <v>0.19631901840490798</v>
      </c>
      <c r="AN9" s="21">
        <f>COUNTIFS((AllCalls26!$AC$15:$AC$5112),"I",(AllCalls26!$K$15:$K$5112),"1")</f>
        <v>13</v>
      </c>
      <c r="AO9" s="60">
        <f>COUNTIFS((AllCalls26!$AC$15:$AC$5112),"I",(AllCalls26!$K$15:$K$5112),"2")</f>
        <v>17</v>
      </c>
      <c r="AP9" s="21">
        <f>COUNTIFS((AllCalls26!$AC$15:$AC$5112),"I",(AllCalls26!$K$15:$K$5112),"3")</f>
        <v>4</v>
      </c>
      <c r="AQ9" s="60">
        <f>COUNTIFS((AllCalls26!$AC$15:$AC$5112),"I",(AllCalls26!$K$15:$K$5112),"4")</f>
        <v>0</v>
      </c>
      <c r="AR9" s="21">
        <f>COUNTIFS((AllCalls26!$AC$15:$AC$5112),"I",(AllCalls26!$K$15:$K$5112),"5")</f>
        <v>0</v>
      </c>
      <c r="AS9" s="60">
        <f>COUNTIFS((AllCalls26!$AC$15:$AC$5112),"I",(AllCalls26!$K$15:$K$5112),"6")</f>
        <v>0</v>
      </c>
      <c r="AT9" s="21">
        <f>COUNTIFS((AllCalls26!$AC$15:$AC$5112),"I",(AllCalls26!$K$15:$K$5112),"7")</f>
        <v>0</v>
      </c>
      <c r="AU9" s="60">
        <f>COUNTIFS((AllCalls26!$AC$15:$AC$5112),"I",(AllCalls26!$K$15:$K$5112),"8")</f>
        <v>0</v>
      </c>
      <c r="AV9" s="21">
        <f>COUNTIFS((AllCalls26!$AC$15:$AC$5112),"I",(AllCalls26!$K$15:$K$5112),"9")</f>
        <v>0</v>
      </c>
      <c r="AW9" s="61">
        <f>COUNTIFS((AllCalls26!$AC$15:$AC$5112),"I",(AllCalls26!$K$15:$K$5112),"10")</f>
        <v>0</v>
      </c>
      <c r="AX9" s="21">
        <f>COUNTIFS((AllCalls26!$AC$15:$AC$5112),"I",(AllCalls26!$K$15:$K$5112),"11")</f>
        <v>0</v>
      </c>
      <c r="AY9" s="61">
        <f>COUNTIFS((AllCalls26!$AC$15:$AC$5112),"I",(AllCalls26!$K$15:$K$5112),"12")</f>
        <v>0</v>
      </c>
      <c r="AZ9" s="21">
        <f t="shared" si="2"/>
        <v>34</v>
      </c>
      <c r="BA9" s="26">
        <f t="shared" si="3"/>
        <v>0.25563909774436089</v>
      </c>
      <c r="BB9" s="12">
        <f t="shared" si="4"/>
        <v>275</v>
      </c>
      <c r="BC9" s="26">
        <f t="shared" si="5"/>
        <v>0.2706692913385827</v>
      </c>
      <c r="BD9" t="s">
        <v>22</v>
      </c>
    </row>
    <row r="10" spans="1:56" x14ac:dyDescent="0.25">
      <c r="A10" s="2" t="s">
        <v>28</v>
      </c>
      <c r="B10" s="21">
        <v>7</v>
      </c>
      <c r="C10" s="22">
        <v>0</v>
      </c>
      <c r="D10" s="12">
        <v>13</v>
      </c>
      <c r="E10" s="13">
        <v>11</v>
      </c>
      <c r="F10" s="12">
        <v>14</v>
      </c>
      <c r="G10" s="13">
        <v>30</v>
      </c>
      <c r="H10" s="12">
        <v>14</v>
      </c>
      <c r="I10" s="13">
        <v>22</v>
      </c>
      <c r="J10" s="12">
        <f t="shared" si="0"/>
        <v>111</v>
      </c>
      <c r="K10" s="26">
        <f t="shared" ref="K10:K11" si="6">(J10/$J$2)</f>
        <v>0.34259259259259262</v>
      </c>
      <c r="L10" s="12">
        <v>27</v>
      </c>
      <c r="M10" s="3">
        <v>21</v>
      </c>
      <c r="N10" s="12">
        <v>19</v>
      </c>
      <c r="O10" s="3">
        <v>17</v>
      </c>
      <c r="P10" s="12">
        <v>20</v>
      </c>
      <c r="Q10" s="3">
        <v>18</v>
      </c>
      <c r="R10" s="12">
        <v>18</v>
      </c>
      <c r="S10" s="3">
        <v>20</v>
      </c>
      <c r="T10" s="12">
        <v>14</v>
      </c>
      <c r="U10" s="56">
        <v>21</v>
      </c>
      <c r="V10" s="12">
        <v>17</v>
      </c>
      <c r="W10" s="56">
        <v>18</v>
      </c>
      <c r="X10" s="12">
        <v>230</v>
      </c>
      <c r="Y10" s="26">
        <v>0.38618346545866367</v>
      </c>
      <c r="Z10" s="114">
        <v>13</v>
      </c>
      <c r="AA10" s="18">
        <v>0</v>
      </c>
      <c r="AB10" s="21">
        <v>3</v>
      </c>
      <c r="AC10" s="18">
        <v>8</v>
      </c>
      <c r="AD10" s="21">
        <v>28</v>
      </c>
      <c r="AE10" s="18">
        <v>14</v>
      </c>
      <c r="AF10" s="21">
        <v>14</v>
      </c>
      <c r="AG10" s="18">
        <v>23</v>
      </c>
      <c r="AH10" s="21">
        <v>16</v>
      </c>
      <c r="AI10" s="22">
        <v>11</v>
      </c>
      <c r="AJ10" s="21">
        <v>18</v>
      </c>
      <c r="AK10" s="22">
        <v>39</v>
      </c>
      <c r="AL10" s="21">
        <v>187</v>
      </c>
      <c r="AM10" s="26">
        <v>0.28680981595092025</v>
      </c>
      <c r="AN10" s="21">
        <f>COUNTIFS((AllCalls26!$AD$15:$AD$5112),"I",(AllCalls26!$K$15:$K$5112),"1")</f>
        <v>20</v>
      </c>
      <c r="AO10" s="60">
        <f>COUNTIFS((AllCalls26!$AD$15:$AD$5112),"I",(AllCalls26!$K$15:$K$5112),"2")</f>
        <v>18</v>
      </c>
      <c r="AP10" s="21">
        <f>COUNTIFS((AllCalls26!$AD$15:$AD$5112),"I",(AllCalls26!$K$15:$K$5112),"3")</f>
        <v>12</v>
      </c>
      <c r="AQ10" s="60">
        <f>COUNTIFS((AllCalls26!$AD$15:$AD$5112),"I",(AllCalls26!$K$15:$K$5112),"4")</f>
        <v>0</v>
      </c>
      <c r="AR10" s="21">
        <f>COUNTIFS((AllCalls26!$AD$15:$AD$5112),"I",(AllCalls26!$K$15:$K$5112),"5")</f>
        <v>0</v>
      </c>
      <c r="AS10" s="60">
        <f>COUNTIFS((AllCalls26!$AD$15:$AD$5112),"I",(AllCalls26!$K$15:$K$5112),"6")</f>
        <v>0</v>
      </c>
      <c r="AT10" s="21">
        <f>COUNTIFS((AllCalls26!$AD$15:$AD$5112),"I",(AllCalls26!$K$15:$K$5112),"7")</f>
        <v>0</v>
      </c>
      <c r="AU10" s="60">
        <f>COUNTIFS((AllCalls26!$AD$15:$AD$5112),"I",(AllCalls26!$K$15:$K$5112),"8")</f>
        <v>0</v>
      </c>
      <c r="AV10" s="21">
        <f>COUNTIFS((AllCalls26!$AD$15:$AD$5112),"I",(AllCalls26!$K$15:$K$5112),"9")</f>
        <v>0</v>
      </c>
      <c r="AW10" s="61">
        <f>COUNTIFS((AllCalls26!$AD$15:$AD$5112),"I",(AllCalls26!$K$15:$K$5112),"10")</f>
        <v>0</v>
      </c>
      <c r="AX10" s="21">
        <f>COUNTIFS((AllCalls26!$AD$15:$AD$5112),"I",(AllCalls26!$K$15:$K$5112),"11")</f>
        <v>0</v>
      </c>
      <c r="AY10" s="61">
        <f>COUNTIFS((AllCalls26!$AD$15:$AD$5112),"I",(AllCalls26!$K$15:$K$5112),"12")</f>
        <v>0</v>
      </c>
      <c r="AZ10" s="21">
        <f t="shared" si="2"/>
        <v>50</v>
      </c>
      <c r="BA10" s="26">
        <f t="shared" si="3"/>
        <v>0.37593984962406013</v>
      </c>
      <c r="BB10" s="12">
        <f>SUM($J10,$X10,$AZ10)</f>
        <v>391</v>
      </c>
      <c r="BC10" s="26">
        <f t="shared" ref="BC10:BC11" si="7">(SUM(BB10))/SUM($BB$2)</f>
        <v>0.38484251968503935</v>
      </c>
      <c r="BD10" t="s">
        <v>22</v>
      </c>
    </row>
    <row r="11" spans="1:56" x14ac:dyDescent="0.25">
      <c r="A11" s="2" t="s">
        <v>29</v>
      </c>
      <c r="B11" s="21">
        <v>9</v>
      </c>
      <c r="C11" s="22">
        <v>11</v>
      </c>
      <c r="D11" s="12">
        <v>13</v>
      </c>
      <c r="E11" s="13">
        <v>9</v>
      </c>
      <c r="F11" s="12">
        <v>13</v>
      </c>
      <c r="G11" s="13">
        <v>12</v>
      </c>
      <c r="H11" s="12">
        <v>7</v>
      </c>
      <c r="I11" s="13">
        <v>13</v>
      </c>
      <c r="J11" s="12">
        <f t="shared" si="0"/>
        <v>87</v>
      </c>
      <c r="K11" s="26">
        <f t="shared" si="6"/>
        <v>0.26851851851851855</v>
      </c>
      <c r="L11" s="12">
        <v>15</v>
      </c>
      <c r="M11" s="3">
        <v>20</v>
      </c>
      <c r="N11" s="12">
        <v>11</v>
      </c>
      <c r="O11" s="3">
        <v>6</v>
      </c>
      <c r="P11" s="12">
        <v>15</v>
      </c>
      <c r="Q11" s="3">
        <v>12</v>
      </c>
      <c r="R11" s="12">
        <v>12</v>
      </c>
      <c r="S11" s="3">
        <v>16</v>
      </c>
      <c r="T11" s="12">
        <v>12</v>
      </c>
      <c r="U11" s="56">
        <v>15</v>
      </c>
      <c r="V11" s="12">
        <v>26</v>
      </c>
      <c r="W11" s="56">
        <v>19</v>
      </c>
      <c r="X11" s="12">
        <v>179</v>
      </c>
      <c r="Y11" s="26">
        <v>0.30124575311438279</v>
      </c>
      <c r="Z11" s="21">
        <v>23</v>
      </c>
      <c r="AA11" s="60">
        <v>14</v>
      </c>
      <c r="AB11" s="21">
        <v>19</v>
      </c>
      <c r="AC11" s="60">
        <v>12</v>
      </c>
      <c r="AD11" s="21">
        <v>19</v>
      </c>
      <c r="AE11" s="60">
        <v>13</v>
      </c>
      <c r="AF11" s="21">
        <v>8</v>
      </c>
      <c r="AG11" s="60">
        <v>25</v>
      </c>
      <c r="AH11" s="21">
        <v>10</v>
      </c>
      <c r="AI11" s="61">
        <v>17</v>
      </c>
      <c r="AJ11" s="21">
        <v>11</v>
      </c>
      <c r="AK11" s="61">
        <v>47</v>
      </c>
      <c r="AL11" s="21">
        <v>218</v>
      </c>
      <c r="AM11" s="26">
        <v>0.33435582822085891</v>
      </c>
      <c r="AN11" s="21">
        <f>COUNTIFS((AllCalls26!$AE$15:$AE$5112),"I",(AllCalls26!$K$15:$K$5112),"1")</f>
        <v>23</v>
      </c>
      <c r="AO11" s="60">
        <f>COUNTIFS((AllCalls26!$AE$15:$AE$5112),"I",(AllCalls26!$K$15:$K$5112),"2")</f>
        <v>13</v>
      </c>
      <c r="AP11" s="21">
        <f>COUNTIFS((AllCalls26!$AE$15:$AE$5112),"I",(AllCalls26!$K$15:$K$5112),"3")</f>
        <v>7</v>
      </c>
      <c r="AQ11" s="60">
        <f>COUNTIFS((AllCalls26!$AE$15:$AE$5112),"I",(AllCalls26!$K$15:$K$5112),"4")</f>
        <v>0</v>
      </c>
      <c r="AR11" s="21">
        <f>COUNTIFS((AllCalls26!$AE$15:$AE$5112),"I",(AllCalls26!$K$15:$K$5112),"5")</f>
        <v>0</v>
      </c>
      <c r="AS11" s="60">
        <f>COUNTIFS((AllCalls26!$AE$15:$AE$5112),"I",(AllCalls26!$K$15:$K$5112),"6")</f>
        <v>0</v>
      </c>
      <c r="AT11" s="21">
        <f>COUNTIFS((AllCalls26!$AE$15:$AE$5112),"I",(AllCalls26!$K$15:$K$5112),"7")</f>
        <v>0</v>
      </c>
      <c r="AU11" s="60">
        <f>COUNTIFS((AllCalls26!$AE$15:$AE$5112),"I",(AllCalls26!$K$15:$K$5112),"8")</f>
        <v>0</v>
      </c>
      <c r="AV11" s="21">
        <f>COUNTIFS((AllCalls26!$AE$15:$AE$5112),"I",(AllCalls26!$K$15:$K$5112),"9")</f>
        <v>0</v>
      </c>
      <c r="AW11" s="61">
        <f>COUNTIFS((AllCalls26!$AE$15:$AE$5112),"I",(AllCalls26!$K$15:$K$5112),"10")</f>
        <v>0</v>
      </c>
      <c r="AX11" s="21">
        <f>COUNTIFS((AllCalls26!$AE$15:$AE$5112),"I",(AllCalls26!$K$15:$K$5112),"11")</f>
        <v>0</v>
      </c>
      <c r="AY11" s="61">
        <f>COUNTIFS((AllCalls26!$AE$15:$AE$5112),"I",(AllCalls26!$K$15:$K$5112),"12")</f>
        <v>0</v>
      </c>
      <c r="AZ11" s="21">
        <f t="shared" si="2"/>
        <v>43</v>
      </c>
      <c r="BA11" s="26">
        <f t="shared" si="3"/>
        <v>0.32330827067669171</v>
      </c>
      <c r="BB11" s="12">
        <f>SUM($J11,$X11,$AZ11)</f>
        <v>309</v>
      </c>
      <c r="BC11" s="26">
        <f t="shared" si="7"/>
        <v>0.30413385826771655</v>
      </c>
      <c r="BD11" t="s">
        <v>22</v>
      </c>
    </row>
    <row r="12" spans="1:56" x14ac:dyDescent="0.25">
      <c r="A12" s="2" t="s">
        <v>30</v>
      </c>
      <c r="B12" s="21">
        <v>7</v>
      </c>
      <c r="C12" s="22">
        <v>11</v>
      </c>
      <c r="D12" s="12">
        <v>11</v>
      </c>
      <c r="E12" s="13">
        <v>11</v>
      </c>
      <c r="F12" s="12">
        <v>6</v>
      </c>
      <c r="G12" s="13">
        <v>9</v>
      </c>
      <c r="H12" s="12">
        <v>5</v>
      </c>
      <c r="I12" s="13">
        <v>10</v>
      </c>
      <c r="J12" s="12">
        <f t="shared" si="0"/>
        <v>70</v>
      </c>
      <c r="K12" s="26">
        <f t="shared" si="1"/>
        <v>0.21604938271604937</v>
      </c>
      <c r="L12" s="12">
        <v>12</v>
      </c>
      <c r="M12" s="3">
        <v>11</v>
      </c>
      <c r="N12" s="12">
        <v>5</v>
      </c>
      <c r="O12" s="3">
        <v>10</v>
      </c>
      <c r="P12" s="12">
        <v>9</v>
      </c>
      <c r="Q12" s="3">
        <v>4</v>
      </c>
      <c r="R12" s="12">
        <v>10</v>
      </c>
      <c r="S12" s="3">
        <v>4</v>
      </c>
      <c r="T12" s="12">
        <v>5</v>
      </c>
      <c r="U12" s="56">
        <v>21</v>
      </c>
      <c r="V12" s="12">
        <v>25</v>
      </c>
      <c r="W12" s="56">
        <v>27</v>
      </c>
      <c r="X12" s="12">
        <v>143</v>
      </c>
      <c r="Y12" s="26">
        <v>0.24122310305775765</v>
      </c>
      <c r="Z12" s="21">
        <v>14</v>
      </c>
      <c r="AA12" s="18">
        <v>4</v>
      </c>
      <c r="AB12" s="21">
        <v>15</v>
      </c>
      <c r="AC12" s="18">
        <v>17</v>
      </c>
      <c r="AD12" s="21">
        <v>22</v>
      </c>
      <c r="AE12" s="18">
        <v>9</v>
      </c>
      <c r="AF12" s="21">
        <v>17</v>
      </c>
      <c r="AG12" s="18">
        <v>7</v>
      </c>
      <c r="AH12" s="21">
        <v>3</v>
      </c>
      <c r="AI12" s="22">
        <v>8</v>
      </c>
      <c r="AJ12" s="21">
        <v>14</v>
      </c>
      <c r="AK12" s="22">
        <v>3</v>
      </c>
      <c r="AL12" s="21">
        <v>133</v>
      </c>
      <c r="AM12" s="26">
        <v>0.20398773006134968</v>
      </c>
      <c r="AN12" s="21">
        <f>COUNTIFS((AllCalls26!$AF$15:$AF$5112),"I",(AllCalls26!$K$15:$K$5112),"1")</f>
        <v>5</v>
      </c>
      <c r="AO12" s="18">
        <f>COUNTIFS((AllCalls26!$AF$15:$AF$5112),"I",(AllCalls26!$K$15:$K$5112),"2")</f>
        <v>5</v>
      </c>
      <c r="AP12" s="21">
        <f>COUNTIFS((AllCalls26!$AF$15:$AF$5112),"I",(AllCalls26!$K$15:$K$5112),"3")</f>
        <v>4</v>
      </c>
      <c r="AQ12" s="18">
        <f>COUNTIFS((AllCalls26!$AF$15:$AF$5112),"I",(AllCalls26!$K$15:$K$5112),"4")</f>
        <v>0</v>
      </c>
      <c r="AR12" s="21">
        <f>COUNTIFS((AllCalls26!$AF$15:$AF$5112),"I",(AllCalls26!$K$15:$K$5112),"5")</f>
        <v>0</v>
      </c>
      <c r="AS12" s="18">
        <f>COUNTIFS((AllCalls26!$AF$15:$AF$5112),"I",(AllCalls26!$K$15:$K$5112),"6")</f>
        <v>0</v>
      </c>
      <c r="AT12" s="21">
        <f>COUNTIFS((AllCalls26!$AF$15:$AF$5112),"I",(AllCalls26!$K$15:$K$5112),"7")</f>
        <v>0</v>
      </c>
      <c r="AU12" s="18">
        <f>COUNTIFS((AllCalls26!$AF$15:$AF$5112),"I",(AllCalls26!$K$15:$K$5112),"8")</f>
        <v>0</v>
      </c>
      <c r="AV12" s="21">
        <f>COUNTIFS((AllCalls26!$AF$15:$AF$5112),"I",(AllCalls26!$K$15:$K$5112),"9")</f>
        <v>0</v>
      </c>
      <c r="AW12" s="22">
        <f>COUNTIFS((AllCalls26!$AF$15:$AF$5112),"I",(AllCalls26!$K$15:$K$5112),"10")</f>
        <v>0</v>
      </c>
      <c r="AX12" s="21">
        <f>COUNTIFS((AllCalls26!$AF$15:$AF$5112),"I",(AllCalls26!$K$15:$K$5112),"11")</f>
        <v>0</v>
      </c>
      <c r="AY12" s="22">
        <f>COUNTIFS((AllCalls26!$AF$15:$AF$5112),"I",(AllCalls26!$K$15:$K$5112),"12")</f>
        <v>0</v>
      </c>
      <c r="AZ12" s="21">
        <f t="shared" si="2"/>
        <v>14</v>
      </c>
      <c r="BA12" s="26">
        <f t="shared" si="3"/>
        <v>0.10526315789473684</v>
      </c>
      <c r="BB12" s="12">
        <f t="shared" si="4"/>
        <v>227</v>
      </c>
      <c r="BC12" s="26">
        <f t="shared" si="5"/>
        <v>0.22342519685039369</v>
      </c>
      <c r="BD12" t="s">
        <v>31</v>
      </c>
    </row>
    <row r="13" spans="1:56" x14ac:dyDescent="0.25">
      <c r="A13" s="2" t="s">
        <v>32</v>
      </c>
      <c r="B13" s="21">
        <v>8</v>
      </c>
      <c r="C13" s="22">
        <v>17</v>
      </c>
      <c r="D13" s="12">
        <v>19</v>
      </c>
      <c r="E13" s="13">
        <v>4</v>
      </c>
      <c r="F13" s="12">
        <v>1</v>
      </c>
      <c r="G13" s="13">
        <v>22</v>
      </c>
      <c r="H13" s="12">
        <v>14</v>
      </c>
      <c r="I13" s="13">
        <v>12</v>
      </c>
      <c r="J13" s="12">
        <f t="shared" si="0"/>
        <v>97</v>
      </c>
      <c r="K13" s="26">
        <f t="shared" si="1"/>
        <v>0.29938271604938271</v>
      </c>
      <c r="L13" s="12">
        <v>21</v>
      </c>
      <c r="M13" s="3">
        <v>13</v>
      </c>
      <c r="N13" s="12">
        <v>3</v>
      </c>
      <c r="O13" s="3">
        <v>15</v>
      </c>
      <c r="P13" s="12">
        <v>16</v>
      </c>
      <c r="Q13" s="3">
        <v>12</v>
      </c>
      <c r="R13" s="12">
        <v>5</v>
      </c>
      <c r="S13" s="3">
        <v>0</v>
      </c>
      <c r="T13" s="12">
        <v>3</v>
      </c>
      <c r="U13" s="56">
        <v>13</v>
      </c>
      <c r="V13" s="12">
        <v>14</v>
      </c>
      <c r="W13" s="56">
        <v>19</v>
      </c>
      <c r="X13" s="12">
        <v>134</v>
      </c>
      <c r="Y13" s="26">
        <v>0.26160815402038506</v>
      </c>
      <c r="Z13" s="21">
        <v>16</v>
      </c>
      <c r="AA13" s="60">
        <v>11</v>
      </c>
      <c r="AB13" s="21">
        <v>8</v>
      </c>
      <c r="AC13" s="60">
        <v>5</v>
      </c>
      <c r="AD13" s="21">
        <v>14</v>
      </c>
      <c r="AE13" s="60">
        <v>10</v>
      </c>
      <c r="AF13" s="21">
        <v>11</v>
      </c>
      <c r="AG13" s="60">
        <v>13</v>
      </c>
      <c r="AH13" s="21">
        <v>3</v>
      </c>
      <c r="AI13" s="61">
        <v>6</v>
      </c>
      <c r="AJ13" s="21">
        <v>8</v>
      </c>
      <c r="AK13" s="61">
        <v>37</v>
      </c>
      <c r="AL13" s="21">
        <v>142</v>
      </c>
      <c r="AM13" s="26">
        <v>0.21779141104294478</v>
      </c>
      <c r="AN13" s="21">
        <f>COUNTIFS((AllCalls26!$AG$15:$AG$5112),"I",(AllCalls26!$K$15:$K$5112),"1")</f>
        <v>4</v>
      </c>
      <c r="AO13" s="60">
        <f>COUNTIFS((AllCalls26!$AG$15:$AG$5112),"I",(AllCalls26!$K$15:$K$5112),"2")</f>
        <v>4</v>
      </c>
      <c r="AP13" s="21">
        <f>COUNTIFS((AllCalls26!$AG$15:$AG$5112),"I",(AllCalls26!$K$15:$K$5112),"3")</f>
        <v>2</v>
      </c>
      <c r="AQ13" s="60">
        <f>COUNTIFS((AllCalls26!$AG$15:$AG$5112),"I",(AllCalls26!$K$15:$K$5112),"4")</f>
        <v>0</v>
      </c>
      <c r="AR13" s="21">
        <f>COUNTIFS((AllCalls26!$AG$15:$AG$5112),"I",(AllCalls26!$K$15:$K$5112),"5")</f>
        <v>0</v>
      </c>
      <c r="AS13" s="60">
        <f>COUNTIFS((AllCalls26!$AG$15:$AG$5112),"I",(AllCalls26!$K$15:$K$5112),"6")</f>
        <v>0</v>
      </c>
      <c r="AT13" s="21">
        <f>COUNTIFS((AllCalls26!$AG$15:$AG$5112),"I",(AllCalls26!$K$15:$K$5112),"7")</f>
        <v>0</v>
      </c>
      <c r="AU13" s="60">
        <f>COUNTIFS((AllCalls26!$AG$15:$AG$5112),"I",(AllCalls26!$K$15:$K$5112),"8")</f>
        <v>0</v>
      </c>
      <c r="AV13" s="21">
        <f>COUNTIFS((AllCalls26!$AG$15:$AG$5112),"I",(AllCalls26!$K$15:$K$5112),"9")</f>
        <v>0</v>
      </c>
      <c r="AW13" s="61">
        <f>COUNTIFS((AllCalls26!$AG$15:$AG$5112),"I",(AllCalls26!$K$15:$K$5112),"10")</f>
        <v>0</v>
      </c>
      <c r="AX13" s="21">
        <f>COUNTIFS((AllCalls26!$AG$15:$AG$5112),"I",(AllCalls26!$K$15:$K$5112),"11")</f>
        <v>0</v>
      </c>
      <c r="AY13" s="61">
        <f>COUNTIFS((AllCalls26!$AG$15:$AG$5112),"I",(AllCalls26!$K$15:$K$5112),"12")</f>
        <v>0</v>
      </c>
      <c r="AZ13" s="21">
        <f t="shared" si="2"/>
        <v>10</v>
      </c>
      <c r="BA13" s="26">
        <f>(SUM($AZ13))/SUM($AZ$2)</f>
        <v>7.5187969924812026E-2</v>
      </c>
      <c r="BB13" s="12">
        <f t="shared" si="4"/>
        <v>241</v>
      </c>
      <c r="BC13" s="26">
        <f t="shared" si="5"/>
        <v>0.23720472440944881</v>
      </c>
      <c r="BD13" t="s">
        <v>33</v>
      </c>
    </row>
    <row r="14" spans="1:56" x14ac:dyDescent="0.25">
      <c r="A14" s="2" t="s">
        <v>34</v>
      </c>
      <c r="B14" s="21">
        <v>22</v>
      </c>
      <c r="C14" s="22">
        <v>33</v>
      </c>
      <c r="D14" s="12">
        <v>27</v>
      </c>
      <c r="E14" s="13">
        <v>12</v>
      </c>
      <c r="F14" s="12">
        <v>18</v>
      </c>
      <c r="G14" s="13">
        <v>21</v>
      </c>
      <c r="H14" s="12">
        <v>11</v>
      </c>
      <c r="I14" s="13">
        <v>16</v>
      </c>
      <c r="J14" s="12">
        <f t="shared" si="0"/>
        <v>160</v>
      </c>
      <c r="K14" s="26">
        <f t="shared" si="1"/>
        <v>0.49382716049382713</v>
      </c>
      <c r="L14" s="12">
        <v>24</v>
      </c>
      <c r="M14" s="3">
        <v>20</v>
      </c>
      <c r="N14" s="12">
        <v>24</v>
      </c>
      <c r="O14" s="3">
        <v>23</v>
      </c>
      <c r="P14" s="12">
        <v>33</v>
      </c>
      <c r="Q14" s="3">
        <v>21</v>
      </c>
      <c r="R14" s="12">
        <v>27</v>
      </c>
      <c r="S14" s="3">
        <v>28</v>
      </c>
      <c r="T14" s="12">
        <v>25</v>
      </c>
      <c r="U14" s="56">
        <v>29</v>
      </c>
      <c r="V14" s="12">
        <v>21</v>
      </c>
      <c r="W14" s="56">
        <v>24</v>
      </c>
      <c r="X14" s="12">
        <v>299</v>
      </c>
      <c r="Y14" s="26">
        <v>0.51981879954699883</v>
      </c>
      <c r="Z14" s="21">
        <v>32</v>
      </c>
      <c r="AA14" s="18">
        <v>32</v>
      </c>
      <c r="AB14" s="21">
        <v>33</v>
      </c>
      <c r="AC14" s="18">
        <v>30</v>
      </c>
      <c r="AD14" s="21">
        <v>31</v>
      </c>
      <c r="AE14" s="18">
        <v>12</v>
      </c>
      <c r="AF14" s="21">
        <v>40</v>
      </c>
      <c r="AG14" s="18">
        <v>38</v>
      </c>
      <c r="AH14" s="21">
        <v>32</v>
      </c>
      <c r="AI14" s="22">
        <v>28</v>
      </c>
      <c r="AJ14" s="21">
        <v>38</v>
      </c>
      <c r="AK14" s="22">
        <v>61</v>
      </c>
      <c r="AL14" s="21">
        <v>407</v>
      </c>
      <c r="AM14" s="26">
        <v>0.62423312883435578</v>
      </c>
      <c r="AN14" s="21">
        <f>COUNTIFS((AllCalls26!$AH$15:$AH$5112),"I",(AllCalls26!$K$15:$K$5112),"1")</f>
        <v>43</v>
      </c>
      <c r="AO14" s="18">
        <f>COUNTIFS((AllCalls26!$AH$15:$AH$5112),"I",(AllCalls26!$K$15:$K$5112),"2")</f>
        <v>23</v>
      </c>
      <c r="AP14" s="21">
        <f>COUNTIFS((AllCalls26!$AH$15:$AH$5112),"I",(AllCalls26!$K$15:$K$5112),"3")</f>
        <v>17</v>
      </c>
      <c r="AQ14" s="18">
        <f>COUNTIFS((AllCalls26!$AH$15:$AH$5112),"I",(AllCalls26!$K$15:$K$5112),"4")</f>
        <v>0</v>
      </c>
      <c r="AR14" s="21">
        <f>COUNTIFS((AllCalls26!$AH$15:$AH$5112),"I",(AllCalls26!$K$15:$K$5112),"5")</f>
        <v>0</v>
      </c>
      <c r="AS14" s="18">
        <f>COUNTIFS((AllCalls26!$AH$15:$AH$5112),"I",(AllCalls26!$K$15:$K$5112),"6")</f>
        <v>0</v>
      </c>
      <c r="AT14" s="21">
        <f>COUNTIFS((AllCalls26!$AH$15:$AH$5112),"I",(AllCalls26!$K$15:$K$5112),"7")</f>
        <v>0</v>
      </c>
      <c r="AU14" s="18">
        <f>COUNTIFS((AllCalls26!$AH$15:$AH$5112),"I",(AllCalls26!$K$15:$K$5112),"8")</f>
        <v>0</v>
      </c>
      <c r="AV14" s="21">
        <f>COUNTIFS((AllCalls26!$AH$15:$AH$5112),"I",(AllCalls26!$K$15:$K$5112),"9")</f>
        <v>0</v>
      </c>
      <c r="AW14" s="22">
        <f>COUNTIFS((AllCalls26!$AH$15:$AH$5112),"I",(AllCalls26!$K$15:$K$5112),"10")</f>
        <v>0</v>
      </c>
      <c r="AX14" s="21">
        <f>COUNTIFS((AllCalls26!$AH$15:$AH$5112),"I",(AllCalls26!$K$15:$K$5112),"11")</f>
        <v>0</v>
      </c>
      <c r="AY14" s="22">
        <f>COUNTIFS((AllCalls26!$AH$15:$AH$5112),"I",(AllCalls26!$K$15:$K$5112),"12")</f>
        <v>0</v>
      </c>
      <c r="AZ14" s="21">
        <f t="shared" si="2"/>
        <v>83</v>
      </c>
      <c r="BA14" s="26">
        <f t="shared" si="3"/>
        <v>0.62406015037593987</v>
      </c>
      <c r="BB14" s="12">
        <f t="shared" si="4"/>
        <v>542</v>
      </c>
      <c r="BC14" s="26">
        <f t="shared" si="5"/>
        <v>0.53346456692913391</v>
      </c>
      <c r="BD14" t="s">
        <v>31</v>
      </c>
    </row>
    <row r="15" spans="1:56" x14ac:dyDescent="0.25">
      <c r="A15" s="2" t="s">
        <v>35</v>
      </c>
      <c r="B15" s="21">
        <v>9</v>
      </c>
      <c r="C15" s="22">
        <v>11</v>
      </c>
      <c r="D15" s="12">
        <v>13</v>
      </c>
      <c r="E15" s="13">
        <v>9</v>
      </c>
      <c r="F15" s="12">
        <v>13</v>
      </c>
      <c r="G15" s="13">
        <v>12</v>
      </c>
      <c r="H15" s="12">
        <v>7</v>
      </c>
      <c r="I15" s="13">
        <v>13</v>
      </c>
      <c r="J15" s="12">
        <f t="shared" si="0"/>
        <v>87</v>
      </c>
      <c r="K15" s="26">
        <f t="shared" si="1"/>
        <v>0.26851851851851855</v>
      </c>
      <c r="L15" s="12">
        <v>15</v>
      </c>
      <c r="M15" s="3">
        <v>20</v>
      </c>
      <c r="N15" s="12">
        <v>11</v>
      </c>
      <c r="O15" s="3">
        <v>6</v>
      </c>
      <c r="P15" s="12">
        <v>15</v>
      </c>
      <c r="Q15" s="3">
        <v>12</v>
      </c>
      <c r="R15" s="12">
        <v>12</v>
      </c>
      <c r="S15" s="3">
        <v>16</v>
      </c>
      <c r="T15" s="12">
        <v>12</v>
      </c>
      <c r="U15" s="56">
        <v>15</v>
      </c>
      <c r="V15" s="12">
        <v>26</v>
      </c>
      <c r="W15" s="56">
        <v>19</v>
      </c>
      <c r="X15" s="12">
        <v>179</v>
      </c>
      <c r="Y15" s="26">
        <v>0.30124575311438279</v>
      </c>
      <c r="Z15" s="21">
        <v>23</v>
      </c>
      <c r="AA15" s="60">
        <v>14</v>
      </c>
      <c r="AB15" s="21">
        <v>19</v>
      </c>
      <c r="AC15" s="60">
        <v>12</v>
      </c>
      <c r="AD15" s="21">
        <v>19</v>
      </c>
      <c r="AE15" s="60">
        <v>13</v>
      </c>
      <c r="AF15" s="21">
        <v>8</v>
      </c>
      <c r="AG15" s="60">
        <v>25</v>
      </c>
      <c r="AH15" s="21">
        <v>10</v>
      </c>
      <c r="AI15" s="61">
        <v>17</v>
      </c>
      <c r="AJ15" s="21">
        <v>11</v>
      </c>
      <c r="AK15" s="61">
        <v>47</v>
      </c>
      <c r="AL15" s="21">
        <v>218</v>
      </c>
      <c r="AM15" s="26">
        <v>0.33435582822085891</v>
      </c>
      <c r="AN15" s="21">
        <f>COUNTIFS((AllCalls26!$AI$15:$AI$5112),"I",(AllCalls26!$K$15:$K$5112),"1")</f>
        <v>23</v>
      </c>
      <c r="AO15" s="60">
        <f>COUNTIFS((AllCalls26!$AI$15:$AI$5112),"I",(AllCalls26!$K$15:$K$5112),"2")</f>
        <v>13</v>
      </c>
      <c r="AP15" s="21">
        <f>COUNTIFS((AllCalls26!$AI$15:$AI$5112),"I",(AllCalls26!$K$15:$K$5112),"3")</f>
        <v>7</v>
      </c>
      <c r="AQ15" s="60">
        <f>COUNTIFS((AllCalls26!$AI$15:$AI$5112),"I",(AllCalls26!$K$15:$K$5112),"4")</f>
        <v>0</v>
      </c>
      <c r="AR15" s="21">
        <f>COUNTIFS((AllCalls26!$AI$15:$AI$5112),"I",(AllCalls26!$K$15:$K$5112),"5")</f>
        <v>0</v>
      </c>
      <c r="AS15" s="60">
        <f>COUNTIFS((AllCalls26!$AI$15:$AI$5112),"I",(AllCalls26!$K$15:$K$5112),"6")</f>
        <v>0</v>
      </c>
      <c r="AT15" s="21">
        <f>COUNTIFS((AllCalls26!$AI$15:$AI$5112),"I",(AllCalls26!$K$15:$K$5112),"7")</f>
        <v>0</v>
      </c>
      <c r="AU15" s="60">
        <f>COUNTIFS((AllCalls26!$AI$15:$AI$5112),"I",(AllCalls26!$K$15:$K$5112),"8")</f>
        <v>0</v>
      </c>
      <c r="AV15" s="21">
        <f>COUNTIFS((AllCalls26!$AI$15:$AI$5112),"I",(AllCalls26!$K$15:$K$5112),"9")</f>
        <v>0</v>
      </c>
      <c r="AW15" s="61">
        <f>COUNTIFS((AllCalls26!$AI$15:$AI$5112),"I",(AllCalls26!$K$15:$K$5112),"10")</f>
        <v>0</v>
      </c>
      <c r="AX15" s="21">
        <f>COUNTIFS((AllCalls26!$AI$15:$AI$5112),"I",(AllCalls26!$K$15:$K$5112),"11")</f>
        <v>0</v>
      </c>
      <c r="AY15" s="61">
        <f>COUNTIFS((AllCalls26!$AI$15:$AI$5112),"I",(AllCalls26!$K$15:$K$5112),"12")</f>
        <v>0</v>
      </c>
      <c r="AZ15" s="21">
        <f t="shared" si="2"/>
        <v>43</v>
      </c>
      <c r="BA15" s="26">
        <f t="shared" si="3"/>
        <v>0.32330827067669171</v>
      </c>
      <c r="BB15" s="12">
        <f>SUM($J15,$X15,$AZ15)</f>
        <v>309</v>
      </c>
      <c r="BC15" s="26">
        <f t="shared" si="5"/>
        <v>0.30413385826771655</v>
      </c>
      <c r="BD15" t="s">
        <v>31</v>
      </c>
    </row>
    <row r="16" spans="1:56" x14ac:dyDescent="0.25">
      <c r="A16" s="2" t="s">
        <v>36</v>
      </c>
      <c r="B16" s="21">
        <v>9</v>
      </c>
      <c r="C16" s="22">
        <v>15</v>
      </c>
      <c r="D16" s="33">
        <v>13</v>
      </c>
      <c r="E16" s="13">
        <v>12</v>
      </c>
      <c r="F16" s="33">
        <v>12</v>
      </c>
      <c r="G16" s="13">
        <v>11</v>
      </c>
      <c r="H16" s="33">
        <v>17</v>
      </c>
      <c r="I16" s="13">
        <v>3</v>
      </c>
      <c r="J16" s="33">
        <f t="shared" si="0"/>
        <v>92</v>
      </c>
      <c r="K16" s="26">
        <f t="shared" si="1"/>
        <v>0.2839506172839506</v>
      </c>
      <c r="L16" s="33">
        <v>20</v>
      </c>
      <c r="M16" s="3">
        <v>15</v>
      </c>
      <c r="N16" s="33">
        <v>16</v>
      </c>
      <c r="O16" s="3">
        <v>14</v>
      </c>
      <c r="P16" s="33">
        <v>27</v>
      </c>
      <c r="Q16" s="3">
        <v>17</v>
      </c>
      <c r="R16" s="33">
        <v>10</v>
      </c>
      <c r="S16" s="3">
        <v>15</v>
      </c>
      <c r="T16" s="13">
        <v>13</v>
      </c>
      <c r="U16" s="13">
        <v>9</v>
      </c>
      <c r="V16" s="12">
        <v>16</v>
      </c>
      <c r="W16" s="13">
        <v>17</v>
      </c>
      <c r="X16" s="33">
        <v>189</v>
      </c>
      <c r="Y16" s="26">
        <v>0.31823329558323898</v>
      </c>
      <c r="Z16" s="21">
        <v>30</v>
      </c>
      <c r="AA16" s="60">
        <v>31</v>
      </c>
      <c r="AB16" s="21">
        <v>38</v>
      </c>
      <c r="AC16" s="60">
        <v>24</v>
      </c>
      <c r="AD16" s="21">
        <v>41</v>
      </c>
      <c r="AE16" s="60">
        <v>25</v>
      </c>
      <c r="AF16" s="21">
        <v>33</v>
      </c>
      <c r="AG16" s="60">
        <v>37</v>
      </c>
      <c r="AH16" s="21">
        <v>32</v>
      </c>
      <c r="AI16" s="61">
        <v>22</v>
      </c>
      <c r="AJ16" s="21">
        <v>46</v>
      </c>
      <c r="AK16" s="61">
        <v>33</v>
      </c>
      <c r="AL16" s="21">
        <v>392</v>
      </c>
      <c r="AM16" s="26">
        <v>0.60122699386503065</v>
      </c>
      <c r="AN16" s="21">
        <f>COUNTIFS((AllCalls26!$AJ$15:$AJ$5112),"I",(AllCalls26!$K$15:$K$5112),"1")</f>
        <v>35</v>
      </c>
      <c r="AO16" s="18">
        <f>COUNTIFS((AllCalls26!$AJ$15:$AJ$5112),"I",(AllCalls26!$K$15:$K$5112),"2")</f>
        <v>32</v>
      </c>
      <c r="AP16" s="21">
        <f>COUNTIFS((AllCalls26!$AJ$15:$AJ$5112),"I",(AllCalls26!$K$15:$K$5112),"3")</f>
        <v>19</v>
      </c>
      <c r="AQ16" s="18">
        <f>COUNTIFS((AllCalls26!$AJ$15:$AJ$5112),"I",(AllCalls26!$K$15:$K$5112),"4")</f>
        <v>0</v>
      </c>
      <c r="AR16" s="21">
        <f>COUNTIFS((AllCalls26!$AJ$15:$AJ$5112),"I",(AllCalls26!$K$15:$K$5112),"5")</f>
        <v>0</v>
      </c>
      <c r="AS16" s="18">
        <f>COUNTIFS((AllCalls26!$AJ$15:$AJ$5112),"I",(AllCalls26!$K$15:$K$5112),"6")</f>
        <v>0</v>
      </c>
      <c r="AT16" s="21">
        <f>COUNTIFS((AllCalls26!$AJ$15:$AJ$5112),"I",(AllCalls26!$K$15:$K$5112),"7")</f>
        <v>0</v>
      </c>
      <c r="AU16" s="18">
        <f>COUNTIFS((AllCalls26!$AJ$15:$AJ$5112),"I",(AllCalls26!$K$15:$K$5112),"8")</f>
        <v>0</v>
      </c>
      <c r="AV16" s="21">
        <f>COUNTIFS((AllCalls26!$AJ$15:$AJ$5112),"I",(AllCalls26!$K$15:$K$5112),"9")</f>
        <v>0</v>
      </c>
      <c r="AW16" s="22">
        <f>COUNTIFS((AllCalls26!$AJ$15:$AJ$5112),"I",(AllCalls26!$K$15:$K$5112),"10")</f>
        <v>0</v>
      </c>
      <c r="AX16" s="21">
        <f>COUNTIFS((AllCalls26!$AJ$15:$AJ$5112),"I",(AllCalls26!$K$15:$K$5112),"11")</f>
        <v>0</v>
      </c>
      <c r="AY16" s="22">
        <f>COUNTIFS((AllCalls26!$AJ$15:$AJ$5112),"I",(AllCalls26!$K$15:$K$5112),"12")</f>
        <v>0</v>
      </c>
      <c r="AZ16" s="21">
        <f t="shared" si="2"/>
        <v>86</v>
      </c>
      <c r="BA16" s="26">
        <f t="shared" si="3"/>
        <v>0.64661654135338342</v>
      </c>
      <c r="BB16" s="12">
        <f t="shared" si="4"/>
        <v>367</v>
      </c>
      <c r="BC16" s="26">
        <f t="shared" si="5"/>
        <v>0.36122047244094491</v>
      </c>
      <c r="BD16" t="s">
        <v>33</v>
      </c>
    </row>
    <row r="17" spans="1:56" x14ac:dyDescent="0.25">
      <c r="A17" s="2" t="s">
        <v>37</v>
      </c>
      <c r="B17" s="27"/>
      <c r="C17" s="27"/>
      <c r="D17" s="27"/>
      <c r="E17" s="27"/>
      <c r="F17" s="27"/>
      <c r="G17" s="27"/>
      <c r="H17" s="27"/>
      <c r="I17" s="27"/>
      <c r="J17" s="49"/>
      <c r="K17" s="27"/>
      <c r="L17" s="27"/>
      <c r="M17" s="27"/>
      <c r="N17" s="27"/>
      <c r="O17" s="27"/>
      <c r="P17" s="27"/>
      <c r="Q17" s="27"/>
      <c r="R17" s="63"/>
      <c r="S17" s="27"/>
      <c r="T17" s="27"/>
      <c r="U17" s="79"/>
      <c r="V17" s="80"/>
      <c r="W17" s="80"/>
      <c r="X17" s="49">
        <v>0</v>
      </c>
      <c r="Y17" s="26"/>
      <c r="Z17" s="28">
        <v>7</v>
      </c>
      <c r="AA17" s="18">
        <v>22</v>
      </c>
      <c r="AB17" s="21">
        <v>28</v>
      </c>
      <c r="AC17" s="18">
        <v>18</v>
      </c>
      <c r="AD17" s="21">
        <v>32</v>
      </c>
      <c r="AE17" s="18">
        <v>13</v>
      </c>
      <c r="AF17" s="21">
        <v>22</v>
      </c>
      <c r="AG17" s="18">
        <v>24</v>
      </c>
      <c r="AH17" s="21">
        <v>16</v>
      </c>
      <c r="AI17" s="22">
        <v>12</v>
      </c>
      <c r="AJ17" s="21">
        <v>20</v>
      </c>
      <c r="AK17" s="22">
        <v>29</v>
      </c>
      <c r="AL17" s="21">
        <v>243</v>
      </c>
      <c r="AM17" s="26">
        <v>0.39663865546218485</v>
      </c>
      <c r="AN17" s="21">
        <f>COUNTIFS((AllCalls26!$AK$15:$AK$5112),"I",(AllCalls26!$K$15:$K$5112),"1")</f>
        <v>3</v>
      </c>
      <c r="AO17" s="60">
        <f>COUNTIFS((AllCalls26!$AK$15:$AK$5112),"I",(AllCalls26!$K$15:$K$5112),"2")</f>
        <v>7</v>
      </c>
      <c r="AP17" s="21">
        <f>COUNTIFS((AllCalls26!$AK$15:$AK$5112),"I",(AllCalls26!$K$15:$K$5112),"3")</f>
        <v>12</v>
      </c>
      <c r="AQ17" s="60">
        <f>COUNTIFS((AllCalls26!$AK$15:$AK$5112),"I",(AllCalls26!$K$15:$K$5112),"4")</f>
        <v>0</v>
      </c>
      <c r="AR17" s="21">
        <f>COUNTIFS((AllCalls26!$AK$15:$AK$5112),"I",(AllCalls26!$K$15:$K$5112),"5")</f>
        <v>0</v>
      </c>
      <c r="AS17" s="60">
        <f>COUNTIFS((AllCalls26!$AK$15:$AK$5112),"I",(AllCalls26!$K$15:$K$5112),"6")</f>
        <v>0</v>
      </c>
      <c r="AT17" s="21">
        <f>COUNTIFS((AllCalls26!$AK$15:$AK$5112),"I",(AllCalls26!$K$15:$K$5112),"7")</f>
        <v>0</v>
      </c>
      <c r="AU17" s="60">
        <f>COUNTIFS((AllCalls26!$AK$15:$AK$5112),"I",(AllCalls26!$K$15:$K$5112),"8")</f>
        <v>0</v>
      </c>
      <c r="AV17" s="21">
        <f>COUNTIFS((AllCalls26!$AK$15:$AK$5112),"I",(AllCalls26!$K$15:$K$5112),"9")</f>
        <v>0</v>
      </c>
      <c r="AW17" s="61">
        <f>COUNTIFS((AllCalls26!$AK$15:$AK$5112),"I",(AllCalls26!$K$15:$K$5112),"10")</f>
        <v>0</v>
      </c>
      <c r="AX17" s="21">
        <f>COUNTIFS((AllCalls26!$AK$15:$AK$5112),"I",(AllCalls26!$K$15:$K$5112),"11")</f>
        <v>0</v>
      </c>
      <c r="AY17" s="61">
        <f>COUNTIFS((AllCalls26!$AK$15:$AK$5112),"I",(AllCalls26!$K$15:$K$5112),"12")</f>
        <v>0</v>
      </c>
      <c r="AZ17" s="21">
        <f>SUM($AN17:$AY17)</f>
        <v>22</v>
      </c>
      <c r="BA17" s="26">
        <f>(SUM($AN17:$AY17))/SUM($AN$2:$AY$2)</f>
        <v>0.16541353383458646</v>
      </c>
      <c r="BB17" s="12">
        <f>SUM($AZ17,$AL17)</f>
        <v>265</v>
      </c>
      <c r="BC17" s="26">
        <f>(SUM(BB17))/SUM($AA$2:$AK$2,AZ2)</f>
        <v>0.36401098901098899</v>
      </c>
      <c r="BD17" t="s">
        <v>33</v>
      </c>
    </row>
    <row r="18" spans="1:56" x14ac:dyDescent="0.25">
      <c r="A18" s="2" t="s">
        <v>38</v>
      </c>
      <c r="B18" s="21">
        <v>16</v>
      </c>
      <c r="C18" s="22">
        <v>34</v>
      </c>
      <c r="D18" s="12">
        <v>31</v>
      </c>
      <c r="E18" s="13">
        <v>13</v>
      </c>
      <c r="F18" s="12">
        <v>10</v>
      </c>
      <c r="G18" s="13">
        <v>17</v>
      </c>
      <c r="H18" s="12">
        <v>23</v>
      </c>
      <c r="I18" s="13">
        <v>22</v>
      </c>
      <c r="J18" s="12">
        <f>SUM($B18:$I18)</f>
        <v>166</v>
      </c>
      <c r="K18" s="26">
        <f>(J18/$J$2)</f>
        <v>0.51234567901234573</v>
      </c>
      <c r="L18" s="12">
        <v>13</v>
      </c>
      <c r="M18" s="3">
        <v>30</v>
      </c>
      <c r="N18" s="12">
        <v>30</v>
      </c>
      <c r="O18" s="3">
        <v>21</v>
      </c>
      <c r="P18" s="12">
        <v>33</v>
      </c>
      <c r="Q18" s="3">
        <v>2</v>
      </c>
      <c r="R18" s="12">
        <v>22</v>
      </c>
      <c r="S18" s="3">
        <v>8</v>
      </c>
      <c r="T18" s="12">
        <v>13</v>
      </c>
      <c r="U18" s="56">
        <v>18</v>
      </c>
      <c r="V18" s="12">
        <v>20</v>
      </c>
      <c r="W18" s="56">
        <v>27</v>
      </c>
      <c r="X18" s="12">
        <v>237</v>
      </c>
      <c r="Y18" s="26">
        <v>0.45639864099660249</v>
      </c>
      <c r="Z18" s="114">
        <v>2</v>
      </c>
      <c r="AA18" s="18">
        <v>6</v>
      </c>
      <c r="AB18" s="21">
        <v>26</v>
      </c>
      <c r="AC18" s="18">
        <v>19</v>
      </c>
      <c r="AD18" s="21">
        <v>22</v>
      </c>
      <c r="AE18" s="18">
        <v>17</v>
      </c>
      <c r="AF18" s="21">
        <v>23</v>
      </c>
      <c r="AG18" s="18">
        <v>27</v>
      </c>
      <c r="AH18" s="21">
        <v>20</v>
      </c>
      <c r="AI18" s="22">
        <v>12</v>
      </c>
      <c r="AJ18" s="21">
        <v>21</v>
      </c>
      <c r="AK18" s="22">
        <v>17</v>
      </c>
      <c r="AL18" s="21">
        <v>212</v>
      </c>
      <c r="AM18" s="26">
        <v>0.32515337423312884</v>
      </c>
      <c r="AN18" s="21">
        <f>COUNTIFS((AllCalls26!$AL$15:$AL$5112),"I",(AllCalls26!$K$15:$K$5112),"1")</f>
        <v>5</v>
      </c>
      <c r="AO18" s="18">
        <f>COUNTIFS((AllCalls26!$AL$15:$AL$5112),"I",(AllCalls26!$K$15:$K$5112),"2")</f>
        <v>9</v>
      </c>
      <c r="AP18" s="21">
        <f>COUNTIFS((AllCalls26!$AL$15:$AL$5112),"I",(AllCalls26!$K$15:$K$5112),"3")</f>
        <v>0</v>
      </c>
      <c r="AQ18" s="18">
        <f>COUNTIFS((AllCalls26!$AL$15:$AL$5112),"I",(AllCalls26!$K$15:$K$5112),"4")</f>
        <v>0</v>
      </c>
      <c r="AR18" s="21">
        <f>COUNTIFS((AllCalls26!$AL$15:$AL$5112),"I",(AllCalls26!$K$15:$K$5112),"5")</f>
        <v>0</v>
      </c>
      <c r="AS18" s="18">
        <f>COUNTIFS((AllCalls26!$AL$15:$AL$5112),"I",(AllCalls26!$K$15:$K$5112),"6")</f>
        <v>0</v>
      </c>
      <c r="AT18" s="21">
        <f>COUNTIFS((AllCalls26!$AL$15:$AL$5112),"I",(AllCalls26!$K$15:$K$5112),"7")</f>
        <v>0</v>
      </c>
      <c r="AU18" s="18">
        <f>COUNTIFS((AllCalls26!$AL$15:$AL$5112),"I",(AllCalls26!$K$15:$K$5112),"8")</f>
        <v>0</v>
      </c>
      <c r="AV18" s="21">
        <f>COUNTIFS((AllCalls26!$AL$15:$AL$5112),"I",(AllCalls26!$K$15:$K$5112),"9")</f>
        <v>0</v>
      </c>
      <c r="AW18" s="22">
        <f>COUNTIFS((AllCalls26!$AL$15:$AL$5112),"I",(AllCalls26!$K$15:$K$5112),"10")</f>
        <v>0</v>
      </c>
      <c r="AX18" s="21">
        <f>COUNTIFS((AllCalls26!$AL$15:$AL$5112),"I",(AllCalls26!$K$15:$K$5112),"11")</f>
        <v>0</v>
      </c>
      <c r="AY18" s="22">
        <f>COUNTIFS((AllCalls26!$AL$15:$AL$5112),"I",(AllCalls26!$K$15:$K$5112),"12")</f>
        <v>0</v>
      </c>
      <c r="AZ18" s="21">
        <f>SUM($AN18:$AY18)</f>
        <v>14</v>
      </c>
      <c r="BA18" s="26">
        <f>(SUM($AZ18))/SUM($AZ$2)</f>
        <v>0.10526315789473684</v>
      </c>
      <c r="BB18" s="12">
        <f>SUM($J18,$X18,$AZ18)</f>
        <v>417</v>
      </c>
      <c r="BC18" s="26">
        <f>(SUM(BB18))/SUM($BB$2)</f>
        <v>0.41043307086614172</v>
      </c>
      <c r="BD18" t="s">
        <v>31</v>
      </c>
    </row>
    <row r="19" spans="1:56" x14ac:dyDescent="0.25">
      <c r="A19" s="2" t="s">
        <v>39</v>
      </c>
      <c r="B19" s="21">
        <v>4</v>
      </c>
      <c r="C19" s="22">
        <v>21</v>
      </c>
      <c r="D19" s="12">
        <v>17</v>
      </c>
      <c r="E19" s="13">
        <v>15</v>
      </c>
      <c r="F19" s="12">
        <v>16</v>
      </c>
      <c r="G19" s="13">
        <v>28</v>
      </c>
      <c r="H19" s="12">
        <v>22</v>
      </c>
      <c r="I19" s="13">
        <v>17</v>
      </c>
      <c r="J19" s="12">
        <f t="shared" si="0"/>
        <v>140</v>
      </c>
      <c r="K19" s="26">
        <f t="shared" si="1"/>
        <v>0.43209876543209874</v>
      </c>
      <c r="L19" s="12">
        <v>34</v>
      </c>
      <c r="M19" s="3">
        <v>22</v>
      </c>
      <c r="N19" s="12">
        <v>16</v>
      </c>
      <c r="O19" s="3">
        <v>21</v>
      </c>
      <c r="P19" s="12">
        <v>25</v>
      </c>
      <c r="Q19" s="3">
        <v>12</v>
      </c>
      <c r="R19" s="12">
        <v>18</v>
      </c>
      <c r="S19" s="3">
        <v>22</v>
      </c>
      <c r="T19" s="12">
        <v>15</v>
      </c>
      <c r="U19" s="56">
        <v>25</v>
      </c>
      <c r="V19" s="12">
        <v>23</v>
      </c>
      <c r="W19" s="56">
        <v>20</v>
      </c>
      <c r="X19" s="12">
        <v>253</v>
      </c>
      <c r="Y19" s="26">
        <v>0.44507361268403173</v>
      </c>
      <c r="Z19" s="21">
        <v>28</v>
      </c>
      <c r="AA19" s="18">
        <v>15</v>
      </c>
      <c r="AB19" s="21">
        <v>17</v>
      </c>
      <c r="AC19" s="18">
        <v>21</v>
      </c>
      <c r="AD19" s="21">
        <v>24</v>
      </c>
      <c r="AE19" s="18">
        <v>19</v>
      </c>
      <c r="AF19" s="21">
        <v>25</v>
      </c>
      <c r="AG19" s="18">
        <v>18</v>
      </c>
      <c r="AH19" s="21">
        <v>8</v>
      </c>
      <c r="AI19" s="22">
        <v>16</v>
      </c>
      <c r="AJ19" s="21">
        <v>16</v>
      </c>
      <c r="AK19" s="22">
        <v>12</v>
      </c>
      <c r="AL19" s="21">
        <v>219</v>
      </c>
      <c r="AM19" s="26">
        <v>0.33588957055214724</v>
      </c>
      <c r="AN19" s="21">
        <f>COUNTIFS((AllCalls26!$AM$15:$AM$5112),"I",(AllCalls26!$K$15:$K$5112),"1")</f>
        <v>16</v>
      </c>
      <c r="AO19" s="18">
        <f>COUNTIFS((AllCalls26!$AM$15:$AM$5112),"I",(AllCalls26!$K$15:$K$5112),"2")</f>
        <v>10</v>
      </c>
      <c r="AP19" s="21">
        <f>COUNTIFS((AllCalls26!$AM$15:$AM$5112),"I",(AllCalls26!$K$15:$K$5112),"3")</f>
        <v>9</v>
      </c>
      <c r="AQ19" s="18">
        <f>COUNTIFS((AllCalls26!$AM$15:$AM$5112),"I",(AllCalls26!$K$15:$K$5112),"4")</f>
        <v>0</v>
      </c>
      <c r="AR19" s="21">
        <f>COUNTIFS((AllCalls26!$AM$15:$AM$5112),"I",(AllCalls26!$K$15:$K$5112),"5")</f>
        <v>0</v>
      </c>
      <c r="AS19" s="18">
        <f>COUNTIFS((AllCalls26!$AM$15:$AM$5112),"I",(AllCalls26!$K$15:$K$5112),"6")</f>
        <v>0</v>
      </c>
      <c r="AT19" s="21">
        <f>COUNTIFS((AllCalls26!$AM$15:$AM$5112),"I",(AllCalls26!$K$15:$K$5112),"7")</f>
        <v>0</v>
      </c>
      <c r="AU19" s="18">
        <f>COUNTIFS((AllCalls26!$AM$15:$AM$5112),"I",(AllCalls26!$K$15:$K$5112),"8")</f>
        <v>0</v>
      </c>
      <c r="AV19" s="21">
        <f>COUNTIFS((AllCalls26!$AM$15:$AM$5112),"I",(AllCalls26!$K$15:$K$5112),"9")</f>
        <v>0</v>
      </c>
      <c r="AW19" s="22">
        <f>COUNTIFS((AllCalls26!$AM$15:$AM$5112),"I",(AllCalls26!$K$15:$K$5112),"10")</f>
        <v>0</v>
      </c>
      <c r="AX19" s="21">
        <f>COUNTIFS((AllCalls26!$AM$15:$AM$5112),"I",(AllCalls26!$K$15:$K$5112),"11")</f>
        <v>0</v>
      </c>
      <c r="AY19" s="22">
        <f>COUNTIFS((AllCalls26!$AM$15:$AM$5112),"I",(AllCalls26!$K$15:$K$5112),"12")</f>
        <v>0</v>
      </c>
      <c r="AZ19" s="21">
        <f t="shared" si="2"/>
        <v>35</v>
      </c>
      <c r="BA19" s="26">
        <f t="shared" si="3"/>
        <v>0.26315789473684209</v>
      </c>
      <c r="BB19" s="12">
        <f t="shared" si="4"/>
        <v>428</v>
      </c>
      <c r="BC19" s="26">
        <f t="shared" si="5"/>
        <v>0.42125984251968501</v>
      </c>
    </row>
    <row r="20" spans="1:56" x14ac:dyDescent="0.25">
      <c r="A20" s="2" t="s">
        <v>40</v>
      </c>
      <c r="B20" s="21">
        <v>9</v>
      </c>
      <c r="C20" s="22">
        <v>23</v>
      </c>
      <c r="D20" s="12">
        <v>11</v>
      </c>
      <c r="E20" s="13">
        <v>14</v>
      </c>
      <c r="F20" s="12">
        <v>10</v>
      </c>
      <c r="G20" s="13">
        <v>23</v>
      </c>
      <c r="H20" s="12">
        <v>21</v>
      </c>
      <c r="I20" s="13">
        <v>23</v>
      </c>
      <c r="J20" s="12">
        <f t="shared" si="0"/>
        <v>134</v>
      </c>
      <c r="K20" s="26">
        <f t="shared" si="1"/>
        <v>0.41358024691358025</v>
      </c>
      <c r="L20" s="12">
        <v>12</v>
      </c>
      <c r="M20" s="3">
        <v>23</v>
      </c>
      <c r="N20" s="12">
        <v>24</v>
      </c>
      <c r="O20" s="3">
        <v>16</v>
      </c>
      <c r="P20" s="12">
        <v>30</v>
      </c>
      <c r="Q20" s="3">
        <v>19</v>
      </c>
      <c r="R20" s="12">
        <v>22</v>
      </c>
      <c r="S20" s="3">
        <v>16</v>
      </c>
      <c r="T20" s="12">
        <v>20</v>
      </c>
      <c r="U20" s="56">
        <v>20</v>
      </c>
      <c r="V20" s="12">
        <v>25</v>
      </c>
      <c r="W20" s="56">
        <v>26</v>
      </c>
      <c r="X20" s="12">
        <v>253</v>
      </c>
      <c r="Y20" s="26">
        <v>0.43827859569648925</v>
      </c>
      <c r="Z20" s="21">
        <v>22</v>
      </c>
      <c r="AA20" s="18">
        <v>27</v>
      </c>
      <c r="AB20" s="21">
        <v>33</v>
      </c>
      <c r="AC20" s="18">
        <v>16</v>
      </c>
      <c r="AD20" s="21">
        <v>32</v>
      </c>
      <c r="AE20" s="18">
        <v>19</v>
      </c>
      <c r="AF20" s="21">
        <v>25</v>
      </c>
      <c r="AG20" s="18">
        <v>12</v>
      </c>
      <c r="AH20" s="21">
        <v>16</v>
      </c>
      <c r="AI20" s="22">
        <v>17</v>
      </c>
      <c r="AJ20" s="21">
        <v>23</v>
      </c>
      <c r="AK20" s="22">
        <v>48</v>
      </c>
      <c r="AL20" s="21">
        <v>290</v>
      </c>
      <c r="AM20" s="26">
        <v>0.44478527607361962</v>
      </c>
      <c r="AN20" s="21">
        <f>COUNTIFS((AllCalls26!$AN$15:$AN$5112),"I",(AllCalls26!$K$15:$K$5112),"1")</f>
        <v>13</v>
      </c>
      <c r="AO20" s="60">
        <f>COUNTIFS((AllCalls26!$AN$15:$AN$5112),"I",(AllCalls26!$K$15:$K$5112),"2")</f>
        <v>23</v>
      </c>
      <c r="AP20" s="21">
        <f>COUNTIFS((AllCalls26!$AN$15:$AN$5112),"I",(AllCalls26!$K$15:$K$5112),"3")</f>
        <v>20</v>
      </c>
      <c r="AQ20" s="60">
        <f>COUNTIFS((AllCalls26!$AN$15:$AN$5112),"I",(AllCalls26!$K$15:$K$5112),"4")</f>
        <v>0</v>
      </c>
      <c r="AR20" s="21">
        <f>COUNTIFS((AllCalls26!$AN$15:$AN$5112),"I",(AllCalls26!$K$15:$K$5112),"5")</f>
        <v>0</v>
      </c>
      <c r="AS20" s="60">
        <f>COUNTIFS((AllCalls26!$AN$15:$AN$5112),"I",(AllCalls26!$K$15:$K$5112),"6")</f>
        <v>0</v>
      </c>
      <c r="AT20" s="21">
        <f>COUNTIFS((AllCalls26!$AN$15:$AN$5112),"I",(AllCalls26!$K$15:$K$5112),"7")</f>
        <v>0</v>
      </c>
      <c r="AU20" s="60">
        <f>COUNTIFS((AllCalls26!$AN$15:$AN$5112),"I",(AllCalls26!$K$15:$K$5112),"8")</f>
        <v>0</v>
      </c>
      <c r="AV20" s="21">
        <f>COUNTIFS((AllCalls26!$AN$15:$AN$5112),"I",(AllCalls26!$K$15:$K$5112),"9")</f>
        <v>0</v>
      </c>
      <c r="AW20" s="61">
        <f>COUNTIFS((AllCalls26!$AN$15:$AN$5112),"I",(AllCalls26!$K$15:$K$5112),"10")</f>
        <v>0</v>
      </c>
      <c r="AX20" s="21">
        <f>COUNTIFS((AllCalls26!$AN$15:$AN$5112),"I",(AllCalls26!$K$15:$K$5112),"11")</f>
        <v>0</v>
      </c>
      <c r="AY20" s="61">
        <f>COUNTIFS((AllCalls26!$AN$15:$AN$5112),"I",(AllCalls26!$K$15:$K$5112),"12")</f>
        <v>0</v>
      </c>
      <c r="AZ20" s="21">
        <f t="shared" si="2"/>
        <v>56</v>
      </c>
      <c r="BA20" s="26">
        <f t="shared" si="3"/>
        <v>0.42105263157894735</v>
      </c>
      <c r="BB20" s="12">
        <f t="shared" si="4"/>
        <v>443</v>
      </c>
      <c r="BC20" s="26">
        <f t="shared" si="5"/>
        <v>0.4360236220472441</v>
      </c>
      <c r="BD20" t="s">
        <v>33</v>
      </c>
    </row>
    <row r="21" spans="1:56" x14ac:dyDescent="0.25">
      <c r="A21" s="2" t="s">
        <v>41</v>
      </c>
      <c r="B21" s="21">
        <v>1</v>
      </c>
      <c r="C21" s="22">
        <v>3</v>
      </c>
      <c r="D21" s="12">
        <v>8</v>
      </c>
      <c r="E21" s="13">
        <v>7</v>
      </c>
      <c r="F21" s="12">
        <v>11</v>
      </c>
      <c r="G21" s="13">
        <v>10</v>
      </c>
      <c r="H21" s="12">
        <v>15</v>
      </c>
      <c r="I21" s="13">
        <v>11</v>
      </c>
      <c r="J21" s="12">
        <f t="shared" si="0"/>
        <v>66</v>
      </c>
      <c r="K21" s="26">
        <f t="shared" si="1"/>
        <v>0.20370370370370369</v>
      </c>
      <c r="L21" s="12">
        <v>14</v>
      </c>
      <c r="M21" s="3">
        <v>9</v>
      </c>
      <c r="N21" s="12">
        <v>7</v>
      </c>
      <c r="O21" s="3">
        <v>8</v>
      </c>
      <c r="P21" s="12">
        <v>5</v>
      </c>
      <c r="Q21" s="3">
        <v>11</v>
      </c>
      <c r="R21" s="12">
        <v>11</v>
      </c>
      <c r="S21" s="3">
        <v>9</v>
      </c>
      <c r="T21" s="12">
        <v>7</v>
      </c>
      <c r="U21" s="56">
        <v>6</v>
      </c>
      <c r="V21" s="12">
        <v>13</v>
      </c>
      <c r="W21" s="56">
        <v>14</v>
      </c>
      <c r="X21" s="12">
        <v>114</v>
      </c>
      <c r="Y21" s="26">
        <v>0.20385050962627407</v>
      </c>
      <c r="Z21" s="21">
        <v>5</v>
      </c>
      <c r="AA21" s="18">
        <v>7</v>
      </c>
      <c r="AB21" s="21">
        <v>13</v>
      </c>
      <c r="AC21" s="18">
        <v>9</v>
      </c>
      <c r="AD21" s="21">
        <v>14</v>
      </c>
      <c r="AE21" s="18">
        <v>4</v>
      </c>
      <c r="AF21" s="21">
        <v>7</v>
      </c>
      <c r="AG21" s="18">
        <v>10</v>
      </c>
      <c r="AH21" s="21">
        <v>8</v>
      </c>
      <c r="AI21" s="22">
        <v>5</v>
      </c>
      <c r="AJ21" s="21">
        <v>16</v>
      </c>
      <c r="AK21" s="22">
        <v>27</v>
      </c>
      <c r="AL21" s="21">
        <v>125</v>
      </c>
      <c r="AM21" s="26">
        <v>0.19171779141104295</v>
      </c>
      <c r="AN21" s="21">
        <f>COUNTIFS((AllCalls26!$AO$15:$AO$5112),"I",(AllCalls26!$K$15:$K$5112),"1")</f>
        <v>9</v>
      </c>
      <c r="AO21" s="18">
        <f>COUNTIFS((AllCalls26!$AO$15:$AO$5112),"I",(AllCalls26!$K$15:$K$5112),"2")</f>
        <v>6</v>
      </c>
      <c r="AP21" s="21">
        <f>COUNTIFS((AllCalls26!$AO$15:$AO$5112),"I",(AllCalls26!$K$15:$K$5112),"3")</f>
        <v>5</v>
      </c>
      <c r="AQ21" s="18">
        <f>COUNTIFS((AllCalls26!$AO$15:$AO$5112),"I",(AllCalls26!$K$15:$K$5112),"4")</f>
        <v>0</v>
      </c>
      <c r="AR21" s="21">
        <f>COUNTIFS((AllCalls26!$AO$15:$AO$5112),"I",(AllCalls26!$K$15:$K$5112),"5")</f>
        <v>0</v>
      </c>
      <c r="AS21" s="18">
        <f>COUNTIFS((AllCalls26!$AO$15:$AO$5112),"I",(AllCalls26!$K$15:$K$5112),"6")</f>
        <v>0</v>
      </c>
      <c r="AT21" s="21">
        <f>COUNTIFS((AllCalls26!$AO$15:$AO$5112),"I",(AllCalls26!$K$15:$K$5112),"7")</f>
        <v>0</v>
      </c>
      <c r="AU21" s="18">
        <f>COUNTIFS((AllCalls26!$AO$15:$AO$5112),"I",(AllCalls26!$K$15:$K$5112),"8")</f>
        <v>0</v>
      </c>
      <c r="AV21" s="21">
        <f>COUNTIFS((AllCalls26!$AO$15:$AO$5112),"I",(AllCalls26!$K$15:$K$5112),"9")</f>
        <v>0</v>
      </c>
      <c r="AW21" s="22">
        <f>COUNTIFS((AllCalls26!$AO$15:$AO$5112),"I",(AllCalls26!$K$15:$K$5112),"10")</f>
        <v>0</v>
      </c>
      <c r="AX21" s="21">
        <f>COUNTIFS((AllCalls26!$AO$15:$AO$5112),"I",(AllCalls26!$K$15:$K$5112),"11")</f>
        <v>0</v>
      </c>
      <c r="AY21" s="22">
        <f>COUNTIFS((AllCalls26!$AO$15:$AO$5112),"I",(AllCalls26!$K$15:$K$5112),"12")</f>
        <v>0</v>
      </c>
      <c r="AZ21" s="21">
        <f t="shared" si="2"/>
        <v>20</v>
      </c>
      <c r="BA21" s="26">
        <f t="shared" si="3"/>
        <v>0.15037593984962405</v>
      </c>
      <c r="BB21" s="12">
        <f t="shared" si="4"/>
        <v>200</v>
      </c>
      <c r="BC21" s="26">
        <f t="shared" si="5"/>
        <v>0.19685039370078741</v>
      </c>
      <c r="BD21" t="s">
        <v>33</v>
      </c>
    </row>
    <row r="22" spans="1:56" x14ac:dyDescent="0.25">
      <c r="A22" s="2" t="s">
        <v>42</v>
      </c>
      <c r="B22" s="21">
        <v>14</v>
      </c>
      <c r="C22" s="22">
        <v>34</v>
      </c>
      <c r="D22" s="12">
        <v>25</v>
      </c>
      <c r="E22" s="13">
        <v>11</v>
      </c>
      <c r="F22" s="12">
        <v>23</v>
      </c>
      <c r="G22" s="13">
        <v>24</v>
      </c>
      <c r="H22" s="12">
        <v>21</v>
      </c>
      <c r="I22" s="13">
        <v>28</v>
      </c>
      <c r="J22" s="12">
        <f t="shared" si="0"/>
        <v>180</v>
      </c>
      <c r="K22" s="26">
        <f t="shared" si="1"/>
        <v>0.55555555555555558</v>
      </c>
      <c r="L22" s="12">
        <v>35</v>
      </c>
      <c r="M22" s="3">
        <v>33</v>
      </c>
      <c r="N22" s="12">
        <v>29</v>
      </c>
      <c r="O22" s="3">
        <v>22</v>
      </c>
      <c r="P22" s="12">
        <v>19</v>
      </c>
      <c r="Q22" s="3">
        <v>21</v>
      </c>
      <c r="R22" s="12">
        <v>14</v>
      </c>
      <c r="S22" s="3">
        <v>5</v>
      </c>
      <c r="T22" s="12">
        <v>11</v>
      </c>
      <c r="U22" s="56">
        <v>12</v>
      </c>
      <c r="V22" s="12">
        <v>13</v>
      </c>
      <c r="W22" s="56">
        <v>20</v>
      </c>
      <c r="X22" s="12">
        <v>234</v>
      </c>
      <c r="Y22" s="26">
        <v>0.46885617214043035</v>
      </c>
      <c r="Z22" s="21">
        <v>27</v>
      </c>
      <c r="AA22" s="60">
        <v>14</v>
      </c>
      <c r="AB22" s="21">
        <v>26</v>
      </c>
      <c r="AC22" s="60">
        <v>12</v>
      </c>
      <c r="AD22" s="21">
        <v>26</v>
      </c>
      <c r="AE22" s="60">
        <v>7</v>
      </c>
      <c r="AF22" s="21">
        <v>13</v>
      </c>
      <c r="AG22" s="60">
        <v>15</v>
      </c>
      <c r="AH22" s="21">
        <v>14</v>
      </c>
      <c r="AI22" s="61">
        <v>10</v>
      </c>
      <c r="AJ22" s="21">
        <v>17</v>
      </c>
      <c r="AK22" s="61">
        <v>42</v>
      </c>
      <c r="AL22" s="21">
        <v>223</v>
      </c>
      <c r="AM22" s="26">
        <v>0.34202453987730064</v>
      </c>
      <c r="AN22" s="21">
        <f>COUNTIFS((AllCalls26!$AP$15:$AP$5112),"I",(AllCalls26!$K$15:$K$5112),"1")</f>
        <v>18</v>
      </c>
      <c r="AO22" s="60">
        <f>COUNTIFS((AllCalls26!$AP$15:$AP$5112),"I",(AllCalls26!$K$15:$K$5112),"2")</f>
        <v>5</v>
      </c>
      <c r="AP22" s="21">
        <f>COUNTIFS((AllCalls26!$AP$15:$AP$5112),"I",(AllCalls26!$K$15:$K$5112),"3")</f>
        <v>1</v>
      </c>
      <c r="AQ22" s="60">
        <f>COUNTIFS((AllCalls26!$AP$15:$AP$5112),"I",(AllCalls26!$K$15:$K$5112),"4")</f>
        <v>0</v>
      </c>
      <c r="AR22" s="21">
        <f>COUNTIFS((AllCalls26!$AP$15:$AP$5112),"I",(AllCalls26!$K$15:$K$5112),"5")</f>
        <v>0</v>
      </c>
      <c r="AS22" s="60">
        <f>COUNTIFS((AllCalls26!$AP$15:$AP$5112),"I",(AllCalls26!$K$15:$K$5112),"6")</f>
        <v>0</v>
      </c>
      <c r="AT22" s="21">
        <f>COUNTIFS((AllCalls26!$AP$15:$AP$5112),"I",(AllCalls26!$K$15:$K$5112),"7")</f>
        <v>0</v>
      </c>
      <c r="AU22" s="60">
        <f>COUNTIFS((AllCalls26!$AP$15:$AP$5112),"I",(AllCalls26!$K$15:$K$5112),"8")</f>
        <v>0</v>
      </c>
      <c r="AV22" s="21">
        <f>COUNTIFS((AllCalls26!$AP$15:$AP$5112),"I",(AllCalls26!$K$15:$K$5112),"9")</f>
        <v>0</v>
      </c>
      <c r="AW22" s="61">
        <f>COUNTIFS((AllCalls26!$AP$15:$AP$5112),"I",(AllCalls26!$K$15:$K$5112),"10")</f>
        <v>0</v>
      </c>
      <c r="AX22" s="21">
        <f>COUNTIFS((AllCalls26!$AP$15:$AP$5112),"I",(AllCalls26!$K$15:$K$5112),"11")</f>
        <v>0</v>
      </c>
      <c r="AY22" s="61">
        <f>COUNTIFS((AllCalls26!$AP$15:$AP$5112),"I",(AllCalls26!$K$15:$K$5112),"12")</f>
        <v>0</v>
      </c>
      <c r="AZ22" s="21">
        <f t="shared" si="2"/>
        <v>24</v>
      </c>
      <c r="BA22" s="26">
        <f t="shared" si="3"/>
        <v>0.18045112781954886</v>
      </c>
      <c r="BB22" s="12">
        <f t="shared" si="4"/>
        <v>438</v>
      </c>
      <c r="BC22" s="26">
        <f>(SUM(BB22))/SUM($BB$2)</f>
        <v>0.43110236220472442</v>
      </c>
    </row>
    <row r="23" spans="1:56" x14ac:dyDescent="0.25">
      <c r="A23" s="2" t="s">
        <v>43</v>
      </c>
      <c r="B23" s="21">
        <v>2</v>
      </c>
      <c r="C23" s="22">
        <v>11</v>
      </c>
      <c r="D23" s="12">
        <v>9</v>
      </c>
      <c r="E23" s="13">
        <v>8</v>
      </c>
      <c r="F23" s="12">
        <v>12</v>
      </c>
      <c r="G23" s="13">
        <v>21</v>
      </c>
      <c r="H23" s="12">
        <v>17</v>
      </c>
      <c r="I23" s="13">
        <v>16</v>
      </c>
      <c r="J23" s="12">
        <f t="shared" si="0"/>
        <v>96</v>
      </c>
      <c r="K23" s="26">
        <f t="shared" si="1"/>
        <v>0.29629629629629628</v>
      </c>
      <c r="L23" s="12">
        <v>20</v>
      </c>
      <c r="M23" s="3">
        <v>16</v>
      </c>
      <c r="N23" s="12">
        <v>13</v>
      </c>
      <c r="O23" s="3">
        <v>13</v>
      </c>
      <c r="P23" s="12">
        <v>16</v>
      </c>
      <c r="Q23" s="3">
        <v>10</v>
      </c>
      <c r="R23" s="12">
        <v>10</v>
      </c>
      <c r="S23" s="3">
        <v>10</v>
      </c>
      <c r="T23" s="12">
        <v>3</v>
      </c>
      <c r="U23" s="56">
        <v>7</v>
      </c>
      <c r="V23" s="12">
        <v>9</v>
      </c>
      <c r="W23" s="56">
        <v>15</v>
      </c>
      <c r="X23" s="12">
        <v>142</v>
      </c>
      <c r="Y23" s="26">
        <v>0.26953567383918459</v>
      </c>
      <c r="Z23" s="21">
        <v>11</v>
      </c>
      <c r="AA23" s="18">
        <v>7</v>
      </c>
      <c r="AB23" s="21">
        <v>12</v>
      </c>
      <c r="AC23" s="18">
        <v>4</v>
      </c>
      <c r="AD23" s="21">
        <v>13</v>
      </c>
      <c r="AE23" s="18">
        <v>6</v>
      </c>
      <c r="AF23" s="21">
        <v>3</v>
      </c>
      <c r="AG23" s="18">
        <v>12</v>
      </c>
      <c r="AH23" s="21">
        <v>12</v>
      </c>
      <c r="AI23" s="22">
        <v>5</v>
      </c>
      <c r="AJ23" s="21">
        <v>16</v>
      </c>
      <c r="AK23" s="22">
        <v>25</v>
      </c>
      <c r="AL23" s="21">
        <v>126</v>
      </c>
      <c r="AM23" s="26">
        <v>0.19325153374233128</v>
      </c>
      <c r="AN23" s="21">
        <f>COUNTIFS((AllCalls26!$AQ$15:$AQ$5112),"I",(AllCalls26!$K$15:$K$5112),"1")</f>
        <v>18</v>
      </c>
      <c r="AO23" s="18">
        <f>COUNTIFS((AllCalls26!$AQ$15:$AQ$5112),"I",(AllCalls26!$K$15:$K$5112),"2")</f>
        <v>14</v>
      </c>
      <c r="AP23" s="21">
        <f>COUNTIFS((AllCalls26!$AQ$15:$AQ$5112),"I",(AllCalls26!$K$15:$K$5112),"3")</f>
        <v>6</v>
      </c>
      <c r="AQ23" s="18">
        <f>COUNTIFS((AllCalls26!$AQ$15:$AQ$5112),"I",(AllCalls26!$K$15:$K$5112),"4")</f>
        <v>0</v>
      </c>
      <c r="AR23" s="21">
        <f>COUNTIFS((AllCalls26!$AQ$15:$AQ$5112),"I",(AllCalls26!$K$15:$K$5112),"5")</f>
        <v>0</v>
      </c>
      <c r="AS23" s="18">
        <f>COUNTIFS((AllCalls26!$AQ$15:$AQ$5112),"I",(AllCalls26!$K$15:$K$5112),"6")</f>
        <v>0</v>
      </c>
      <c r="AT23" s="21">
        <f>COUNTIFS((AllCalls26!$AQ$15:$AQ$5112),"I",(AllCalls26!$K$15:$K$5112),"7")</f>
        <v>0</v>
      </c>
      <c r="AU23" s="18">
        <f>COUNTIFS((AllCalls26!$AQ$15:$AQ$5112),"I",(AllCalls26!$K$15:$K$5112),"8")</f>
        <v>0</v>
      </c>
      <c r="AV23" s="21">
        <f>COUNTIFS((AllCalls26!$AQ$15:$AQ$5112),"I",(AllCalls26!$K$15:$K$5112),"9")</f>
        <v>0</v>
      </c>
      <c r="AW23" s="22">
        <f>COUNTIFS((AllCalls26!$AQ$15:$AQ$5112),"I",(AllCalls26!$K$15:$K$5112),"10")</f>
        <v>0</v>
      </c>
      <c r="AX23" s="21">
        <f>COUNTIFS((AllCalls26!$AQ$15:$AQ$5112),"I",(AllCalls26!$K$15:$K$5112),"11")</f>
        <v>0</v>
      </c>
      <c r="AY23" s="22">
        <f>COUNTIFS((AllCalls26!$AQ$15:$AQ$5112),"I",(AllCalls26!$K$15:$K$5112),"12")</f>
        <v>0</v>
      </c>
      <c r="AZ23" s="21">
        <f t="shared" si="2"/>
        <v>38</v>
      </c>
      <c r="BA23" s="26">
        <f t="shared" si="3"/>
        <v>0.2857142857142857</v>
      </c>
      <c r="BB23" s="12">
        <f t="shared" si="4"/>
        <v>276</v>
      </c>
      <c r="BC23" s="26">
        <f t="shared" si="5"/>
        <v>0.27165354330708663</v>
      </c>
    </row>
    <row r="24" spans="1:56" x14ac:dyDescent="0.25">
      <c r="A24" s="2" t="s">
        <v>44</v>
      </c>
      <c r="B24" s="21">
        <v>1</v>
      </c>
      <c r="C24" s="22">
        <v>14</v>
      </c>
      <c r="D24" s="12">
        <v>14</v>
      </c>
      <c r="E24" s="13">
        <v>9</v>
      </c>
      <c r="F24" s="12">
        <v>4</v>
      </c>
      <c r="G24" s="13">
        <v>14</v>
      </c>
      <c r="H24" s="12">
        <v>16</v>
      </c>
      <c r="I24" s="13">
        <v>17</v>
      </c>
      <c r="J24" s="12">
        <f t="shared" si="0"/>
        <v>89</v>
      </c>
      <c r="K24" s="26">
        <f t="shared" si="1"/>
        <v>0.27469135802469136</v>
      </c>
      <c r="L24" s="12">
        <v>26</v>
      </c>
      <c r="M24" s="3">
        <v>12</v>
      </c>
      <c r="N24" s="12">
        <v>13</v>
      </c>
      <c r="O24" s="3">
        <v>6</v>
      </c>
      <c r="P24" s="12">
        <v>18</v>
      </c>
      <c r="Q24" s="3">
        <v>9</v>
      </c>
      <c r="R24" s="12">
        <v>11</v>
      </c>
      <c r="S24" s="3">
        <v>9</v>
      </c>
      <c r="T24" s="12">
        <v>13</v>
      </c>
      <c r="U24" s="56">
        <v>11</v>
      </c>
      <c r="V24" s="12">
        <v>11</v>
      </c>
      <c r="W24" s="56">
        <v>14</v>
      </c>
      <c r="X24" s="12">
        <v>153</v>
      </c>
      <c r="Y24" s="26">
        <v>0.27406568516421292</v>
      </c>
      <c r="Z24" s="21">
        <v>15</v>
      </c>
      <c r="AA24" s="60">
        <v>10</v>
      </c>
      <c r="AB24" s="21">
        <v>20</v>
      </c>
      <c r="AC24" s="60">
        <v>0</v>
      </c>
      <c r="AD24" s="21">
        <v>5</v>
      </c>
      <c r="AE24" s="60">
        <v>4</v>
      </c>
      <c r="AF24" s="114">
        <v>0</v>
      </c>
      <c r="AG24" s="124">
        <v>0</v>
      </c>
      <c r="AH24" s="114">
        <v>0</v>
      </c>
      <c r="AI24" s="164">
        <v>0</v>
      </c>
      <c r="AJ24" s="114">
        <v>0</v>
      </c>
      <c r="AK24" s="164">
        <v>0</v>
      </c>
      <c r="AL24" s="21">
        <v>54</v>
      </c>
      <c r="AM24" s="26">
        <v>8.2822085889570546E-2</v>
      </c>
      <c r="AN24" s="114">
        <f>COUNTIFS((AllCalls26!$AR$15:$AR$5112),"I",(AllCalls26!$K$15:$K$5112),"1")</f>
        <v>0</v>
      </c>
      <c r="AO24" s="60">
        <f>COUNTIFS((AllCalls26!$AR$15:$AR$5112),"I",(AllCalls26!$K$15:$K$5112),"2")</f>
        <v>10</v>
      </c>
      <c r="AP24" s="21">
        <f>COUNTIFS((AllCalls26!$AR$15:$AR$5112),"I",(AllCalls26!$K$15:$K$5112),"3")</f>
        <v>1</v>
      </c>
      <c r="AQ24" s="60">
        <f>COUNTIFS((AllCalls26!$AR$15:$AR$5112),"I",(AllCalls26!$K$15:$K$5112),"4")</f>
        <v>0</v>
      </c>
      <c r="AR24" s="21">
        <f>COUNTIFS((AllCalls26!$AR$15:$AR$5112),"I",(AllCalls26!$K$15:$K$5112),"5")</f>
        <v>0</v>
      </c>
      <c r="AS24" s="60">
        <f>COUNTIFS((AllCalls26!$AR$15:$AR$5112),"I",(AllCalls26!$K$15:$K$5112),"6")</f>
        <v>0</v>
      </c>
      <c r="AT24" s="21">
        <f>COUNTIFS((AllCalls26!$AR$15:$AR$5112),"I",(AllCalls26!$K$15:$K$5112),"7")</f>
        <v>0</v>
      </c>
      <c r="AU24" s="60">
        <f>COUNTIFS((AllCalls26!$AR$15:$AR$5112),"I",(AllCalls26!$K$15:$K$5112),"8")</f>
        <v>0</v>
      </c>
      <c r="AV24" s="21">
        <f>COUNTIFS((AllCalls26!$AR$15:$AR$5112),"I",(AllCalls26!$K$15:$K$5112),"9")</f>
        <v>0</v>
      </c>
      <c r="AW24" s="61">
        <f>COUNTIFS((AllCalls26!$AR$15:$AR$5112),"I",(AllCalls26!$K$15:$K$5112),"10")</f>
        <v>0</v>
      </c>
      <c r="AX24" s="21">
        <f>COUNTIFS((AllCalls26!$AR$15:$AR$5112),"I",(AllCalls26!$K$15:$K$5112),"11")</f>
        <v>0</v>
      </c>
      <c r="AY24" s="61">
        <f>COUNTIFS((AllCalls26!$AR$15:$AR$5112),"I",(AllCalls26!$K$15:$K$5112),"12")</f>
        <v>0</v>
      </c>
      <c r="AZ24" s="21">
        <f t="shared" si="2"/>
        <v>11</v>
      </c>
      <c r="BA24" s="26">
        <f t="shared" si="3"/>
        <v>8.2706766917293228E-2</v>
      </c>
      <c r="BB24" s="12">
        <f t="shared" si="4"/>
        <v>253</v>
      </c>
      <c r="BC24" s="26">
        <f>(SUM(BB24))/SUM($BB$2)</f>
        <v>0.24901574803149606</v>
      </c>
    </row>
    <row r="25" spans="1:56" x14ac:dyDescent="0.25">
      <c r="A25" s="2" t="s">
        <v>45</v>
      </c>
      <c r="B25" s="21">
        <v>0</v>
      </c>
      <c r="C25" s="22">
        <v>0</v>
      </c>
      <c r="D25" s="15">
        <v>0</v>
      </c>
      <c r="E25" s="14">
        <v>0</v>
      </c>
      <c r="F25" s="12">
        <v>5</v>
      </c>
      <c r="G25" s="13">
        <v>3</v>
      </c>
      <c r="H25" s="12">
        <v>3</v>
      </c>
      <c r="I25" s="13">
        <v>7</v>
      </c>
      <c r="J25" s="12">
        <f t="shared" si="0"/>
        <v>18</v>
      </c>
      <c r="K25" s="26">
        <f>(J25/SUM($F$2:$I$2))</f>
        <v>0.10526315789473684</v>
      </c>
      <c r="L25" s="12">
        <v>9</v>
      </c>
      <c r="M25" s="3">
        <v>2</v>
      </c>
      <c r="N25" s="12">
        <v>8</v>
      </c>
      <c r="O25" s="3">
        <v>10</v>
      </c>
      <c r="P25" s="12">
        <v>10</v>
      </c>
      <c r="Q25" s="3">
        <v>6</v>
      </c>
      <c r="R25" s="12">
        <v>3</v>
      </c>
      <c r="S25" s="3">
        <v>6</v>
      </c>
      <c r="T25" s="12">
        <v>9</v>
      </c>
      <c r="U25" s="56">
        <v>13</v>
      </c>
      <c r="V25" s="12">
        <v>8</v>
      </c>
      <c r="W25" s="56">
        <v>16</v>
      </c>
      <c r="X25" s="12">
        <v>100</v>
      </c>
      <c r="Y25" s="26">
        <v>0.16164383561643836</v>
      </c>
      <c r="Z25" s="21">
        <v>21</v>
      </c>
      <c r="AA25" s="18">
        <v>16</v>
      </c>
      <c r="AB25" s="21">
        <v>28</v>
      </c>
      <c r="AC25" s="18">
        <v>8</v>
      </c>
      <c r="AD25" s="21">
        <v>6</v>
      </c>
      <c r="AE25" s="18">
        <v>3</v>
      </c>
      <c r="AF25" s="21">
        <v>3</v>
      </c>
      <c r="AG25" s="18">
        <v>5</v>
      </c>
      <c r="AH25" s="21">
        <v>7</v>
      </c>
      <c r="AI25" s="22">
        <v>1</v>
      </c>
      <c r="AJ25" s="21">
        <v>5</v>
      </c>
      <c r="AK25" s="22">
        <v>37</v>
      </c>
      <c r="AL25" s="21">
        <v>140</v>
      </c>
      <c r="AM25" s="26">
        <v>0.21472392638036811</v>
      </c>
      <c r="AN25" s="21">
        <f>COUNTIFS((AllCalls26!$AS$15:$AS$5112),"I",(AllCalls26!$K$15:$K$5112),"1")</f>
        <v>17</v>
      </c>
      <c r="AO25" s="18">
        <f>COUNTIFS((AllCalls26!$AS$15:$AS$5112),"I",(AllCalls26!$K$15:$K$5112),"2")</f>
        <v>8</v>
      </c>
      <c r="AP25" s="21">
        <f>COUNTIFS((AllCalls26!$AS$15:$AS$5112),"I",(AllCalls26!$K$15:$K$5112),"3")</f>
        <v>4</v>
      </c>
      <c r="AQ25" s="18">
        <f>COUNTIFS((AllCalls26!$AS$15:$AS$5112),"I",(AllCalls26!$K$15:$K$5112),"4")</f>
        <v>0</v>
      </c>
      <c r="AR25" s="21">
        <f>COUNTIFS((AllCalls26!$AS$15:$AS$5112),"I",(AllCalls26!$K$15:$K$5112),"5")</f>
        <v>0</v>
      </c>
      <c r="AS25" s="18">
        <f>COUNTIFS((AllCalls26!$AS$15:$AS$5112),"I",(AllCalls26!$K$15:$K$5112),"6")</f>
        <v>0</v>
      </c>
      <c r="AT25" s="21">
        <f>COUNTIFS((AllCalls26!$AS$15:$AS$5112),"I",(AllCalls26!$K$15:$K$5112),"7")</f>
        <v>0</v>
      </c>
      <c r="AU25" s="18">
        <f>COUNTIFS((AllCalls26!$AS$15:$AS$5112),"I",(AllCalls26!$K$15:$K$5112),"8")</f>
        <v>0</v>
      </c>
      <c r="AV25" s="21">
        <f>COUNTIFS((AllCalls26!$AS$15:$AS$5112),"I",(AllCalls26!$K$15:$K$5112),"9")</f>
        <v>0</v>
      </c>
      <c r="AW25" s="22">
        <f>COUNTIFS((AllCalls26!$AS$15:$AS$5112),"I",(AllCalls26!$K$15:$K$5112),"10")</f>
        <v>0</v>
      </c>
      <c r="AX25" s="21">
        <f>COUNTIFS((AllCalls26!$AS$15:$AS$5112),"I",(AllCalls26!$K$15:$K$5112),"11")</f>
        <v>0</v>
      </c>
      <c r="AY25" s="22">
        <f>COUNTIFS((AllCalls26!$AS$15:$AS$5112),"I",(AllCalls26!$K$15:$K$5112),"12")</f>
        <v>0</v>
      </c>
      <c r="AZ25" s="21">
        <f t="shared" si="2"/>
        <v>29</v>
      </c>
      <c r="BA25" s="26">
        <f>(SUM($AZ25))/SUM($AZ$2)</f>
        <v>0.21804511278195488</v>
      </c>
      <c r="BB25" s="12">
        <f t="shared" si="4"/>
        <v>147</v>
      </c>
      <c r="BC25" s="26">
        <f>(SUM(BB25))/SUM($AZ$2,$X$2,AL2)</f>
        <v>0.109375</v>
      </c>
      <c r="BD25" t="s">
        <v>33</v>
      </c>
    </row>
    <row r="26" spans="1:56" x14ac:dyDescent="0.25">
      <c r="A26" s="2" t="s">
        <v>46</v>
      </c>
      <c r="B26" s="21">
        <v>12</v>
      </c>
      <c r="C26" s="22">
        <v>20</v>
      </c>
      <c r="D26" s="12">
        <v>13</v>
      </c>
      <c r="E26" s="13">
        <v>15</v>
      </c>
      <c r="F26" s="12">
        <v>17</v>
      </c>
      <c r="G26" s="13">
        <v>27</v>
      </c>
      <c r="H26" s="12">
        <v>16</v>
      </c>
      <c r="I26" s="13">
        <v>17</v>
      </c>
      <c r="J26" s="12">
        <f t="shared" si="0"/>
        <v>137</v>
      </c>
      <c r="K26" s="26">
        <f t="shared" si="1"/>
        <v>0.4228395061728395</v>
      </c>
      <c r="L26" s="12">
        <v>26</v>
      </c>
      <c r="M26" s="3">
        <v>15</v>
      </c>
      <c r="N26" s="12">
        <v>14</v>
      </c>
      <c r="O26" s="3">
        <v>14</v>
      </c>
      <c r="P26" s="12">
        <v>21</v>
      </c>
      <c r="Q26" s="3">
        <v>8</v>
      </c>
      <c r="R26" s="12">
        <v>25</v>
      </c>
      <c r="S26" s="3">
        <v>7</v>
      </c>
      <c r="T26" s="12">
        <v>7</v>
      </c>
      <c r="U26" s="56">
        <v>13</v>
      </c>
      <c r="V26" s="12">
        <v>16</v>
      </c>
      <c r="W26" s="56">
        <v>25</v>
      </c>
      <c r="X26" s="12">
        <v>191</v>
      </c>
      <c r="Y26" s="26">
        <v>0.37146092865232161</v>
      </c>
      <c r="Z26" s="21">
        <v>27</v>
      </c>
      <c r="AA26" s="18">
        <v>16</v>
      </c>
      <c r="AB26" s="21">
        <v>20</v>
      </c>
      <c r="AC26" s="18">
        <v>21</v>
      </c>
      <c r="AD26" s="21">
        <v>29</v>
      </c>
      <c r="AE26" s="18">
        <v>10</v>
      </c>
      <c r="AF26" s="21">
        <v>22</v>
      </c>
      <c r="AG26" s="18">
        <v>15</v>
      </c>
      <c r="AH26" s="21">
        <v>6</v>
      </c>
      <c r="AI26" s="22">
        <v>13</v>
      </c>
      <c r="AJ26" s="21">
        <v>36</v>
      </c>
      <c r="AK26" s="22">
        <v>41</v>
      </c>
      <c r="AL26" s="21">
        <v>256</v>
      </c>
      <c r="AM26" s="26">
        <v>0.39263803680981596</v>
      </c>
      <c r="AN26" s="21">
        <f>COUNTIFS((AllCalls26!$AT$15:$AT$5112),"I",(AllCalls26!$K$15:$K$5112),"1")</f>
        <v>15</v>
      </c>
      <c r="AO26" s="60">
        <f>COUNTIFS((AllCalls26!$AT$15:$AT$5112),"I",(AllCalls26!$K$15:$K$5112),"2")</f>
        <v>10</v>
      </c>
      <c r="AP26" s="21">
        <f>COUNTIFS((AllCalls26!$AT$15:$AT$5112),"I",(AllCalls26!$K$15:$K$5112),"3")</f>
        <v>12</v>
      </c>
      <c r="AQ26" s="60">
        <f>COUNTIFS((AllCalls26!$AT$15:$AT$5112),"I",(AllCalls26!$K$15:$K$5112),"4")</f>
        <v>0</v>
      </c>
      <c r="AR26" s="21">
        <f>COUNTIFS((AllCalls26!$AT$15:$AT$5112),"I",(AllCalls26!$K$15:$K$5112),"5")</f>
        <v>0</v>
      </c>
      <c r="AS26" s="60">
        <f>COUNTIFS((AllCalls26!$AT$15:$AT$5112),"I",(AllCalls26!$K$15:$K$5112),"6")</f>
        <v>0</v>
      </c>
      <c r="AT26" s="21">
        <f>COUNTIFS((AllCalls26!$AT$15:$AT$5112),"I",(AllCalls26!$K$15:$K$5112),"7")</f>
        <v>0</v>
      </c>
      <c r="AU26" s="60">
        <f>COUNTIFS((AllCalls26!$AT$15:$AT$5112),"I",(AllCalls26!$K$15:$K$5112),"8")</f>
        <v>0</v>
      </c>
      <c r="AV26" s="21">
        <f>COUNTIFS((AllCalls26!$AT$15:$AT$5112),"I",(AllCalls26!$K$15:$K$5112),"9")</f>
        <v>0</v>
      </c>
      <c r="AW26" s="61">
        <f>COUNTIFS((AllCalls26!$AT$15:$AT$5112),"I",(AllCalls26!$K$15:$K$5112),"10")</f>
        <v>0</v>
      </c>
      <c r="AX26" s="21">
        <f>COUNTIFS((AllCalls26!$AT$15:$AT$5112),"I",(AllCalls26!$K$15:$K$5112),"11")</f>
        <v>0</v>
      </c>
      <c r="AY26" s="61">
        <f>COUNTIFS((AllCalls26!$AT$15:$AT$5112),"I",(AllCalls26!$K$15:$K$5112),"12")</f>
        <v>0</v>
      </c>
      <c r="AZ26" s="21">
        <f t="shared" si="2"/>
        <v>37</v>
      </c>
      <c r="BA26" s="26">
        <f t="shared" si="3"/>
        <v>0.2781954887218045</v>
      </c>
      <c r="BB26" s="12">
        <f t="shared" si="4"/>
        <v>365</v>
      </c>
      <c r="BC26" s="26">
        <f t="shared" si="5"/>
        <v>0.35925196850393698</v>
      </c>
      <c r="BD26" t="s">
        <v>33</v>
      </c>
    </row>
    <row r="27" spans="1:56" x14ac:dyDescent="0.25">
      <c r="A27" s="2" t="s">
        <v>47</v>
      </c>
      <c r="B27" s="21">
        <v>8</v>
      </c>
      <c r="C27" s="22">
        <v>21</v>
      </c>
      <c r="D27" s="12">
        <v>18</v>
      </c>
      <c r="E27" s="13">
        <v>10</v>
      </c>
      <c r="F27" s="12">
        <v>13</v>
      </c>
      <c r="G27" s="13">
        <v>20</v>
      </c>
      <c r="H27" s="12">
        <v>9</v>
      </c>
      <c r="I27" s="13">
        <v>10</v>
      </c>
      <c r="J27" s="12">
        <f t="shared" si="0"/>
        <v>109</v>
      </c>
      <c r="K27" s="26">
        <f t="shared" ref="K27:K31" si="8">(J27/$J$2)</f>
        <v>0.33641975308641975</v>
      </c>
      <c r="L27" s="12">
        <v>14</v>
      </c>
      <c r="M27" s="3">
        <v>26</v>
      </c>
      <c r="N27" s="12">
        <v>24</v>
      </c>
      <c r="O27" s="3">
        <v>19</v>
      </c>
      <c r="P27" s="12">
        <v>22</v>
      </c>
      <c r="Q27" s="3">
        <v>18</v>
      </c>
      <c r="R27" s="12">
        <v>21</v>
      </c>
      <c r="S27" s="3">
        <v>20</v>
      </c>
      <c r="T27" s="12">
        <v>19</v>
      </c>
      <c r="U27" s="56">
        <v>13</v>
      </c>
      <c r="V27" s="12">
        <v>16</v>
      </c>
      <c r="W27" s="56">
        <v>19</v>
      </c>
      <c r="X27" s="12">
        <v>231</v>
      </c>
      <c r="Y27" s="26">
        <v>0.38505096262740657</v>
      </c>
      <c r="Z27" s="21">
        <v>16</v>
      </c>
      <c r="AA27" s="18">
        <v>15</v>
      </c>
      <c r="AB27" s="21">
        <v>27</v>
      </c>
      <c r="AC27" s="18">
        <v>16</v>
      </c>
      <c r="AD27" s="21">
        <v>24</v>
      </c>
      <c r="AE27" s="18">
        <v>10</v>
      </c>
      <c r="AF27" s="21">
        <v>13</v>
      </c>
      <c r="AG27" s="18">
        <v>18</v>
      </c>
      <c r="AH27" s="21">
        <v>20</v>
      </c>
      <c r="AI27" s="22">
        <v>14</v>
      </c>
      <c r="AJ27" s="21">
        <v>10</v>
      </c>
      <c r="AK27" s="22">
        <v>11</v>
      </c>
      <c r="AL27" s="21">
        <v>194</v>
      </c>
      <c r="AM27" s="26">
        <v>0.29754601226993865</v>
      </c>
      <c r="AN27" s="21">
        <f>COUNTIFS((AllCalls26!$AU$15:$AU$5112),"I",(AllCalls26!$K$15:$K$5112),"1")</f>
        <v>16</v>
      </c>
      <c r="AO27" s="18">
        <f>COUNTIFS((AllCalls26!$AU$15:$AU$5112),"I",(AllCalls26!$K$15:$K$5112),"2")</f>
        <v>16</v>
      </c>
      <c r="AP27" s="21">
        <f>COUNTIFS((AllCalls26!$AU$15:$AU$5112),"I",(AllCalls26!$K$15:$K$5112),"3")</f>
        <v>5</v>
      </c>
      <c r="AQ27" s="18">
        <f>COUNTIFS((AllCalls26!$AU$15:$AU$5112),"I",(AllCalls26!$K$15:$K$5112),"4")</f>
        <v>0</v>
      </c>
      <c r="AR27" s="21">
        <f>COUNTIFS((AllCalls26!$AU$15:$AU$5112),"I",(AllCalls26!$K$15:$K$5112),"5")</f>
        <v>0</v>
      </c>
      <c r="AS27" s="18">
        <f>COUNTIFS((AllCalls26!$AU$15:$AU$5112),"I",(AllCalls26!$K$15:$K$5112),"6")</f>
        <v>0</v>
      </c>
      <c r="AT27" s="21">
        <f>COUNTIFS((AllCalls26!$AU$15:$AU$5112),"I",(AllCalls26!$K$15:$K$5112),"7")</f>
        <v>0</v>
      </c>
      <c r="AU27" s="18">
        <f>COUNTIFS((AllCalls26!$AU$15:$AU$5112),"I",(AllCalls26!$K$15:$K$5112),"8")</f>
        <v>0</v>
      </c>
      <c r="AV27" s="21">
        <f>COUNTIFS((AllCalls26!$AU$15:$AU$5112),"I",(AllCalls26!$K$15:$K$5112),"9")</f>
        <v>0</v>
      </c>
      <c r="AW27" s="22">
        <f>COUNTIFS((AllCalls26!$AU$15:$AU$5112),"I",(AllCalls26!$K$15:$K$5112),"10")</f>
        <v>0</v>
      </c>
      <c r="AX27" s="21">
        <f>COUNTIFS((AllCalls26!$AU$15:$AU$5112),"I",(AllCalls26!$K$15:$K$5112),"11")</f>
        <v>0</v>
      </c>
      <c r="AY27" s="22">
        <f>COUNTIFS((AllCalls26!$AU$15:$AU$5112),"I",(AllCalls26!$K$15:$K$5112),"12")</f>
        <v>0</v>
      </c>
      <c r="AZ27" s="21">
        <f t="shared" si="2"/>
        <v>37</v>
      </c>
      <c r="BA27" s="26">
        <f t="shared" si="3"/>
        <v>0.2781954887218045</v>
      </c>
      <c r="BB27" s="12">
        <f t="shared" si="4"/>
        <v>377</v>
      </c>
      <c r="BC27" s="26">
        <f t="shared" ref="BC27:BC31" si="9">(SUM(BB27))/SUM($BB$2)</f>
        <v>0.37106299212598426</v>
      </c>
    </row>
    <row r="28" spans="1:56" x14ac:dyDescent="0.25">
      <c r="A28" s="2" t="s">
        <v>48</v>
      </c>
      <c r="B28" s="21">
        <v>0</v>
      </c>
      <c r="C28" s="22">
        <v>6</v>
      </c>
      <c r="D28" s="12">
        <v>5</v>
      </c>
      <c r="E28" s="13">
        <v>6</v>
      </c>
      <c r="F28" s="12">
        <v>11</v>
      </c>
      <c r="G28" s="13">
        <v>14</v>
      </c>
      <c r="H28" s="12">
        <v>20</v>
      </c>
      <c r="I28" s="13">
        <v>16</v>
      </c>
      <c r="J28" s="12">
        <f t="shared" si="0"/>
        <v>78</v>
      </c>
      <c r="K28" s="26">
        <f t="shared" si="8"/>
        <v>0.24074074074074073</v>
      </c>
      <c r="L28" s="12">
        <v>17</v>
      </c>
      <c r="M28" s="3">
        <v>19</v>
      </c>
      <c r="N28" s="12">
        <v>13</v>
      </c>
      <c r="O28" s="3">
        <v>10</v>
      </c>
      <c r="P28" s="12">
        <v>6</v>
      </c>
      <c r="Q28" s="3">
        <v>5</v>
      </c>
      <c r="R28" s="12">
        <v>12</v>
      </c>
      <c r="S28" s="3">
        <v>16</v>
      </c>
      <c r="T28" s="12">
        <v>12</v>
      </c>
      <c r="U28" s="56">
        <v>9</v>
      </c>
      <c r="V28" s="12">
        <v>15</v>
      </c>
      <c r="W28" s="56">
        <v>6</v>
      </c>
      <c r="X28" s="12">
        <v>140</v>
      </c>
      <c r="Y28" s="26">
        <v>0.24688561721404303</v>
      </c>
      <c r="Z28" s="21">
        <v>9</v>
      </c>
      <c r="AA28" s="60">
        <v>11</v>
      </c>
      <c r="AB28" s="21">
        <v>13</v>
      </c>
      <c r="AC28" s="60">
        <v>10</v>
      </c>
      <c r="AD28" s="21">
        <v>13</v>
      </c>
      <c r="AE28" s="60">
        <v>8</v>
      </c>
      <c r="AF28" s="21">
        <v>7</v>
      </c>
      <c r="AG28" s="60">
        <v>9</v>
      </c>
      <c r="AH28" s="21">
        <v>4</v>
      </c>
      <c r="AI28" s="61">
        <v>5</v>
      </c>
      <c r="AJ28" s="21">
        <v>9</v>
      </c>
      <c r="AK28" s="61">
        <v>14</v>
      </c>
      <c r="AL28" s="21">
        <v>112</v>
      </c>
      <c r="AM28" s="26">
        <v>0.17177914110429449</v>
      </c>
      <c r="AN28" s="21">
        <f>COUNTIFS((AllCalls26!$AV$15:$AV$5112),"I",(AllCalls26!$K$15:$K$5112),"1")</f>
        <v>15</v>
      </c>
      <c r="AO28" s="60">
        <f>COUNTIFS((AllCalls26!$AV$15:$AV$5112),"I",(AllCalls26!$K$15:$K$5112),"2")</f>
        <v>7</v>
      </c>
      <c r="AP28" s="21">
        <f>COUNTIFS((AllCalls26!$AV$15:$AV$5112),"I",(AllCalls26!$K$15:$K$5112),"3")</f>
        <v>2</v>
      </c>
      <c r="AQ28" s="60">
        <f>COUNTIFS((AllCalls26!$AV$15:$AV$5112),"I",(AllCalls26!$K$15:$K$5112),"4")</f>
        <v>0</v>
      </c>
      <c r="AR28" s="21">
        <f>COUNTIFS((AllCalls26!$AV$15:$AV$5112),"I",(AllCalls26!$K$15:$K$5112),"5")</f>
        <v>0</v>
      </c>
      <c r="AS28" s="60">
        <f>COUNTIFS((AllCalls26!$AV$15:$AV$5112),"I",(AllCalls26!$K$15:$K$5112),"6")</f>
        <v>0</v>
      </c>
      <c r="AT28" s="21">
        <f>COUNTIFS((AllCalls26!$AV$15:$AV$5112),"I",(AllCalls26!$K$15:$K$5112),"7")</f>
        <v>0</v>
      </c>
      <c r="AU28" s="60">
        <f>COUNTIFS((AllCalls26!$AV$15:$AV$5112),"I",(AllCalls26!$K$15:$K$5112),"8")</f>
        <v>0</v>
      </c>
      <c r="AV28" s="21">
        <f>COUNTIFS((AllCalls26!$AV$15:$AV$5112),"I",(AllCalls26!$K$15:$K$5112),"9")</f>
        <v>0</v>
      </c>
      <c r="AW28" s="61">
        <f>COUNTIFS((AllCalls26!$AV$15:$AV$5112),"I",(AllCalls26!$K$15:$K$5112),"10")</f>
        <v>0</v>
      </c>
      <c r="AX28" s="21">
        <f>COUNTIFS((AllCalls26!$AV$15:$AV$5112),"I",(AllCalls26!$K$15:$K$5112),"11")</f>
        <v>0</v>
      </c>
      <c r="AY28" s="61">
        <f>COUNTIFS((AllCalls26!$AV$15:$AV$5112),"I",(AllCalls26!$K$15:$K$5112),"12")</f>
        <v>0</v>
      </c>
      <c r="AZ28" s="21">
        <f t="shared" si="2"/>
        <v>24</v>
      </c>
      <c r="BA28" s="26">
        <f t="shared" si="3"/>
        <v>0.18045112781954886</v>
      </c>
      <c r="BB28" s="12">
        <f t="shared" si="4"/>
        <v>242</v>
      </c>
      <c r="BC28" s="26">
        <f t="shared" si="9"/>
        <v>0.23818897637795275</v>
      </c>
    </row>
    <row r="29" spans="1:56" x14ac:dyDescent="0.25">
      <c r="A29" s="2" t="s">
        <v>49</v>
      </c>
      <c r="B29" s="21">
        <v>0</v>
      </c>
      <c r="C29" s="22">
        <v>16</v>
      </c>
      <c r="D29" s="12">
        <v>20</v>
      </c>
      <c r="E29" s="13">
        <v>16</v>
      </c>
      <c r="F29" s="12">
        <v>17</v>
      </c>
      <c r="G29" s="13">
        <v>26</v>
      </c>
      <c r="H29" s="12">
        <v>21</v>
      </c>
      <c r="I29" s="13">
        <v>18</v>
      </c>
      <c r="J29" s="12">
        <f t="shared" si="0"/>
        <v>134</v>
      </c>
      <c r="K29" s="26">
        <f t="shared" si="8"/>
        <v>0.41358024691358025</v>
      </c>
      <c r="L29" s="12">
        <v>21</v>
      </c>
      <c r="M29" s="3">
        <v>20</v>
      </c>
      <c r="N29" s="12">
        <v>22</v>
      </c>
      <c r="O29" s="3">
        <v>19</v>
      </c>
      <c r="P29" s="12">
        <v>24</v>
      </c>
      <c r="Q29" s="3">
        <v>26</v>
      </c>
      <c r="R29" s="12">
        <v>19</v>
      </c>
      <c r="S29" s="3">
        <v>29</v>
      </c>
      <c r="T29" s="12">
        <v>10</v>
      </c>
      <c r="U29" s="56">
        <v>24</v>
      </c>
      <c r="V29" s="12">
        <v>23</v>
      </c>
      <c r="W29" s="56">
        <v>25</v>
      </c>
      <c r="X29" s="12">
        <v>262</v>
      </c>
      <c r="Y29" s="26">
        <v>0.44847112117780297</v>
      </c>
      <c r="Z29" s="21">
        <v>21</v>
      </c>
      <c r="AA29" s="60">
        <v>19</v>
      </c>
      <c r="AB29" s="114">
        <v>0</v>
      </c>
      <c r="AC29" s="124">
        <v>0</v>
      </c>
      <c r="AD29" s="114">
        <v>0</v>
      </c>
      <c r="AE29" s="124">
        <v>0</v>
      </c>
      <c r="AF29" s="114">
        <v>1</v>
      </c>
      <c r="AG29" s="60">
        <v>29</v>
      </c>
      <c r="AH29" s="21">
        <v>25</v>
      </c>
      <c r="AI29" s="61">
        <v>17</v>
      </c>
      <c r="AJ29" s="21">
        <v>18</v>
      </c>
      <c r="AK29" s="61">
        <v>54</v>
      </c>
      <c r="AL29" s="21">
        <v>184</v>
      </c>
      <c r="AM29" s="26">
        <v>0.2822085889570552</v>
      </c>
      <c r="AN29" s="21">
        <f>COUNTIFS((AllCalls26!$AW$15:$AW$5112),"I",(AllCalls26!$K$15:$K$5112),"1")</f>
        <v>22</v>
      </c>
      <c r="AO29" s="18">
        <f>COUNTIFS((AllCalls26!$AW$15:$AW$5112),"I",(AllCalls26!$K$15:$K$5112),"2")</f>
        <v>25</v>
      </c>
      <c r="AP29" s="21">
        <f>COUNTIFS((AllCalls26!$AW$15:$AW$5112),"I",(AllCalls26!$K$15:$K$5112),"3")</f>
        <v>18</v>
      </c>
      <c r="AQ29" s="18">
        <f>COUNTIFS((AllCalls26!$AW$15:$AW$5112),"I",(AllCalls26!$K$15:$K$5112),"4")</f>
        <v>0</v>
      </c>
      <c r="AR29" s="21">
        <f>COUNTIFS((AllCalls26!$AW$15:$AW$5112),"I",(AllCalls26!$K$15:$K$5112),"5")</f>
        <v>0</v>
      </c>
      <c r="AS29" s="18">
        <f>COUNTIFS((AllCalls26!$AW$15:$AW$5112),"I",(AllCalls26!$K$15:$K$5112),"6")</f>
        <v>0</v>
      </c>
      <c r="AT29" s="21">
        <f>COUNTIFS((AllCalls26!$AW$15:$AW$5112),"I",(AllCalls26!$K$15:$K$5112),"7")</f>
        <v>0</v>
      </c>
      <c r="AU29" s="18">
        <f>COUNTIFS((AllCalls26!$AW$15:$AW$5112),"I",(AllCalls26!$K$15:$K$5112),"8")</f>
        <v>0</v>
      </c>
      <c r="AV29" s="21">
        <f>COUNTIFS((AllCalls26!$AW$15:$AW$5112),"I",(AllCalls26!$K$15:$K$5112),"9")</f>
        <v>0</v>
      </c>
      <c r="AW29" s="22">
        <f>COUNTIFS((AllCalls26!$AW$15:$AW$5112),"I",(AllCalls26!$K$15:$K$5112),"10")</f>
        <v>0</v>
      </c>
      <c r="AX29" s="21">
        <f>COUNTIFS((AllCalls26!$AW$15:$AW$5112),"I",(AllCalls26!$K$15:$K$5112),"11")</f>
        <v>0</v>
      </c>
      <c r="AY29" s="22">
        <f>COUNTIFS((AllCalls26!$AW$15:$AW$5112),"I",(AllCalls26!$K$15:$K$5112),"12")</f>
        <v>0</v>
      </c>
      <c r="AZ29" s="21">
        <f t="shared" si="2"/>
        <v>65</v>
      </c>
      <c r="BA29" s="26">
        <f t="shared" si="3"/>
        <v>0.48872180451127817</v>
      </c>
      <c r="BB29" s="12">
        <f t="shared" si="4"/>
        <v>461</v>
      </c>
      <c r="BC29" s="26">
        <f t="shared" si="9"/>
        <v>0.45374015748031499</v>
      </c>
    </row>
    <row r="30" spans="1:56" x14ac:dyDescent="0.25">
      <c r="A30" s="2" t="s">
        <v>50</v>
      </c>
      <c r="B30" s="21">
        <v>0</v>
      </c>
      <c r="C30" s="22">
        <v>14</v>
      </c>
      <c r="D30" s="12">
        <v>12</v>
      </c>
      <c r="E30" s="13">
        <v>6</v>
      </c>
      <c r="F30" s="12">
        <v>13</v>
      </c>
      <c r="G30" s="13">
        <v>8</v>
      </c>
      <c r="H30" s="12">
        <v>14</v>
      </c>
      <c r="I30" s="13">
        <v>10</v>
      </c>
      <c r="J30" s="12">
        <f t="shared" si="0"/>
        <v>77</v>
      </c>
      <c r="K30" s="26">
        <f t="shared" si="8"/>
        <v>0.23765432098765432</v>
      </c>
      <c r="L30" s="12">
        <v>0</v>
      </c>
      <c r="M30" s="3">
        <v>7</v>
      </c>
      <c r="N30" s="12">
        <v>6</v>
      </c>
      <c r="O30" s="3">
        <v>19</v>
      </c>
      <c r="P30" s="12">
        <v>25</v>
      </c>
      <c r="Q30" s="3">
        <v>17</v>
      </c>
      <c r="R30" s="12">
        <v>19</v>
      </c>
      <c r="S30" s="3">
        <v>7</v>
      </c>
      <c r="T30" s="12">
        <v>15</v>
      </c>
      <c r="U30" s="56">
        <v>16</v>
      </c>
      <c r="V30" s="12">
        <v>25</v>
      </c>
      <c r="W30" s="56">
        <v>9</v>
      </c>
      <c r="X30" s="12">
        <v>165</v>
      </c>
      <c r="Y30" s="26">
        <v>0.27406568516421292</v>
      </c>
      <c r="Z30" s="21">
        <v>0</v>
      </c>
      <c r="AA30" s="18">
        <v>15</v>
      </c>
      <c r="AB30" s="21">
        <v>36</v>
      </c>
      <c r="AC30" s="18">
        <v>27</v>
      </c>
      <c r="AD30" s="21">
        <v>29</v>
      </c>
      <c r="AE30" s="18">
        <v>19</v>
      </c>
      <c r="AF30" s="21">
        <v>17</v>
      </c>
      <c r="AG30" s="18">
        <v>12</v>
      </c>
      <c r="AH30" s="21">
        <v>30</v>
      </c>
      <c r="AI30" s="22">
        <v>16</v>
      </c>
      <c r="AJ30" s="21">
        <v>14</v>
      </c>
      <c r="AK30" s="22">
        <v>17</v>
      </c>
      <c r="AL30" s="21">
        <v>232</v>
      </c>
      <c r="AM30" s="26">
        <v>0.35582822085889571</v>
      </c>
      <c r="AN30" s="21">
        <f>COUNTIFS((AllCalls26!$AX$15:$AX$5112),"I",(AllCalls26!$K$15:$K$5112),"1")</f>
        <v>0</v>
      </c>
      <c r="AO30" s="60">
        <f>COUNTIFS((AllCalls26!$AX$15:$AX$5112),"I",(AllCalls26!$K$15:$K$5112),"2")</f>
        <v>20</v>
      </c>
      <c r="AP30" s="21">
        <f>COUNTIFS((AllCalls26!$AX$15:$AX$5112),"I",(AllCalls26!$K$15:$K$5112),"3")</f>
        <v>10</v>
      </c>
      <c r="AQ30" s="60">
        <f>COUNTIFS((AllCalls26!$AX$15:$AX$5112),"I",(AllCalls26!$K$15:$K$5112),"4")</f>
        <v>0</v>
      </c>
      <c r="AR30" s="21">
        <f>COUNTIFS((AllCalls26!$AX$15:$AX$5112),"I",(AllCalls26!$K$15:$K$5112),"5")</f>
        <v>0</v>
      </c>
      <c r="AS30" s="60">
        <f>COUNTIFS((AllCalls26!$AX$15:$AX$5112),"I",(AllCalls26!$K$15:$K$5112),"6")</f>
        <v>0</v>
      </c>
      <c r="AT30" s="21">
        <f>COUNTIFS((AllCalls26!$AX$15:$AX$5112),"I",(AllCalls26!$K$15:$K$5112),"7")</f>
        <v>0</v>
      </c>
      <c r="AU30" s="60">
        <f>COUNTIFS((AllCalls26!$AX$15:$AX$5112),"I",(AllCalls26!$K$15:$K$5112),"8")</f>
        <v>0</v>
      </c>
      <c r="AV30" s="21">
        <f>COUNTIFS((AllCalls26!$AX$15:$AX$5112),"I",(AllCalls26!$K$15:$K$5112),"9")</f>
        <v>0</v>
      </c>
      <c r="AW30" s="61">
        <f>COUNTIFS((AllCalls26!$AX$15:$AX$5112),"I",(AllCalls26!$K$15:$K$5112),"10")</f>
        <v>0</v>
      </c>
      <c r="AX30" s="21">
        <f>COUNTIFS((AllCalls26!$AX$15:$AX$5112),"I",(AllCalls26!$K$15:$K$5112),"11")</f>
        <v>0</v>
      </c>
      <c r="AY30" s="61">
        <f>COUNTIFS((AllCalls26!$AX$15:$AX$5112),"I",(AllCalls26!$K$15:$K$5112),"12")</f>
        <v>0</v>
      </c>
      <c r="AZ30" s="21">
        <f t="shared" si="2"/>
        <v>30</v>
      </c>
      <c r="BA30" s="26">
        <f t="shared" si="3"/>
        <v>0.22556390977443608</v>
      </c>
      <c r="BB30" s="12">
        <f t="shared" si="4"/>
        <v>272</v>
      </c>
      <c r="BC30" s="26">
        <f t="shared" si="9"/>
        <v>0.26771653543307089</v>
      </c>
    </row>
    <row r="31" spans="1:56" x14ac:dyDescent="0.25">
      <c r="A31" s="2" t="s">
        <v>51</v>
      </c>
      <c r="B31" s="52"/>
      <c r="C31" s="22">
        <v>0</v>
      </c>
      <c r="D31" s="12">
        <v>1</v>
      </c>
      <c r="E31" s="13">
        <v>1</v>
      </c>
      <c r="F31" s="12">
        <v>0</v>
      </c>
      <c r="G31" s="13">
        <v>4</v>
      </c>
      <c r="H31" s="12">
        <v>7</v>
      </c>
      <c r="I31" s="13">
        <v>6</v>
      </c>
      <c r="J31" s="12">
        <f t="shared" si="0"/>
        <v>19</v>
      </c>
      <c r="K31" s="26">
        <f t="shared" si="8"/>
        <v>5.8641975308641972E-2</v>
      </c>
      <c r="L31" s="12">
        <v>12</v>
      </c>
      <c r="M31" s="3">
        <v>10</v>
      </c>
      <c r="N31" s="12">
        <v>3</v>
      </c>
      <c r="O31" s="3">
        <v>4</v>
      </c>
      <c r="P31" s="12">
        <v>12</v>
      </c>
      <c r="Q31" s="3">
        <v>8</v>
      </c>
      <c r="R31" s="12">
        <v>14</v>
      </c>
      <c r="S31" s="3">
        <v>16</v>
      </c>
      <c r="T31" s="12">
        <v>9</v>
      </c>
      <c r="U31" s="56">
        <v>15</v>
      </c>
      <c r="V31" s="12">
        <v>11</v>
      </c>
      <c r="W31" s="56">
        <v>12</v>
      </c>
      <c r="X31" s="12">
        <v>126</v>
      </c>
      <c r="Y31" s="26">
        <v>0.16421291053227632</v>
      </c>
      <c r="Z31" s="21">
        <v>12</v>
      </c>
      <c r="AA31" s="18">
        <v>20</v>
      </c>
      <c r="AB31" s="21">
        <v>19</v>
      </c>
      <c r="AC31" s="18">
        <v>7</v>
      </c>
      <c r="AD31" s="21">
        <v>19</v>
      </c>
      <c r="AE31" s="18">
        <v>5</v>
      </c>
      <c r="AF31" s="21">
        <v>11</v>
      </c>
      <c r="AG31" s="18">
        <v>6</v>
      </c>
      <c r="AH31" s="21">
        <v>18</v>
      </c>
      <c r="AI31" s="22">
        <v>12</v>
      </c>
      <c r="AJ31" s="21">
        <v>12</v>
      </c>
      <c r="AK31" s="22">
        <v>39</v>
      </c>
      <c r="AL31" s="21">
        <v>180</v>
      </c>
      <c r="AM31" s="26">
        <v>0.27607361963190186</v>
      </c>
      <c r="AN31" s="21">
        <f>COUNTIFS((AllCalls26!$AY$15:$AY$5112),"I",(AllCalls26!$K$15:$K$5112),"1")</f>
        <v>16</v>
      </c>
      <c r="AO31" s="18">
        <f>COUNTIFS((AllCalls26!$AY$15:$AY$5112),"I",(AllCalls26!$K$15:$K$5112),"2")</f>
        <v>12</v>
      </c>
      <c r="AP31" s="21">
        <f>COUNTIFS((AllCalls26!$AY$15:$AY$5112),"I",(AllCalls26!$K$15:$K$5112),"3")</f>
        <v>11</v>
      </c>
      <c r="AQ31" s="18">
        <f>COUNTIFS((AllCalls26!$AY$15:$AY$5112),"I",(AllCalls26!$K$15:$K$5112),"4")</f>
        <v>0</v>
      </c>
      <c r="AR31" s="21">
        <f>COUNTIFS((AllCalls26!$AY$15:$AY$5112),"I",(AllCalls26!$K$15:$K$5112),"5")</f>
        <v>0</v>
      </c>
      <c r="AS31" s="18">
        <f>COUNTIFS((AllCalls26!$AY$15:$AY$5112),"I",(AllCalls26!$K$15:$K$5112),"6")</f>
        <v>0</v>
      </c>
      <c r="AT31" s="21">
        <f>COUNTIFS((AllCalls26!$AY$15:$AY$5112),"I",(AllCalls26!$K$15:$K$5112),"7")</f>
        <v>0</v>
      </c>
      <c r="AU31" s="18">
        <f>COUNTIFS((AllCalls26!$AY$15:$AY$5112),"I",(AllCalls26!$K$15:$K$5112),"8")</f>
        <v>0</v>
      </c>
      <c r="AV31" s="21">
        <f>COUNTIFS((AllCalls26!$AY$15:$AY$5112),"I",(AllCalls26!$K$15:$K$5112),"9")</f>
        <v>0</v>
      </c>
      <c r="AW31" s="22">
        <f>COUNTIFS((AllCalls26!$AY$15:$AY$5112),"I",(AllCalls26!$K$15:$K$5112),"10")</f>
        <v>0</v>
      </c>
      <c r="AX31" s="21">
        <f>COUNTIFS((AllCalls26!$AY$15:$AY$5112),"I",(AllCalls26!$K$15:$K$5112),"11")</f>
        <v>0</v>
      </c>
      <c r="AY31" s="22">
        <f>COUNTIFS((AllCalls26!$AY$15:$AY$5112),"I",(AllCalls26!$K$15:$K$5112),"12")</f>
        <v>0</v>
      </c>
      <c r="AZ31" s="21">
        <f t="shared" si="2"/>
        <v>39</v>
      </c>
      <c r="BA31" s="26">
        <f t="shared" si="3"/>
        <v>0.2932330827067669</v>
      </c>
      <c r="BB31" s="12">
        <f t="shared" si="4"/>
        <v>184</v>
      </c>
      <c r="BC31" s="26">
        <f t="shared" si="9"/>
        <v>0.18110236220472442</v>
      </c>
    </row>
    <row r="32" spans="1:56" x14ac:dyDescent="0.25">
      <c r="A32" s="2" t="s">
        <v>626</v>
      </c>
      <c r="B32" s="52"/>
      <c r="C32" s="185"/>
      <c r="D32" s="186"/>
      <c r="E32" s="13"/>
      <c r="F32" s="12"/>
      <c r="G32" s="13"/>
      <c r="H32" s="12"/>
      <c r="I32" s="13"/>
      <c r="J32" s="187">
        <f>SUM(B33:I33)</f>
        <v>70</v>
      </c>
      <c r="K32" s="26"/>
      <c r="L32" s="12"/>
      <c r="M32" s="3"/>
      <c r="N32" s="12"/>
      <c r="O32" s="3"/>
      <c r="P32" s="12"/>
      <c r="Q32" s="3"/>
      <c r="R32" s="12"/>
      <c r="S32" s="3"/>
      <c r="T32" s="12"/>
      <c r="U32" s="12"/>
      <c r="V32" s="12"/>
      <c r="W32" s="56"/>
      <c r="X32" s="187"/>
      <c r="Y32" s="26"/>
      <c r="Z32" s="52"/>
      <c r="AA32" s="151"/>
      <c r="AB32" s="52"/>
      <c r="AC32" s="151"/>
      <c r="AD32" s="52"/>
      <c r="AE32" s="151"/>
      <c r="AF32" s="52"/>
      <c r="AG32" s="151"/>
      <c r="AH32" s="21"/>
      <c r="AI32" s="61"/>
      <c r="AJ32" s="21"/>
      <c r="AK32" s="61"/>
      <c r="AL32" s="21"/>
      <c r="AM32" s="26"/>
      <c r="AN32" s="21"/>
      <c r="AO32" s="18"/>
      <c r="AP32" s="21"/>
      <c r="AQ32" s="18"/>
      <c r="AR32" s="21"/>
      <c r="AS32" s="18"/>
      <c r="AT32" s="21"/>
      <c r="AU32" s="18"/>
      <c r="AV32" s="21"/>
      <c r="AW32" s="22"/>
      <c r="AX32" s="21"/>
      <c r="AY32" s="22"/>
      <c r="AZ32" s="21"/>
      <c r="BA32" s="26"/>
      <c r="BB32" s="12"/>
      <c r="BC32" s="26"/>
    </row>
    <row r="33" spans="1:56" x14ac:dyDescent="0.25">
      <c r="A33" s="2" t="s">
        <v>52</v>
      </c>
      <c r="B33" s="21">
        <v>9</v>
      </c>
      <c r="C33" s="29">
        <v>13</v>
      </c>
      <c r="D33" s="12">
        <v>12</v>
      </c>
      <c r="E33" s="13">
        <v>0</v>
      </c>
      <c r="F33" s="12">
        <v>0</v>
      </c>
      <c r="G33" s="13">
        <v>10</v>
      </c>
      <c r="H33" s="12">
        <v>11</v>
      </c>
      <c r="I33" s="13">
        <v>15</v>
      </c>
      <c r="J33" s="12">
        <f t="shared" si="0"/>
        <v>70</v>
      </c>
      <c r="K33" s="26">
        <f t="shared" si="1"/>
        <v>0.21604938271604937</v>
      </c>
      <c r="L33" s="12">
        <v>24</v>
      </c>
      <c r="M33" s="3">
        <v>16</v>
      </c>
      <c r="N33" s="12">
        <v>16</v>
      </c>
      <c r="O33" s="3">
        <v>14</v>
      </c>
      <c r="P33" s="12">
        <v>20</v>
      </c>
      <c r="Q33" s="3">
        <v>19</v>
      </c>
      <c r="R33" s="12">
        <v>17</v>
      </c>
      <c r="S33" s="66">
        <v>0</v>
      </c>
      <c r="T33" s="67">
        <v>0</v>
      </c>
      <c r="U33" s="65">
        <v>8</v>
      </c>
      <c r="V33" s="67">
        <v>9</v>
      </c>
      <c r="W33" s="65">
        <v>2</v>
      </c>
      <c r="X33" s="12">
        <v>145</v>
      </c>
      <c r="Y33" s="26">
        <v>0.2434881087202718</v>
      </c>
      <c r="Z33" s="114">
        <v>1</v>
      </c>
      <c r="AA33" s="137">
        <v>0</v>
      </c>
      <c r="AB33" s="114">
        <v>9</v>
      </c>
      <c r="AC33" s="137">
        <v>7</v>
      </c>
      <c r="AD33" s="21">
        <v>4</v>
      </c>
      <c r="AE33" s="18">
        <v>6</v>
      </c>
      <c r="AF33" s="21">
        <v>13</v>
      </c>
      <c r="AG33" s="18">
        <v>14</v>
      </c>
      <c r="AH33" s="21">
        <v>18</v>
      </c>
      <c r="AI33" s="22">
        <v>7</v>
      </c>
      <c r="AJ33" s="21">
        <v>19</v>
      </c>
      <c r="AK33" s="22">
        <v>37</v>
      </c>
      <c r="AL33" s="21">
        <v>135</v>
      </c>
      <c r="AM33" s="26">
        <v>0.20705521472392638</v>
      </c>
      <c r="AN33" s="21">
        <f>COUNTIFS((AllCalls26!$BA$15:$BA$5112),"I",(AllCalls26!$K$15:$K$5112),"1")</f>
        <v>13</v>
      </c>
      <c r="AO33" s="60">
        <f>COUNTIFS((AllCalls26!$BA$15:$BA$5112),"I",(AllCalls26!$K$15:$K$5112),"2")</f>
        <v>13</v>
      </c>
      <c r="AP33" s="21">
        <f>COUNTIFS((AllCalls26!$BA$15:$BA$5112),"I",(AllCalls26!$K$15:$K$5112),"3")</f>
        <v>10</v>
      </c>
      <c r="AQ33" s="60">
        <f>COUNTIFS((AllCalls26!$BA$15:$BA$5112),"I",(AllCalls26!$K$15:$K$5112),"4")</f>
        <v>0</v>
      </c>
      <c r="AR33" s="21">
        <f>COUNTIFS((AllCalls26!$BA$15:$BA$5112),"I",(AllCalls26!$K$15:$K$5112),"5")</f>
        <v>0</v>
      </c>
      <c r="AS33" s="60">
        <f>COUNTIFS((AllCalls26!$BA$15:$BA$5112),"I",(AllCalls26!$K$15:$K$5112),"6")</f>
        <v>0</v>
      </c>
      <c r="AT33" s="21">
        <f>COUNTIFS((AllCalls26!$BA$15:$BA$5112),"I",(AllCalls26!$K$15:$K$5112),"7")</f>
        <v>0</v>
      </c>
      <c r="AU33" s="60">
        <f>COUNTIFS((AllCalls26!$BA$15:$BA$5112),"I",(AllCalls26!$K$15:$K$5112),"8")</f>
        <v>0</v>
      </c>
      <c r="AV33" s="21">
        <f>COUNTIFS((AllCalls26!$BA$15:$BA$5112),"I",(AllCalls26!$K$15:$K$5112),"9")</f>
        <v>0</v>
      </c>
      <c r="AW33" s="61">
        <f>COUNTIFS((AllCalls26!$BA$15:$BA$5112),"I",(AllCalls26!$K$15:$K$5112),"10")</f>
        <v>0</v>
      </c>
      <c r="AX33" s="21">
        <f>COUNTIFS((AllCalls26!$BA$15:$BA$5112),"I",(AllCalls26!$K$15:$K$5112),"11")</f>
        <v>0</v>
      </c>
      <c r="AY33" s="61">
        <f>COUNTIFS((AllCalls26!$BA$15:$BA$5112),"I",(AllCalls26!$K$15:$K$5112),"12")</f>
        <v>0</v>
      </c>
      <c r="AZ33" s="21">
        <f t="shared" si="2"/>
        <v>36</v>
      </c>
      <c r="BA33" s="26">
        <f>(SUM($AZ33))/SUM($AZ$2)</f>
        <v>0.27067669172932329</v>
      </c>
      <c r="BB33" s="12">
        <f t="shared" si="4"/>
        <v>251</v>
      </c>
      <c r="BC33" s="26">
        <f t="shared" si="5"/>
        <v>0.24704724409448819</v>
      </c>
    </row>
    <row r="34" spans="1:56" x14ac:dyDescent="0.25">
      <c r="A34" s="2" t="s">
        <v>53</v>
      </c>
      <c r="B34" s="21">
        <v>6</v>
      </c>
      <c r="C34" s="22">
        <v>24</v>
      </c>
      <c r="D34" s="12">
        <v>31</v>
      </c>
      <c r="E34" s="13">
        <v>18</v>
      </c>
      <c r="F34" s="12">
        <v>21</v>
      </c>
      <c r="G34" s="13">
        <v>25</v>
      </c>
      <c r="H34" s="12">
        <v>27</v>
      </c>
      <c r="I34" s="13">
        <v>21</v>
      </c>
      <c r="J34" s="12">
        <f t="shared" si="0"/>
        <v>173</v>
      </c>
      <c r="K34" s="26">
        <f t="shared" si="1"/>
        <v>0.53395061728395066</v>
      </c>
      <c r="L34" s="12">
        <v>21</v>
      </c>
      <c r="M34" s="3">
        <v>14</v>
      </c>
      <c r="N34" s="12">
        <v>13</v>
      </c>
      <c r="O34" s="3">
        <v>9</v>
      </c>
      <c r="P34" s="12">
        <v>8</v>
      </c>
      <c r="Q34" s="3">
        <v>3</v>
      </c>
      <c r="R34" s="12">
        <v>6</v>
      </c>
      <c r="S34" s="3">
        <v>7</v>
      </c>
      <c r="T34" s="12">
        <v>5</v>
      </c>
      <c r="U34" s="56">
        <v>8</v>
      </c>
      <c r="V34" s="12">
        <v>5</v>
      </c>
      <c r="W34" s="56">
        <v>8</v>
      </c>
      <c r="X34" s="12">
        <v>107</v>
      </c>
      <c r="Y34" s="26">
        <v>0.31710079275198189</v>
      </c>
      <c r="Z34" s="21">
        <v>2</v>
      </c>
      <c r="AA34" s="60">
        <v>9</v>
      </c>
      <c r="AB34" s="21">
        <v>21</v>
      </c>
      <c r="AC34" s="60">
        <v>15</v>
      </c>
      <c r="AD34" s="21">
        <v>34</v>
      </c>
      <c r="AE34" s="60">
        <v>7</v>
      </c>
      <c r="AF34" s="21">
        <v>17</v>
      </c>
      <c r="AG34" s="60">
        <v>15</v>
      </c>
      <c r="AH34" s="21">
        <v>16</v>
      </c>
      <c r="AI34" s="61">
        <v>4</v>
      </c>
      <c r="AJ34" s="21">
        <v>23</v>
      </c>
      <c r="AK34" s="61">
        <v>44</v>
      </c>
      <c r="AL34" s="21">
        <v>207</v>
      </c>
      <c r="AM34" s="26">
        <v>0.31748466257668712</v>
      </c>
      <c r="AN34" s="21">
        <f>COUNTIFS((AllCalls26!$BB$15:$BB$5112),"I",(AllCalls26!$K$15:$K$5112),"1")</f>
        <v>14</v>
      </c>
      <c r="AO34" s="18">
        <f>COUNTIFS((AllCalls26!$BB$15:$BB$5112),"I",(AllCalls26!$K$15:$K$5112),"2")</f>
        <v>14</v>
      </c>
      <c r="AP34" s="21">
        <f>COUNTIFS((AllCalls26!$BB$15:$BB$5112),"I",(AllCalls26!$K$15:$K$5112),"3")</f>
        <v>7</v>
      </c>
      <c r="AQ34" s="18">
        <f>COUNTIFS((AllCalls26!$BB$15:$BB$5112),"I",(AllCalls26!$K$15:$K$5112),"4")</f>
        <v>0</v>
      </c>
      <c r="AR34" s="21">
        <f>COUNTIFS((AllCalls26!$BB$15:$BB$5112),"I",(AllCalls26!$K$15:$K$5112),"5")</f>
        <v>0</v>
      </c>
      <c r="AS34" s="18">
        <f>COUNTIFS((AllCalls26!$BB$15:$BB$5112),"I",(AllCalls26!$K$15:$K$5112),"6")</f>
        <v>0</v>
      </c>
      <c r="AT34" s="21">
        <f>COUNTIFS((AllCalls26!$BB$15:$BB$5112),"I",(AllCalls26!$K$15:$K$5112),"7")</f>
        <v>0</v>
      </c>
      <c r="AU34" s="18">
        <f>COUNTIFS((AllCalls26!$BB$15:$BB$5112),"I",(AllCalls26!$K$15:$K$5112),"8")</f>
        <v>0</v>
      </c>
      <c r="AV34" s="21">
        <f>COUNTIFS((AllCalls26!$BB$15:$BB$5112),"I",(AllCalls26!$K$15:$K$5112),"9")</f>
        <v>0</v>
      </c>
      <c r="AW34" s="22">
        <f>COUNTIFS((AllCalls26!$BB$15:$BB$5112),"I",(AllCalls26!$K$15:$K$5112),"10")</f>
        <v>0</v>
      </c>
      <c r="AX34" s="21">
        <f>COUNTIFS((AllCalls26!$BB$15:$BB$5112),"I",(AllCalls26!$K$15:$K$5112),"11")</f>
        <v>0</v>
      </c>
      <c r="AY34" s="22">
        <f>COUNTIFS((AllCalls26!$BB$15:$BB$5112),"I",(AllCalls26!$K$15:$K$5112),"12")</f>
        <v>0</v>
      </c>
      <c r="AZ34" s="21">
        <f t="shared" si="2"/>
        <v>35</v>
      </c>
      <c r="BA34" s="26">
        <f t="shared" si="3"/>
        <v>0.26315789473684209</v>
      </c>
      <c r="BB34" s="12">
        <f t="shared" si="4"/>
        <v>315</v>
      </c>
      <c r="BC34" s="26">
        <f t="shared" si="5"/>
        <v>0.31003937007874016</v>
      </c>
    </row>
    <row r="35" spans="1:56" x14ac:dyDescent="0.25">
      <c r="A35" s="2" t="s">
        <v>54</v>
      </c>
      <c r="B35" s="21">
        <v>0</v>
      </c>
      <c r="C35" s="22">
        <v>6</v>
      </c>
      <c r="D35" s="12">
        <v>5</v>
      </c>
      <c r="E35" s="13">
        <v>3</v>
      </c>
      <c r="F35" s="12">
        <v>10</v>
      </c>
      <c r="G35" s="13">
        <v>8</v>
      </c>
      <c r="H35" s="12">
        <v>5</v>
      </c>
      <c r="I35" s="13">
        <v>3</v>
      </c>
      <c r="J35" s="12">
        <f>SUM($B35:$I35)</f>
        <v>40</v>
      </c>
      <c r="K35" s="26">
        <f t="shared" si="1"/>
        <v>0.12345679012345678</v>
      </c>
      <c r="L35" s="12">
        <v>6</v>
      </c>
      <c r="M35" s="3">
        <v>10</v>
      </c>
      <c r="N35" s="12">
        <v>3</v>
      </c>
      <c r="O35" s="3">
        <v>6</v>
      </c>
      <c r="P35" s="67">
        <v>0</v>
      </c>
      <c r="Q35" s="66">
        <v>0</v>
      </c>
      <c r="R35" s="67">
        <v>0</v>
      </c>
      <c r="S35" s="66">
        <v>2</v>
      </c>
      <c r="T35" s="67">
        <v>0</v>
      </c>
      <c r="U35" s="65">
        <v>0</v>
      </c>
      <c r="V35" s="67">
        <v>0</v>
      </c>
      <c r="W35" s="65">
        <v>2</v>
      </c>
      <c r="X35" s="12">
        <v>29</v>
      </c>
      <c r="Y35" s="26">
        <v>7.8142695356738387E-2</v>
      </c>
      <c r="Z35" s="21">
        <v>5</v>
      </c>
      <c r="AA35" s="60">
        <v>8</v>
      </c>
      <c r="AB35" s="21">
        <v>18</v>
      </c>
      <c r="AC35" s="60">
        <v>8</v>
      </c>
      <c r="AD35" s="21">
        <v>0</v>
      </c>
      <c r="AE35" s="60">
        <v>11</v>
      </c>
      <c r="AF35" s="21">
        <v>17</v>
      </c>
      <c r="AG35" s="60">
        <v>12</v>
      </c>
      <c r="AH35" s="21">
        <v>18</v>
      </c>
      <c r="AI35" s="61">
        <v>9</v>
      </c>
      <c r="AJ35" s="21">
        <v>15</v>
      </c>
      <c r="AK35" s="61">
        <v>11</v>
      </c>
      <c r="AL35" s="21">
        <v>132</v>
      </c>
      <c r="AM35" s="26">
        <v>0.20245398773006135</v>
      </c>
      <c r="AN35" s="21">
        <f>COUNTIFS((AllCalls26!$BC$15:$BC$5112),"I",(AllCalls26!$K$15:$K$5112),"1")</f>
        <v>15</v>
      </c>
      <c r="AO35" s="60">
        <f>COUNTIFS((AllCalls26!$BC$15:$BC$5112),"I",(AllCalls26!$K$15:$K$5112),"2")</f>
        <v>2</v>
      </c>
      <c r="AP35" s="21">
        <f>COUNTIFS((AllCalls26!$BC$15:$BC$5112),"I",(AllCalls26!$K$15:$K$5112),"3")</f>
        <v>8</v>
      </c>
      <c r="AQ35" s="60">
        <f>COUNTIFS((AllCalls26!$BC$15:$BC$5112),"I",(AllCalls26!$K$15:$K$5112),"4")</f>
        <v>0</v>
      </c>
      <c r="AR35" s="21">
        <f>COUNTIFS((AllCalls26!$BC$15:$BC$5112),"I",(AllCalls26!$K$15:$K$5112),"5")</f>
        <v>0</v>
      </c>
      <c r="AS35" s="60">
        <f>COUNTIFS((AllCalls26!$BC$15:$BC$5112),"I",(AllCalls26!$K$15:$K$5112),"6")</f>
        <v>0</v>
      </c>
      <c r="AT35" s="21">
        <f>COUNTIFS((AllCalls26!$BC$15:$BC$5112),"I",(AllCalls26!$K$15:$K$5112),"7")</f>
        <v>0</v>
      </c>
      <c r="AU35" s="60">
        <f>COUNTIFS((AllCalls26!$BC$15:$BC$5112),"I",(AllCalls26!$K$15:$K$5112),"8")</f>
        <v>0</v>
      </c>
      <c r="AV35" s="21">
        <f>COUNTIFS((AllCalls26!$BC$15:$BC$5112),"I",(AllCalls26!$K$15:$K$5112),"9")</f>
        <v>0</v>
      </c>
      <c r="AW35" s="61">
        <f>COUNTIFS((AllCalls26!$BC$15:$BC$5112),"I",(AllCalls26!$K$15:$K$5112),"10")</f>
        <v>0</v>
      </c>
      <c r="AX35" s="21">
        <f>COUNTIFS((AllCalls26!$BC$15:$BC$5112),"I",(AllCalls26!$K$15:$K$5112),"11")</f>
        <v>0</v>
      </c>
      <c r="AY35" s="61">
        <f>COUNTIFS((AllCalls26!$BC$15:$BC$5112),"I",(AllCalls26!$K$15:$K$5112),"12")</f>
        <v>0</v>
      </c>
      <c r="AZ35" s="21">
        <f t="shared" si="2"/>
        <v>25</v>
      </c>
      <c r="BA35" s="26">
        <f>(SUM($AZ35))/SUM($AZ$2)</f>
        <v>0.18796992481203006</v>
      </c>
      <c r="BB35" s="12">
        <f t="shared" si="4"/>
        <v>94</v>
      </c>
      <c r="BC35" s="26">
        <f>(SUM(BB35))/SUM($BB$2)</f>
        <v>9.2519685039370081E-2</v>
      </c>
      <c r="BD35" t="s">
        <v>55</v>
      </c>
    </row>
    <row r="36" spans="1:56" x14ac:dyDescent="0.25">
      <c r="A36" s="2" t="s">
        <v>56</v>
      </c>
      <c r="B36" s="16"/>
      <c r="C36" s="16"/>
      <c r="D36" s="16"/>
      <c r="E36" s="16"/>
      <c r="F36" s="12">
        <v>2</v>
      </c>
      <c r="G36" s="3">
        <v>2</v>
      </c>
      <c r="H36" s="12">
        <v>7</v>
      </c>
      <c r="I36" s="3">
        <v>2</v>
      </c>
      <c r="J36" s="12">
        <f>SUM($B36:$I36)</f>
        <v>13</v>
      </c>
      <c r="K36" s="26">
        <f t="shared" si="1"/>
        <v>4.0123456790123455E-2</v>
      </c>
      <c r="L36" s="12">
        <v>8</v>
      </c>
      <c r="M36" s="3">
        <v>2</v>
      </c>
      <c r="N36" s="12">
        <v>0</v>
      </c>
      <c r="O36" s="3">
        <v>2</v>
      </c>
      <c r="P36" s="12">
        <v>3</v>
      </c>
      <c r="Q36" s="3">
        <v>0</v>
      </c>
      <c r="R36" s="12">
        <v>1</v>
      </c>
      <c r="S36" s="3">
        <v>7</v>
      </c>
      <c r="T36" s="12">
        <v>11</v>
      </c>
      <c r="U36" s="56">
        <v>7</v>
      </c>
      <c r="V36" s="12">
        <v>12</v>
      </c>
      <c r="W36" s="56">
        <v>9</v>
      </c>
      <c r="X36" s="12">
        <v>62</v>
      </c>
      <c r="Y36" s="26">
        <v>0.10273972602739725</v>
      </c>
      <c r="Z36" s="21">
        <v>14</v>
      </c>
      <c r="AA36" s="18">
        <v>10</v>
      </c>
      <c r="AB36" s="21">
        <v>6</v>
      </c>
      <c r="AC36" s="18">
        <v>8</v>
      </c>
      <c r="AD36" s="21">
        <v>5</v>
      </c>
      <c r="AE36" s="18">
        <v>2</v>
      </c>
      <c r="AF36" s="21">
        <v>11</v>
      </c>
      <c r="AG36" s="18">
        <v>9</v>
      </c>
      <c r="AH36" s="21">
        <v>4</v>
      </c>
      <c r="AI36" s="22">
        <v>8</v>
      </c>
      <c r="AJ36" s="21">
        <v>6</v>
      </c>
      <c r="AK36" s="22">
        <v>24</v>
      </c>
      <c r="AL36" s="21">
        <v>107</v>
      </c>
      <c r="AM36" s="26">
        <v>0.16411042944785276</v>
      </c>
      <c r="AN36" s="21">
        <f>COUNTIFS((AllCalls26!$BD$15:$BD$5112),"I",(AllCalls26!$K$15:$K$5112),"1")</f>
        <v>9</v>
      </c>
      <c r="AO36" s="18">
        <f>COUNTIFS((AllCalls26!$BD$15:$BD$5112),"I",(AllCalls26!$K$15:$K$5112),"2")</f>
        <v>3</v>
      </c>
      <c r="AP36" s="21">
        <f>COUNTIFS((AllCalls26!$BD$15:$BD$5112),"I",(AllCalls26!$K$15:$K$5112),"3")</f>
        <v>2</v>
      </c>
      <c r="AQ36" s="18">
        <f>COUNTIFS((AllCalls26!$BD$15:$BD$5112),"I",(AllCalls26!$K$15:$K$5112),"4")</f>
        <v>0</v>
      </c>
      <c r="AR36" s="21">
        <f>COUNTIFS((AllCalls26!$BD$15:$BD$5112),"I",(AllCalls26!$K$15:$K$5112),"5")</f>
        <v>0</v>
      </c>
      <c r="AS36" s="18">
        <f>COUNTIFS((AllCalls26!$BD$15:$BD$5112),"I",(AllCalls26!$K$15:$K$5112),"6")</f>
        <v>0</v>
      </c>
      <c r="AT36" s="21">
        <f>COUNTIFS((AllCalls26!$BD$15:$BD$5112),"I",(AllCalls26!$K$15:$K$5112),"7")</f>
        <v>0</v>
      </c>
      <c r="AU36" s="18">
        <f>COUNTIFS((AllCalls26!$BD$15:$BD$5112),"I",(AllCalls26!$K$15:$K$5112),"8")</f>
        <v>0</v>
      </c>
      <c r="AV36" s="21">
        <f>COUNTIFS((AllCalls26!$BD$15:$BD$5112),"I",(AllCalls26!$K$15:$K$5112),"9")</f>
        <v>0</v>
      </c>
      <c r="AW36" s="22">
        <f>COUNTIFS((AllCalls26!$BD$15:$BD$5112),"I",(AllCalls26!$K$15:$K$5112),"10")</f>
        <v>0</v>
      </c>
      <c r="AX36" s="21">
        <f>COUNTIFS((AllCalls26!$BD$15:$BD$5112),"I",(AllCalls26!$K$15:$K$5112),"11")</f>
        <v>0</v>
      </c>
      <c r="AY36" s="22">
        <f>COUNTIFS((AllCalls26!$BD$15:$BD$5112),"I",(AllCalls26!$K$15:$K$5112),"12")</f>
        <v>0</v>
      </c>
      <c r="AZ36" s="21">
        <f t="shared" si="2"/>
        <v>14</v>
      </c>
      <c r="BA36" s="26">
        <f t="shared" si="3"/>
        <v>0.10526315789473684</v>
      </c>
      <c r="BB36" s="12">
        <f t="shared" si="4"/>
        <v>89</v>
      </c>
      <c r="BC36" s="26">
        <f t="shared" si="5"/>
        <v>8.7598425196850391E-2</v>
      </c>
      <c r="BD36" t="s">
        <v>55</v>
      </c>
    </row>
    <row r="37" spans="1:56" x14ac:dyDescent="0.25">
      <c r="A37" s="2" t="s">
        <v>57</v>
      </c>
      <c r="B37" s="16"/>
      <c r="C37" s="16"/>
      <c r="D37" s="16"/>
      <c r="E37" s="16"/>
      <c r="F37" s="153"/>
      <c r="G37" s="34"/>
      <c r="H37" s="152"/>
      <c r="I37" s="34"/>
      <c r="J37" s="148">
        <v>0</v>
      </c>
      <c r="K37" s="26"/>
      <c r="L37" s="16"/>
      <c r="M37" s="16"/>
      <c r="N37" s="16" t="s">
        <v>58</v>
      </c>
      <c r="O37" s="3">
        <v>3</v>
      </c>
      <c r="P37" s="12">
        <v>0</v>
      </c>
      <c r="Q37" s="3">
        <v>2</v>
      </c>
      <c r="R37" s="12">
        <v>2</v>
      </c>
      <c r="S37" s="3">
        <v>1</v>
      </c>
      <c r="T37" s="12">
        <v>3</v>
      </c>
      <c r="U37" s="56">
        <v>10</v>
      </c>
      <c r="V37" s="12">
        <v>11</v>
      </c>
      <c r="W37" s="56">
        <v>12</v>
      </c>
      <c r="X37" s="12">
        <v>44</v>
      </c>
      <c r="Y37" s="26">
        <v>0.10837438423645321</v>
      </c>
      <c r="Z37" s="21">
        <v>4</v>
      </c>
      <c r="AA37" s="18">
        <v>3</v>
      </c>
      <c r="AB37" s="21">
        <v>13</v>
      </c>
      <c r="AC37" s="18">
        <v>5</v>
      </c>
      <c r="AD37" s="21">
        <v>3</v>
      </c>
      <c r="AE37" s="18">
        <v>2</v>
      </c>
      <c r="AF37" s="21">
        <v>9</v>
      </c>
      <c r="AG37" s="18">
        <v>9</v>
      </c>
      <c r="AH37" s="21">
        <v>11</v>
      </c>
      <c r="AI37" s="22">
        <v>6</v>
      </c>
      <c r="AJ37" s="21">
        <v>7</v>
      </c>
      <c r="AK37" s="22">
        <v>10</v>
      </c>
      <c r="AL37" s="21">
        <v>82</v>
      </c>
      <c r="AM37" s="26">
        <v>0.12576687116564417</v>
      </c>
      <c r="AN37" s="21">
        <f>COUNTIFS((AllCalls26!$BE$15:$BE$5112),"I",(AllCalls26!$K$15:$K$5112),"1")</f>
        <v>4</v>
      </c>
      <c r="AO37" s="60">
        <f>COUNTIFS((AllCalls26!$BE$15:$BE$5112),"I",(AllCalls26!$K$15:$K$5112),"2")</f>
        <v>1</v>
      </c>
      <c r="AP37" s="21">
        <f>COUNTIFS((AllCalls26!$BE$15:$BE$5112),"I",(AllCalls26!$K$15:$K$5112),"3")</f>
        <v>4</v>
      </c>
      <c r="AQ37" s="60">
        <f>COUNTIFS((AllCalls26!$BE$15:$BE$5112),"I",(AllCalls26!$K$15:$K$5112),"4")</f>
        <v>0</v>
      </c>
      <c r="AR37" s="21">
        <f>COUNTIFS((AllCalls26!$BE$15:$BE$5112),"I",(AllCalls26!$K$15:$K$5112),"5")</f>
        <v>0</v>
      </c>
      <c r="AS37" s="60">
        <f>COUNTIFS((AllCalls26!$BE$15:$BE$5112),"I",(AllCalls26!$K$15:$K$5112),"6")</f>
        <v>0</v>
      </c>
      <c r="AT37" s="21">
        <f>COUNTIFS((AllCalls26!$BE$15:$BE$5112),"I",(AllCalls26!$K$15:$K$5112),"7")</f>
        <v>0</v>
      </c>
      <c r="AU37" s="60">
        <f>COUNTIFS((AllCalls26!$BE$15:$BE$5112),"I",(AllCalls26!$K$15:$K$5112),"8")</f>
        <v>0</v>
      </c>
      <c r="AV37" s="21">
        <f>COUNTIFS((AllCalls26!$BE$15:$BE$5112),"I",(AllCalls26!$K$15:$K$5112),"9")</f>
        <v>0</v>
      </c>
      <c r="AW37" s="61">
        <f>COUNTIFS((AllCalls26!$BE$15:$BE$5112),"I",(AllCalls26!$K$15:$K$5112),"10")</f>
        <v>0</v>
      </c>
      <c r="AX37" s="21">
        <f>COUNTIFS((AllCalls26!$BE$15:$BE$5112),"I",(AllCalls26!$K$15:$K$5112),"11")</f>
        <v>0</v>
      </c>
      <c r="AY37" s="61">
        <f>COUNTIFS((AllCalls26!$BE$15:$BE$5112),"I",(AllCalls26!$K$15:$K$5112),"12")</f>
        <v>0</v>
      </c>
      <c r="AZ37" s="21">
        <f>SUM($AN37:$AY37)</f>
        <v>9</v>
      </c>
      <c r="BA37" s="26">
        <f>(SUM($AZ37))/SUM($AZ$2)</f>
        <v>6.7669172932330823E-2</v>
      </c>
      <c r="BB37" s="12">
        <f>SUM($J37,$X37,$AZ37)</f>
        <v>53</v>
      </c>
      <c r="BC37" s="26">
        <f>(SUM(BB37))/SUM($BB$2)</f>
        <v>5.2165354330708659E-2</v>
      </c>
      <c r="BD37" t="s">
        <v>55</v>
      </c>
    </row>
    <row r="38" spans="1:56" x14ac:dyDescent="0.25">
      <c r="A38" s="2" t="s">
        <v>59</v>
      </c>
      <c r="B38" s="16"/>
      <c r="C38" s="16"/>
      <c r="D38" s="16"/>
      <c r="E38" s="16"/>
      <c r="F38" s="16"/>
      <c r="G38" s="16"/>
      <c r="H38" s="16"/>
      <c r="I38" s="16"/>
      <c r="J38" s="148"/>
      <c r="K38" s="26"/>
      <c r="L38" s="16"/>
      <c r="M38" s="16"/>
      <c r="N38" s="16"/>
      <c r="O38" s="34"/>
      <c r="P38" s="152"/>
      <c r="Q38" s="34"/>
      <c r="R38" s="152"/>
      <c r="S38" s="34"/>
      <c r="T38" s="152"/>
      <c r="U38" s="56">
        <v>0</v>
      </c>
      <c r="V38" s="12">
        <v>9</v>
      </c>
      <c r="W38" s="56">
        <v>17</v>
      </c>
      <c r="X38" s="12">
        <v>26</v>
      </c>
      <c r="Y38" s="26">
        <v>0.184397163120567</v>
      </c>
      <c r="Z38" s="21">
        <v>7</v>
      </c>
      <c r="AA38" s="60">
        <v>12</v>
      </c>
      <c r="AB38" s="21">
        <v>18</v>
      </c>
      <c r="AC38" s="60">
        <v>16</v>
      </c>
      <c r="AD38" s="21">
        <v>21</v>
      </c>
      <c r="AE38" s="60">
        <v>7</v>
      </c>
      <c r="AF38" s="21">
        <v>18</v>
      </c>
      <c r="AG38" s="60">
        <v>9</v>
      </c>
      <c r="AH38" s="21">
        <v>8</v>
      </c>
      <c r="AI38" s="61">
        <v>13</v>
      </c>
      <c r="AJ38" s="21">
        <v>15</v>
      </c>
      <c r="AK38" s="61">
        <v>9</v>
      </c>
      <c r="AL38" s="21">
        <v>153</v>
      </c>
      <c r="AM38" s="26">
        <v>0.23466257668711657</v>
      </c>
      <c r="AN38" s="21">
        <f>COUNTIFS((AllCalls26!$BF$15:$BF$5112),"I",(AllCalls26!$K$15:$K$5112),"1")</f>
        <v>7</v>
      </c>
      <c r="AO38" s="18">
        <f>COUNTIFS((AllCalls26!$BF$15:$BF$5112),"I",(AllCalls26!$K$15:$K$5112),"2")</f>
        <v>13</v>
      </c>
      <c r="AP38" s="21">
        <f>COUNTIFS((AllCalls26!$BF$15:$BF$5112),"I",(AllCalls26!$K$15:$K$5112),"3")</f>
        <v>5</v>
      </c>
      <c r="AQ38" s="18">
        <f>COUNTIFS((AllCalls26!$BF$15:$BF$5112),"I",(AllCalls26!$K$15:$K$5112),"4")</f>
        <v>0</v>
      </c>
      <c r="AR38" s="21">
        <f>COUNTIFS((AllCalls26!$BF$15:$BF$5112),"I",(AllCalls26!$K$15:$K$5112),"5")</f>
        <v>0</v>
      </c>
      <c r="AS38" s="18">
        <f>COUNTIFS((AllCalls26!$BF$15:$BF$5112),"I",(AllCalls26!$K$15:$K$5112),"6")</f>
        <v>0</v>
      </c>
      <c r="AT38" s="21">
        <f>COUNTIFS((AllCalls26!$BF$15:$BF$5112),"I",(AllCalls26!$K$15:$K$5112),"7")</f>
        <v>0</v>
      </c>
      <c r="AU38" s="18">
        <f>COUNTIFS((AllCalls26!$BF$15:$BF$5112),"I",(AllCalls26!$K$15:$K$5112),"8")</f>
        <v>0</v>
      </c>
      <c r="AV38" s="21">
        <f>COUNTIFS((AllCalls26!$BF$15:$BF$5112),"I",(AllCalls26!$K$15:$K$5112),"9")</f>
        <v>0</v>
      </c>
      <c r="AW38" s="22">
        <f>COUNTIFS((AllCalls26!$BF$15:$BF$5112),"I",(AllCalls26!$K$15:$K$5112),"10")</f>
        <v>0</v>
      </c>
      <c r="AX38" s="21">
        <f>COUNTIFS((AllCalls26!$BF$15:$BF$5112),"I",(AllCalls26!$K$15:$K$5112),"11")</f>
        <v>0</v>
      </c>
      <c r="AY38" s="22">
        <f>COUNTIFS((AllCalls26!$BF$15:$BF$5112),"I",(AllCalls26!$K$15:$K$5112),"12")</f>
        <v>0</v>
      </c>
      <c r="AZ38" s="21">
        <f t="shared" si="2"/>
        <v>25</v>
      </c>
      <c r="BA38" s="26">
        <f t="shared" si="3"/>
        <v>0.18796992481203006</v>
      </c>
      <c r="BB38" s="12">
        <f t="shared" si="4"/>
        <v>51</v>
      </c>
      <c r="BC38" s="26">
        <f>(SUM(BB38,X38))/SUM($AZ$2,$V$2:$W$2)</f>
        <v>0.33189655172413796</v>
      </c>
    </row>
    <row r="39" spans="1:56" x14ac:dyDescent="0.25">
      <c r="A39" s="2" t="s">
        <v>60</v>
      </c>
      <c r="B39" s="16"/>
      <c r="C39" s="16"/>
      <c r="D39" s="16"/>
      <c r="E39" s="16"/>
      <c r="F39" s="16"/>
      <c r="G39" s="16"/>
      <c r="H39" s="16"/>
      <c r="I39" s="16"/>
      <c r="J39" s="148"/>
      <c r="K39" s="26"/>
      <c r="L39" s="16"/>
      <c r="M39" s="16"/>
      <c r="N39" s="16"/>
      <c r="O39" s="34"/>
      <c r="P39" s="152"/>
      <c r="Q39" s="34"/>
      <c r="R39" s="152"/>
      <c r="S39" s="34"/>
      <c r="T39" s="152"/>
      <c r="U39" s="56">
        <v>0</v>
      </c>
      <c r="V39" s="12">
        <v>3</v>
      </c>
      <c r="W39" s="56">
        <v>9</v>
      </c>
      <c r="X39" s="12">
        <v>12</v>
      </c>
      <c r="Y39" s="26">
        <v>8.5106382978723402E-2</v>
      </c>
      <c r="Z39" s="21">
        <v>5</v>
      </c>
      <c r="AA39" s="18">
        <v>8</v>
      </c>
      <c r="AB39" s="21">
        <v>15</v>
      </c>
      <c r="AC39" s="18">
        <v>17</v>
      </c>
      <c r="AD39" s="21">
        <v>30</v>
      </c>
      <c r="AE39" s="18">
        <v>11</v>
      </c>
      <c r="AF39" s="21">
        <v>22</v>
      </c>
      <c r="AG39" s="18">
        <v>14</v>
      </c>
      <c r="AH39" s="21">
        <v>22</v>
      </c>
      <c r="AI39" s="22">
        <v>9</v>
      </c>
      <c r="AJ39" s="21">
        <v>6</v>
      </c>
      <c r="AK39" s="22">
        <v>34</v>
      </c>
      <c r="AL39" s="21">
        <v>193</v>
      </c>
      <c r="AM39" s="26">
        <v>0.29601226993865032</v>
      </c>
      <c r="AN39" s="21">
        <f>COUNTIFS((AllCalls26!$BG$15:$BG$5112),"I",(AllCalls26!$K$15:$K$5112),"1")</f>
        <v>27</v>
      </c>
      <c r="AO39" s="60">
        <f>COUNTIFS((AllCalls26!$BG$15:$BG$5112),"I",(AllCalls26!$K$15:$K$5112),"2")</f>
        <v>20</v>
      </c>
      <c r="AP39" s="21">
        <f>COUNTIFS((AllCalls26!$BG$15:$BG$5112),"I",(AllCalls26!$K$15:$K$5112),"3")</f>
        <v>10</v>
      </c>
      <c r="AQ39" s="60">
        <f>COUNTIFS((AllCalls26!$BG$15:$BG$5112),"I",(AllCalls26!$K$15:$K$5112),"4")</f>
        <v>0</v>
      </c>
      <c r="AR39" s="21">
        <f>COUNTIFS((AllCalls26!$BG$15:$BG$5112),"I",(AllCalls26!$K$15:$K$5112),"5")</f>
        <v>0</v>
      </c>
      <c r="AS39" s="60">
        <f>COUNTIFS((AllCalls26!$BG$15:$BG$5112),"I",(AllCalls26!$K$15:$K$5112),"6")</f>
        <v>0</v>
      </c>
      <c r="AT39" s="21">
        <f>COUNTIFS((AllCalls26!$BG$15:$BG$5112),"I",(AllCalls26!$K$15:$K$5112),"7")</f>
        <v>0</v>
      </c>
      <c r="AU39" s="60">
        <f>COUNTIFS((AllCalls26!$BG$15:$BG$5112),"I",(AllCalls26!$K$15:$K$5112),"8")</f>
        <v>0</v>
      </c>
      <c r="AV39" s="21">
        <f>COUNTIFS((AllCalls26!$BG$15:$BG$5112),"I",(AllCalls26!$K$15:$K$5112),"9")</f>
        <v>0</v>
      </c>
      <c r="AW39" s="61">
        <f>COUNTIFS((AllCalls26!$BG$15:$BG$5112),"I",(AllCalls26!$K$15:$K$5112),"10")</f>
        <v>0</v>
      </c>
      <c r="AX39" s="21">
        <f>COUNTIFS((AllCalls26!$BG$15:$BG$5112),"I",(AllCalls26!$K$15:$K$5112),"11")</f>
        <v>0</v>
      </c>
      <c r="AY39" s="61">
        <f>COUNTIFS((AllCalls26!$BG$15:$BG$5112),"I",(AllCalls26!$K$15:$K$5112),"12")</f>
        <v>0</v>
      </c>
      <c r="AZ39" s="21">
        <f t="shared" si="2"/>
        <v>57</v>
      </c>
      <c r="BA39" s="26">
        <f t="shared" si="3"/>
        <v>0.42857142857142855</v>
      </c>
      <c r="BB39" s="12">
        <f t="shared" si="4"/>
        <v>69</v>
      </c>
      <c r="BC39" s="26">
        <f t="shared" ref="BC39" si="10">(SUM(BB39,X39))/SUM($AZ$2,$V$2:$W$2)</f>
        <v>0.34913793103448276</v>
      </c>
    </row>
    <row r="40" spans="1:56" x14ac:dyDescent="0.25">
      <c r="A40" s="2" t="s">
        <v>61</v>
      </c>
      <c r="B40" s="16"/>
      <c r="C40" s="16"/>
      <c r="D40" s="16"/>
      <c r="E40" s="16"/>
      <c r="F40" s="16"/>
      <c r="G40" s="16"/>
      <c r="H40" s="16"/>
      <c r="I40" s="16"/>
      <c r="J40" s="148"/>
      <c r="K40" s="26"/>
      <c r="L40" s="16"/>
      <c r="M40" s="16"/>
      <c r="N40" s="16"/>
      <c r="O40" s="34"/>
      <c r="P40" s="152"/>
      <c r="Q40" s="34"/>
      <c r="R40" s="152"/>
      <c r="S40" s="34"/>
      <c r="T40" s="152"/>
      <c r="U40" s="56">
        <v>0</v>
      </c>
      <c r="V40" s="12">
        <v>7</v>
      </c>
      <c r="W40" s="56">
        <v>15</v>
      </c>
      <c r="X40" s="12">
        <v>22</v>
      </c>
      <c r="Y40" s="26">
        <v>0.15602836879432624</v>
      </c>
      <c r="Z40" s="21">
        <v>21</v>
      </c>
      <c r="AA40" s="60">
        <v>24</v>
      </c>
      <c r="AB40" s="21">
        <v>29</v>
      </c>
      <c r="AC40" s="60">
        <v>18</v>
      </c>
      <c r="AD40" s="21">
        <v>39</v>
      </c>
      <c r="AE40" s="60">
        <v>16</v>
      </c>
      <c r="AF40" s="21">
        <v>11</v>
      </c>
      <c r="AG40" s="60">
        <v>27</v>
      </c>
      <c r="AH40" s="21">
        <v>23</v>
      </c>
      <c r="AI40" s="61">
        <v>19</v>
      </c>
      <c r="AJ40" s="21">
        <v>18</v>
      </c>
      <c r="AK40" s="61">
        <v>42</v>
      </c>
      <c r="AL40" s="21">
        <v>287</v>
      </c>
      <c r="AM40" s="26">
        <v>0.44018404907975461</v>
      </c>
      <c r="AN40" s="21">
        <f>COUNTIFS((AllCalls26!$BH$15:$BH$5112),"I",(AllCalls26!$K$15:$K$5112),"1")</f>
        <v>21</v>
      </c>
      <c r="AO40" s="18">
        <f>COUNTIFS((AllCalls26!$BH$15:$BH$5112),"I",(AllCalls26!$K$15:$K$5112),"2")</f>
        <v>27</v>
      </c>
      <c r="AP40" s="21">
        <f>COUNTIFS((AllCalls26!$BH$15:$BH$5112),"I",(AllCalls26!$K$15:$K$5112),"3")</f>
        <v>18</v>
      </c>
      <c r="AQ40" s="18">
        <f>COUNTIFS((AllCalls26!$BH$15:$BH$5112),"I",(AllCalls26!$K$15:$K$5112),"4")</f>
        <v>0</v>
      </c>
      <c r="AR40" s="21">
        <f>COUNTIFS((AllCalls26!$BH$15:$BH$5112),"I",(AllCalls26!$K$15:$K$5112),"5")</f>
        <v>0</v>
      </c>
      <c r="AS40" s="18">
        <f>COUNTIFS((AllCalls26!$BH$15:$BH$5112),"I",(AllCalls26!$K$15:$K$5112),"6")</f>
        <v>0</v>
      </c>
      <c r="AT40" s="21">
        <f>COUNTIFS((AllCalls26!$BH$15:$BH$5112),"I",(AllCalls26!$K$15:$K$5112),"7")</f>
        <v>0</v>
      </c>
      <c r="AU40" s="18">
        <f>COUNTIFS((AllCalls26!$BH$15:$BH$5112),"I",(AllCalls26!$K$15:$K$5112),"8")</f>
        <v>0</v>
      </c>
      <c r="AV40" s="21">
        <f>COUNTIFS((AllCalls26!$BH$15:$BH$5112),"I",(AllCalls26!$K$15:$K$5112),"9")</f>
        <v>0</v>
      </c>
      <c r="AW40" s="22">
        <f>COUNTIFS((AllCalls26!$BH$15:$BH$5112),"I",(AllCalls26!$K$15:$K$5112),"10")</f>
        <v>0</v>
      </c>
      <c r="AX40" s="21">
        <f>COUNTIFS((AllCalls26!$BH$15:$BH$5112),"I",(AllCalls26!$K$15:$K$5112),"11")</f>
        <v>0</v>
      </c>
      <c r="AY40" s="22">
        <f>COUNTIFS((AllCalls26!$BH$15:$BH$5112),"I",(AllCalls26!$K$15:$K$5112),"12")</f>
        <v>0</v>
      </c>
      <c r="AZ40" s="21">
        <f t="shared" si="2"/>
        <v>66</v>
      </c>
      <c r="BA40" s="26">
        <f t="shared" si="3"/>
        <v>0.49624060150375937</v>
      </c>
      <c r="BB40" s="12">
        <f t="shared" si="4"/>
        <v>88</v>
      </c>
      <c r="BC40" s="26">
        <f>(SUM(BB40,X40))/SUM($AZ$2,$V$2:$W$2)</f>
        <v>0.47413793103448276</v>
      </c>
    </row>
    <row r="41" spans="1:56" x14ac:dyDescent="0.25">
      <c r="A41" s="2" t="s">
        <v>62</v>
      </c>
      <c r="B41" s="16"/>
      <c r="C41" s="16"/>
      <c r="D41" s="16"/>
      <c r="E41" s="16"/>
      <c r="F41" s="34"/>
      <c r="G41" s="34"/>
      <c r="H41" s="12">
        <v>0</v>
      </c>
      <c r="I41" s="3">
        <v>2</v>
      </c>
      <c r="J41" s="12">
        <f>SUM($B41:$I41)</f>
        <v>2</v>
      </c>
      <c r="K41" s="26">
        <f t="shared" ref="K41" si="11">(J41/$J$2)</f>
        <v>6.1728395061728392E-3</v>
      </c>
      <c r="L41" s="12">
        <v>2</v>
      </c>
      <c r="M41" s="3">
        <v>20</v>
      </c>
      <c r="N41" s="12">
        <v>21</v>
      </c>
      <c r="O41" s="3">
        <v>8</v>
      </c>
      <c r="P41" s="12">
        <v>9</v>
      </c>
      <c r="Q41" s="66">
        <v>0</v>
      </c>
      <c r="R41" s="67">
        <v>1</v>
      </c>
      <c r="S41" s="66">
        <v>0</v>
      </c>
      <c r="T41" s="67">
        <v>0</v>
      </c>
      <c r="U41" s="65">
        <v>0</v>
      </c>
      <c r="V41" s="67">
        <v>0</v>
      </c>
      <c r="W41" s="56">
        <v>9</v>
      </c>
      <c r="X41" s="12">
        <v>70</v>
      </c>
      <c r="Y41" s="26">
        <v>0.10404624277456648</v>
      </c>
      <c r="Z41" s="21">
        <v>15</v>
      </c>
      <c r="AA41" s="60">
        <v>12</v>
      </c>
      <c r="AB41" s="21">
        <v>12</v>
      </c>
      <c r="AC41" s="60">
        <v>10</v>
      </c>
      <c r="AD41" s="21">
        <v>15</v>
      </c>
      <c r="AE41" s="60">
        <v>6</v>
      </c>
      <c r="AF41" s="21">
        <v>8</v>
      </c>
      <c r="AG41" s="124">
        <v>0</v>
      </c>
      <c r="AH41" s="114">
        <v>0</v>
      </c>
      <c r="AI41" s="164">
        <v>0</v>
      </c>
      <c r="AJ41" s="114">
        <v>0</v>
      </c>
      <c r="AK41" s="164">
        <v>0</v>
      </c>
      <c r="AL41" s="21">
        <v>78</v>
      </c>
      <c r="AM41" s="26">
        <v>0.1196319018404908</v>
      </c>
      <c r="AN41" s="114">
        <f>COUNTIFS((AllCalls26!$BI$15:$BI$5112),"I",(AllCalls26!$K$15:$K$5112),"1")</f>
        <v>2</v>
      </c>
      <c r="AO41" s="124">
        <f>COUNTIFS((AllCalls26!$BI$15:$BI$5112),"I",(AllCalls26!$K$15:$K$5112),"2")</f>
        <v>0</v>
      </c>
      <c r="AP41" s="21">
        <f>COUNTIFS((AllCalls26!$BI$15:$BI$5112),"I",(AllCalls26!$K$15:$K$5112),"3")</f>
        <v>0</v>
      </c>
      <c r="AQ41" s="60">
        <f>COUNTIFS((AllCalls26!$BI$15:$BI$5112),"I",(AllCalls26!$K$15:$K$5112),"4")</f>
        <v>0</v>
      </c>
      <c r="AR41" s="21">
        <f>COUNTIFS((AllCalls26!$BI$15:$BI$5112),"I",(AllCalls26!$K$15:$K$5112),"5")</f>
        <v>0</v>
      </c>
      <c r="AS41" s="60">
        <f>COUNTIFS((AllCalls26!$BI$15:$BI$5112),"I",(AllCalls26!$K$15:$K$5112),"6")</f>
        <v>0</v>
      </c>
      <c r="AT41" s="21">
        <f>COUNTIFS((AllCalls26!$BI$15:$BI$5112),"I",(AllCalls26!$K$15:$K$5112),"7")</f>
        <v>0</v>
      </c>
      <c r="AU41" s="60">
        <f>COUNTIFS((AllCalls26!$BI$15:$BI$5112),"I",(AllCalls26!$K$15:$K$5112),"8")</f>
        <v>0</v>
      </c>
      <c r="AV41" s="21">
        <f>COUNTIFS((AllCalls26!$BI$15:$BI$5112),"I",(AllCalls26!$K$15:$K$5112),"9")</f>
        <v>0</v>
      </c>
      <c r="AW41" s="61">
        <f>COUNTIFS((AllCalls26!$BI$15:$BI$5112),"I",(AllCalls26!$K$15:$K$5112),"10")</f>
        <v>0</v>
      </c>
      <c r="AX41" s="21">
        <f>COUNTIFS((AllCalls26!$BI$15:$BI$5112),"I",(AllCalls26!$K$15:$K$5112),"11")</f>
        <v>0</v>
      </c>
      <c r="AY41" s="61">
        <f>COUNTIFS((AllCalls26!$BI$15:$BI$5112),"I",(AllCalls26!$K$15:$K$5112),"12")</f>
        <v>0</v>
      </c>
      <c r="AZ41" s="21">
        <f t="shared" si="2"/>
        <v>2</v>
      </c>
      <c r="BA41" s="26">
        <f t="shared" si="3"/>
        <v>1.5037593984962405E-2</v>
      </c>
      <c r="BB41" s="12">
        <f t="shared" si="4"/>
        <v>74</v>
      </c>
      <c r="BC41" s="26">
        <f>(SUM(BB41))/SUM($AZ$2,AL2,Z2,F2:I2,L2:N2)</f>
        <v>6.3464837049742706E-2</v>
      </c>
    </row>
    <row r="42" spans="1:56" x14ac:dyDescent="0.25">
      <c r="A42" s="2" t="s">
        <v>63</v>
      </c>
      <c r="B42" s="16"/>
      <c r="C42" s="16"/>
      <c r="D42" s="16"/>
      <c r="E42" s="16"/>
      <c r="F42" s="16"/>
      <c r="G42" s="16"/>
      <c r="H42" s="16"/>
      <c r="I42" s="16"/>
      <c r="J42" s="148"/>
      <c r="K42" s="16"/>
      <c r="L42" s="16"/>
      <c r="M42" s="16"/>
      <c r="N42" s="16"/>
      <c r="O42" s="16"/>
      <c r="P42" s="16"/>
      <c r="Q42" s="16"/>
      <c r="R42" s="34"/>
      <c r="S42" s="16"/>
      <c r="T42" s="16"/>
      <c r="U42" s="149"/>
      <c r="V42" s="150"/>
      <c r="W42" s="150"/>
      <c r="X42" s="148"/>
      <c r="Y42" s="26"/>
      <c r="Z42" s="52"/>
      <c r="AA42" s="151"/>
      <c r="AB42" s="52"/>
      <c r="AC42" s="151"/>
      <c r="AD42" s="52"/>
      <c r="AE42" s="60">
        <v>1</v>
      </c>
      <c r="AF42" s="21">
        <v>0</v>
      </c>
      <c r="AG42" s="60">
        <v>2</v>
      </c>
      <c r="AH42" s="21">
        <v>20</v>
      </c>
      <c r="AI42" s="61">
        <v>25</v>
      </c>
      <c r="AJ42" s="21">
        <v>35</v>
      </c>
      <c r="AK42" s="61">
        <v>56</v>
      </c>
      <c r="AL42" s="21">
        <v>139</v>
      </c>
      <c r="AM42" s="26">
        <v>0.37874659400544958</v>
      </c>
      <c r="AN42" s="21">
        <f>COUNTIFS((AllCalls26!$BJ$15:$BJ$5112),"I",(AllCalls26!$K$15:$K$5112),"1")</f>
        <v>46</v>
      </c>
      <c r="AO42" s="60">
        <f>COUNTIFS((AllCalls26!$BJ$15:$BJ$5112),"I",(AllCalls26!$K$15:$K$5112),"2")</f>
        <v>27</v>
      </c>
      <c r="AP42" s="21">
        <f>COUNTIFS((AllCalls26!$BJ$15:$BJ$5112),"I",(AllCalls26!$K$15:$K$5112),"3")</f>
        <v>23</v>
      </c>
      <c r="AQ42" s="60">
        <f>COUNTIFS((AllCalls26!$BJ$15:$BJ$5112),"I",(AllCalls26!$K$15:$K$5112),"4")</f>
        <v>0</v>
      </c>
      <c r="AR42" s="21">
        <f>COUNTIFS((AllCalls26!$BJ$15:$BJ$5112),"I",(AllCalls26!$K$15:$K$5112),"5")</f>
        <v>0</v>
      </c>
      <c r="AS42" s="60">
        <f>COUNTIFS((AllCalls26!$BJ$15:$BJ$5112),"I",(AllCalls26!$K$15:$K$5112),"6")</f>
        <v>0</v>
      </c>
      <c r="AT42" s="21">
        <f>COUNTIFS((AllCalls26!$BJ$15:$BJ$5112),"I",(AllCalls26!$K$15:$K$5112),"7")</f>
        <v>0</v>
      </c>
      <c r="AU42" s="60">
        <f>COUNTIFS((AllCalls26!$BJ$15:$BJ$5112),"I",(AllCalls26!$K$15:$K$5112),"8")</f>
        <v>0</v>
      </c>
      <c r="AV42" s="21">
        <f>COUNTIFS((AllCalls26!$BJ$15:$BJ$5112),"I",(AllCalls26!$K$15:$K$5112),"9")</f>
        <v>0</v>
      </c>
      <c r="AW42" s="61">
        <f>COUNTIFS((AllCalls26!$BJ$15:$BJ$5112),"I",(AllCalls26!$K$15:$K$5112),"10")</f>
        <v>0</v>
      </c>
      <c r="AX42" s="21">
        <f>COUNTIFS((AllCalls26!$BJ$15:$BJ$5112),"I",(AllCalls26!$K$15:$K$5112),"11")</f>
        <v>0</v>
      </c>
      <c r="AY42" s="61">
        <f>COUNTIFS((AllCalls26!$BJ$15:$BJ$5112),"I",(AllCalls26!$K$15:$K$5112),"12")</f>
        <v>0</v>
      </c>
      <c r="AZ42" s="21">
        <f t="shared" si="2"/>
        <v>96</v>
      </c>
      <c r="BA42" s="26">
        <f>(SUM($AZ42))/SUM($AZ$2)</f>
        <v>0.72180451127819545</v>
      </c>
      <c r="BB42" s="12">
        <f>SUM($AL42,$AZ42)</f>
        <v>235</v>
      </c>
      <c r="BC42" s="26">
        <f>(SUM(BB42))/SUM($AZ$2,$AE$2:$AK$2)</f>
        <v>0.47</v>
      </c>
    </row>
    <row r="43" spans="1:56" x14ac:dyDescent="0.25">
      <c r="A43" s="2" t="s">
        <v>64</v>
      </c>
      <c r="B43" s="16"/>
      <c r="C43" s="16"/>
      <c r="D43" s="16"/>
      <c r="E43" s="16"/>
      <c r="F43" s="16"/>
      <c r="G43" s="16"/>
      <c r="H43" s="16"/>
      <c r="I43" s="16"/>
      <c r="J43" s="148"/>
      <c r="K43" s="16"/>
      <c r="L43" s="16"/>
      <c r="M43" s="16"/>
      <c r="N43" s="16"/>
      <c r="O43" s="16"/>
      <c r="P43" s="16"/>
      <c r="Q43" s="16"/>
      <c r="R43" s="34"/>
      <c r="S43" s="16"/>
      <c r="T43" s="16"/>
      <c r="U43" s="149"/>
      <c r="V43" s="150"/>
      <c r="W43" s="150"/>
      <c r="X43" s="148"/>
      <c r="Y43" s="26"/>
      <c r="Z43" s="52"/>
      <c r="AA43" s="151"/>
      <c r="AB43" s="52"/>
      <c r="AC43" s="151"/>
      <c r="AD43" s="52"/>
      <c r="AE43" s="151"/>
      <c r="AF43" s="52"/>
      <c r="AG43" s="151"/>
      <c r="AH43" s="21">
        <v>15</v>
      </c>
      <c r="AI43" s="61">
        <v>16</v>
      </c>
      <c r="AJ43" s="21">
        <v>15</v>
      </c>
      <c r="AK43" s="61">
        <v>17</v>
      </c>
      <c r="AL43" s="21">
        <v>63</v>
      </c>
      <c r="AM43" s="26">
        <v>0.17166212534059946</v>
      </c>
      <c r="AN43" s="21">
        <f>COUNTIFS((AllCalls26!$BK$15:$BK$5112),"I",(AllCalls26!$K$15:$K$5112),"1")</f>
        <v>20</v>
      </c>
      <c r="AO43" s="18">
        <f>COUNTIFS((AllCalls26!$BK$15:$BK$5112),"I",(AllCalls26!$K$15:$K$5112),"2")</f>
        <v>15</v>
      </c>
      <c r="AP43" s="21">
        <f>COUNTIFS((AllCalls26!$BK$15:$BK$5112),"I",(AllCalls26!$K$15:$K$5112),"3")</f>
        <v>7</v>
      </c>
      <c r="AQ43" s="18">
        <f>COUNTIFS((AllCalls26!$BK$15:$BK$5112),"I",(AllCalls26!$K$15:$K$5112),"4")</f>
        <v>0</v>
      </c>
      <c r="AR43" s="21">
        <f>COUNTIFS((AllCalls26!$BK$15:$BK$5112),"I",(AllCalls26!$K$15:$K$5112),"5")</f>
        <v>0</v>
      </c>
      <c r="AS43" s="18">
        <f>COUNTIFS((AllCalls26!$BK$15:$BK$5112),"I",(AllCalls26!$K$15:$K$5112),"6")</f>
        <v>0</v>
      </c>
      <c r="AT43" s="21">
        <f>COUNTIFS((AllCalls26!$BK$15:$BK$5112),"I",(AllCalls26!$K$15:$K$5112),"7")</f>
        <v>0</v>
      </c>
      <c r="AU43" s="18">
        <f>COUNTIFS((AllCalls26!$BK$15:$BK$5112),"I",(AllCalls26!$K$15:$K$5112),"8")</f>
        <v>0</v>
      </c>
      <c r="AV43" s="21">
        <f>COUNTIFS((AllCalls26!$BK$15:$BK$5112),"I",(AllCalls26!$K$15:$K$5112),"9")</f>
        <v>0</v>
      </c>
      <c r="AW43" s="22">
        <f>COUNTIFS((AllCalls26!$BK$15:$BK$5112),"I",(AllCalls26!$K$15:$K$5112),"10")</f>
        <v>0</v>
      </c>
      <c r="AX43" s="21">
        <f>COUNTIFS((AllCalls26!$BK$15:$BK$5112),"I",(AllCalls26!$K$15:$K$5112),"11")</f>
        <v>0</v>
      </c>
      <c r="AY43" s="22">
        <f>COUNTIFS((AllCalls26!$BK$15:$BK$5112),"I",(AllCalls26!$K$15:$K$5112),"12")</f>
        <v>0</v>
      </c>
      <c r="AZ43" s="21">
        <f t="shared" si="2"/>
        <v>42</v>
      </c>
      <c r="BA43" s="26">
        <f t="shared" si="3"/>
        <v>0.31578947368421051</v>
      </c>
      <c r="BB43" s="12">
        <f t="shared" ref="BB43:BB45" si="12">SUM($J43,$X43,$AZ43)</f>
        <v>42</v>
      </c>
      <c r="BC43" s="26">
        <f t="shared" ref="BC43:BC44" si="13">(SUM(BB43,X43))/SUM($AZ$2,$V$2:$W$2)</f>
        <v>0.18103448275862069</v>
      </c>
    </row>
    <row r="44" spans="1:56" x14ac:dyDescent="0.25">
      <c r="A44" s="2" t="s">
        <v>65</v>
      </c>
      <c r="B44" s="16"/>
      <c r="C44" s="16"/>
      <c r="D44" s="16"/>
      <c r="E44" s="16"/>
      <c r="F44" s="16"/>
      <c r="G44" s="16"/>
      <c r="H44" s="16"/>
      <c r="I44" s="16"/>
      <c r="J44" s="148"/>
      <c r="K44" s="16"/>
      <c r="L44" s="16"/>
      <c r="M44" s="16"/>
      <c r="N44" s="16"/>
      <c r="O44" s="16"/>
      <c r="P44" s="16"/>
      <c r="Q44" s="16"/>
      <c r="R44" s="34"/>
      <c r="S44" s="16"/>
      <c r="T44" s="16"/>
      <c r="U44" s="149"/>
      <c r="V44" s="150"/>
      <c r="W44" s="150"/>
      <c r="X44" s="148"/>
      <c r="Y44" s="26"/>
      <c r="Z44" s="52"/>
      <c r="AA44" s="151"/>
      <c r="AB44" s="52"/>
      <c r="AC44" s="151"/>
      <c r="AD44" s="52"/>
      <c r="AE44" s="151"/>
      <c r="AF44" s="52"/>
      <c r="AG44" s="151"/>
      <c r="AH44" s="21">
        <v>8</v>
      </c>
      <c r="AI44" s="61">
        <v>7</v>
      </c>
      <c r="AJ44" s="21">
        <v>13</v>
      </c>
      <c r="AK44" s="61">
        <v>33</v>
      </c>
      <c r="AL44" s="21">
        <v>61</v>
      </c>
      <c r="AM44" s="26">
        <v>0.16621253405994552</v>
      </c>
      <c r="AN44" s="21">
        <f>COUNTIFS((AllCalls26!$BL$15:$BL$5112),"I",(AllCalls26!$K$15:$K$5112),"1")</f>
        <v>16</v>
      </c>
      <c r="AO44" s="60">
        <f>COUNTIFS((AllCalls26!$BL$15:$BL$5112),"I",(AllCalls26!$K$15:$K$5112),"2")</f>
        <v>12</v>
      </c>
      <c r="AP44" s="21">
        <f>COUNTIFS((AllCalls26!$BL$15:$BL$5112),"I",(AllCalls26!$K$15:$K$5112),"3")</f>
        <v>8</v>
      </c>
      <c r="AQ44" s="60">
        <f>COUNTIFS((AllCalls26!$BL$15:$BL$5112),"I",(AllCalls26!$K$15:$K$5112),"4")</f>
        <v>0</v>
      </c>
      <c r="AR44" s="21">
        <f>COUNTIFS((AllCalls26!$BL$15:$BL$5112),"I",(AllCalls26!$K$15:$K$5112),"5")</f>
        <v>0</v>
      </c>
      <c r="AS44" s="60">
        <f>COUNTIFS((AllCalls26!$BL$15:$BL$5112),"I",(AllCalls26!$K$15:$K$5112),"6")</f>
        <v>0</v>
      </c>
      <c r="AT44" s="21">
        <f>COUNTIFS((AllCalls26!$BL$15:$BL$5112),"I",(AllCalls26!$K$15:$K$5112),"7")</f>
        <v>0</v>
      </c>
      <c r="AU44" s="60">
        <f>COUNTIFS((AllCalls26!$BL$15:$BL$5112),"I",(AllCalls26!$K$15:$K$5112),"8")</f>
        <v>0</v>
      </c>
      <c r="AV44" s="21">
        <f>COUNTIFS((AllCalls26!$BL$15:$BL$5112),"I",(AllCalls26!$K$15:$K$5112),"9")</f>
        <v>0</v>
      </c>
      <c r="AW44" s="61">
        <f>COUNTIFS((AllCalls26!$BL$15:$BL$5112),"I",(AllCalls26!$K$15:$K$5112),"10")</f>
        <v>0</v>
      </c>
      <c r="AX44" s="21">
        <f>COUNTIFS((AllCalls26!$BL$15:$BL$5112),"I",(AllCalls26!$K$15:$K$5112),"11")</f>
        <v>0</v>
      </c>
      <c r="AY44" s="61">
        <f>COUNTIFS((AllCalls26!$BL$15:$BL$5112),"I",(AllCalls26!$K$15:$K$5112),"12")</f>
        <v>0</v>
      </c>
      <c r="AZ44" s="21">
        <f t="shared" si="2"/>
        <v>36</v>
      </c>
      <c r="BA44" s="26">
        <f t="shared" si="3"/>
        <v>0.27067669172932329</v>
      </c>
      <c r="BB44" s="12">
        <f t="shared" si="12"/>
        <v>36</v>
      </c>
      <c r="BC44" s="26">
        <f t="shared" si="13"/>
        <v>0.15517241379310345</v>
      </c>
    </row>
    <row r="45" spans="1:56" x14ac:dyDescent="0.25">
      <c r="A45" s="2" t="s">
        <v>66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48"/>
      <c r="M45" s="16"/>
      <c r="N45" s="16"/>
      <c r="O45" s="16"/>
      <c r="P45" s="16"/>
      <c r="Q45" s="16"/>
      <c r="R45" s="16"/>
      <c r="S45" s="16"/>
      <c r="T45" s="34"/>
      <c r="U45" s="16"/>
      <c r="V45" s="16"/>
      <c r="W45" s="149"/>
      <c r="X45" s="150"/>
      <c r="Y45" s="150"/>
      <c r="Z45" s="148"/>
      <c r="AA45" s="26"/>
      <c r="AB45" s="52"/>
      <c r="AC45" s="151"/>
      <c r="AD45" s="52"/>
      <c r="AE45" s="151"/>
      <c r="AF45" s="52"/>
      <c r="AG45" s="151"/>
      <c r="AH45" s="52"/>
      <c r="AI45" s="151"/>
      <c r="AJ45" s="21">
        <v>0</v>
      </c>
      <c r="AK45" s="61">
        <v>0</v>
      </c>
      <c r="AL45" s="21">
        <v>0</v>
      </c>
      <c r="AM45" s="26">
        <v>0</v>
      </c>
      <c r="AN45" s="21">
        <f>COUNTIFS((AllCalls26!$BM$15:$BM$5112),"I",(AllCalls26!$K$15:$K$5112),"1")</f>
        <v>0</v>
      </c>
      <c r="AO45" s="18">
        <f>COUNTIFS((AllCalls26!$BM$15:$BM$5112),"I",(AllCalls26!$K$15:$K$5112),"2")</f>
        <v>25</v>
      </c>
      <c r="AP45" s="21">
        <f>COUNTIFS((AllCalls26!$BM$15:$BM$5112),"I",(AllCalls26!$K$15:$K$5112),"3")</f>
        <v>16</v>
      </c>
      <c r="AQ45" s="18">
        <f>COUNTIFS((AllCalls26!$BM$15:$BM$5112),"I",(AllCalls26!$K$15:$K$5112),"4")</f>
        <v>0</v>
      </c>
      <c r="AR45" s="21">
        <f>COUNTIFS((AllCalls26!$BM$15:$BM$5112),"I",(AllCalls26!$K$15:$K$5112),"5")</f>
        <v>0</v>
      </c>
      <c r="AS45" s="18">
        <f>COUNTIFS((AllCalls26!$BM$15:$BM$5112),"I",(AllCalls26!$K$15:$K$5112),"6")</f>
        <v>0</v>
      </c>
      <c r="AT45" s="21">
        <f>COUNTIFS((AllCalls26!$BM$15:$BM$5112),"I",(AllCalls26!$K$15:$K$5112),"7")</f>
        <v>0</v>
      </c>
      <c r="AU45" s="18">
        <f>COUNTIFS((AllCalls26!$BM$15:$BM$5112),"I",(AllCalls26!$K$15:$K$5112),"8")</f>
        <v>0</v>
      </c>
      <c r="AV45" s="21">
        <f>COUNTIFS((AllCalls26!$BM$15:$BM$5112),"I",(AllCalls26!$K$15:$K$5112),"9")</f>
        <v>0</v>
      </c>
      <c r="AW45" s="22">
        <f>COUNTIFS((AllCalls26!$BM$15:$BM$5112),"I",(AllCalls26!$K$15:$K$5112),"10")</f>
        <v>0</v>
      </c>
      <c r="AX45" s="21">
        <f>COUNTIFS((AllCalls26!$BM$15:$BM$5112),"I",(AllCalls26!$K$15:$K$5112),"11")</f>
        <v>0</v>
      </c>
      <c r="AY45" s="22">
        <f>COUNTIFS((AllCalls26!$BM$15:$BM$5112),"I",(AllCalls26!$K$15:$K$5112),"12")</f>
        <v>0</v>
      </c>
      <c r="AZ45" s="21">
        <f t="shared" si="2"/>
        <v>41</v>
      </c>
      <c r="BA45" s="26">
        <f t="shared" si="3"/>
        <v>0.30827067669172931</v>
      </c>
      <c r="BB45" s="12">
        <f t="shared" si="12"/>
        <v>41</v>
      </c>
      <c r="BC45" s="26">
        <f t="shared" ref="BC45" si="14">(SUM(BB45,X45))/SUM($AZ$2,$V$2:$W$2)</f>
        <v>0.17672413793103448</v>
      </c>
    </row>
    <row r="46" spans="1:56" x14ac:dyDescent="0.25">
      <c r="A46" s="2" t="s">
        <v>67</v>
      </c>
      <c r="B46" s="21">
        <v>6</v>
      </c>
      <c r="C46" s="22">
        <v>2</v>
      </c>
      <c r="D46" s="21">
        <v>3</v>
      </c>
      <c r="E46" s="22">
        <v>3</v>
      </c>
      <c r="F46" s="21">
        <v>6</v>
      </c>
      <c r="G46" s="22">
        <v>2</v>
      </c>
      <c r="H46" s="21">
        <v>2</v>
      </c>
      <c r="I46" s="22">
        <v>1</v>
      </c>
      <c r="J46" s="21">
        <f>SUM(B46:I46)</f>
        <v>25</v>
      </c>
      <c r="K46" s="32">
        <v>7.0000000000000007E-2</v>
      </c>
      <c r="L46" s="21">
        <v>3</v>
      </c>
      <c r="M46" s="22">
        <v>2</v>
      </c>
      <c r="N46" s="21">
        <v>0</v>
      </c>
      <c r="O46" s="22">
        <v>1</v>
      </c>
      <c r="P46" s="21">
        <v>0</v>
      </c>
      <c r="Q46" s="22">
        <v>0</v>
      </c>
      <c r="R46" s="21">
        <v>0</v>
      </c>
      <c r="S46" s="22">
        <v>0</v>
      </c>
      <c r="T46" s="50"/>
      <c r="U46" s="51"/>
      <c r="V46" s="50"/>
      <c r="W46" s="51"/>
      <c r="X46" s="21">
        <v>6</v>
      </c>
      <c r="Y46" s="32">
        <v>0.04</v>
      </c>
      <c r="Z46" s="50"/>
      <c r="AA46" s="50"/>
      <c r="AB46" s="50"/>
      <c r="AC46" s="51"/>
      <c r="AD46" s="50"/>
      <c r="AE46" s="51"/>
      <c r="AF46" s="50"/>
      <c r="AG46" s="51"/>
      <c r="AH46" s="50"/>
      <c r="AI46" s="57"/>
      <c r="AJ46" s="21">
        <v>0</v>
      </c>
      <c r="AK46" s="22">
        <v>3</v>
      </c>
      <c r="AL46" s="21">
        <v>3</v>
      </c>
      <c r="AM46" s="32">
        <v>6.1224489795918366E-2</v>
      </c>
      <c r="AN46" s="21">
        <f>COUNTIFS((AllCalls26!$BN$15:$BN$5112),"I",(AllCalls26!$K$15:$K$5112),"1")</f>
        <v>1</v>
      </c>
      <c r="AO46" s="60">
        <f>COUNTIFS((AllCalls26!$BN$15:$BN$5112),"I",(AllCalls26!$K$15:$K$5112),"2")</f>
        <v>1</v>
      </c>
      <c r="AP46" s="21">
        <f>COUNTIFS((AllCalls26!$BN$15:$BN$5112),"I",(AllCalls26!$K$15:$K$5112),"3")</f>
        <v>4</v>
      </c>
      <c r="AQ46" s="60">
        <f>COUNTIFS((AllCalls26!$BN$15:$BN$5112),"I",(AllCalls26!$K$15:$K$5112),"4")</f>
        <v>0</v>
      </c>
      <c r="AR46" s="21">
        <f>COUNTIFS((AllCalls26!$BN$15:$BN$5112),"I",(AllCalls26!$K$15:$K$5112),"5")</f>
        <v>0</v>
      </c>
      <c r="AS46" s="60">
        <f>COUNTIFS((AllCalls26!$BN$15:$BN$5112),"I",(AllCalls26!$K$15:$K$5112),"6")</f>
        <v>0</v>
      </c>
      <c r="AT46" s="21">
        <f>COUNTIFS((AllCalls26!$BN$15:$BN$5112),"I",(AllCalls26!$K$15:$K$5112),"7")</f>
        <v>0</v>
      </c>
      <c r="AU46" s="60">
        <f>COUNTIFS((AllCalls26!$BN$15:$BN$5112),"I",(AllCalls26!$K$15:$K$5112),"8")</f>
        <v>0</v>
      </c>
      <c r="AV46" s="21">
        <f>COUNTIFS((AllCalls26!$BN$15:$BN$5112),"I",(AllCalls26!$K$15:$K$5112),"9")</f>
        <v>0</v>
      </c>
      <c r="AW46" s="61">
        <f>COUNTIFS((AllCalls26!$BN$15:$BN$5112),"I",(AllCalls26!$K$15:$K$5112),"10")</f>
        <v>0</v>
      </c>
      <c r="AX46" s="21">
        <f>COUNTIFS((AllCalls26!$BN$15:$BN$5112),"I",(AllCalls26!$K$15:$K$5112),"11")</f>
        <v>0</v>
      </c>
      <c r="AY46" s="61">
        <f>COUNTIFS((AllCalls26!$BN$15:$BN$5112),"I",(AllCalls26!$K$15:$K$5112),"12")</f>
        <v>0</v>
      </c>
      <c r="AZ46" s="21">
        <f t="shared" si="2"/>
        <v>6</v>
      </c>
      <c r="BA46" s="32">
        <f t="shared" ref="BA46" si="15">(SUM(AZ46))/SUM($AZ$1)</f>
        <v>0.6</v>
      </c>
      <c r="BB46" s="12">
        <f>SUM(J46,X46,AZ46)</f>
        <v>37</v>
      </c>
      <c r="BC46" s="26">
        <f>(SUM(BB46))/SUM($BB$2)</f>
        <v>3.6417322834645667E-2</v>
      </c>
    </row>
    <row r="47" spans="1:56" x14ac:dyDescent="0.25">
      <c r="A47" s="2" t="s">
        <v>68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48"/>
      <c r="M47" s="16"/>
      <c r="N47" s="16"/>
      <c r="O47" s="16"/>
      <c r="P47" s="16"/>
      <c r="Q47" s="16"/>
      <c r="R47" s="16"/>
      <c r="S47" s="16"/>
      <c r="T47" s="34"/>
      <c r="U47" s="16"/>
      <c r="V47" s="16"/>
      <c r="W47" s="149"/>
      <c r="X47" s="150"/>
      <c r="Y47" s="150"/>
      <c r="Z47" s="148"/>
      <c r="AA47" s="26"/>
      <c r="AB47" s="52"/>
      <c r="AC47" s="151"/>
      <c r="AD47" s="52"/>
      <c r="AE47" s="151"/>
      <c r="AF47" s="52"/>
      <c r="AG47" s="151"/>
      <c r="AH47" s="52"/>
      <c r="AI47" s="151"/>
      <c r="AJ47" s="151"/>
      <c r="AK47" s="151"/>
      <c r="AL47" s="151"/>
      <c r="AM47" s="151"/>
      <c r="AN47" s="151"/>
      <c r="AO47" s="151"/>
      <c r="AP47" s="21">
        <f>COUNTIFS((AllCalls26!$BO$15:$BO$5112),"I",(AllCalls26!$K$15:$K$5112),"3")</f>
        <v>1</v>
      </c>
      <c r="AQ47" s="60">
        <f>COUNTIFS((AllCalls26!$BO$15:$BO$5112),"I",(AllCalls26!$K$15:$K$5112),"4")</f>
        <v>0</v>
      </c>
      <c r="AR47" s="21">
        <f>COUNTIFS((AllCalls26!$BO$15:$BO$5112),"I",(AllCalls26!$K$15:$K$5112),"5")</f>
        <v>0</v>
      </c>
      <c r="AS47" s="60">
        <f>COUNTIFS((AllCalls26!$BO$15:$BO$5112),"I",(AllCalls26!$K$15:$K$5112),"6")</f>
        <v>0</v>
      </c>
      <c r="AT47" s="21">
        <f>COUNTIFS((AllCalls26!$BO$15:$BO$5112),"I",(AllCalls26!$K$15:$K$5112),"7")</f>
        <v>0</v>
      </c>
      <c r="AU47" s="60">
        <f>COUNTIFS((AllCalls26!$BO$15:$BO$5112),"I",(AllCalls26!$K$15:$K$5112),"8")</f>
        <v>0</v>
      </c>
      <c r="AV47" s="21">
        <f>COUNTIFS((AllCalls26!$BO$15:$BO$5112),"I",(AllCalls26!$K$15:$K$5112),"9")</f>
        <v>0</v>
      </c>
      <c r="AW47" s="61">
        <f>COUNTIFS((AllCalls26!$BO$15:$BO$5112),"I",(AllCalls26!$K$15:$K$5112),"10")</f>
        <v>0</v>
      </c>
      <c r="AX47" s="21">
        <f>COUNTIFS((AllCalls26!$BO$15:$BO$5112),"I",(AllCalls26!$K$15:$K$5112),"11")</f>
        <v>0</v>
      </c>
      <c r="AY47" s="61">
        <f>COUNTIFS((AllCalls26!$BO$15:$BO$5112),"I",(AllCalls26!$K$15:$K$5112),"12")</f>
        <v>0</v>
      </c>
      <c r="AZ47" s="21">
        <f>SUM($AP47:$AY47)</f>
        <v>1</v>
      </c>
      <c r="BA47" s="26">
        <f>(SUM($AZ47))/SUM($AZ$2)</f>
        <v>7.5187969924812026E-3</v>
      </c>
      <c r="BB47" s="12">
        <f>SUM($J47,$X47,$AZ47)</f>
        <v>1</v>
      </c>
      <c r="BC47" s="26">
        <f>(BB47)/SUM($AP$2:$AY$2)</f>
        <v>3.4482758620689655E-2</v>
      </c>
    </row>
  </sheetData>
  <phoneticPr fontId="5" type="noConversion"/>
  <conditionalFormatting sqref="K4:K16 Y4:Y16 AM4:AM45 BA4:BA45 BC4:BC45 K18:K36 Y18:Y41 K41">
    <cfRule type="cellIs" dxfId="102" priority="16" stopIfTrue="1" operator="greaterThan">
      <formula>0.195</formula>
    </cfRule>
    <cfRule type="cellIs" dxfId="101" priority="25" operator="between">
      <formula>0.1</formula>
      <formula>0.196</formula>
    </cfRule>
    <cfRule type="cellIs" dxfId="100" priority="26" operator="between">
      <formula>0</formula>
      <formula>0.0999</formula>
    </cfRule>
  </conditionalFormatting>
  <conditionalFormatting sqref="K46">
    <cfRule type="cellIs" dxfId="99" priority="4" operator="between">
      <formula>0.6</formula>
      <formula>1</formula>
    </cfRule>
    <cfRule type="cellIs" dxfId="98" priority="5" operator="between">
      <formula>0.4</formula>
      <formula>0.6</formula>
    </cfRule>
    <cfRule type="cellIs" dxfId="97" priority="6" operator="between">
      <formula>0</formula>
      <formula>0.39</formula>
    </cfRule>
  </conditionalFormatting>
  <conditionalFormatting sqref="Y46 AM46 BA46">
    <cfRule type="cellIs" dxfId="96" priority="10" operator="between">
      <formula>0.6</formula>
      <formula>1</formula>
    </cfRule>
    <cfRule type="cellIs" dxfId="95" priority="11" operator="between">
      <formula>0.199</formula>
      <formula>0.599</formula>
    </cfRule>
    <cfRule type="cellIs" dxfId="94" priority="12" operator="between">
      <formula>0</formula>
      <formula>0.199</formula>
    </cfRule>
  </conditionalFormatting>
  <conditionalFormatting sqref="BA47 BC47">
    <cfRule type="cellIs" dxfId="93" priority="1" stopIfTrue="1" operator="greaterThan">
      <formula>0.195</formula>
    </cfRule>
    <cfRule type="cellIs" dxfId="92" priority="2" operator="between">
      <formula>0.1</formula>
      <formula>0.196</formula>
    </cfRule>
    <cfRule type="cellIs" dxfId="91" priority="3" operator="between">
      <formula>0</formula>
      <formula>0.0999</formula>
    </cfRule>
  </conditionalFormatting>
  <conditionalFormatting sqref="BC46">
    <cfRule type="cellIs" dxfId="90" priority="7" operator="between">
      <formula>0.199</formula>
      <formula>1</formula>
    </cfRule>
    <cfRule type="cellIs" dxfId="89" priority="8" operator="between">
      <formula>0.0999</formula>
      <formula>0.199</formula>
    </cfRule>
    <cfRule type="cellIs" dxfId="88" priority="9" operator="between">
      <formula>0</formula>
      <formula>0.0999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A975-9B43-430F-B800-1371DA2629CC}">
  <dimension ref="A1:B44"/>
  <sheetViews>
    <sheetView workbookViewId="0">
      <selection activeCell="I10" sqref="I10"/>
    </sheetView>
  </sheetViews>
  <sheetFormatPr defaultRowHeight="15" x14ac:dyDescent="0.25"/>
  <cols>
    <col min="1" max="1" width="25.7109375" bestFit="1" customWidth="1"/>
  </cols>
  <sheetData>
    <row r="1" spans="1:2" x14ac:dyDescent="0.25">
      <c r="A1" s="17" t="s">
        <v>69</v>
      </c>
      <c r="B1" s="17" t="s">
        <v>70</v>
      </c>
    </row>
    <row r="2" spans="1:2" x14ac:dyDescent="0.25">
      <c r="A2" s="17" t="s">
        <v>626</v>
      </c>
      <c r="B2" s="17"/>
    </row>
    <row r="3" spans="1:2" x14ac:dyDescent="0.25">
      <c r="A3" s="17" t="s">
        <v>68</v>
      </c>
      <c r="B3" s="17">
        <f>Summary!BB47</f>
        <v>1</v>
      </c>
    </row>
    <row r="4" spans="1:2" x14ac:dyDescent="0.25">
      <c r="A4" s="17" t="s">
        <v>66</v>
      </c>
      <c r="B4" s="17">
        <f>Summary!BB45</f>
        <v>41</v>
      </c>
    </row>
    <row r="5" spans="1:2" x14ac:dyDescent="0.25">
      <c r="A5" s="17" t="s">
        <v>65</v>
      </c>
      <c r="B5" s="17">
        <f>Summary!BB44</f>
        <v>36</v>
      </c>
    </row>
    <row r="6" spans="1:2" x14ac:dyDescent="0.25">
      <c r="A6" s="17" t="s">
        <v>64</v>
      </c>
      <c r="B6" s="17">
        <f>Summary!BB43</f>
        <v>42</v>
      </c>
    </row>
    <row r="7" spans="1:2" x14ac:dyDescent="0.25">
      <c r="A7" s="17" t="s">
        <v>59</v>
      </c>
      <c r="B7" s="17">
        <f>Summary!BB38</f>
        <v>51</v>
      </c>
    </row>
    <row r="8" spans="1:2" x14ac:dyDescent="0.25">
      <c r="A8" s="17" t="s">
        <v>60</v>
      </c>
      <c r="B8" s="17">
        <f>Summary!BB39</f>
        <v>69</v>
      </c>
    </row>
    <row r="9" spans="1:2" x14ac:dyDescent="0.25">
      <c r="A9" s="17" t="s">
        <v>67</v>
      </c>
      <c r="B9" s="17">
        <f>Summary!BB46</f>
        <v>37</v>
      </c>
    </row>
    <row r="10" spans="1:2" x14ac:dyDescent="0.25">
      <c r="A10" s="17" t="s">
        <v>61</v>
      </c>
      <c r="B10" s="17">
        <f>Summary!BB40</f>
        <v>88</v>
      </c>
    </row>
    <row r="11" spans="1:2" x14ac:dyDescent="0.25">
      <c r="A11" s="17" t="s">
        <v>57</v>
      </c>
      <c r="B11" s="17">
        <f>Summary!BB37</f>
        <v>53</v>
      </c>
    </row>
    <row r="12" spans="1:2" x14ac:dyDescent="0.25">
      <c r="A12" s="17" t="s">
        <v>62</v>
      </c>
      <c r="B12" s="17">
        <f>Summary!BB41</f>
        <v>74</v>
      </c>
    </row>
    <row r="13" spans="1:2" x14ac:dyDescent="0.25">
      <c r="A13" s="17" t="s">
        <v>56</v>
      </c>
      <c r="B13" s="17">
        <f>Summary!BB36</f>
        <v>89</v>
      </c>
    </row>
    <row r="14" spans="1:2" x14ac:dyDescent="0.25">
      <c r="A14" s="17" t="s">
        <v>54</v>
      </c>
      <c r="B14" s="17">
        <f>Summary!BB35</f>
        <v>94</v>
      </c>
    </row>
    <row r="15" spans="1:2" x14ac:dyDescent="0.25">
      <c r="A15" s="17" t="s">
        <v>45</v>
      </c>
      <c r="B15" s="17">
        <f>Summary!BB25</f>
        <v>147</v>
      </c>
    </row>
    <row r="16" spans="1:2" x14ac:dyDescent="0.25">
      <c r="A16" s="17" t="s">
        <v>51</v>
      </c>
      <c r="B16" s="17">
        <f>Summary!BB31</f>
        <v>184</v>
      </c>
    </row>
    <row r="17" spans="1:2" x14ac:dyDescent="0.25">
      <c r="A17" s="17" t="s">
        <v>63</v>
      </c>
      <c r="B17" s="17">
        <f>Summary!BB42</f>
        <v>235</v>
      </c>
    </row>
    <row r="18" spans="1:2" x14ac:dyDescent="0.25">
      <c r="A18" s="17" t="s">
        <v>41</v>
      </c>
      <c r="B18" s="17">
        <f>Summary!BB21</f>
        <v>200</v>
      </c>
    </row>
    <row r="19" spans="1:2" x14ac:dyDescent="0.25">
      <c r="A19" s="17" t="s">
        <v>30</v>
      </c>
      <c r="B19" s="17">
        <f>Summary!BB12</f>
        <v>227</v>
      </c>
    </row>
    <row r="20" spans="1:2" x14ac:dyDescent="0.25">
      <c r="A20" s="17" t="s">
        <v>48</v>
      </c>
      <c r="B20" s="17">
        <f>Summary!BB28</f>
        <v>242</v>
      </c>
    </row>
    <row r="21" spans="1:2" x14ac:dyDescent="0.25">
      <c r="A21" s="17" t="s">
        <v>52</v>
      </c>
      <c r="B21" s="17">
        <f>Summary!BB33</f>
        <v>251</v>
      </c>
    </row>
    <row r="22" spans="1:2" x14ac:dyDescent="0.25">
      <c r="A22" s="17" t="s">
        <v>32</v>
      </c>
      <c r="B22" s="17">
        <f>Summary!BB13</f>
        <v>241</v>
      </c>
    </row>
    <row r="23" spans="1:2" x14ac:dyDescent="0.25">
      <c r="A23" s="17" t="s">
        <v>44</v>
      </c>
      <c r="B23" s="17">
        <f>Summary!BB24</f>
        <v>253</v>
      </c>
    </row>
    <row r="24" spans="1:2" x14ac:dyDescent="0.25">
      <c r="A24" s="17" t="s">
        <v>50</v>
      </c>
      <c r="B24" s="17">
        <f>Summary!BB30</f>
        <v>272</v>
      </c>
    </row>
    <row r="25" spans="1:2" x14ac:dyDescent="0.25">
      <c r="A25" s="17" t="s">
        <v>37</v>
      </c>
      <c r="B25" s="17">
        <f>Summary!BB17</f>
        <v>265</v>
      </c>
    </row>
    <row r="26" spans="1:2" x14ac:dyDescent="0.25">
      <c r="A26" s="17" t="s">
        <v>27</v>
      </c>
      <c r="B26" s="17">
        <f>Summary!BB9</f>
        <v>275</v>
      </c>
    </row>
    <row r="27" spans="1:2" x14ac:dyDescent="0.25">
      <c r="A27" s="17" t="s">
        <v>43</v>
      </c>
      <c r="B27" s="17">
        <f>Summary!BB23</f>
        <v>276</v>
      </c>
    </row>
    <row r="28" spans="1:2" x14ac:dyDescent="0.25">
      <c r="A28" s="17" t="s">
        <v>24</v>
      </c>
      <c r="B28" s="17">
        <f>Summary!BB6</f>
        <v>285</v>
      </c>
    </row>
    <row r="29" spans="1:2" x14ac:dyDescent="0.25">
      <c r="A29" s="17" t="s">
        <v>26</v>
      </c>
      <c r="B29" s="17">
        <f>Summary!BB8</f>
        <v>316</v>
      </c>
    </row>
    <row r="30" spans="1:2" x14ac:dyDescent="0.25">
      <c r="A30" s="17" t="s">
        <v>29</v>
      </c>
      <c r="B30" s="17">
        <f>Summary!BB11</f>
        <v>309</v>
      </c>
    </row>
    <row r="31" spans="1:2" x14ac:dyDescent="0.25">
      <c r="A31" s="17" t="s">
        <v>53</v>
      </c>
      <c r="B31" s="17">
        <f>Summary!BB34</f>
        <v>315</v>
      </c>
    </row>
    <row r="32" spans="1:2" x14ac:dyDescent="0.25">
      <c r="A32" s="17" t="s">
        <v>36</v>
      </c>
      <c r="B32" s="17">
        <f>Summary!BB16</f>
        <v>367</v>
      </c>
    </row>
    <row r="33" spans="1:2" x14ac:dyDescent="0.25">
      <c r="A33" s="17" t="s">
        <v>46</v>
      </c>
      <c r="B33" s="17">
        <f>Summary!BB26</f>
        <v>365</v>
      </c>
    </row>
    <row r="34" spans="1:2" x14ac:dyDescent="0.25">
      <c r="A34" s="17" t="s">
        <v>47</v>
      </c>
      <c r="B34" s="17">
        <f>Summary!BB27</f>
        <v>377</v>
      </c>
    </row>
    <row r="35" spans="1:2" x14ac:dyDescent="0.25">
      <c r="A35" s="17" t="s">
        <v>28</v>
      </c>
      <c r="B35" s="17">
        <f>Summary!BB10</f>
        <v>391</v>
      </c>
    </row>
    <row r="36" spans="1:2" x14ac:dyDescent="0.25">
      <c r="A36" s="17" t="s">
        <v>23</v>
      </c>
      <c r="B36" s="17">
        <f>Summary!BB5</f>
        <v>439</v>
      </c>
    </row>
    <row r="37" spans="1:2" x14ac:dyDescent="0.25">
      <c r="A37" s="17" t="s">
        <v>40</v>
      </c>
      <c r="B37" s="17">
        <f>Summary!BB20</f>
        <v>443</v>
      </c>
    </row>
    <row r="38" spans="1:2" x14ac:dyDescent="0.25">
      <c r="A38" s="17" t="s">
        <v>39</v>
      </c>
      <c r="B38" s="17">
        <f>Summary!BB19</f>
        <v>428</v>
      </c>
    </row>
    <row r="39" spans="1:2" x14ac:dyDescent="0.25">
      <c r="A39" s="17" t="s">
        <v>49</v>
      </c>
      <c r="B39" s="17">
        <f>Summary!BB29</f>
        <v>461</v>
      </c>
    </row>
    <row r="40" spans="1:2" x14ac:dyDescent="0.25">
      <c r="A40" s="17" t="s">
        <v>38</v>
      </c>
      <c r="B40" s="17">
        <f>Summary!BB18</f>
        <v>417</v>
      </c>
    </row>
    <row r="41" spans="1:2" x14ac:dyDescent="0.25">
      <c r="A41" s="17" t="s">
        <v>21</v>
      </c>
      <c r="B41" s="17">
        <f>Summary!BB4</f>
        <v>470</v>
      </c>
    </row>
    <row r="42" spans="1:2" x14ac:dyDescent="0.25">
      <c r="A42" s="17" t="s">
        <v>42</v>
      </c>
      <c r="B42" s="17">
        <f>Summary!BB22</f>
        <v>438</v>
      </c>
    </row>
    <row r="43" spans="1:2" x14ac:dyDescent="0.25">
      <c r="A43" s="17" t="s">
        <v>34</v>
      </c>
      <c r="B43" s="17">
        <f>Summary!BB14</f>
        <v>542</v>
      </c>
    </row>
    <row r="44" spans="1:2" x14ac:dyDescent="0.25">
      <c r="A44" s="17" t="s">
        <v>25</v>
      </c>
      <c r="B44" s="17">
        <f>Summary!BB7</f>
        <v>588</v>
      </c>
    </row>
  </sheetData>
  <autoFilter ref="A1:B1" xr:uid="{01E9A975-9B43-430F-B800-1371DA2629CC}">
    <sortState xmlns:xlrd2="http://schemas.microsoft.com/office/spreadsheetml/2017/richdata2" ref="A2:B42">
      <sortCondition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DF17-8AE2-431A-9B2F-B7441469C043}">
  <sheetPr codeName="Sheet2"/>
  <dimension ref="A1:BC47"/>
  <sheetViews>
    <sheetView zoomScaleNormal="10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A50" sqref="A50"/>
    </sheetView>
  </sheetViews>
  <sheetFormatPr defaultRowHeight="15" x14ac:dyDescent="0.25"/>
  <cols>
    <col min="1" max="1" width="25.7109375" bestFit="1" customWidth="1"/>
    <col min="2" max="9" width="3" customWidth="1"/>
    <col min="10" max="10" width="5" customWidth="1"/>
    <col min="11" max="11" width="7.7109375" customWidth="1"/>
    <col min="12" max="12" width="3" customWidth="1"/>
    <col min="13" max="13" width="3.7109375" bestFit="1" customWidth="1"/>
    <col min="14" max="21" width="3" customWidth="1"/>
    <col min="22" max="23" width="3.28515625" customWidth="1"/>
    <col min="24" max="24" width="4.85546875" customWidth="1"/>
    <col min="25" max="25" width="9.7109375" bestFit="1" customWidth="1"/>
    <col min="26" max="37" width="3.7109375" bestFit="1" customWidth="1"/>
    <col min="38" max="38" width="4" bestFit="1" customWidth="1"/>
    <col min="39" max="39" width="6.28515625" bestFit="1" customWidth="1"/>
    <col min="40" max="40" width="3" customWidth="1"/>
    <col min="41" max="41" width="3.7109375" bestFit="1" customWidth="1"/>
    <col min="42" max="49" width="3" customWidth="1"/>
    <col min="50" max="51" width="3.28515625" customWidth="1"/>
    <col min="52" max="52" width="4.85546875" customWidth="1"/>
    <col min="53" max="53" width="8.85546875" customWidth="1"/>
    <col min="54" max="54" width="7.85546875" customWidth="1"/>
    <col min="55" max="55" width="10.28515625" customWidth="1"/>
    <col min="56" max="59" width="3.85546875" customWidth="1"/>
    <col min="60" max="60" width="2" bestFit="1" customWidth="1"/>
    <col min="61" max="105" width="2.5703125" bestFit="1" customWidth="1"/>
  </cols>
  <sheetData>
    <row r="1" spans="1:55" ht="24.75" customHeight="1" x14ac:dyDescent="0.25">
      <c r="A1" s="17" t="s">
        <v>1</v>
      </c>
      <c r="B1" s="106">
        <v>3</v>
      </c>
      <c r="C1" s="104">
        <v>4</v>
      </c>
      <c r="D1" s="106">
        <v>4</v>
      </c>
      <c r="E1" s="104">
        <v>5</v>
      </c>
      <c r="F1" s="105">
        <v>4</v>
      </c>
      <c r="G1" s="104">
        <v>4</v>
      </c>
      <c r="H1" s="105">
        <v>4</v>
      </c>
      <c r="I1" s="104">
        <v>2</v>
      </c>
      <c r="J1" s="107">
        <f>SUM(B1:I1)</f>
        <v>30</v>
      </c>
      <c r="K1" s="181">
        <v>2023</v>
      </c>
      <c r="L1" s="105">
        <v>3</v>
      </c>
      <c r="M1" s="104">
        <v>4</v>
      </c>
      <c r="N1" s="105">
        <v>4</v>
      </c>
      <c r="O1" s="104">
        <v>5</v>
      </c>
      <c r="P1" s="105">
        <v>4</v>
      </c>
      <c r="Q1" s="104">
        <v>4</v>
      </c>
      <c r="R1" s="105">
        <v>5</v>
      </c>
      <c r="S1" s="104">
        <v>5</v>
      </c>
      <c r="T1" s="105">
        <v>5</v>
      </c>
      <c r="U1" s="108">
        <v>4</v>
      </c>
      <c r="V1" s="105">
        <v>4</v>
      </c>
      <c r="W1" s="108">
        <v>3</v>
      </c>
      <c r="X1" s="107">
        <v>50</v>
      </c>
      <c r="Y1" s="181">
        <v>2024</v>
      </c>
      <c r="Z1" s="106">
        <v>3</v>
      </c>
      <c r="AA1" s="109">
        <v>4</v>
      </c>
      <c r="AB1" s="106">
        <v>5</v>
      </c>
      <c r="AC1" s="109">
        <v>4</v>
      </c>
      <c r="AD1" s="106">
        <v>4</v>
      </c>
      <c r="AE1" s="109">
        <v>5</v>
      </c>
      <c r="AF1" s="106">
        <v>4</v>
      </c>
      <c r="AG1" s="109">
        <v>4</v>
      </c>
      <c r="AH1" s="106">
        <v>5</v>
      </c>
      <c r="AI1" s="108">
        <v>4</v>
      </c>
      <c r="AJ1" s="106">
        <v>4</v>
      </c>
      <c r="AK1" s="108">
        <v>3</v>
      </c>
      <c r="AL1" s="107">
        <v>49</v>
      </c>
      <c r="AM1" s="181">
        <v>2025</v>
      </c>
      <c r="AN1" s="106">
        <f>AllMusters26!$E$3</f>
        <v>4</v>
      </c>
      <c r="AO1" s="109">
        <f>AllMusters26!$E$4</f>
        <v>4</v>
      </c>
      <c r="AP1" s="106">
        <f>AllMusters26!$E$5</f>
        <v>2</v>
      </c>
      <c r="AQ1" s="109">
        <f>AllMusters26!$E$6</f>
        <v>0</v>
      </c>
      <c r="AR1" s="106">
        <f>AllMusters26!$E$7</f>
        <v>0</v>
      </c>
      <c r="AS1" s="109">
        <f>AllMusters26!$E$8</f>
        <v>0</v>
      </c>
      <c r="AT1" s="106">
        <f>AllMusters26!$E$9</f>
        <v>0</v>
      </c>
      <c r="AU1" s="109">
        <f>AllMusters26!$E$10</f>
        <v>0</v>
      </c>
      <c r="AV1" s="106">
        <f>AllMusters26!$E$11</f>
        <v>0</v>
      </c>
      <c r="AW1" s="108">
        <f>AllMusters26!$E$12</f>
        <v>0</v>
      </c>
      <c r="AX1" s="106">
        <f>AllMusters26!$E$13</f>
        <v>0</v>
      </c>
      <c r="AY1" s="108">
        <f>AllMusters26!$E$14</f>
        <v>0</v>
      </c>
      <c r="AZ1" s="107">
        <f>SUM(AN1:AY1)</f>
        <v>10</v>
      </c>
      <c r="BA1" s="181">
        <v>2025</v>
      </c>
      <c r="BB1" s="112" t="s">
        <v>71</v>
      </c>
      <c r="BC1" s="64" t="s">
        <v>3</v>
      </c>
    </row>
    <row r="2" spans="1:55" x14ac:dyDescent="0.25">
      <c r="A2" s="17" t="s">
        <v>4</v>
      </c>
      <c r="B2" s="106">
        <v>32</v>
      </c>
      <c r="C2" s="104">
        <v>46</v>
      </c>
      <c r="D2" s="106">
        <v>47</v>
      </c>
      <c r="E2" s="104">
        <v>28</v>
      </c>
      <c r="F2" s="110">
        <v>38</v>
      </c>
      <c r="G2" s="104">
        <v>46</v>
      </c>
      <c r="H2" s="110">
        <v>43</v>
      </c>
      <c r="I2" s="104">
        <v>44</v>
      </c>
      <c r="J2" s="107">
        <f>SUM(B2:I2)</f>
        <v>324</v>
      </c>
      <c r="K2" s="182"/>
      <c r="L2" s="110">
        <v>58</v>
      </c>
      <c r="M2" s="111">
        <v>48</v>
      </c>
      <c r="N2" s="110">
        <v>47</v>
      </c>
      <c r="O2" s="111">
        <v>38</v>
      </c>
      <c r="P2" s="110">
        <v>55</v>
      </c>
      <c r="Q2" s="111">
        <v>43</v>
      </c>
      <c r="R2" s="110">
        <v>44</v>
      </c>
      <c r="S2" s="111">
        <v>49</v>
      </c>
      <c r="T2" s="110">
        <v>36</v>
      </c>
      <c r="U2" s="108">
        <v>42</v>
      </c>
      <c r="V2" s="110">
        <v>47</v>
      </c>
      <c r="W2" s="108">
        <v>52</v>
      </c>
      <c r="X2" s="107">
        <v>559</v>
      </c>
      <c r="Y2" s="182"/>
      <c r="Z2" s="106">
        <v>57</v>
      </c>
      <c r="AA2" s="106">
        <v>48</v>
      </c>
      <c r="AB2" s="106">
        <v>70</v>
      </c>
      <c r="AC2" s="106">
        <v>42</v>
      </c>
      <c r="AD2" s="106">
        <v>68</v>
      </c>
      <c r="AE2" s="106">
        <v>35</v>
      </c>
      <c r="AF2" s="106">
        <v>56</v>
      </c>
      <c r="AG2" s="106">
        <v>53</v>
      </c>
      <c r="AH2" s="106">
        <v>47</v>
      </c>
      <c r="AI2" s="106">
        <v>39</v>
      </c>
      <c r="AJ2" s="106">
        <v>58</v>
      </c>
      <c r="AK2" s="106">
        <v>79</v>
      </c>
      <c r="AL2" s="107">
        <v>652</v>
      </c>
      <c r="AM2" s="182"/>
      <c r="AN2" s="106">
        <f>Summary!AN2</f>
        <v>60</v>
      </c>
      <c r="AO2" s="106">
        <f>Summary!AO2</f>
        <v>44</v>
      </c>
      <c r="AP2" s="106">
        <f>Summary!AP2</f>
        <v>29</v>
      </c>
      <c r="AQ2" s="106">
        <f>Summary!AQ2</f>
        <v>0</v>
      </c>
      <c r="AR2" s="106">
        <f>Summary!AR2</f>
        <v>0</v>
      </c>
      <c r="AS2" s="106">
        <f>Summary!AS2</f>
        <v>0</v>
      </c>
      <c r="AT2" s="106">
        <f>Summary!AT2</f>
        <v>0</v>
      </c>
      <c r="AU2" s="106">
        <f>Summary!AU2</f>
        <v>0</v>
      </c>
      <c r="AV2" s="106">
        <f>Summary!AV2</f>
        <v>0</v>
      </c>
      <c r="AW2" s="106">
        <f>Summary!AW2</f>
        <v>0</v>
      </c>
      <c r="AX2" s="106">
        <f>Summary!AX2</f>
        <v>0</v>
      </c>
      <c r="AY2" s="106">
        <f>Summary!AY2</f>
        <v>0</v>
      </c>
      <c r="AZ2" s="107">
        <f>SUM(AN2:AY2)</f>
        <v>133</v>
      </c>
      <c r="BA2" s="182"/>
      <c r="BB2" s="48">
        <f>SUM(AZ1,X1,J1)</f>
        <v>90</v>
      </c>
      <c r="BC2" s="64" t="s">
        <v>72</v>
      </c>
    </row>
    <row r="3" spans="1:55" ht="57" x14ac:dyDescent="0.25">
      <c r="A3" s="19" t="s">
        <v>5</v>
      </c>
      <c r="B3" s="20" t="s">
        <v>6</v>
      </c>
      <c r="C3" s="23" t="s">
        <v>7</v>
      </c>
      <c r="D3" s="20" t="s">
        <v>8</v>
      </c>
      <c r="E3" s="23" t="s">
        <v>9</v>
      </c>
      <c r="F3" s="20" t="s">
        <v>10</v>
      </c>
      <c r="G3" s="23" t="s">
        <v>11</v>
      </c>
      <c r="H3" s="20" t="s">
        <v>12</v>
      </c>
      <c r="I3" s="23" t="s">
        <v>13</v>
      </c>
      <c r="J3" s="20" t="s">
        <v>14</v>
      </c>
      <c r="K3" s="26" t="s">
        <v>15</v>
      </c>
      <c r="L3" s="20" t="s">
        <v>16</v>
      </c>
      <c r="M3" s="23" t="s">
        <v>17</v>
      </c>
      <c r="N3" s="20" t="s">
        <v>18</v>
      </c>
      <c r="O3" s="23" t="s">
        <v>19</v>
      </c>
      <c r="P3" s="20" t="s">
        <v>6</v>
      </c>
      <c r="Q3" s="23" t="s">
        <v>7</v>
      </c>
      <c r="R3" s="20" t="s">
        <v>8</v>
      </c>
      <c r="S3" s="23" t="s">
        <v>9</v>
      </c>
      <c r="T3" s="20" t="s">
        <v>10</v>
      </c>
      <c r="U3" s="23" t="s">
        <v>11</v>
      </c>
      <c r="V3" s="20" t="s">
        <v>73</v>
      </c>
      <c r="W3" s="23" t="s">
        <v>13</v>
      </c>
      <c r="X3" s="20" t="s">
        <v>14</v>
      </c>
      <c r="Y3" s="26" t="s">
        <v>15</v>
      </c>
      <c r="Z3" s="20" t="s">
        <v>16</v>
      </c>
      <c r="AA3" s="23" t="s">
        <v>17</v>
      </c>
      <c r="AB3" s="20" t="s">
        <v>18</v>
      </c>
      <c r="AC3" s="23" t="s">
        <v>19</v>
      </c>
      <c r="AD3" s="20" t="s">
        <v>6</v>
      </c>
      <c r="AE3" s="23" t="s">
        <v>7</v>
      </c>
      <c r="AF3" s="20" t="s">
        <v>8</v>
      </c>
      <c r="AG3" s="23" t="s">
        <v>9</v>
      </c>
      <c r="AH3" s="20" t="s">
        <v>10</v>
      </c>
      <c r="AI3" s="23" t="s">
        <v>11</v>
      </c>
      <c r="AJ3" s="20" t="s">
        <v>73</v>
      </c>
      <c r="AK3" s="23" t="s">
        <v>13</v>
      </c>
      <c r="AL3" s="20" t="s">
        <v>14</v>
      </c>
      <c r="AM3" s="26" t="s">
        <v>15</v>
      </c>
      <c r="AN3" s="20" t="s">
        <v>16</v>
      </c>
      <c r="AO3" s="23" t="s">
        <v>17</v>
      </c>
      <c r="AP3" s="20" t="s">
        <v>18</v>
      </c>
      <c r="AQ3" s="23" t="s">
        <v>19</v>
      </c>
      <c r="AR3" s="20" t="s">
        <v>6</v>
      </c>
      <c r="AS3" s="23" t="s">
        <v>7</v>
      </c>
      <c r="AT3" s="20" t="s">
        <v>8</v>
      </c>
      <c r="AU3" s="23" t="s">
        <v>9</v>
      </c>
      <c r="AV3" s="20" t="s">
        <v>10</v>
      </c>
      <c r="AW3" s="23" t="s">
        <v>11</v>
      </c>
      <c r="AX3" s="20" t="s">
        <v>73</v>
      </c>
      <c r="AY3" s="23" t="s">
        <v>13</v>
      </c>
      <c r="AZ3" s="20" t="s">
        <v>14</v>
      </c>
      <c r="BA3" s="26" t="s">
        <v>15</v>
      </c>
      <c r="BB3" s="103" t="s">
        <v>71</v>
      </c>
      <c r="BC3" s="102"/>
    </row>
    <row r="4" spans="1:55" x14ac:dyDescent="0.25">
      <c r="A4" s="17" t="s">
        <v>21</v>
      </c>
      <c r="B4" s="21">
        <v>3</v>
      </c>
      <c r="C4" s="22">
        <v>4</v>
      </c>
      <c r="D4" s="21">
        <v>4</v>
      </c>
      <c r="E4" s="22">
        <v>5</v>
      </c>
      <c r="F4" s="21">
        <v>4</v>
      </c>
      <c r="G4" s="22">
        <v>4</v>
      </c>
      <c r="H4" s="21">
        <v>4</v>
      </c>
      <c r="I4" s="22">
        <v>2</v>
      </c>
      <c r="J4" s="21">
        <f t="shared" ref="J4:J34" si="0">SUM(B4:I4)</f>
        <v>30</v>
      </c>
      <c r="K4" s="32">
        <v>1</v>
      </c>
      <c r="L4" s="21">
        <v>3</v>
      </c>
      <c r="M4" s="22">
        <v>4</v>
      </c>
      <c r="N4" s="21">
        <v>4</v>
      </c>
      <c r="O4" s="22">
        <v>5</v>
      </c>
      <c r="P4" s="21">
        <v>4</v>
      </c>
      <c r="Q4" s="22">
        <v>4</v>
      </c>
      <c r="R4" s="21">
        <v>5</v>
      </c>
      <c r="S4" s="22">
        <v>5</v>
      </c>
      <c r="T4" s="21">
        <v>5</v>
      </c>
      <c r="U4" s="22">
        <v>4</v>
      </c>
      <c r="V4" s="21">
        <v>4</v>
      </c>
      <c r="W4" s="22">
        <v>3</v>
      </c>
      <c r="X4" s="21">
        <v>50</v>
      </c>
      <c r="Y4" s="32">
        <v>1</v>
      </c>
      <c r="Z4" s="21">
        <v>3</v>
      </c>
      <c r="AA4" s="22">
        <v>4</v>
      </c>
      <c r="AB4" s="21">
        <v>5</v>
      </c>
      <c r="AC4" s="22">
        <v>3</v>
      </c>
      <c r="AD4" s="21">
        <v>4</v>
      </c>
      <c r="AE4" s="22">
        <v>5</v>
      </c>
      <c r="AF4" s="21">
        <v>4</v>
      </c>
      <c r="AG4" s="22">
        <v>3</v>
      </c>
      <c r="AH4" s="21">
        <v>5</v>
      </c>
      <c r="AI4" s="22">
        <v>3</v>
      </c>
      <c r="AJ4" s="21">
        <v>3</v>
      </c>
      <c r="AK4" s="22">
        <v>3</v>
      </c>
      <c r="AL4" s="21">
        <v>45</v>
      </c>
      <c r="AM4" s="32">
        <v>0.91836734693877553</v>
      </c>
      <c r="AN4" s="21">
        <f>COUNTIFS(AllMusters26!$J$15:$J$108,"I",(AllMusters26!$F$15:$F$108),"1")</f>
        <v>4</v>
      </c>
      <c r="AO4" s="22">
        <f>COUNTIFS(AllMusters26!$J$15:$J$108,"I",(AllMusters26!$F$15:$F$108),"2")</f>
        <v>4</v>
      </c>
      <c r="AP4" s="21">
        <f>COUNTIFS(AllMusters26!$J$15:$J$108,"I",(AllMusters26!$F$15:$F$108),"3")</f>
        <v>2</v>
      </c>
      <c r="AQ4" s="22">
        <f>COUNTIFS(AllMusters26!$J$15:$J$108,"I",(AllMusters26!$F$15:$F$108),"4")</f>
        <v>0</v>
      </c>
      <c r="AR4" s="21">
        <f>COUNTIFS(AllMusters26!$J$15:$J$108,"I",(AllMusters26!$F$15:$F$108),"5")</f>
        <v>0</v>
      </c>
      <c r="AS4" s="22">
        <f>COUNTIFS(AllMusters26!$J$15:$J$108,"I",(AllMusters26!$F$15:$F$108),"6")</f>
        <v>0</v>
      </c>
      <c r="AT4" s="21">
        <f>COUNTIFS(AllMusters26!$J$15:$J$108,"I",(AllMusters26!$F$15:$F$108),"7")</f>
        <v>0</v>
      </c>
      <c r="AU4" s="22">
        <f>COUNTIFS(AllMusters26!$J$15:$J$108,"I",(AllMusters26!$F$15:$F$108),"8")</f>
        <v>0</v>
      </c>
      <c r="AV4" s="21">
        <f>COUNTIFS(AllMusters26!$J$15:$J$108,"I",(AllMusters26!$F$15:$F$108),"9")</f>
        <v>0</v>
      </c>
      <c r="AW4" s="22">
        <f>COUNTIFS(AllMusters26!$J$15:$J$108,"I",(AllMusters26!$F$15:$F$108),"10")</f>
        <v>0</v>
      </c>
      <c r="AX4" s="21">
        <f>COUNTIFS(AllMusters26!$J$15:$J$108,"I",(AllMusters26!$F$15:$F$108),"11")</f>
        <v>0</v>
      </c>
      <c r="AY4" s="22">
        <f>COUNTIFS(AllMusters26!$J$15:$J$108,"I",(AllMusters26!$F$15:$F$108),"12")</f>
        <v>0</v>
      </c>
      <c r="AZ4" s="21">
        <f>(SUM($AN4:$AY4))</f>
        <v>10</v>
      </c>
      <c r="BA4" s="32">
        <f>(SUM(AZ4))/SUM($AZ$1)</f>
        <v>1</v>
      </c>
      <c r="BB4" s="12">
        <f>SUM(J4,X4,AZ4)</f>
        <v>90</v>
      </c>
      <c r="BC4" s="26">
        <f>(SUM(BB4))/SUM($BB$2)</f>
        <v>1</v>
      </c>
    </row>
    <row r="5" spans="1:55" x14ac:dyDescent="0.25">
      <c r="A5" s="17" t="s">
        <v>23</v>
      </c>
      <c r="B5" s="21">
        <v>3</v>
      </c>
      <c r="C5" s="22">
        <v>4</v>
      </c>
      <c r="D5" s="21">
        <v>3</v>
      </c>
      <c r="E5" s="22">
        <v>5</v>
      </c>
      <c r="F5" s="21">
        <v>2</v>
      </c>
      <c r="G5" s="22">
        <v>1</v>
      </c>
      <c r="H5" s="21">
        <v>4</v>
      </c>
      <c r="I5" s="22">
        <v>2</v>
      </c>
      <c r="J5" s="21">
        <f t="shared" si="0"/>
        <v>24</v>
      </c>
      <c r="K5" s="32">
        <v>0.8</v>
      </c>
      <c r="L5" s="21">
        <v>3</v>
      </c>
      <c r="M5" s="22">
        <v>3</v>
      </c>
      <c r="N5" s="21">
        <v>3</v>
      </c>
      <c r="O5" s="22">
        <v>5</v>
      </c>
      <c r="P5" s="21">
        <v>4</v>
      </c>
      <c r="Q5" s="22">
        <v>2</v>
      </c>
      <c r="R5" s="21">
        <v>5</v>
      </c>
      <c r="S5" s="22">
        <v>4</v>
      </c>
      <c r="T5" s="21">
        <v>1</v>
      </c>
      <c r="U5" s="22">
        <v>2</v>
      </c>
      <c r="V5" s="21">
        <v>2</v>
      </c>
      <c r="W5" s="22">
        <v>3</v>
      </c>
      <c r="X5" s="21">
        <v>37</v>
      </c>
      <c r="Y5" s="32">
        <v>0.76249999999999996</v>
      </c>
      <c r="Z5" s="21">
        <v>3</v>
      </c>
      <c r="AA5" s="22">
        <v>4</v>
      </c>
      <c r="AB5" s="21">
        <v>5</v>
      </c>
      <c r="AC5" s="22">
        <v>2</v>
      </c>
      <c r="AD5" s="21">
        <v>4</v>
      </c>
      <c r="AE5" s="22">
        <v>4</v>
      </c>
      <c r="AF5" s="21">
        <v>4</v>
      </c>
      <c r="AG5" s="22">
        <v>4</v>
      </c>
      <c r="AH5" s="21">
        <v>0</v>
      </c>
      <c r="AI5" s="22">
        <v>3</v>
      </c>
      <c r="AJ5" s="21">
        <v>4</v>
      </c>
      <c r="AK5" s="22">
        <v>3</v>
      </c>
      <c r="AL5" s="21">
        <v>40</v>
      </c>
      <c r="AM5" s="32">
        <v>0.81632653061224492</v>
      </c>
      <c r="AN5" s="21">
        <f>COUNTIFS(AllMusters26!$K$15:$K$108,"I",(AllMusters26!$F$15:$F$108),"1")</f>
        <v>4</v>
      </c>
      <c r="AO5" s="22">
        <f>COUNTIFS(AllMusters26!$K$15:$K$108,"I",(AllMusters26!$F$15:$F$108),"2")</f>
        <v>4</v>
      </c>
      <c r="AP5" s="21">
        <f>COUNTIFS(AllMusters26!$K$15:$K$108,"I",(AllMusters26!$F$15:$F$108),"3")</f>
        <v>2</v>
      </c>
      <c r="AQ5" s="22">
        <f>COUNTIFS(AllMusters26!$K$15:$K$108,"I",(AllMusters26!$F$15:$F$108),"4")</f>
        <v>0</v>
      </c>
      <c r="AR5" s="21">
        <f>COUNTIFS(AllMusters26!$K$15:$K$108,"I",(AllMusters26!$F$15:$F$108),"5")</f>
        <v>0</v>
      </c>
      <c r="AS5" s="22">
        <f>COUNTIFS(AllMusters26!$K$15:$K$108,"I",(AllMusters26!$F$15:$F$108),"6")</f>
        <v>0</v>
      </c>
      <c r="AT5" s="21">
        <f>COUNTIFS(AllMusters26!$K$15:$K$108,"I",(AllMusters26!$F$15:$F$108),"7")</f>
        <v>0</v>
      </c>
      <c r="AU5" s="22">
        <f>COUNTIFS(AllMusters26!$K$15:$K$108,"I",(AllMusters26!$F$15:$F$108),"8")</f>
        <v>0</v>
      </c>
      <c r="AV5" s="21">
        <f>COUNTIFS(AllMusters26!$K$15:$K$108,"I",(AllMusters26!$F$15:$F$108),"9")</f>
        <v>0</v>
      </c>
      <c r="AW5" s="22">
        <f>COUNTIFS(AllMusters26!$K$15:$K$108,"I",(AllMusters26!$F$15:$F$108),"10")</f>
        <v>0</v>
      </c>
      <c r="AX5" s="21">
        <f>COUNTIFS(AllMusters26!$K$15:$K$108,"I",(AllMusters26!$F$15:$F$108),"11")</f>
        <v>0</v>
      </c>
      <c r="AY5" s="22">
        <f>COUNTIFS(AllMusters26!$K$15:$K$108,"I",(AllMusters26!$F$15:$F$108),"12")</f>
        <v>0</v>
      </c>
      <c r="AZ5" s="21">
        <f t="shared" ref="AZ5:AZ46" si="1">(SUM($AN5:$AY5))</f>
        <v>10</v>
      </c>
      <c r="BA5" s="32">
        <f t="shared" ref="BA5:BA46" si="2">(SUM(AZ5))/SUM($AZ$1)</f>
        <v>1</v>
      </c>
      <c r="BB5" s="12">
        <f t="shared" ref="BB5:BB40" si="3">SUM(J5,X5,AZ5)</f>
        <v>71</v>
      </c>
      <c r="BC5" s="26">
        <f t="shared" ref="BC5:BC36" si="4">(SUM(BB5))/SUM($BB$2)</f>
        <v>0.78888888888888886</v>
      </c>
    </row>
    <row r="6" spans="1:55" x14ac:dyDescent="0.25">
      <c r="A6" s="17" t="s">
        <v>24</v>
      </c>
      <c r="B6" s="21">
        <v>3</v>
      </c>
      <c r="C6" s="22">
        <v>3</v>
      </c>
      <c r="D6" s="21">
        <v>3</v>
      </c>
      <c r="E6" s="22">
        <v>3</v>
      </c>
      <c r="F6" s="21">
        <v>2</v>
      </c>
      <c r="G6" s="22">
        <v>3</v>
      </c>
      <c r="H6" s="21">
        <v>4</v>
      </c>
      <c r="I6" s="22">
        <v>2</v>
      </c>
      <c r="J6" s="21">
        <f t="shared" si="0"/>
        <v>23</v>
      </c>
      <c r="K6" s="32">
        <v>0.76666666666666672</v>
      </c>
      <c r="L6" s="21">
        <v>2</v>
      </c>
      <c r="M6" s="22">
        <v>4</v>
      </c>
      <c r="N6" s="21">
        <v>4</v>
      </c>
      <c r="O6" s="22">
        <v>3</v>
      </c>
      <c r="P6" s="21">
        <v>3</v>
      </c>
      <c r="Q6" s="22">
        <v>3</v>
      </c>
      <c r="R6" s="21">
        <v>5</v>
      </c>
      <c r="S6" s="22">
        <v>5</v>
      </c>
      <c r="T6" s="21">
        <v>5</v>
      </c>
      <c r="U6" s="22">
        <v>4</v>
      </c>
      <c r="V6" s="21">
        <v>3</v>
      </c>
      <c r="W6" s="22">
        <v>3</v>
      </c>
      <c r="X6" s="21">
        <v>44</v>
      </c>
      <c r="Y6" s="32">
        <v>0.83750000000000002</v>
      </c>
      <c r="Z6" s="21">
        <v>3</v>
      </c>
      <c r="AA6" s="22">
        <v>3</v>
      </c>
      <c r="AB6" s="21">
        <v>4</v>
      </c>
      <c r="AC6" s="22">
        <v>3</v>
      </c>
      <c r="AD6" s="21">
        <v>2</v>
      </c>
      <c r="AE6" s="22">
        <v>3</v>
      </c>
      <c r="AF6" s="21">
        <v>4</v>
      </c>
      <c r="AG6" s="22">
        <v>4</v>
      </c>
      <c r="AH6" s="21">
        <v>3</v>
      </c>
      <c r="AI6" s="22">
        <v>3</v>
      </c>
      <c r="AJ6" s="21">
        <v>4</v>
      </c>
      <c r="AK6" s="22">
        <v>3</v>
      </c>
      <c r="AL6" s="21">
        <v>39</v>
      </c>
      <c r="AM6" s="32">
        <v>0.79591836734693877</v>
      </c>
      <c r="AN6" s="21">
        <f>COUNTIFS(AllMusters26!$L$15:$L$108,"I",(AllMusters26!$F$15:$F$108),"1")</f>
        <v>3</v>
      </c>
      <c r="AO6" s="22">
        <f>COUNTIFS(AllMusters26!$L$15:$L$108,"I",(AllMusters26!$F$15:$F$108),"2")</f>
        <v>4</v>
      </c>
      <c r="AP6" s="21">
        <f>COUNTIFS(AllMusters26!$L$15:$L$108,"I",(AllMusters26!$F$15:$F$108),"3")</f>
        <v>2</v>
      </c>
      <c r="AQ6" s="22">
        <f>COUNTIFS(AllMusters26!$L$15:$L$108,"I",(AllMusters26!$F$15:$F$108),"4")</f>
        <v>0</v>
      </c>
      <c r="AR6" s="21">
        <f>COUNTIFS(AllMusters26!$L$15:$L$108,"I",(AllMusters26!$F$15:$F$108),"5")</f>
        <v>0</v>
      </c>
      <c r="AS6" s="22">
        <f>COUNTIFS(AllMusters26!$L$15:$L$108,"I",(AllMusters26!$F$15:$F$108),"6")</f>
        <v>0</v>
      </c>
      <c r="AT6" s="21">
        <f>COUNTIFS(AllMusters26!$L$15:$L$108,"I",(AllMusters26!$F$15:$F$108),"7")</f>
        <v>0</v>
      </c>
      <c r="AU6" s="22">
        <f>COUNTIFS(AllMusters26!$L$15:$L$108,"I",(AllMusters26!$F$15:$F$108),"8")</f>
        <v>0</v>
      </c>
      <c r="AV6" s="21">
        <f>COUNTIFS(AllMusters26!$L$15:$L$108,"I",(AllMusters26!$F$15:$F$108),"9")</f>
        <v>0</v>
      </c>
      <c r="AW6" s="22">
        <f>COUNTIFS(AllMusters26!$L$15:$L$108,"I",(AllMusters26!$F$15:$F$108),"10")</f>
        <v>0</v>
      </c>
      <c r="AX6" s="21">
        <f>COUNTIFS(AllMusters26!$L$15:$L$108,"I",(AllMusters26!$F$15:$F$108),"11")</f>
        <v>0</v>
      </c>
      <c r="AY6" s="22">
        <f>COUNTIFS(AllMusters26!$L$15:$L$108,"I",(AllMusters26!$F$15:$F$108),"12")</f>
        <v>0</v>
      </c>
      <c r="AZ6" s="21">
        <f t="shared" si="1"/>
        <v>9</v>
      </c>
      <c r="BA6" s="32">
        <f t="shared" si="2"/>
        <v>0.9</v>
      </c>
      <c r="BB6" s="12">
        <f t="shared" si="3"/>
        <v>76</v>
      </c>
      <c r="BC6" s="26">
        <f t="shared" si="4"/>
        <v>0.84444444444444444</v>
      </c>
    </row>
    <row r="7" spans="1:55" x14ac:dyDescent="0.25">
      <c r="A7" s="17" t="s">
        <v>25</v>
      </c>
      <c r="B7" s="21">
        <v>3</v>
      </c>
      <c r="C7" s="22">
        <v>2</v>
      </c>
      <c r="D7" s="21">
        <v>4</v>
      </c>
      <c r="E7" s="22">
        <v>4</v>
      </c>
      <c r="F7" s="21">
        <v>4</v>
      </c>
      <c r="G7" s="22">
        <v>2</v>
      </c>
      <c r="H7" s="21">
        <v>4</v>
      </c>
      <c r="I7" s="22">
        <v>0</v>
      </c>
      <c r="J7" s="21">
        <f t="shared" si="0"/>
        <v>23</v>
      </c>
      <c r="K7" s="32">
        <v>0.76666666666666672</v>
      </c>
      <c r="L7" s="21">
        <v>3</v>
      </c>
      <c r="M7" s="22">
        <v>4</v>
      </c>
      <c r="N7" s="21">
        <v>3</v>
      </c>
      <c r="O7" s="22">
        <v>4</v>
      </c>
      <c r="P7" s="21">
        <v>3</v>
      </c>
      <c r="Q7" s="22">
        <v>3</v>
      </c>
      <c r="R7" s="21">
        <v>4</v>
      </c>
      <c r="S7" s="22">
        <v>4</v>
      </c>
      <c r="T7" s="21">
        <v>3</v>
      </c>
      <c r="U7" s="22">
        <v>4</v>
      </c>
      <c r="V7" s="21">
        <v>2</v>
      </c>
      <c r="W7" s="22">
        <v>3</v>
      </c>
      <c r="X7" s="21">
        <v>40</v>
      </c>
      <c r="Y7" s="32">
        <v>0.78749999999999998</v>
      </c>
      <c r="Z7" s="21">
        <v>2</v>
      </c>
      <c r="AA7" s="22">
        <v>4</v>
      </c>
      <c r="AB7" s="21">
        <v>3</v>
      </c>
      <c r="AC7" s="22">
        <v>4</v>
      </c>
      <c r="AD7" s="21">
        <v>4</v>
      </c>
      <c r="AE7" s="22">
        <v>5</v>
      </c>
      <c r="AF7" s="21">
        <v>4</v>
      </c>
      <c r="AG7" s="22">
        <v>4</v>
      </c>
      <c r="AH7" s="21">
        <v>4</v>
      </c>
      <c r="AI7" s="22">
        <v>4</v>
      </c>
      <c r="AJ7" s="21">
        <v>4</v>
      </c>
      <c r="AK7" s="22">
        <v>3</v>
      </c>
      <c r="AL7" s="21">
        <v>45</v>
      </c>
      <c r="AM7" s="32">
        <v>0.91836734693877553</v>
      </c>
      <c r="AN7" s="21">
        <f>COUNTIFS(AllMusters26!$M$15:$M$108,"I",(AllMusters26!$F$15:$F$108),"1")</f>
        <v>3</v>
      </c>
      <c r="AO7" s="22">
        <f>COUNTIFS(AllMusters26!$M$15:$M$108,"I",(AllMusters26!$F$15:$F$108),"2")</f>
        <v>4</v>
      </c>
      <c r="AP7" s="21">
        <f>COUNTIFS(AllMusters26!$M$15:$M$108,"I",(AllMusters26!$F$15:$F$108),"3")</f>
        <v>2</v>
      </c>
      <c r="AQ7" s="22">
        <f>COUNTIFS(AllMusters26!$M$15:$M$108,"I",(AllMusters26!$F$15:$F$108),"4")</f>
        <v>0</v>
      </c>
      <c r="AR7" s="21">
        <f>COUNTIFS(AllMusters26!$M$15:$M$108,"I",(AllMusters26!$F$15:$F$108),"5")</f>
        <v>0</v>
      </c>
      <c r="AS7" s="22">
        <f>COUNTIFS(AllMusters26!$M$15:$M$108,"I",(AllMusters26!$F$15:$F$108),"6")</f>
        <v>0</v>
      </c>
      <c r="AT7" s="21">
        <f>COUNTIFS(AllMusters26!$M$15:$M$108,"I",(AllMusters26!$F$15:$F$108),"7")</f>
        <v>0</v>
      </c>
      <c r="AU7" s="22">
        <f>COUNTIFS(AllMusters26!$M$15:$M$108,"I",(AllMusters26!$F$15:$F$108),"8")</f>
        <v>0</v>
      </c>
      <c r="AV7" s="21">
        <f>COUNTIFS(AllMusters26!$M$15:$M$108,"I",(AllMusters26!$F$15:$F$108),"9")</f>
        <v>0</v>
      </c>
      <c r="AW7" s="22">
        <f>COUNTIFS(AllMusters26!$M$15:$M$108,"I",(AllMusters26!$F$15:$F$108),"10")</f>
        <v>0</v>
      </c>
      <c r="AX7" s="21">
        <f>COUNTIFS(AllMusters26!$M$15:$M$108,"I",(AllMusters26!$F$15:$F$108),"11")</f>
        <v>0</v>
      </c>
      <c r="AY7" s="22">
        <f>COUNTIFS(AllMusters26!$M$15:$M$108,"I",(AllMusters26!$F$15:$F$108),"12")</f>
        <v>0</v>
      </c>
      <c r="AZ7" s="21">
        <f t="shared" si="1"/>
        <v>9</v>
      </c>
      <c r="BA7" s="32">
        <f t="shared" si="2"/>
        <v>0.9</v>
      </c>
      <c r="BB7" s="12">
        <f t="shared" si="3"/>
        <v>72</v>
      </c>
      <c r="BC7" s="26">
        <f t="shared" si="4"/>
        <v>0.8</v>
      </c>
    </row>
    <row r="8" spans="1:55" x14ac:dyDescent="0.25">
      <c r="A8" s="17" t="s">
        <v>26</v>
      </c>
      <c r="B8" s="21">
        <v>2</v>
      </c>
      <c r="C8" s="22">
        <v>4</v>
      </c>
      <c r="D8" s="21">
        <v>0</v>
      </c>
      <c r="E8" s="22">
        <v>3</v>
      </c>
      <c r="F8" s="21">
        <v>2</v>
      </c>
      <c r="G8" s="22">
        <v>4</v>
      </c>
      <c r="H8" s="21">
        <v>3</v>
      </c>
      <c r="I8" s="22">
        <v>1</v>
      </c>
      <c r="J8" s="21">
        <f t="shared" si="0"/>
        <v>19</v>
      </c>
      <c r="K8" s="32">
        <v>0.6333333333333333</v>
      </c>
      <c r="L8" s="21">
        <v>1</v>
      </c>
      <c r="M8" s="22">
        <v>1</v>
      </c>
      <c r="N8" s="21">
        <v>1</v>
      </c>
      <c r="O8" s="22">
        <v>2</v>
      </c>
      <c r="P8" s="21">
        <v>1</v>
      </c>
      <c r="Q8" s="22">
        <v>2</v>
      </c>
      <c r="R8" s="21">
        <v>2</v>
      </c>
      <c r="S8" s="22">
        <v>4</v>
      </c>
      <c r="T8" s="21">
        <v>2</v>
      </c>
      <c r="U8" s="22">
        <v>1</v>
      </c>
      <c r="V8" s="21">
        <v>3</v>
      </c>
      <c r="W8" s="22">
        <v>2</v>
      </c>
      <c r="X8" s="21">
        <v>22</v>
      </c>
      <c r="Y8" s="32">
        <v>0.51249999999999996</v>
      </c>
      <c r="Z8" s="21">
        <v>3</v>
      </c>
      <c r="AA8" s="22">
        <v>3</v>
      </c>
      <c r="AB8" s="21">
        <v>1</v>
      </c>
      <c r="AC8" s="22">
        <v>4</v>
      </c>
      <c r="AD8" s="21">
        <v>1</v>
      </c>
      <c r="AE8" s="22">
        <v>5</v>
      </c>
      <c r="AF8" s="21">
        <v>3</v>
      </c>
      <c r="AG8" s="22">
        <v>0</v>
      </c>
      <c r="AH8" s="21">
        <v>2</v>
      </c>
      <c r="AI8" s="22">
        <v>2</v>
      </c>
      <c r="AJ8" s="21">
        <v>2</v>
      </c>
      <c r="AK8" s="22">
        <v>2</v>
      </c>
      <c r="AL8" s="21">
        <v>28</v>
      </c>
      <c r="AM8" s="32">
        <v>0.5714285714285714</v>
      </c>
      <c r="AN8" s="21">
        <f>COUNTIFS(AllMusters26!$N$15:$N$108,"I",(AllMusters26!$F$15:$F$108),"1")</f>
        <v>3</v>
      </c>
      <c r="AO8" s="22">
        <f>COUNTIFS(AllMusters26!$N$15:$N$108,"I",(AllMusters26!$F$15:$F$108),"2")</f>
        <v>2</v>
      </c>
      <c r="AP8" s="21">
        <f>COUNTIFS(AllMusters26!$N$15:$N$108,"I",(AllMusters26!$F$15:$F$108),"3")</f>
        <v>1</v>
      </c>
      <c r="AQ8" s="22">
        <f>COUNTIFS(AllMusters26!$N$15:$N$108,"I",(AllMusters26!$F$15:$F$108),"4")</f>
        <v>0</v>
      </c>
      <c r="AR8" s="21">
        <f>COUNTIFS(AllMusters26!$N$15:$N$108,"I",(AllMusters26!$F$15:$F$108),"5")</f>
        <v>0</v>
      </c>
      <c r="AS8" s="22">
        <f>COUNTIFS(AllMusters26!$N$15:$N$108,"I",(AllMusters26!$F$15:$F$108),"6")</f>
        <v>0</v>
      </c>
      <c r="AT8" s="21">
        <f>COUNTIFS(AllMusters26!$N$15:$N$108,"I",(AllMusters26!$F$15:$F$108),"7")</f>
        <v>0</v>
      </c>
      <c r="AU8" s="22">
        <f>COUNTIFS(AllMusters26!$N$15:$N$108,"I",(AllMusters26!$F$15:$F$108),"8")</f>
        <v>0</v>
      </c>
      <c r="AV8" s="21">
        <f>COUNTIFS(AllMusters26!$N$15:$N$108,"I",(AllMusters26!$F$15:$F$108),"9")</f>
        <v>0</v>
      </c>
      <c r="AW8" s="22">
        <f>COUNTIFS(AllMusters26!$N$15:$N$108,"I",(AllMusters26!$F$15:$F$108),"10")</f>
        <v>0</v>
      </c>
      <c r="AX8" s="21">
        <f>COUNTIFS(AllMusters26!$N$15:$N$108,"I",(AllMusters26!$F$15:$F$108),"11")</f>
        <v>0</v>
      </c>
      <c r="AY8" s="22">
        <f>COUNTIFS(AllMusters26!$N$15:$N$108,"I",(AllMusters26!$F$15:$F$108),"12")</f>
        <v>0</v>
      </c>
      <c r="AZ8" s="21">
        <f t="shared" si="1"/>
        <v>6</v>
      </c>
      <c r="BA8" s="32">
        <f t="shared" si="2"/>
        <v>0.6</v>
      </c>
      <c r="BB8" s="12">
        <f t="shared" si="3"/>
        <v>47</v>
      </c>
      <c r="BC8" s="26">
        <f t="shared" si="4"/>
        <v>0.52222222222222225</v>
      </c>
    </row>
    <row r="9" spans="1:55" x14ac:dyDescent="0.25">
      <c r="A9" s="17" t="s">
        <v>27</v>
      </c>
      <c r="B9" s="21">
        <v>2</v>
      </c>
      <c r="C9" s="22">
        <v>4</v>
      </c>
      <c r="D9" s="21">
        <v>3</v>
      </c>
      <c r="E9" s="22">
        <v>3</v>
      </c>
      <c r="F9" s="21">
        <v>4</v>
      </c>
      <c r="G9" s="22">
        <v>3</v>
      </c>
      <c r="H9" s="21">
        <v>4</v>
      </c>
      <c r="I9" s="22">
        <v>2</v>
      </c>
      <c r="J9" s="21">
        <f t="shared" si="0"/>
        <v>25</v>
      </c>
      <c r="K9" s="32">
        <v>0.83333333333333337</v>
      </c>
      <c r="L9" s="21">
        <v>3</v>
      </c>
      <c r="M9" s="22">
        <v>2</v>
      </c>
      <c r="N9" s="21">
        <v>2</v>
      </c>
      <c r="O9" s="22">
        <v>4</v>
      </c>
      <c r="P9" s="21">
        <v>4</v>
      </c>
      <c r="Q9" s="22">
        <v>3</v>
      </c>
      <c r="R9" s="21">
        <v>2</v>
      </c>
      <c r="S9" s="22">
        <v>4</v>
      </c>
      <c r="T9" s="21">
        <v>3</v>
      </c>
      <c r="U9" s="22">
        <v>2</v>
      </c>
      <c r="V9" s="21">
        <v>2</v>
      </c>
      <c r="W9" s="22">
        <v>3</v>
      </c>
      <c r="X9" s="21">
        <v>34</v>
      </c>
      <c r="Y9" s="32">
        <v>0.73750000000000004</v>
      </c>
      <c r="Z9" s="21">
        <v>1</v>
      </c>
      <c r="AA9" s="22">
        <v>3</v>
      </c>
      <c r="AB9" s="21">
        <v>3</v>
      </c>
      <c r="AC9" s="22">
        <v>3</v>
      </c>
      <c r="AD9" s="21">
        <v>4</v>
      </c>
      <c r="AE9" s="22">
        <v>2</v>
      </c>
      <c r="AF9" s="21">
        <v>3</v>
      </c>
      <c r="AG9" s="22">
        <v>3</v>
      </c>
      <c r="AH9" s="21">
        <v>4</v>
      </c>
      <c r="AI9" s="22">
        <v>3</v>
      </c>
      <c r="AJ9" s="21">
        <v>4</v>
      </c>
      <c r="AK9" s="22">
        <v>3</v>
      </c>
      <c r="AL9" s="21">
        <v>36</v>
      </c>
      <c r="AM9" s="32">
        <v>0.73469387755102045</v>
      </c>
      <c r="AN9" s="21">
        <f>COUNTIFS(AllMusters26!$O$15:$O$108,"I",(AllMusters26!$F$15:$F$108),"1")</f>
        <v>3</v>
      </c>
      <c r="AO9" s="22">
        <f>COUNTIFS(AllMusters26!$O$15:$O$108,"I",(AllMusters26!$F$15:$F$108),"2")</f>
        <v>4</v>
      </c>
      <c r="AP9" s="21">
        <f>COUNTIFS(AllMusters26!$O$15:$O$108,"I",(AllMusters26!$F$15:$F$108),"3")</f>
        <v>1</v>
      </c>
      <c r="AQ9" s="22">
        <f>COUNTIFS(AllMusters26!$O$15:$O$108,"I",(AllMusters26!$F$15:$F$108),"4")</f>
        <v>0</v>
      </c>
      <c r="AR9" s="21">
        <f>COUNTIFS(AllMusters26!$O$15:$O$108,"I",(AllMusters26!$F$15:$F$108),"5")</f>
        <v>0</v>
      </c>
      <c r="AS9" s="22">
        <f>COUNTIFS(AllMusters26!$O$15:$O$108,"I",(AllMusters26!$F$15:$F$108),"6")</f>
        <v>0</v>
      </c>
      <c r="AT9" s="21">
        <f>COUNTIFS(AllMusters26!$O$15:$O$108,"I",(AllMusters26!$F$15:$F$108),"7")</f>
        <v>0</v>
      </c>
      <c r="AU9" s="22">
        <f>COUNTIFS(AllMusters26!$O$15:$O$108,"I",(AllMusters26!$F$15:$F$108),"8")</f>
        <v>0</v>
      </c>
      <c r="AV9" s="21">
        <f>COUNTIFS(AllMusters26!$O$15:$O$108,"I",(AllMusters26!$F$15:$F$108),"9")</f>
        <v>0</v>
      </c>
      <c r="AW9" s="22">
        <f>COUNTIFS(AllMusters26!$O$15:$O$108,"I",(AllMusters26!$F$15:$F$108),"10")</f>
        <v>0</v>
      </c>
      <c r="AX9" s="21">
        <f>COUNTIFS(AllMusters26!$O$15:$O$108,"I",(AllMusters26!$F$15:$F$108),"11")</f>
        <v>0</v>
      </c>
      <c r="AY9" s="22">
        <f>COUNTIFS(AllMusters26!$O$15:$O$108,"I",(AllMusters26!$F$15:$F$108),"12")</f>
        <v>0</v>
      </c>
      <c r="AZ9" s="21">
        <f t="shared" si="1"/>
        <v>8</v>
      </c>
      <c r="BA9" s="32">
        <f t="shared" si="2"/>
        <v>0.8</v>
      </c>
      <c r="BB9" s="12">
        <f t="shared" si="3"/>
        <v>67</v>
      </c>
      <c r="BC9" s="26">
        <f t="shared" si="4"/>
        <v>0.74444444444444446</v>
      </c>
    </row>
    <row r="10" spans="1:55" x14ac:dyDescent="0.25">
      <c r="A10" s="17" t="s">
        <v>28</v>
      </c>
      <c r="B10" s="21">
        <v>2</v>
      </c>
      <c r="C10" s="22">
        <v>0</v>
      </c>
      <c r="D10" s="21">
        <v>3</v>
      </c>
      <c r="E10" s="22">
        <v>4</v>
      </c>
      <c r="F10" s="21">
        <v>4</v>
      </c>
      <c r="G10" s="22">
        <v>4</v>
      </c>
      <c r="H10" s="21">
        <v>4</v>
      </c>
      <c r="I10" s="22">
        <v>1</v>
      </c>
      <c r="J10" s="21">
        <f t="shared" ref="J10" si="5">SUM(B10:I10)</f>
        <v>22</v>
      </c>
      <c r="K10" s="32">
        <v>0.73333333333333328</v>
      </c>
      <c r="L10" s="21">
        <v>3</v>
      </c>
      <c r="M10" s="22">
        <v>4</v>
      </c>
      <c r="N10" s="21">
        <v>2</v>
      </c>
      <c r="O10" s="22">
        <v>5</v>
      </c>
      <c r="P10" s="21">
        <v>4</v>
      </c>
      <c r="Q10" s="22">
        <v>4</v>
      </c>
      <c r="R10" s="21">
        <v>4</v>
      </c>
      <c r="S10" s="22">
        <v>5</v>
      </c>
      <c r="T10" s="21">
        <v>5</v>
      </c>
      <c r="U10" s="22">
        <v>4</v>
      </c>
      <c r="V10" s="21">
        <v>3</v>
      </c>
      <c r="W10" s="22">
        <v>1</v>
      </c>
      <c r="X10" s="21">
        <v>44</v>
      </c>
      <c r="Y10" s="32">
        <v>0.82499999999999996</v>
      </c>
      <c r="Z10" s="114">
        <v>2</v>
      </c>
      <c r="AA10" s="22">
        <v>2</v>
      </c>
      <c r="AB10" s="21">
        <v>3</v>
      </c>
      <c r="AC10" s="22">
        <v>4</v>
      </c>
      <c r="AD10" s="21">
        <v>4</v>
      </c>
      <c r="AE10" s="22">
        <v>4</v>
      </c>
      <c r="AF10" s="21">
        <v>3</v>
      </c>
      <c r="AG10" s="22">
        <v>4</v>
      </c>
      <c r="AH10" s="21">
        <v>4</v>
      </c>
      <c r="AI10" s="22">
        <v>4</v>
      </c>
      <c r="AJ10" s="21">
        <v>4</v>
      </c>
      <c r="AK10" s="22">
        <v>0</v>
      </c>
      <c r="AL10" s="21">
        <v>38</v>
      </c>
      <c r="AM10" s="32">
        <v>0.77551020408163263</v>
      </c>
      <c r="AN10" s="21">
        <f>COUNTIFS(AllMusters26!$P$15:$P$108,"I",(AllMusters26!$F$15:$F$108),"1")</f>
        <v>3</v>
      </c>
      <c r="AO10" s="22">
        <f>COUNTIFS(AllMusters26!$P$15:$P$108,"I",(AllMusters26!$F$15:$F$108),"2")</f>
        <v>3</v>
      </c>
      <c r="AP10" s="21">
        <f>COUNTIFS(AllMusters26!$P$15:$P$108,"I",(AllMusters26!$F$15:$F$108),"3")</f>
        <v>2</v>
      </c>
      <c r="AQ10" s="22">
        <f>COUNTIFS(AllMusters26!$P$15:$P$108,"I",(AllMusters26!$F$15:$F$108),"4")</f>
        <v>0</v>
      </c>
      <c r="AR10" s="21">
        <f>COUNTIFS(AllMusters26!$P$15:$P$108,"I",(AllMusters26!$F$15:$F$108),"5")</f>
        <v>0</v>
      </c>
      <c r="AS10" s="22">
        <f>COUNTIFS(AllMusters26!$P$15:$P$108,"I",(AllMusters26!$F$15:$F$108),"6")</f>
        <v>0</v>
      </c>
      <c r="AT10" s="21">
        <f>COUNTIFS(AllMusters26!$P$15:$P$108,"I",(AllMusters26!$F$15:$F$108),"7")</f>
        <v>0</v>
      </c>
      <c r="AU10" s="22">
        <f>COUNTIFS(AllMusters26!$P$15:$P$108,"I",(AllMusters26!$F$15:$F$108),"8")</f>
        <v>0</v>
      </c>
      <c r="AV10" s="21">
        <f>COUNTIFS(AllMusters26!$P$15:$P$108,"I",(AllMusters26!$F$15:$F$108),"9")</f>
        <v>0</v>
      </c>
      <c r="AW10" s="22">
        <f>COUNTIFS(AllMusters26!$P$15:$P$108,"I",(AllMusters26!$F$15:$F$108),"10")</f>
        <v>0</v>
      </c>
      <c r="AX10" s="21">
        <f>COUNTIFS(AllMusters26!$P$15:$P$108,"I",(AllMusters26!$F$15:$F$108),"11")</f>
        <v>0</v>
      </c>
      <c r="AY10" s="22">
        <f>COUNTIFS(AllMusters26!$P$15:$P$108,"I",(AllMusters26!$F$15:$F$108),"12")</f>
        <v>0</v>
      </c>
      <c r="AZ10" s="21">
        <f t="shared" si="1"/>
        <v>8</v>
      </c>
      <c r="BA10" s="32">
        <f t="shared" ref="BA10" si="6">(SUM(AZ10))/SUM($AZ$1)</f>
        <v>0.8</v>
      </c>
      <c r="BB10" s="12">
        <f t="shared" ref="BB10:BB11" si="7">SUM(J10,X10,AZ10)</f>
        <v>74</v>
      </c>
      <c r="BC10" s="26">
        <f t="shared" ref="BC10:BC11" si="8">(SUM(BB10))/SUM($BB$2)</f>
        <v>0.82222222222222219</v>
      </c>
    </row>
    <row r="11" spans="1:55" x14ac:dyDescent="0.25">
      <c r="A11" s="17" t="s">
        <v>29</v>
      </c>
      <c r="B11" s="21">
        <v>3</v>
      </c>
      <c r="C11" s="22">
        <v>3</v>
      </c>
      <c r="D11" s="21">
        <v>4</v>
      </c>
      <c r="E11" s="22">
        <v>5</v>
      </c>
      <c r="F11" s="21">
        <v>4</v>
      </c>
      <c r="G11" s="22">
        <v>3</v>
      </c>
      <c r="H11" s="21">
        <v>4</v>
      </c>
      <c r="I11" s="22">
        <v>2</v>
      </c>
      <c r="J11" s="21">
        <f t="shared" ref="J11" si="9">SUM(B11:I11)</f>
        <v>28</v>
      </c>
      <c r="K11" s="32">
        <v>0.93333333333333335</v>
      </c>
      <c r="L11" s="21">
        <v>1</v>
      </c>
      <c r="M11" s="22">
        <v>4</v>
      </c>
      <c r="N11" s="21">
        <v>3</v>
      </c>
      <c r="O11" s="22">
        <v>5</v>
      </c>
      <c r="P11" s="21">
        <v>4</v>
      </c>
      <c r="Q11" s="22">
        <v>3</v>
      </c>
      <c r="R11" s="21">
        <v>5</v>
      </c>
      <c r="S11" s="22">
        <v>5</v>
      </c>
      <c r="T11" s="21">
        <v>4</v>
      </c>
      <c r="U11" s="22">
        <v>2</v>
      </c>
      <c r="V11" s="21">
        <v>4</v>
      </c>
      <c r="W11" s="22">
        <v>2</v>
      </c>
      <c r="X11" s="21">
        <v>42</v>
      </c>
      <c r="Y11" s="32">
        <v>0.875</v>
      </c>
      <c r="Z11" s="21">
        <v>3</v>
      </c>
      <c r="AA11" s="22">
        <v>3</v>
      </c>
      <c r="AB11" s="21">
        <v>5</v>
      </c>
      <c r="AC11" s="22">
        <v>3</v>
      </c>
      <c r="AD11" s="21">
        <v>3</v>
      </c>
      <c r="AE11" s="22">
        <v>3</v>
      </c>
      <c r="AF11" s="21">
        <v>1</v>
      </c>
      <c r="AG11" s="22">
        <v>3</v>
      </c>
      <c r="AH11" s="21">
        <v>5</v>
      </c>
      <c r="AI11" s="22">
        <v>4</v>
      </c>
      <c r="AJ11" s="21">
        <v>2</v>
      </c>
      <c r="AK11" s="22">
        <v>2</v>
      </c>
      <c r="AL11" s="21">
        <v>37</v>
      </c>
      <c r="AM11" s="32">
        <v>0.75510204081632648</v>
      </c>
      <c r="AN11" s="21">
        <f>COUNTIFS(AllMusters26!$Q$15:$Q$108,"I",(AllMusters26!$F$15:$F$108),"1")</f>
        <v>3</v>
      </c>
      <c r="AO11" s="22">
        <f>COUNTIFS(AllMusters26!$Q$15:$Q$108,"I",(AllMusters26!$F$15:$F$108),"2")</f>
        <v>2</v>
      </c>
      <c r="AP11" s="21">
        <f>COUNTIFS(AllMusters26!$Q$15:$Q$108,"I",(AllMusters26!$F$15:$F$108),"3")</f>
        <v>2</v>
      </c>
      <c r="AQ11" s="22">
        <f>COUNTIFS(AllMusters26!$Q$15:$Q$108,"I",(AllMusters26!$F$15:$F$108),"4")</f>
        <v>0</v>
      </c>
      <c r="AR11" s="21">
        <f>COUNTIFS(AllMusters26!$Q$15:$Q$108,"I",(AllMusters26!$F$15:$F$108),"5")</f>
        <v>0</v>
      </c>
      <c r="AS11" s="22">
        <f>COUNTIFS(AllMusters26!$Q$15:$Q$108,"I",(AllMusters26!$F$15:$F$108),"6")</f>
        <v>0</v>
      </c>
      <c r="AT11" s="21">
        <f>COUNTIFS(AllMusters26!$Q$15:$Q$108,"I",(AllMusters26!$F$15:$F$108),"7")</f>
        <v>0</v>
      </c>
      <c r="AU11" s="22">
        <f>COUNTIFS(AllMusters26!$Q$15:$Q$108,"I",(AllMusters26!$F$15:$F$108),"8")</f>
        <v>0</v>
      </c>
      <c r="AV11" s="21">
        <f>COUNTIFS(AllMusters26!$Q$15:$Q$108,"I",(AllMusters26!$F$15:$F$108),"9")</f>
        <v>0</v>
      </c>
      <c r="AW11" s="22">
        <f>COUNTIFS(AllMusters26!$Q$15:$Q$108,"I",(AllMusters26!$F$15:$F$108),"10")</f>
        <v>0</v>
      </c>
      <c r="AX11" s="21">
        <f>COUNTIFS(AllMusters26!$Q$15:$Q$108,"I",(AllMusters26!$F$15:$F$108),"11")</f>
        <v>0</v>
      </c>
      <c r="AY11" s="22">
        <f>COUNTIFS(AllMusters26!$Q$15:$Q$108,"I",(AllMusters26!$F$15:$F$108),"12")</f>
        <v>0</v>
      </c>
      <c r="AZ11" s="21">
        <f t="shared" si="1"/>
        <v>7</v>
      </c>
      <c r="BA11" s="32">
        <f t="shared" ref="BA11" si="10">(SUM(AZ11))/SUM($AZ$1)</f>
        <v>0.7</v>
      </c>
      <c r="BB11" s="12">
        <f t="shared" si="7"/>
        <v>77</v>
      </c>
      <c r="BC11" s="26">
        <f t="shared" si="8"/>
        <v>0.85555555555555551</v>
      </c>
    </row>
    <row r="12" spans="1:55" x14ac:dyDescent="0.25">
      <c r="A12" s="17" t="s">
        <v>30</v>
      </c>
      <c r="B12" s="21">
        <v>2</v>
      </c>
      <c r="C12" s="22">
        <v>2</v>
      </c>
      <c r="D12" s="21">
        <v>4</v>
      </c>
      <c r="E12" s="22">
        <v>4</v>
      </c>
      <c r="F12" s="21">
        <v>3</v>
      </c>
      <c r="G12" s="22">
        <v>3</v>
      </c>
      <c r="H12" s="21">
        <v>4</v>
      </c>
      <c r="I12" s="22">
        <v>1</v>
      </c>
      <c r="J12" s="21">
        <f t="shared" si="0"/>
        <v>23</v>
      </c>
      <c r="K12" s="32">
        <v>0.76666666666666672</v>
      </c>
      <c r="L12" s="21">
        <v>2</v>
      </c>
      <c r="M12" s="22">
        <v>3</v>
      </c>
      <c r="N12" s="21">
        <v>2</v>
      </c>
      <c r="O12" s="22">
        <v>3</v>
      </c>
      <c r="P12" s="21">
        <v>3</v>
      </c>
      <c r="Q12" s="22">
        <v>2</v>
      </c>
      <c r="R12" s="21">
        <v>3</v>
      </c>
      <c r="S12" s="22">
        <v>2</v>
      </c>
      <c r="T12" s="21">
        <v>3</v>
      </c>
      <c r="U12" s="22">
        <v>2</v>
      </c>
      <c r="V12" s="21">
        <v>3</v>
      </c>
      <c r="W12" s="22">
        <v>2</v>
      </c>
      <c r="X12" s="21">
        <v>30</v>
      </c>
      <c r="Y12" s="32">
        <v>0.66249999999999998</v>
      </c>
      <c r="Z12" s="21">
        <v>2</v>
      </c>
      <c r="AA12" s="22">
        <v>2</v>
      </c>
      <c r="AB12" s="21">
        <v>3</v>
      </c>
      <c r="AC12" s="22">
        <v>3</v>
      </c>
      <c r="AD12" s="21">
        <v>2</v>
      </c>
      <c r="AE12" s="22">
        <v>3</v>
      </c>
      <c r="AF12" s="21">
        <v>3</v>
      </c>
      <c r="AG12" s="22">
        <v>3</v>
      </c>
      <c r="AH12" s="21">
        <v>3</v>
      </c>
      <c r="AI12" s="22">
        <v>2</v>
      </c>
      <c r="AJ12" s="21">
        <v>2</v>
      </c>
      <c r="AK12" s="22">
        <v>3</v>
      </c>
      <c r="AL12" s="21">
        <v>31</v>
      </c>
      <c r="AM12" s="32">
        <v>0.63265306122448983</v>
      </c>
      <c r="AN12" s="21">
        <f>COUNTIFS(AllMusters26!$R$15:$R$108,"I",(AllMusters26!$F$15:$F$108),"1")</f>
        <v>3</v>
      </c>
      <c r="AO12" s="22">
        <f>COUNTIFS(AllMusters26!$R$15:$R$108,"I",(AllMusters26!$F$15:$F$108),"2")</f>
        <v>2</v>
      </c>
      <c r="AP12" s="21">
        <f>COUNTIFS(AllMusters26!$R$15:$R$108,"I",(AllMusters26!$F$15:$F$108),"3")</f>
        <v>1</v>
      </c>
      <c r="AQ12" s="22">
        <f>COUNTIFS(AllMusters26!$R$15:$R$108,"I",(AllMusters26!$F$15:$F$108),"4")</f>
        <v>0</v>
      </c>
      <c r="AR12" s="21">
        <f>COUNTIFS(AllMusters26!$R$15:$R$108,"I",(AllMusters26!$F$15:$F$108),"5")</f>
        <v>0</v>
      </c>
      <c r="AS12" s="22">
        <f>COUNTIFS(AllMusters26!$R$15:$R$108,"I",(AllMusters26!$F$15:$F$108),"6")</f>
        <v>0</v>
      </c>
      <c r="AT12" s="21">
        <f>COUNTIFS(AllMusters26!$R$15:$R$108,"I",(AllMusters26!$F$15:$F$108),"7")</f>
        <v>0</v>
      </c>
      <c r="AU12" s="22">
        <f>COUNTIFS(AllMusters26!$R$15:$R$108,"I",(AllMusters26!$F$15:$F$108),"8")</f>
        <v>0</v>
      </c>
      <c r="AV12" s="21">
        <f>COUNTIFS(AllMusters26!$R$15:$R$108,"I",(AllMusters26!$F$15:$F$108),"9")</f>
        <v>0</v>
      </c>
      <c r="AW12" s="22">
        <f>COUNTIFS(AllMusters26!$R$15:$R$108,"I",(AllMusters26!$F$15:$F$108),"10")</f>
        <v>0</v>
      </c>
      <c r="AX12" s="21">
        <f>COUNTIFS(AllMusters26!$R$15:$R$108,"I",(AllMusters26!$F$15:$F$108),"11")</f>
        <v>0</v>
      </c>
      <c r="AY12" s="22">
        <f>COUNTIFS(AllMusters26!$R$15:$R$108,"I",(AllMusters26!$F$15:$F$108),"12")</f>
        <v>0</v>
      </c>
      <c r="AZ12" s="21">
        <f t="shared" si="1"/>
        <v>6</v>
      </c>
      <c r="BA12" s="32">
        <f t="shared" si="2"/>
        <v>0.6</v>
      </c>
      <c r="BB12" s="12">
        <f t="shared" si="3"/>
        <v>59</v>
      </c>
      <c r="BC12" s="26">
        <f t="shared" si="4"/>
        <v>0.65555555555555556</v>
      </c>
    </row>
    <row r="13" spans="1:55" x14ac:dyDescent="0.25">
      <c r="A13" s="17" t="s">
        <v>32</v>
      </c>
      <c r="B13" s="21">
        <v>3</v>
      </c>
      <c r="C13" s="22">
        <v>2</v>
      </c>
      <c r="D13" s="21">
        <v>3</v>
      </c>
      <c r="E13" s="22">
        <v>3</v>
      </c>
      <c r="F13" s="21">
        <v>1</v>
      </c>
      <c r="G13" s="22">
        <v>4</v>
      </c>
      <c r="H13" s="21">
        <v>3</v>
      </c>
      <c r="I13" s="22">
        <v>2</v>
      </c>
      <c r="J13" s="21">
        <f t="shared" si="0"/>
        <v>21</v>
      </c>
      <c r="K13" s="32">
        <v>0.7</v>
      </c>
      <c r="L13" s="21">
        <v>2</v>
      </c>
      <c r="M13" s="22">
        <v>3</v>
      </c>
      <c r="N13" s="21">
        <v>3</v>
      </c>
      <c r="O13" s="22">
        <v>4</v>
      </c>
      <c r="P13" s="21">
        <v>3</v>
      </c>
      <c r="Q13" s="22">
        <v>3</v>
      </c>
      <c r="R13" s="21">
        <v>3</v>
      </c>
      <c r="S13" s="22">
        <v>2</v>
      </c>
      <c r="T13" s="21">
        <v>0</v>
      </c>
      <c r="U13" s="22">
        <v>4</v>
      </c>
      <c r="V13" s="21">
        <v>2</v>
      </c>
      <c r="W13" s="22">
        <v>2</v>
      </c>
      <c r="X13" s="21">
        <v>31</v>
      </c>
      <c r="Y13" s="32">
        <v>0.65</v>
      </c>
      <c r="Z13" s="21">
        <v>2</v>
      </c>
      <c r="AA13" s="22">
        <v>1</v>
      </c>
      <c r="AB13" s="21">
        <v>3</v>
      </c>
      <c r="AC13" s="22">
        <v>2</v>
      </c>
      <c r="AD13" s="21">
        <v>4</v>
      </c>
      <c r="AE13" s="22">
        <v>4</v>
      </c>
      <c r="AF13" s="21">
        <v>3</v>
      </c>
      <c r="AG13" s="22">
        <v>2</v>
      </c>
      <c r="AH13" s="21">
        <v>0</v>
      </c>
      <c r="AI13" s="22">
        <v>4</v>
      </c>
      <c r="AJ13" s="21">
        <v>3</v>
      </c>
      <c r="AK13" s="22">
        <v>3</v>
      </c>
      <c r="AL13" s="21">
        <v>31</v>
      </c>
      <c r="AM13" s="32">
        <v>0.63265306122448983</v>
      </c>
      <c r="AN13" s="21">
        <f>COUNTIFS(AllMusters26!$S$15:$S$108,"I",(AllMusters26!$F$15:$F$108),"1")</f>
        <v>3</v>
      </c>
      <c r="AO13" s="22">
        <f>COUNTIFS(AllMusters26!$S$15:$S$108,"I",(AllMusters26!$F$15:$F$108),"2")</f>
        <v>2</v>
      </c>
      <c r="AP13" s="21">
        <f>COUNTIFS(AllMusters26!$S$15:$S$108,"I",(AllMusters26!$F$15:$F$108),"3")</f>
        <v>1</v>
      </c>
      <c r="AQ13" s="22">
        <f>COUNTIFS(AllMusters26!$S$15:$S$108,"I",(AllMusters26!$F$15:$F$108),"4")</f>
        <v>0</v>
      </c>
      <c r="AR13" s="21">
        <f>COUNTIFS(AllMusters26!$S$15:$S$108,"I",(AllMusters26!$F$15:$F$108),"5")</f>
        <v>0</v>
      </c>
      <c r="AS13" s="22">
        <f>COUNTIFS(AllMusters26!$S$15:$S$108,"I",(AllMusters26!$F$15:$F$108),"6")</f>
        <v>0</v>
      </c>
      <c r="AT13" s="21">
        <f>COUNTIFS(AllMusters26!$S$15:$S$108,"I",(AllMusters26!$F$15:$F$108),"7")</f>
        <v>0</v>
      </c>
      <c r="AU13" s="22">
        <f>COUNTIFS(AllMusters26!$S$15:$S$108,"I",(AllMusters26!$F$15:$F$108),"8")</f>
        <v>0</v>
      </c>
      <c r="AV13" s="21">
        <f>COUNTIFS(AllMusters26!$S$15:$S$108,"I",(AllMusters26!$F$15:$F$108),"9")</f>
        <v>0</v>
      </c>
      <c r="AW13" s="22">
        <f>COUNTIFS(AllMusters26!$S$15:$S$108,"I",(AllMusters26!$F$15:$F$108),"10")</f>
        <v>0</v>
      </c>
      <c r="AX13" s="21">
        <f>COUNTIFS(AllMusters26!$S$15:$S$108,"I",(AllMusters26!$F$15:$F$108),"11")</f>
        <v>0</v>
      </c>
      <c r="AY13" s="22">
        <f>COUNTIFS(AllMusters26!$S$15:$S$108,"I",(AllMusters26!$F$15:$F$108),"12")</f>
        <v>0</v>
      </c>
      <c r="AZ13" s="21">
        <f t="shared" si="1"/>
        <v>6</v>
      </c>
      <c r="BA13" s="32">
        <f t="shared" si="2"/>
        <v>0.6</v>
      </c>
      <c r="BB13" s="12">
        <f t="shared" si="3"/>
        <v>58</v>
      </c>
      <c r="BC13" s="26">
        <f t="shared" si="4"/>
        <v>0.64444444444444449</v>
      </c>
    </row>
    <row r="14" spans="1:55" x14ac:dyDescent="0.25">
      <c r="A14" s="17" t="s">
        <v>34</v>
      </c>
      <c r="B14" s="21">
        <v>3</v>
      </c>
      <c r="C14" s="22">
        <v>3</v>
      </c>
      <c r="D14" s="21">
        <v>4</v>
      </c>
      <c r="E14" s="22">
        <v>4</v>
      </c>
      <c r="F14" s="21">
        <v>4</v>
      </c>
      <c r="G14" s="22">
        <v>3</v>
      </c>
      <c r="H14" s="21">
        <v>4</v>
      </c>
      <c r="I14" s="22">
        <v>2</v>
      </c>
      <c r="J14" s="21">
        <f t="shared" si="0"/>
        <v>27</v>
      </c>
      <c r="K14" s="32">
        <v>0.9</v>
      </c>
      <c r="L14" s="21">
        <v>2</v>
      </c>
      <c r="M14" s="22">
        <v>4</v>
      </c>
      <c r="N14" s="21">
        <v>4</v>
      </c>
      <c r="O14" s="22">
        <v>4</v>
      </c>
      <c r="P14" s="21">
        <v>4</v>
      </c>
      <c r="Q14" s="22">
        <v>4</v>
      </c>
      <c r="R14" s="21">
        <v>5</v>
      </c>
      <c r="S14" s="22">
        <v>5</v>
      </c>
      <c r="T14" s="21">
        <v>5</v>
      </c>
      <c r="U14" s="22">
        <v>4</v>
      </c>
      <c r="V14" s="21">
        <v>3</v>
      </c>
      <c r="W14" s="22">
        <v>3</v>
      </c>
      <c r="X14" s="21">
        <v>47</v>
      </c>
      <c r="Y14" s="32">
        <v>0.92500000000000004</v>
      </c>
      <c r="Z14" s="21">
        <v>2</v>
      </c>
      <c r="AA14" s="22">
        <v>3</v>
      </c>
      <c r="AB14" s="21">
        <v>5</v>
      </c>
      <c r="AC14" s="22">
        <v>4</v>
      </c>
      <c r="AD14" s="21">
        <v>3</v>
      </c>
      <c r="AE14" s="22">
        <v>3</v>
      </c>
      <c r="AF14" s="21">
        <v>4</v>
      </c>
      <c r="AG14" s="22">
        <v>4</v>
      </c>
      <c r="AH14" s="21">
        <v>5</v>
      </c>
      <c r="AI14" s="22">
        <v>4</v>
      </c>
      <c r="AJ14" s="21">
        <v>4</v>
      </c>
      <c r="AK14" s="22">
        <v>3</v>
      </c>
      <c r="AL14" s="21">
        <v>44</v>
      </c>
      <c r="AM14" s="32">
        <v>0.89795918367346939</v>
      </c>
      <c r="AN14" s="21">
        <f>COUNTIFS(AllMusters26!$T$15:$T$108,"I",(AllMusters26!$F$15:$F$108),"1")</f>
        <v>3</v>
      </c>
      <c r="AO14" s="22">
        <f>COUNTIFS(AllMusters26!$T$15:$T$108,"I",(AllMusters26!$F$15:$F$108),"2")</f>
        <v>4</v>
      </c>
      <c r="AP14" s="21">
        <f>COUNTIFS(AllMusters26!$T$15:$T$108,"I",(AllMusters26!$F$15:$F$108),"3")</f>
        <v>2</v>
      </c>
      <c r="AQ14" s="22">
        <f>COUNTIFS(AllMusters26!$T$15:$T$108,"I",(AllMusters26!$F$15:$F$108),"4")</f>
        <v>0</v>
      </c>
      <c r="AR14" s="21">
        <f>COUNTIFS(AllMusters26!$T$15:$T$108,"I",(AllMusters26!$F$15:$F$108),"5")</f>
        <v>0</v>
      </c>
      <c r="AS14" s="22">
        <f>COUNTIFS(AllMusters26!$T$15:$T$108,"I",(AllMusters26!$F$15:$F$108),"6")</f>
        <v>0</v>
      </c>
      <c r="AT14" s="21">
        <f>COUNTIFS(AllMusters26!$T$15:$T$108,"I",(AllMusters26!$F$15:$F$108),"7")</f>
        <v>0</v>
      </c>
      <c r="AU14" s="22">
        <f>COUNTIFS(AllMusters26!$T$15:$T$108,"I",(AllMusters26!$F$15:$F$108),"8")</f>
        <v>0</v>
      </c>
      <c r="AV14" s="21">
        <f>COUNTIFS(AllMusters26!$T$15:$T$108,"I",(AllMusters26!$F$15:$F$108),"9")</f>
        <v>0</v>
      </c>
      <c r="AW14" s="22">
        <f>COUNTIFS(AllMusters26!$T$15:$T$108,"I",(AllMusters26!$F$15:$F$108),"10")</f>
        <v>0</v>
      </c>
      <c r="AX14" s="21">
        <f>COUNTIFS(AllMusters26!$T$15:$T$108,"I",(AllMusters26!$F$15:$F$108),"11")</f>
        <v>0</v>
      </c>
      <c r="AY14" s="22">
        <f>COUNTIFS(AllMusters26!$T$15:$T$108,"I",(AllMusters26!$F$15:$F$108),"12")</f>
        <v>0</v>
      </c>
      <c r="AZ14" s="21">
        <f t="shared" si="1"/>
        <v>9</v>
      </c>
      <c r="BA14" s="32">
        <f t="shared" si="2"/>
        <v>0.9</v>
      </c>
      <c r="BB14" s="12">
        <f t="shared" si="3"/>
        <v>83</v>
      </c>
      <c r="BC14" s="26">
        <f t="shared" si="4"/>
        <v>0.92222222222222228</v>
      </c>
    </row>
    <row r="15" spans="1:55" x14ac:dyDescent="0.25">
      <c r="A15" s="17" t="s">
        <v>35</v>
      </c>
      <c r="B15" s="21">
        <v>3</v>
      </c>
      <c r="C15" s="22">
        <v>3</v>
      </c>
      <c r="D15" s="21">
        <v>4</v>
      </c>
      <c r="E15" s="22">
        <v>5</v>
      </c>
      <c r="F15" s="21">
        <v>4</v>
      </c>
      <c r="G15" s="22">
        <v>3</v>
      </c>
      <c r="H15" s="21">
        <v>4</v>
      </c>
      <c r="I15" s="22">
        <v>2</v>
      </c>
      <c r="J15" s="21">
        <f t="shared" si="0"/>
        <v>28</v>
      </c>
      <c r="K15" s="32">
        <v>0.93333333333333335</v>
      </c>
      <c r="L15" s="21">
        <v>1</v>
      </c>
      <c r="M15" s="22">
        <v>4</v>
      </c>
      <c r="N15" s="21">
        <v>3</v>
      </c>
      <c r="O15" s="22">
        <v>5</v>
      </c>
      <c r="P15" s="21">
        <v>4</v>
      </c>
      <c r="Q15" s="22">
        <v>3</v>
      </c>
      <c r="R15" s="21">
        <v>5</v>
      </c>
      <c r="S15" s="22">
        <v>5</v>
      </c>
      <c r="T15" s="21">
        <v>4</v>
      </c>
      <c r="U15" s="22">
        <v>2</v>
      </c>
      <c r="V15" s="21">
        <v>4</v>
      </c>
      <c r="W15" s="22">
        <v>2</v>
      </c>
      <c r="X15" s="21">
        <v>42</v>
      </c>
      <c r="Y15" s="32">
        <v>0.875</v>
      </c>
      <c r="Z15" s="21">
        <v>3</v>
      </c>
      <c r="AA15" s="22">
        <v>3</v>
      </c>
      <c r="AB15" s="21">
        <v>5</v>
      </c>
      <c r="AC15" s="22">
        <v>3</v>
      </c>
      <c r="AD15" s="21">
        <v>3</v>
      </c>
      <c r="AE15" s="22">
        <v>3</v>
      </c>
      <c r="AF15" s="21">
        <v>1</v>
      </c>
      <c r="AG15" s="22">
        <v>3</v>
      </c>
      <c r="AH15" s="21">
        <v>5</v>
      </c>
      <c r="AI15" s="22">
        <v>4</v>
      </c>
      <c r="AJ15" s="21">
        <v>2</v>
      </c>
      <c r="AK15" s="22">
        <v>2</v>
      </c>
      <c r="AL15" s="21">
        <v>37</v>
      </c>
      <c r="AM15" s="32">
        <v>0.75510204081632648</v>
      </c>
      <c r="AN15" s="21">
        <f>COUNTIFS(AllMusters26!$U$15:$U$108,"I",(AllMusters26!$F$15:$F$108),"1")</f>
        <v>3</v>
      </c>
      <c r="AO15" s="22">
        <f>COUNTIFS(AllMusters26!$U$15:$U$108,"I",(AllMusters26!$F$15:$F$108),"2")</f>
        <v>2</v>
      </c>
      <c r="AP15" s="21">
        <f>COUNTIFS(AllMusters26!$U$15:$U$108,"I",(AllMusters26!$F$15:$F$108),"3")</f>
        <v>2</v>
      </c>
      <c r="AQ15" s="22">
        <f>COUNTIFS(AllMusters26!$U$15:$U$108,"I",(AllMusters26!$F$15:$F$108),"4")</f>
        <v>0</v>
      </c>
      <c r="AR15" s="21">
        <f>COUNTIFS(AllMusters26!$U$15:$U$108,"I",(AllMusters26!$F$15:$F$108),"5")</f>
        <v>0</v>
      </c>
      <c r="AS15" s="22">
        <f>COUNTIFS(AllMusters26!$U$15:$U$108,"I",(AllMusters26!$F$15:$F$108),"6")</f>
        <v>0</v>
      </c>
      <c r="AT15" s="21">
        <f>COUNTIFS(AllMusters26!$U$15:$U$108,"I",(AllMusters26!$F$15:$F$108),"7")</f>
        <v>0</v>
      </c>
      <c r="AU15" s="22">
        <f>COUNTIFS(AllMusters26!$U$15:$U$108,"I",(AllMusters26!$F$15:$F$108),"8")</f>
        <v>0</v>
      </c>
      <c r="AV15" s="21">
        <f>COUNTIFS(AllMusters26!$U$15:$U$108,"I",(AllMusters26!$F$15:$F$108),"9")</f>
        <v>0</v>
      </c>
      <c r="AW15" s="22">
        <f>COUNTIFS(AllMusters26!$U$15:$U$108,"I",(AllMusters26!$F$15:$F$108),"10")</f>
        <v>0</v>
      </c>
      <c r="AX15" s="21">
        <f>COUNTIFS(AllMusters26!$U$15:$U$108,"I",(AllMusters26!$F$15:$F$108),"11")</f>
        <v>0</v>
      </c>
      <c r="AY15" s="22">
        <f>COUNTIFS(AllMusters26!$U$15:$U$108,"I",(AllMusters26!$F$15:$F$108),"12")</f>
        <v>0</v>
      </c>
      <c r="AZ15" s="21">
        <f t="shared" si="1"/>
        <v>7</v>
      </c>
      <c r="BA15" s="32">
        <f t="shared" si="2"/>
        <v>0.7</v>
      </c>
      <c r="BB15" s="12">
        <f t="shared" si="3"/>
        <v>77</v>
      </c>
      <c r="BC15" s="26">
        <f t="shared" si="4"/>
        <v>0.85555555555555551</v>
      </c>
    </row>
    <row r="16" spans="1:55" x14ac:dyDescent="0.25">
      <c r="A16" s="17" t="s">
        <v>36</v>
      </c>
      <c r="B16" s="21">
        <v>1</v>
      </c>
      <c r="C16" s="22">
        <v>3</v>
      </c>
      <c r="D16" s="21">
        <v>3</v>
      </c>
      <c r="E16" s="22">
        <v>5</v>
      </c>
      <c r="F16" s="21">
        <v>2</v>
      </c>
      <c r="G16" s="22">
        <v>4</v>
      </c>
      <c r="H16" s="21">
        <v>2</v>
      </c>
      <c r="I16" s="22">
        <v>2</v>
      </c>
      <c r="J16" s="21">
        <f t="shared" si="0"/>
        <v>22</v>
      </c>
      <c r="K16" s="32">
        <v>0.73333333333333328</v>
      </c>
      <c r="L16" s="21">
        <v>2</v>
      </c>
      <c r="M16" s="22">
        <v>4</v>
      </c>
      <c r="N16" s="21">
        <v>2</v>
      </c>
      <c r="O16" s="22">
        <v>4</v>
      </c>
      <c r="P16" s="21">
        <v>3</v>
      </c>
      <c r="Q16" s="22">
        <v>4</v>
      </c>
      <c r="R16" s="21">
        <v>4</v>
      </c>
      <c r="S16" s="22">
        <v>3</v>
      </c>
      <c r="T16" s="21">
        <v>5</v>
      </c>
      <c r="U16" s="22">
        <v>1</v>
      </c>
      <c r="V16" s="21">
        <v>3</v>
      </c>
      <c r="W16" s="22">
        <v>2</v>
      </c>
      <c r="X16" s="21">
        <v>37</v>
      </c>
      <c r="Y16" s="32">
        <v>0.73750000000000004</v>
      </c>
      <c r="Z16" s="21">
        <v>3</v>
      </c>
      <c r="AA16" s="22">
        <v>4</v>
      </c>
      <c r="AB16" s="21">
        <v>5</v>
      </c>
      <c r="AC16" s="22">
        <v>4</v>
      </c>
      <c r="AD16" s="21">
        <v>4</v>
      </c>
      <c r="AE16" s="22">
        <v>5</v>
      </c>
      <c r="AF16" s="21">
        <v>4</v>
      </c>
      <c r="AG16" s="22">
        <v>4</v>
      </c>
      <c r="AH16" s="21">
        <v>5</v>
      </c>
      <c r="AI16" s="22">
        <v>4</v>
      </c>
      <c r="AJ16" s="21">
        <v>4</v>
      </c>
      <c r="AK16" s="22">
        <v>3</v>
      </c>
      <c r="AL16" s="21">
        <v>49</v>
      </c>
      <c r="AM16" s="32">
        <v>1</v>
      </c>
      <c r="AN16" s="21">
        <f>COUNTIFS(AllMusters26!$V$15:$V$108,"I",(AllMusters26!$F$15:$F$108),"1")</f>
        <v>4</v>
      </c>
      <c r="AO16" s="22">
        <f>COUNTIFS(AllMusters26!$V$15:$V$108,"I",(AllMusters26!$F$15:$F$108),"2")</f>
        <v>4</v>
      </c>
      <c r="AP16" s="21">
        <f>COUNTIFS(AllMusters26!$V$15:$V$108,"I",(AllMusters26!$F$15:$F$108),"3")</f>
        <v>2</v>
      </c>
      <c r="AQ16" s="22">
        <f>COUNTIFS(AllMusters26!$V$15:$V$108,"I",(AllMusters26!$F$15:$F$108),"4")</f>
        <v>0</v>
      </c>
      <c r="AR16" s="21">
        <f>COUNTIFS(AllMusters26!$V$15:$V$108,"I",(AllMusters26!$F$15:$F$108),"5")</f>
        <v>0</v>
      </c>
      <c r="AS16" s="22">
        <f>COUNTIFS(AllMusters26!$V$15:$V$108,"I",(AllMusters26!$F$15:$F$108),"6")</f>
        <v>0</v>
      </c>
      <c r="AT16" s="21">
        <f>COUNTIFS(AllMusters26!$V$15:$V$108,"I",(AllMusters26!$F$15:$F$108),"7")</f>
        <v>0</v>
      </c>
      <c r="AU16" s="22">
        <f>COUNTIFS(AllMusters26!$V$15:$V$108,"I",(AllMusters26!$F$15:$F$108),"8")</f>
        <v>0</v>
      </c>
      <c r="AV16" s="21">
        <f>COUNTIFS(AllMusters26!$V$15:$V$108,"I",(AllMusters26!$F$15:$F$108),"9")</f>
        <v>0</v>
      </c>
      <c r="AW16" s="22">
        <f>COUNTIFS(AllMusters26!$V$15:$V$108,"I",(AllMusters26!$F$15:$F$108),"10")</f>
        <v>0</v>
      </c>
      <c r="AX16" s="21">
        <f>COUNTIFS(AllMusters26!$V$15:$V$108,"I",(AllMusters26!$F$15:$F$108),"11")</f>
        <v>0</v>
      </c>
      <c r="AY16" s="22">
        <f>COUNTIFS(AllMusters26!$V$15:$V$108,"I",(AllMusters26!$F$15:$F$108),"12")</f>
        <v>0</v>
      </c>
      <c r="AZ16" s="21">
        <f t="shared" si="1"/>
        <v>10</v>
      </c>
      <c r="BA16" s="32">
        <f t="shared" si="2"/>
        <v>1</v>
      </c>
      <c r="BB16" s="12">
        <f t="shared" si="3"/>
        <v>69</v>
      </c>
      <c r="BC16" s="26">
        <f t="shared" si="4"/>
        <v>0.76666666666666672</v>
      </c>
    </row>
    <row r="17" spans="1:55" x14ac:dyDescent="0.25">
      <c r="A17" s="17" t="s">
        <v>37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139">
        <v>2</v>
      </c>
      <c r="AA17" s="22">
        <v>1</v>
      </c>
      <c r="AB17" s="31">
        <v>2</v>
      </c>
      <c r="AC17" s="22">
        <v>3</v>
      </c>
      <c r="AD17" s="31">
        <v>1</v>
      </c>
      <c r="AE17" s="22">
        <v>3</v>
      </c>
      <c r="AF17" s="31">
        <v>3</v>
      </c>
      <c r="AG17" s="39">
        <v>3</v>
      </c>
      <c r="AH17" s="31">
        <v>2</v>
      </c>
      <c r="AI17" s="22">
        <v>2</v>
      </c>
      <c r="AJ17" s="31">
        <v>2</v>
      </c>
      <c r="AK17" s="22">
        <v>2</v>
      </c>
      <c r="AL17" s="21">
        <v>26</v>
      </c>
      <c r="AM17" s="32">
        <v>0.52173913043478259</v>
      </c>
      <c r="AN17" s="21">
        <f>COUNTIFS(AllMusters26!$W$15:$W$108,"I",(AllMusters26!$F$15:$F$108),"1")</f>
        <v>1</v>
      </c>
      <c r="AO17" s="22">
        <f>COUNTIFS(AllMusters26!$W$15:$W$108,"I",(AllMusters26!$F$15:$F$108),"2")</f>
        <v>1</v>
      </c>
      <c r="AP17" s="31">
        <f>COUNTIFS(AllMusters26!$W$15:$W$108,"I",(AllMusters26!$F$15:$F$108),"3")</f>
        <v>1</v>
      </c>
      <c r="AQ17" s="22">
        <f>COUNTIFS(AllMusters26!$W$15:$W$108,"I",(AllMusters26!$F$15:$F$108),"4")</f>
        <v>0</v>
      </c>
      <c r="AR17" s="31">
        <f>COUNTIFS(AllMusters26!$W$15:$W$108,"I",(AllMusters26!$F$15:$F$108),"5")</f>
        <v>0</v>
      </c>
      <c r="AS17" s="22">
        <f>COUNTIFS(AllMusters26!$W$15:$W$108,"I",(AllMusters26!$F$15:$F$108),"6")</f>
        <v>0</v>
      </c>
      <c r="AT17" s="31">
        <f>COUNTIFS(AllMusters26!$W$15:$W$108,"I",(AllMusters26!$F$15:$F$108),"7")</f>
        <v>0</v>
      </c>
      <c r="AU17" s="39">
        <f>COUNTIFS(AllMusters26!$W$15:$W$108,"I",(AllMusters26!$F$15:$F$108),"8")</f>
        <v>0</v>
      </c>
      <c r="AV17" s="31">
        <f>COUNTIFS(AllMusters26!$W$15:$W$108,"I",(AllMusters26!$F$15:$F$108),"9")</f>
        <v>0</v>
      </c>
      <c r="AW17" s="22">
        <f>COUNTIFS(AllMusters26!$W$15:$W$108,"I",(AllMusters26!$F$15:$F$108),"10")</f>
        <v>0</v>
      </c>
      <c r="AX17" s="31">
        <f>COUNTIFS(AllMusters26!$W$15:$W$108,"I",(AllMusters26!$F$15:$F$108),"11")</f>
        <v>0</v>
      </c>
      <c r="AY17" s="22">
        <f>COUNTIFS(AllMusters26!$W$15:$W$108,"I",(AllMusters26!$F$15:$F$108),"12")</f>
        <v>0</v>
      </c>
      <c r="AZ17" s="21">
        <f t="shared" si="1"/>
        <v>3</v>
      </c>
      <c r="BA17" s="32">
        <f>(SUM(AZ17))/SUM($AZ$1)</f>
        <v>0.3</v>
      </c>
      <c r="BB17" s="12">
        <f>SUM(AL17,X17,AZ17)</f>
        <v>29</v>
      </c>
      <c r="BC17" s="26">
        <f>(SUM(BB17))/SUM($AZ$1,AL1)</f>
        <v>0.49152542372881358</v>
      </c>
    </row>
    <row r="18" spans="1:55" x14ac:dyDescent="0.25">
      <c r="A18" s="17" t="s">
        <v>38</v>
      </c>
      <c r="B18" s="21">
        <v>3</v>
      </c>
      <c r="C18" s="22">
        <v>4</v>
      </c>
      <c r="D18" s="21">
        <v>4</v>
      </c>
      <c r="E18" s="22">
        <v>4</v>
      </c>
      <c r="F18" s="21">
        <v>2</v>
      </c>
      <c r="G18" s="22">
        <v>4</v>
      </c>
      <c r="H18" s="21">
        <v>4</v>
      </c>
      <c r="I18" s="22">
        <v>2</v>
      </c>
      <c r="J18" s="21">
        <f>SUM(B18:I18)</f>
        <v>27</v>
      </c>
      <c r="K18" s="32">
        <v>0.9</v>
      </c>
      <c r="L18" s="21">
        <v>2</v>
      </c>
      <c r="M18" s="22">
        <v>4</v>
      </c>
      <c r="N18" s="21">
        <v>3</v>
      </c>
      <c r="O18" s="22">
        <v>5</v>
      </c>
      <c r="P18" s="21">
        <v>3</v>
      </c>
      <c r="Q18" s="22">
        <v>4</v>
      </c>
      <c r="R18" s="21">
        <v>3</v>
      </c>
      <c r="S18" s="22">
        <v>3</v>
      </c>
      <c r="T18" s="21">
        <v>3</v>
      </c>
      <c r="U18" s="22">
        <v>3</v>
      </c>
      <c r="V18" s="21">
        <v>3</v>
      </c>
      <c r="W18" s="22">
        <v>3</v>
      </c>
      <c r="X18" s="21">
        <v>39</v>
      </c>
      <c r="Y18" s="32">
        <v>0.82499999999999996</v>
      </c>
      <c r="Z18" s="114">
        <v>0</v>
      </c>
      <c r="AA18" s="22">
        <v>1</v>
      </c>
      <c r="AB18" s="21">
        <v>4</v>
      </c>
      <c r="AC18" s="22">
        <v>4</v>
      </c>
      <c r="AD18" s="21">
        <v>3</v>
      </c>
      <c r="AE18" s="22">
        <v>5</v>
      </c>
      <c r="AF18" s="21">
        <v>3</v>
      </c>
      <c r="AG18" s="22">
        <v>4</v>
      </c>
      <c r="AH18" s="21">
        <v>4</v>
      </c>
      <c r="AI18" s="22">
        <v>4</v>
      </c>
      <c r="AJ18" s="21">
        <v>2</v>
      </c>
      <c r="AK18" s="22">
        <v>2</v>
      </c>
      <c r="AL18" s="21">
        <v>36</v>
      </c>
      <c r="AM18" s="32">
        <v>0.73469387755102045</v>
      </c>
      <c r="AN18" s="114">
        <f>COUNTIFS(AllMusters26!$X$15:$X$108,"I",(AllMusters26!$F$15:$F$108),"1")</f>
        <v>1</v>
      </c>
      <c r="AO18" s="22">
        <f>COUNTIFS(AllMusters26!$X$15:$X$108,"I",(AllMusters26!$F$15:$F$108),"2")</f>
        <v>2</v>
      </c>
      <c r="AP18" s="21">
        <f>COUNTIFS(AllMusters26!$X$15:$X$108,"I",(AllMusters26!$F$15:$F$108),"3")</f>
        <v>0</v>
      </c>
      <c r="AQ18" s="22">
        <f>COUNTIFS(AllMusters26!$X$15:$X$108,"I",(AllMusters26!$F$15:$F$108),"4")</f>
        <v>0</v>
      </c>
      <c r="AR18" s="21">
        <f>COUNTIFS(AllMusters26!$X$15:$X$108,"I",(AllMusters26!$F$15:$F$108),"5")</f>
        <v>0</v>
      </c>
      <c r="AS18" s="22">
        <f>COUNTIFS(AllMusters26!$X$15:$X$108,"I",(AllMusters26!$F$15:$F$108),"6")</f>
        <v>0</v>
      </c>
      <c r="AT18" s="21">
        <f>COUNTIFS(AllMusters26!$X$15:$X$108,"I",(AllMusters26!$F$15:$F$108),"7")</f>
        <v>0</v>
      </c>
      <c r="AU18" s="22">
        <f>COUNTIFS(AllMusters26!$X$15:$X$108,"I",(AllMusters26!$F$15:$F$108),"8")</f>
        <v>0</v>
      </c>
      <c r="AV18" s="21">
        <f>COUNTIFS(AllMusters26!$X$15:$X$108,"I",(AllMusters26!$F$15:$F$108),"9")</f>
        <v>0</v>
      </c>
      <c r="AW18" s="22">
        <f>COUNTIFS(AllMusters26!$X$15:$X$108,"I",(AllMusters26!$F$15:$F$108),"10")</f>
        <v>0</v>
      </c>
      <c r="AX18" s="21">
        <f>COUNTIFS(AllMusters26!$X$15:$X$108,"I",(AllMusters26!$F$15:$F$108),"11")</f>
        <v>0</v>
      </c>
      <c r="AY18" s="22">
        <f>COUNTIFS(AllMusters26!$X$15:$X$108,"I",(AllMusters26!$F$15:$F$108),"12")</f>
        <v>0</v>
      </c>
      <c r="AZ18" s="21">
        <f>(SUM($AN18:$AY18))</f>
        <v>3</v>
      </c>
      <c r="BA18" s="32">
        <f>(SUM(AZ18))/SUM($AZ$1)</f>
        <v>0.3</v>
      </c>
      <c r="BB18" s="12">
        <f>SUM(J18,X18,AZ18)</f>
        <v>69</v>
      </c>
      <c r="BC18" s="26">
        <f>(SUM(BB18))/SUM($BB$2)</f>
        <v>0.76666666666666672</v>
      </c>
    </row>
    <row r="19" spans="1:55" x14ac:dyDescent="0.25">
      <c r="A19" s="17" t="s">
        <v>39</v>
      </c>
      <c r="B19" s="21">
        <v>3</v>
      </c>
      <c r="C19" s="22">
        <v>4</v>
      </c>
      <c r="D19" s="21">
        <v>4</v>
      </c>
      <c r="E19" s="22">
        <v>4</v>
      </c>
      <c r="F19" s="21">
        <v>3</v>
      </c>
      <c r="G19" s="22">
        <v>4</v>
      </c>
      <c r="H19" s="21">
        <v>4</v>
      </c>
      <c r="I19" s="22">
        <v>1</v>
      </c>
      <c r="J19" s="21">
        <f t="shared" si="0"/>
        <v>27</v>
      </c>
      <c r="K19" s="32">
        <v>0.9</v>
      </c>
      <c r="L19" s="21">
        <v>3</v>
      </c>
      <c r="M19" s="22">
        <v>4</v>
      </c>
      <c r="N19" s="21">
        <v>3</v>
      </c>
      <c r="O19" s="22">
        <v>3</v>
      </c>
      <c r="P19" s="21">
        <v>2</v>
      </c>
      <c r="Q19" s="22">
        <v>4</v>
      </c>
      <c r="R19" s="21">
        <v>4</v>
      </c>
      <c r="S19" s="22">
        <v>4</v>
      </c>
      <c r="T19" s="21">
        <v>4</v>
      </c>
      <c r="U19" s="22">
        <v>3</v>
      </c>
      <c r="V19" s="21">
        <v>4</v>
      </c>
      <c r="W19" s="22">
        <v>2</v>
      </c>
      <c r="X19" s="21">
        <v>40</v>
      </c>
      <c r="Y19" s="32">
        <v>0.83750000000000002</v>
      </c>
      <c r="Z19" s="21">
        <v>3</v>
      </c>
      <c r="AA19" s="22">
        <v>3</v>
      </c>
      <c r="AB19" s="21">
        <v>3</v>
      </c>
      <c r="AC19" s="22">
        <v>4</v>
      </c>
      <c r="AD19" s="21">
        <v>4</v>
      </c>
      <c r="AE19" s="22">
        <v>4</v>
      </c>
      <c r="AF19" s="21">
        <v>4</v>
      </c>
      <c r="AG19" s="22">
        <v>3</v>
      </c>
      <c r="AH19" s="21">
        <v>3</v>
      </c>
      <c r="AI19" s="22">
        <v>4</v>
      </c>
      <c r="AJ19" s="21">
        <v>3</v>
      </c>
      <c r="AK19" s="22">
        <v>3</v>
      </c>
      <c r="AL19" s="21">
        <v>41</v>
      </c>
      <c r="AM19" s="32">
        <v>0.83673469387755106</v>
      </c>
      <c r="AN19" s="21">
        <f>COUNTIFS(AllMusters26!$Y$15:$Y$108,"I",(AllMusters26!$F$15:$F$108),"1")</f>
        <v>3</v>
      </c>
      <c r="AO19" s="22">
        <f>COUNTIFS(AllMusters26!$Y$15:$Y$108,"I",(AllMusters26!$F$15:$F$108),"2")</f>
        <v>2</v>
      </c>
      <c r="AP19" s="21">
        <f>COUNTIFS(AllMusters26!$Y$15:$Y$108,"I",(AllMusters26!$F$15:$F$108),"3")</f>
        <v>2</v>
      </c>
      <c r="AQ19" s="22">
        <f>COUNTIFS(AllMusters26!$Y$15:$Y$108,"I",(AllMusters26!$F$15:$F$108),"4")</f>
        <v>0</v>
      </c>
      <c r="AR19" s="21">
        <f>COUNTIFS(AllMusters26!$Y$15:$Y$108,"I",(AllMusters26!$F$15:$F$108),"5")</f>
        <v>0</v>
      </c>
      <c r="AS19" s="22">
        <f>COUNTIFS(AllMusters26!$Y$15:$Y$108,"I",(AllMusters26!$F$15:$F$108),"6")</f>
        <v>0</v>
      </c>
      <c r="AT19" s="21">
        <f>COUNTIFS(AllMusters26!$Y$15:$Y$108,"I",(AllMusters26!$F$15:$F$108),"7")</f>
        <v>0</v>
      </c>
      <c r="AU19" s="22">
        <f>COUNTIFS(AllMusters26!$Y$15:$Y$108,"I",(AllMusters26!$F$15:$F$108),"8")</f>
        <v>0</v>
      </c>
      <c r="AV19" s="21">
        <f>COUNTIFS(AllMusters26!$Y$15:$Y$108,"I",(AllMusters26!$F$15:$F$108),"9")</f>
        <v>0</v>
      </c>
      <c r="AW19" s="22">
        <f>COUNTIFS(AllMusters26!$Y$15:$Y$108,"I",(AllMusters26!$F$15:$F$108),"10")</f>
        <v>0</v>
      </c>
      <c r="AX19" s="21">
        <f>COUNTIFS(AllMusters26!$Y$15:$Y$108,"I",(AllMusters26!$F$15:$F$108),"11")</f>
        <v>0</v>
      </c>
      <c r="AY19" s="22">
        <f>COUNTIFS(AllMusters26!$Y$15:$Y$108,"I",(AllMusters26!$F$15:$F$108),"12")</f>
        <v>0</v>
      </c>
      <c r="AZ19" s="21">
        <f t="shared" si="1"/>
        <v>7</v>
      </c>
      <c r="BA19" s="32">
        <f t="shared" si="2"/>
        <v>0.7</v>
      </c>
      <c r="BB19" s="12">
        <f t="shared" si="3"/>
        <v>74</v>
      </c>
      <c r="BC19" s="26">
        <f t="shared" si="4"/>
        <v>0.82222222222222219</v>
      </c>
    </row>
    <row r="20" spans="1:55" x14ac:dyDescent="0.25">
      <c r="A20" s="17" t="s">
        <v>40</v>
      </c>
      <c r="B20" s="21">
        <v>2</v>
      </c>
      <c r="C20" s="22">
        <v>3</v>
      </c>
      <c r="D20" s="21">
        <v>3</v>
      </c>
      <c r="E20" s="22">
        <v>3</v>
      </c>
      <c r="F20" s="21">
        <v>3</v>
      </c>
      <c r="G20" s="22">
        <v>2</v>
      </c>
      <c r="H20" s="21">
        <v>2</v>
      </c>
      <c r="I20" s="22">
        <v>2</v>
      </c>
      <c r="J20" s="21">
        <f t="shared" si="0"/>
        <v>20</v>
      </c>
      <c r="K20" s="32">
        <v>0.66666666666666663</v>
      </c>
      <c r="L20" s="21">
        <v>0</v>
      </c>
      <c r="M20" s="22">
        <v>4</v>
      </c>
      <c r="N20" s="21">
        <v>2</v>
      </c>
      <c r="O20" s="22">
        <v>5</v>
      </c>
      <c r="P20" s="21">
        <v>2</v>
      </c>
      <c r="Q20" s="22">
        <v>4</v>
      </c>
      <c r="R20" s="21">
        <v>4</v>
      </c>
      <c r="S20" s="22">
        <v>2</v>
      </c>
      <c r="T20" s="21">
        <v>4</v>
      </c>
      <c r="U20" s="22">
        <v>1</v>
      </c>
      <c r="V20" s="21">
        <v>4</v>
      </c>
      <c r="W20" s="22">
        <v>2</v>
      </c>
      <c r="X20" s="21">
        <v>34</v>
      </c>
      <c r="Y20" s="32">
        <v>0.67500000000000004</v>
      </c>
      <c r="Z20" s="21">
        <v>3</v>
      </c>
      <c r="AA20" s="22">
        <v>2</v>
      </c>
      <c r="AB20" s="21">
        <v>4</v>
      </c>
      <c r="AC20" s="22">
        <v>2</v>
      </c>
      <c r="AD20" s="21">
        <v>4</v>
      </c>
      <c r="AE20" s="22">
        <v>4</v>
      </c>
      <c r="AF20" s="21">
        <v>2</v>
      </c>
      <c r="AG20" s="22">
        <v>2</v>
      </c>
      <c r="AH20" s="21">
        <v>3</v>
      </c>
      <c r="AI20" s="22">
        <v>4</v>
      </c>
      <c r="AJ20" s="21">
        <v>1</v>
      </c>
      <c r="AK20" s="22">
        <v>3</v>
      </c>
      <c r="AL20" s="21">
        <v>34</v>
      </c>
      <c r="AM20" s="32">
        <v>0.69387755102040816</v>
      </c>
      <c r="AN20" s="21">
        <f>COUNTIFS(AllMusters26!$Z$15:$Z$108,"I",(AllMusters26!$F$15:$F$108),"1")</f>
        <v>1</v>
      </c>
      <c r="AO20" s="22">
        <f>COUNTIFS(AllMusters26!$Z$15:$Z$108,"I",(AllMusters26!$F$15:$F$108),"2")</f>
        <v>2</v>
      </c>
      <c r="AP20" s="21">
        <f>COUNTIFS(AllMusters26!$Z$15:$Z$108,"I",(AllMusters26!$F$15:$F$108),"3")</f>
        <v>1</v>
      </c>
      <c r="AQ20" s="22">
        <f>COUNTIFS(AllMusters26!$Z$15:$Z$108,"I",(AllMusters26!$F$15:$F$108),"4")</f>
        <v>0</v>
      </c>
      <c r="AR20" s="21">
        <f>COUNTIFS(AllMusters26!$Z$15:$Z$108,"I",(AllMusters26!$F$15:$F$108),"5")</f>
        <v>0</v>
      </c>
      <c r="AS20" s="22">
        <f>COUNTIFS(AllMusters26!$Z$15:$Z$108,"I",(AllMusters26!$F$15:$F$108),"6")</f>
        <v>0</v>
      </c>
      <c r="AT20" s="21">
        <f>COUNTIFS(AllMusters26!$Z$15:$Z$108,"I",(AllMusters26!$F$15:$F$108),"7")</f>
        <v>0</v>
      </c>
      <c r="AU20" s="22">
        <f>COUNTIFS(AllMusters26!$Z$15:$Z$108,"I",(AllMusters26!$F$15:$F$108),"8")</f>
        <v>0</v>
      </c>
      <c r="AV20" s="21">
        <f>COUNTIFS(AllMusters26!$Z$15:$Z$108,"I",(AllMusters26!$F$15:$F$108),"9")</f>
        <v>0</v>
      </c>
      <c r="AW20" s="22">
        <f>COUNTIFS(AllMusters26!$Z$15:$Z$108,"I",(AllMusters26!$F$15:$F$108),"10")</f>
        <v>0</v>
      </c>
      <c r="AX20" s="21">
        <f>COUNTIFS(AllMusters26!$Z$15:$Z$108,"I",(AllMusters26!$F$15:$F$108),"11")</f>
        <v>0</v>
      </c>
      <c r="AY20" s="22">
        <f>COUNTIFS(AllMusters26!$Z$15:$Z$108,"I",(AllMusters26!$F$15:$F$108),"12")</f>
        <v>0</v>
      </c>
      <c r="AZ20" s="21">
        <f t="shared" si="1"/>
        <v>4</v>
      </c>
      <c r="BA20" s="32">
        <f t="shared" si="2"/>
        <v>0.4</v>
      </c>
      <c r="BB20" s="12">
        <f t="shared" si="3"/>
        <v>58</v>
      </c>
      <c r="BC20" s="26">
        <f t="shared" si="4"/>
        <v>0.64444444444444449</v>
      </c>
    </row>
    <row r="21" spans="1:55" x14ac:dyDescent="0.25">
      <c r="A21" s="17" t="s">
        <v>41</v>
      </c>
      <c r="B21" s="21">
        <v>3</v>
      </c>
      <c r="C21" s="22">
        <v>1</v>
      </c>
      <c r="D21" s="21">
        <v>3</v>
      </c>
      <c r="E21" s="22">
        <v>2</v>
      </c>
      <c r="F21" s="21">
        <v>2</v>
      </c>
      <c r="G21" s="22">
        <v>1</v>
      </c>
      <c r="H21" s="21">
        <v>3</v>
      </c>
      <c r="I21" s="22">
        <v>0</v>
      </c>
      <c r="J21" s="21">
        <f t="shared" si="0"/>
        <v>15</v>
      </c>
      <c r="K21" s="32">
        <v>0.5</v>
      </c>
      <c r="L21" s="21">
        <v>0</v>
      </c>
      <c r="M21" s="22">
        <v>2</v>
      </c>
      <c r="N21" s="21">
        <v>2</v>
      </c>
      <c r="O21" s="22">
        <v>4</v>
      </c>
      <c r="P21" s="21">
        <v>2</v>
      </c>
      <c r="Q21" s="22">
        <v>2</v>
      </c>
      <c r="R21" s="21">
        <v>3</v>
      </c>
      <c r="S21" s="22">
        <v>3</v>
      </c>
      <c r="T21" s="21">
        <v>3</v>
      </c>
      <c r="U21" s="22">
        <v>2</v>
      </c>
      <c r="V21" s="21">
        <v>3</v>
      </c>
      <c r="W21" s="22">
        <v>2</v>
      </c>
      <c r="X21" s="21">
        <v>28</v>
      </c>
      <c r="Y21" s="32">
        <v>0.53749999999999998</v>
      </c>
      <c r="Z21" s="21">
        <v>1</v>
      </c>
      <c r="AA21" s="22">
        <v>3</v>
      </c>
      <c r="AB21" s="21">
        <v>3</v>
      </c>
      <c r="AC21" s="22">
        <v>2</v>
      </c>
      <c r="AD21" s="21">
        <v>1</v>
      </c>
      <c r="AE21" s="22">
        <v>2</v>
      </c>
      <c r="AF21" s="21">
        <v>1</v>
      </c>
      <c r="AG21" s="22">
        <v>1</v>
      </c>
      <c r="AH21" s="21">
        <v>4</v>
      </c>
      <c r="AI21" s="22">
        <v>1</v>
      </c>
      <c r="AJ21" s="21">
        <v>4</v>
      </c>
      <c r="AK21" s="22">
        <v>1</v>
      </c>
      <c r="AL21" s="21">
        <v>24</v>
      </c>
      <c r="AM21" s="32">
        <v>0.48979591836734693</v>
      </c>
      <c r="AN21" s="21">
        <f>COUNTIFS(AllMusters26!$AA$15:$AA$108,"I",(AllMusters26!$F$15:$F$108),"1")</f>
        <v>2</v>
      </c>
      <c r="AO21" s="22">
        <f>COUNTIFS(AllMusters26!$AA$15:$AA$108,"I",(AllMusters26!$F$15:$F$108),"2")</f>
        <v>1</v>
      </c>
      <c r="AP21" s="21">
        <f>COUNTIFS(AllMusters26!$AA$15:$AA$108,"I",(AllMusters26!$F$15:$F$108),"3")</f>
        <v>2</v>
      </c>
      <c r="AQ21" s="22">
        <f>COUNTIFS(AllMusters26!$AA$15:$AA$108,"I",(AllMusters26!$F$15:$F$108),"4")</f>
        <v>0</v>
      </c>
      <c r="AR21" s="21">
        <f>COUNTIFS(AllMusters26!$AA$15:$AA$108,"I",(AllMusters26!$F$15:$F$108),"5")</f>
        <v>0</v>
      </c>
      <c r="AS21" s="22">
        <f>COUNTIFS(AllMusters26!$AA$15:$AA$108,"I",(AllMusters26!$F$15:$F$108),"6")</f>
        <v>0</v>
      </c>
      <c r="AT21" s="21">
        <f>COUNTIFS(AllMusters26!$AA$15:$AA$108,"I",(AllMusters26!$F$15:$F$108),"7")</f>
        <v>0</v>
      </c>
      <c r="AU21" s="22">
        <f>COUNTIFS(AllMusters26!$AA$15:$AA$108,"I",(AllMusters26!$F$15:$F$108),"8")</f>
        <v>0</v>
      </c>
      <c r="AV21" s="21">
        <f>COUNTIFS(AllMusters26!$AA$15:$AA$108,"I",(AllMusters26!$F$15:$F$108),"9")</f>
        <v>0</v>
      </c>
      <c r="AW21" s="22">
        <f>COUNTIFS(AllMusters26!$AA$15:$AA$108,"I",(AllMusters26!$F$15:$F$108),"10")</f>
        <v>0</v>
      </c>
      <c r="AX21" s="21">
        <f>COUNTIFS(AllMusters26!$AA$15:$AA$108,"I",(AllMusters26!$F$15:$F$108),"11")</f>
        <v>0</v>
      </c>
      <c r="AY21" s="22">
        <f>COUNTIFS(AllMusters26!$AA$15:$AA$108,"I",(AllMusters26!$F$15:$F$108),"12")</f>
        <v>0</v>
      </c>
      <c r="AZ21" s="21">
        <f t="shared" si="1"/>
        <v>5</v>
      </c>
      <c r="BA21" s="32">
        <f t="shared" si="2"/>
        <v>0.5</v>
      </c>
      <c r="BB21" s="12">
        <f t="shared" si="3"/>
        <v>48</v>
      </c>
      <c r="BC21" s="26">
        <f>(SUM(BB21))/SUM($BB$2)</f>
        <v>0.53333333333333333</v>
      </c>
    </row>
    <row r="22" spans="1:55" x14ac:dyDescent="0.25">
      <c r="A22" s="17" t="s">
        <v>42</v>
      </c>
      <c r="B22" s="21">
        <v>3</v>
      </c>
      <c r="C22" s="22">
        <v>4</v>
      </c>
      <c r="D22" s="21">
        <v>4</v>
      </c>
      <c r="E22" s="22">
        <v>4</v>
      </c>
      <c r="F22" s="21">
        <v>4</v>
      </c>
      <c r="G22" s="22">
        <v>4</v>
      </c>
      <c r="H22" s="21">
        <v>4</v>
      </c>
      <c r="I22" s="22">
        <v>2</v>
      </c>
      <c r="J22" s="21">
        <f t="shared" si="0"/>
        <v>29</v>
      </c>
      <c r="K22" s="32">
        <v>0.96666666666666667</v>
      </c>
      <c r="L22" s="21">
        <v>3</v>
      </c>
      <c r="M22" s="22">
        <v>4</v>
      </c>
      <c r="N22" s="21">
        <v>3</v>
      </c>
      <c r="O22" s="22">
        <v>4</v>
      </c>
      <c r="P22" s="21">
        <v>3</v>
      </c>
      <c r="Q22" s="22">
        <v>4</v>
      </c>
      <c r="R22" s="21">
        <v>2</v>
      </c>
      <c r="S22" s="22">
        <v>5</v>
      </c>
      <c r="T22" s="21">
        <v>3</v>
      </c>
      <c r="U22" s="22">
        <v>4</v>
      </c>
      <c r="V22" s="21">
        <v>1</v>
      </c>
      <c r="W22" s="22">
        <v>3</v>
      </c>
      <c r="X22" s="21">
        <v>39</v>
      </c>
      <c r="Y22" s="32">
        <v>0.85</v>
      </c>
      <c r="Z22" s="21">
        <v>3</v>
      </c>
      <c r="AA22" s="22">
        <v>3</v>
      </c>
      <c r="AB22" s="21">
        <v>3</v>
      </c>
      <c r="AC22" s="22">
        <v>3</v>
      </c>
      <c r="AD22" s="21">
        <v>2</v>
      </c>
      <c r="AE22" s="22">
        <v>3</v>
      </c>
      <c r="AF22" s="21">
        <v>2</v>
      </c>
      <c r="AG22" s="22">
        <v>3</v>
      </c>
      <c r="AH22" s="21">
        <v>2</v>
      </c>
      <c r="AI22" s="22">
        <v>4</v>
      </c>
      <c r="AJ22" s="21">
        <v>2</v>
      </c>
      <c r="AK22" s="22">
        <v>3</v>
      </c>
      <c r="AL22" s="21">
        <v>33</v>
      </c>
      <c r="AM22" s="32">
        <v>0.67346938775510201</v>
      </c>
      <c r="AN22" s="21">
        <f>COUNTIFS(AllMusters26!$AB$15:$AB$108,"I",(AllMusters26!$F$15:$F$108),"1")</f>
        <v>4</v>
      </c>
      <c r="AO22" s="22">
        <f>COUNTIFS(AllMusters26!$AB$15:$AB$108,"I",(AllMusters26!$F$15:$F$108),"2")</f>
        <v>3</v>
      </c>
      <c r="AP22" s="21">
        <f>COUNTIFS(AllMusters26!$AB$15:$AB$108,"I",(AllMusters26!$F$15:$F$108),"3")</f>
        <v>1</v>
      </c>
      <c r="AQ22" s="22">
        <f>COUNTIFS(AllMusters26!$AB$15:$AB$108,"I",(AllMusters26!$F$15:$F$108),"4")</f>
        <v>0</v>
      </c>
      <c r="AR22" s="21">
        <f>COUNTIFS(AllMusters26!$AB$15:$AB$108,"I",(AllMusters26!$F$15:$F$108),"5")</f>
        <v>0</v>
      </c>
      <c r="AS22" s="22">
        <f>COUNTIFS(AllMusters26!$AB$15:$AB$108,"I",(AllMusters26!$F$15:$F$108),"6")</f>
        <v>0</v>
      </c>
      <c r="AT22" s="21">
        <f>COUNTIFS(AllMusters26!$AB$15:$AB$108,"I",(AllMusters26!$F$15:$F$108),"7")</f>
        <v>0</v>
      </c>
      <c r="AU22" s="22">
        <f>COUNTIFS(AllMusters26!$AB$15:$AB$108,"I",(AllMusters26!$F$15:$F$108),"8")</f>
        <v>0</v>
      </c>
      <c r="AV22" s="21">
        <f>COUNTIFS(AllMusters26!$AB$15:$AB$108,"I",(AllMusters26!$F$15:$F$108),"9")</f>
        <v>0</v>
      </c>
      <c r="AW22" s="22">
        <f>COUNTIFS(AllMusters26!$AB$15:$AB$108,"I",(AllMusters26!$F$15:$F$108),"10")</f>
        <v>0</v>
      </c>
      <c r="AX22" s="21">
        <f>COUNTIFS(AllMusters26!$AB$15:$AB$108,"I",(AllMusters26!$F$15:$F$108),"11")</f>
        <v>0</v>
      </c>
      <c r="AY22" s="22">
        <f>COUNTIFS(AllMusters26!$AB$15:$AB$108,"I",(AllMusters26!$F$15:$F$108),"12")</f>
        <v>0</v>
      </c>
      <c r="AZ22" s="21">
        <f t="shared" si="1"/>
        <v>8</v>
      </c>
      <c r="BA22" s="32">
        <f t="shared" si="2"/>
        <v>0.8</v>
      </c>
      <c r="BB22" s="12">
        <f t="shared" si="3"/>
        <v>76</v>
      </c>
      <c r="BC22" s="26">
        <f t="shared" si="4"/>
        <v>0.84444444444444444</v>
      </c>
    </row>
    <row r="23" spans="1:55" x14ac:dyDescent="0.25">
      <c r="A23" s="17" t="s">
        <v>43</v>
      </c>
      <c r="B23" s="21">
        <v>1</v>
      </c>
      <c r="C23" s="22">
        <v>2</v>
      </c>
      <c r="D23" s="21">
        <v>3</v>
      </c>
      <c r="E23" s="22">
        <v>1</v>
      </c>
      <c r="F23" s="21">
        <v>4</v>
      </c>
      <c r="G23" s="22">
        <v>4</v>
      </c>
      <c r="H23" s="21">
        <v>3</v>
      </c>
      <c r="I23" s="22">
        <v>2</v>
      </c>
      <c r="J23" s="21">
        <f t="shared" si="0"/>
        <v>20</v>
      </c>
      <c r="K23" s="32">
        <v>0.70370370370370372</v>
      </c>
      <c r="L23" s="21">
        <v>3</v>
      </c>
      <c r="M23" s="22">
        <v>4</v>
      </c>
      <c r="N23" s="21">
        <v>2</v>
      </c>
      <c r="O23" s="22">
        <v>5</v>
      </c>
      <c r="P23" s="21">
        <v>3</v>
      </c>
      <c r="Q23" s="22">
        <v>4</v>
      </c>
      <c r="R23" s="21">
        <v>3</v>
      </c>
      <c r="S23" s="22">
        <v>4</v>
      </c>
      <c r="T23" s="21">
        <v>3</v>
      </c>
      <c r="U23" s="22">
        <v>3</v>
      </c>
      <c r="V23" s="21">
        <v>3</v>
      </c>
      <c r="W23" s="22">
        <v>3</v>
      </c>
      <c r="X23" s="21">
        <v>40</v>
      </c>
      <c r="Y23" s="32">
        <v>0.75</v>
      </c>
      <c r="Z23" s="21">
        <v>1</v>
      </c>
      <c r="AA23" s="22">
        <v>2</v>
      </c>
      <c r="AB23" s="21">
        <v>4</v>
      </c>
      <c r="AC23" s="22">
        <v>2</v>
      </c>
      <c r="AD23" s="21">
        <v>3</v>
      </c>
      <c r="AE23" s="22">
        <v>3</v>
      </c>
      <c r="AF23" s="21">
        <v>3</v>
      </c>
      <c r="AG23" s="22">
        <v>4</v>
      </c>
      <c r="AH23" s="21">
        <v>2</v>
      </c>
      <c r="AI23" s="22">
        <v>4</v>
      </c>
      <c r="AJ23" s="21">
        <v>4</v>
      </c>
      <c r="AK23" s="22">
        <v>3</v>
      </c>
      <c r="AL23" s="21">
        <v>35</v>
      </c>
      <c r="AM23" s="32">
        <v>0.7142857142857143</v>
      </c>
      <c r="AN23" s="21">
        <f>COUNTIFS(AllMusters26!$AC$15:$AC$108,"I",(AllMusters26!$F$15:$F$108),"1")</f>
        <v>2</v>
      </c>
      <c r="AO23" s="22">
        <f>COUNTIFS(AllMusters26!$AC$15:$AC$108,"I",(AllMusters26!$F$15:$F$108),"2")</f>
        <v>4</v>
      </c>
      <c r="AP23" s="21">
        <f>COUNTIFS(AllMusters26!$AC$15:$AC$108,"I",(AllMusters26!$F$15:$F$108),"3")</f>
        <v>2</v>
      </c>
      <c r="AQ23" s="22">
        <f>COUNTIFS(AllMusters26!$AC$15:$AC$108,"I",(AllMusters26!$F$15:$F$108),"4")</f>
        <v>0</v>
      </c>
      <c r="AR23" s="21">
        <f>COUNTIFS(AllMusters26!$AC$15:$AC$108,"I",(AllMusters26!$F$15:$F$108),"5")</f>
        <v>0</v>
      </c>
      <c r="AS23" s="22">
        <f>COUNTIFS(AllMusters26!$AC$15:$AC$108,"I",(AllMusters26!$F$15:$F$108),"6")</f>
        <v>0</v>
      </c>
      <c r="AT23" s="21">
        <f>COUNTIFS(AllMusters26!$AC$15:$AC$108,"I",(AllMusters26!$F$15:$F$108),"7")</f>
        <v>0</v>
      </c>
      <c r="AU23" s="22">
        <f>COUNTIFS(AllMusters26!$AC$15:$AC$108,"I",(AllMusters26!$F$15:$F$108),"8")</f>
        <v>0</v>
      </c>
      <c r="AV23" s="21">
        <f>COUNTIFS(AllMusters26!$AC$15:$AC$108,"I",(AllMusters26!$F$15:$F$108),"9")</f>
        <v>0</v>
      </c>
      <c r="AW23" s="22">
        <f>COUNTIFS(AllMusters26!$AC$15:$AC$108,"I",(AllMusters26!$F$15:$F$108),"10")</f>
        <v>0</v>
      </c>
      <c r="AX23" s="21">
        <f>COUNTIFS(AllMusters26!$AC$15:$AC$108,"I",(AllMusters26!$F$15:$F$108),"11")</f>
        <v>0</v>
      </c>
      <c r="AY23" s="22">
        <f>COUNTIFS(AllMusters26!$AC$15:$AC$108,"I",(AllMusters26!$F$15:$F$108),"12")</f>
        <v>0</v>
      </c>
      <c r="AZ23" s="21">
        <f t="shared" si="1"/>
        <v>8</v>
      </c>
      <c r="BA23" s="32">
        <f t="shared" si="2"/>
        <v>0.8</v>
      </c>
      <c r="BB23" s="12">
        <f t="shared" si="3"/>
        <v>68</v>
      </c>
      <c r="BC23" s="26">
        <f t="shared" si="4"/>
        <v>0.75555555555555554</v>
      </c>
    </row>
    <row r="24" spans="1:55" x14ac:dyDescent="0.25">
      <c r="A24" s="17" t="s">
        <v>44</v>
      </c>
      <c r="B24" s="21">
        <v>0</v>
      </c>
      <c r="C24" s="22">
        <v>4</v>
      </c>
      <c r="D24" s="21">
        <v>3</v>
      </c>
      <c r="E24" s="22">
        <v>4</v>
      </c>
      <c r="F24" s="21">
        <v>2</v>
      </c>
      <c r="G24" s="22">
        <v>3</v>
      </c>
      <c r="H24" s="21">
        <v>3</v>
      </c>
      <c r="I24" s="22">
        <v>2</v>
      </c>
      <c r="J24" s="21">
        <f t="shared" si="0"/>
        <v>21</v>
      </c>
      <c r="K24" s="32">
        <v>0.7</v>
      </c>
      <c r="L24" s="21">
        <v>3</v>
      </c>
      <c r="M24" s="22">
        <v>4</v>
      </c>
      <c r="N24" s="21">
        <v>4</v>
      </c>
      <c r="O24" s="22">
        <v>4</v>
      </c>
      <c r="P24" s="21">
        <v>3</v>
      </c>
      <c r="Q24" s="22">
        <v>3</v>
      </c>
      <c r="R24" s="21">
        <v>3</v>
      </c>
      <c r="S24" s="22">
        <v>4</v>
      </c>
      <c r="T24" s="21">
        <v>5</v>
      </c>
      <c r="U24" s="22">
        <v>3</v>
      </c>
      <c r="V24" s="21">
        <v>2</v>
      </c>
      <c r="W24" s="22">
        <v>2</v>
      </c>
      <c r="X24" s="21">
        <v>40</v>
      </c>
      <c r="Y24" s="32">
        <v>0.76249999999999996</v>
      </c>
      <c r="Z24" s="21">
        <v>2</v>
      </c>
      <c r="AA24" s="22">
        <v>3</v>
      </c>
      <c r="AB24" s="21">
        <v>4</v>
      </c>
      <c r="AC24" s="22">
        <v>1</v>
      </c>
      <c r="AD24" s="21">
        <v>2</v>
      </c>
      <c r="AE24" s="22">
        <v>4</v>
      </c>
      <c r="AF24" s="21">
        <v>0</v>
      </c>
      <c r="AG24" s="22">
        <v>0</v>
      </c>
      <c r="AH24" s="21">
        <v>0</v>
      </c>
      <c r="AI24" s="22">
        <v>0</v>
      </c>
      <c r="AJ24" s="21">
        <v>0</v>
      </c>
      <c r="AK24" s="22">
        <v>0</v>
      </c>
      <c r="AL24" s="21">
        <v>16</v>
      </c>
      <c r="AM24" s="32">
        <v>0.32653061224489793</v>
      </c>
      <c r="AN24" s="21">
        <f>COUNTIFS(AllMusters26!$AD$15:$AD$108,"I",(AllMusters26!$F$15:$F$108),"1")</f>
        <v>1</v>
      </c>
      <c r="AO24" s="22">
        <f>COUNTIFS(AllMusters26!$AD$15:$AD$108,"I",(AllMusters26!$F$15:$F$108),"2")</f>
        <v>2</v>
      </c>
      <c r="AP24" s="21">
        <f>COUNTIFS(AllMusters26!$AD$15:$AD$108,"I",(AllMusters26!$F$15:$F$108),"3")</f>
        <v>2</v>
      </c>
      <c r="AQ24" s="22">
        <f>COUNTIFS(AllMusters26!$AD$15:$AD$108,"I",(AllMusters26!$F$15:$F$108),"4")</f>
        <v>0</v>
      </c>
      <c r="AR24" s="21">
        <f>COUNTIFS(AllMusters26!$AD$15:$AD$108,"I",(AllMusters26!$F$15:$F$108),"5")</f>
        <v>0</v>
      </c>
      <c r="AS24" s="22">
        <f>COUNTIFS(AllMusters26!$AD$15:$AD$108,"I",(AllMusters26!$F$15:$F$108),"6")</f>
        <v>0</v>
      </c>
      <c r="AT24" s="21">
        <f>COUNTIFS(AllMusters26!$AD$15:$AD$108,"I",(AllMusters26!$F$15:$F$108),"7")</f>
        <v>0</v>
      </c>
      <c r="AU24" s="22">
        <f>COUNTIFS(AllMusters26!$AD$15:$AD$108,"I",(AllMusters26!$F$15:$F$108),"8")</f>
        <v>0</v>
      </c>
      <c r="AV24" s="21">
        <f>COUNTIFS(AllMusters26!$AD$15:$AD$108,"I",(AllMusters26!$F$15:$F$108),"9")</f>
        <v>0</v>
      </c>
      <c r="AW24" s="22">
        <f>COUNTIFS(AllMusters26!$AD$15:$AD$108,"I",(AllMusters26!$F$15:$F$108),"10")</f>
        <v>0</v>
      </c>
      <c r="AX24" s="21">
        <f>COUNTIFS(AllMusters26!$AD$15:$AD$108,"I",(AllMusters26!$F$15:$F$108),"11")</f>
        <v>0</v>
      </c>
      <c r="AY24" s="22">
        <f>COUNTIFS(AllMusters26!$AD$15:$AD$108,"I",(AllMusters26!$F$15:$F$108),"12")</f>
        <v>0</v>
      </c>
      <c r="AZ24" s="21">
        <f t="shared" si="1"/>
        <v>5</v>
      </c>
      <c r="BA24" s="32">
        <f t="shared" si="2"/>
        <v>0.5</v>
      </c>
      <c r="BB24" s="12">
        <f t="shared" si="3"/>
        <v>66</v>
      </c>
      <c r="BC24" s="26">
        <f t="shared" si="4"/>
        <v>0.73333333333333328</v>
      </c>
    </row>
    <row r="25" spans="1:55" x14ac:dyDescent="0.25">
      <c r="A25" s="17" t="s">
        <v>45</v>
      </c>
      <c r="B25" s="52">
        <v>0</v>
      </c>
      <c r="C25" s="51">
        <v>0</v>
      </c>
      <c r="D25" s="52">
        <v>0</v>
      </c>
      <c r="E25" s="22">
        <v>2</v>
      </c>
      <c r="F25" s="21">
        <v>4</v>
      </c>
      <c r="G25" s="22">
        <v>0</v>
      </c>
      <c r="H25" s="21">
        <v>1</v>
      </c>
      <c r="I25" s="22">
        <v>2</v>
      </c>
      <c r="J25" s="21">
        <f t="shared" si="0"/>
        <v>9</v>
      </c>
      <c r="K25" s="32">
        <v>0.47368421052631576</v>
      </c>
      <c r="L25" s="21">
        <v>1</v>
      </c>
      <c r="M25" s="22">
        <v>2</v>
      </c>
      <c r="N25" s="21">
        <v>2</v>
      </c>
      <c r="O25" s="22">
        <v>3</v>
      </c>
      <c r="P25" s="21">
        <v>1</v>
      </c>
      <c r="Q25" s="22">
        <v>2</v>
      </c>
      <c r="R25" s="21">
        <v>3</v>
      </c>
      <c r="S25" s="22">
        <v>3</v>
      </c>
      <c r="T25" s="21">
        <v>4</v>
      </c>
      <c r="U25" s="22">
        <v>3</v>
      </c>
      <c r="V25" s="21">
        <v>2</v>
      </c>
      <c r="W25" s="22">
        <v>3</v>
      </c>
      <c r="X25" s="21">
        <v>29</v>
      </c>
      <c r="Y25" s="32">
        <v>0.47499999999999998</v>
      </c>
      <c r="Z25" s="21">
        <v>2</v>
      </c>
      <c r="AA25" s="22">
        <v>3</v>
      </c>
      <c r="AB25" s="21">
        <v>3</v>
      </c>
      <c r="AC25" s="22">
        <v>1</v>
      </c>
      <c r="AD25" s="21">
        <v>2</v>
      </c>
      <c r="AE25" s="22">
        <v>3</v>
      </c>
      <c r="AF25" s="21">
        <v>2</v>
      </c>
      <c r="AG25" s="22">
        <v>2</v>
      </c>
      <c r="AH25" s="21">
        <v>2</v>
      </c>
      <c r="AI25" s="22">
        <v>2</v>
      </c>
      <c r="AJ25" s="21">
        <v>2</v>
      </c>
      <c r="AK25" s="22">
        <v>1</v>
      </c>
      <c r="AL25" s="21">
        <v>25</v>
      </c>
      <c r="AM25" s="32">
        <v>0.51020408163265307</v>
      </c>
      <c r="AN25" s="21">
        <f>COUNTIFS(AllMusters26!$AE$15:$AE$108,"I",(AllMusters26!$F$15:$F$108),"1")</f>
        <v>4</v>
      </c>
      <c r="AO25" s="22">
        <f>COUNTIFS(AllMusters26!$AE$15:$AE$108,"I",(AllMusters26!$F$15:$F$108),"2")</f>
        <v>3</v>
      </c>
      <c r="AP25" s="21">
        <f>COUNTIFS(AllMusters26!$AE$15:$AE$108,"I",(AllMusters26!$F$15:$F$108),"3")</f>
        <v>2</v>
      </c>
      <c r="AQ25" s="22">
        <f>COUNTIFS(AllMusters26!$AE$15:$AE$108,"I",(AllMusters26!$F$15:$F$108),"4")</f>
        <v>0</v>
      </c>
      <c r="AR25" s="21">
        <f>COUNTIFS(AllMusters26!$AE$15:$AE$108,"I",(AllMusters26!$F$15:$F$108),"5")</f>
        <v>0</v>
      </c>
      <c r="AS25" s="22">
        <f>COUNTIFS(AllMusters26!$AE$15:$AE$108,"I",(AllMusters26!$F$15:$F$108),"6")</f>
        <v>0</v>
      </c>
      <c r="AT25" s="21">
        <f>COUNTIFS(AllMusters26!$AE$15:$AE$108,"I",(AllMusters26!$F$15:$F$108),"7")</f>
        <v>0</v>
      </c>
      <c r="AU25" s="22">
        <f>COUNTIFS(AllMusters26!$AE$15:$AE$108,"I",(AllMusters26!$F$15:$F$108),"8")</f>
        <v>0</v>
      </c>
      <c r="AV25" s="21">
        <f>COUNTIFS(AllMusters26!$AE$15:$AE$108,"I",(AllMusters26!$F$15:$F$108),"9")</f>
        <v>0</v>
      </c>
      <c r="AW25" s="22">
        <f>COUNTIFS(AllMusters26!$AE$15:$AE$108,"I",(AllMusters26!$F$15:$F$108),"10")</f>
        <v>0</v>
      </c>
      <c r="AX25" s="21">
        <f>COUNTIFS(AllMusters26!$AE$15:$AE$108,"I",(AllMusters26!$F$15:$F$108),"11")</f>
        <v>0</v>
      </c>
      <c r="AY25" s="22">
        <f>COUNTIFS(AllMusters26!$AE$15:$AE$108,"I",(AllMusters26!$F$15:$F$108),"12")</f>
        <v>0</v>
      </c>
      <c r="AZ25" s="21">
        <f t="shared" si="1"/>
        <v>9</v>
      </c>
      <c r="BA25" s="32">
        <f t="shared" si="2"/>
        <v>0.9</v>
      </c>
      <c r="BB25" s="12">
        <f t="shared" si="3"/>
        <v>47</v>
      </c>
      <c r="BC25" s="26">
        <f t="shared" si="4"/>
        <v>0.52222222222222225</v>
      </c>
    </row>
    <row r="26" spans="1:55" x14ac:dyDescent="0.25">
      <c r="A26" s="17" t="s">
        <v>46</v>
      </c>
      <c r="B26" s="21">
        <v>3</v>
      </c>
      <c r="C26" s="22">
        <v>2</v>
      </c>
      <c r="D26" s="21">
        <v>3</v>
      </c>
      <c r="E26" s="22">
        <v>3</v>
      </c>
      <c r="F26" s="21">
        <v>3</v>
      </c>
      <c r="G26" s="22">
        <v>2</v>
      </c>
      <c r="H26" s="21">
        <v>2</v>
      </c>
      <c r="I26" s="22">
        <v>0</v>
      </c>
      <c r="J26" s="21">
        <f t="shared" si="0"/>
        <v>18</v>
      </c>
      <c r="K26" s="32">
        <v>0.6</v>
      </c>
      <c r="L26" s="21">
        <v>3</v>
      </c>
      <c r="M26" s="22">
        <v>3</v>
      </c>
      <c r="N26" s="21">
        <v>3</v>
      </c>
      <c r="O26" s="22">
        <v>4</v>
      </c>
      <c r="P26" s="21">
        <v>0</v>
      </c>
      <c r="Q26" s="22">
        <v>3</v>
      </c>
      <c r="R26" s="21">
        <v>5</v>
      </c>
      <c r="S26" s="22">
        <v>4</v>
      </c>
      <c r="T26" s="21">
        <v>3</v>
      </c>
      <c r="U26" s="22">
        <v>2</v>
      </c>
      <c r="V26" s="21">
        <v>3</v>
      </c>
      <c r="W26" s="22">
        <v>2</v>
      </c>
      <c r="X26" s="21">
        <v>35</v>
      </c>
      <c r="Y26" s="32">
        <v>0.66249999999999998</v>
      </c>
      <c r="Z26" s="21">
        <v>3</v>
      </c>
      <c r="AA26" s="22">
        <v>3</v>
      </c>
      <c r="AB26" s="21">
        <v>3</v>
      </c>
      <c r="AC26" s="22">
        <v>3</v>
      </c>
      <c r="AD26" s="21">
        <v>1</v>
      </c>
      <c r="AE26" s="22">
        <v>4</v>
      </c>
      <c r="AF26" s="21">
        <v>2</v>
      </c>
      <c r="AG26" s="22">
        <v>3</v>
      </c>
      <c r="AH26" s="21">
        <v>1</v>
      </c>
      <c r="AI26" s="22">
        <v>2</v>
      </c>
      <c r="AJ26" s="21">
        <v>4</v>
      </c>
      <c r="AK26" s="22">
        <v>2</v>
      </c>
      <c r="AL26" s="21">
        <v>31</v>
      </c>
      <c r="AM26" s="32">
        <v>0.63265306122448983</v>
      </c>
      <c r="AN26" s="21">
        <f>COUNTIFS(AllMusters26!$AF$15:$AF$108,"I",(AllMusters26!$F$15:$F$108),"1")</f>
        <v>2</v>
      </c>
      <c r="AO26" s="22">
        <f>COUNTIFS(AllMusters26!$AF$15:$AF$108,"I",(AllMusters26!$F$15:$F$108),"2")</f>
        <v>3</v>
      </c>
      <c r="AP26" s="21">
        <f>COUNTIFS(AllMusters26!$AF$15:$AF$108,"I",(AllMusters26!$F$15:$F$108),"3")</f>
        <v>2</v>
      </c>
      <c r="AQ26" s="22">
        <f>COUNTIFS(AllMusters26!$AF$15:$AF$108,"I",(AllMusters26!$F$15:$F$108),"4")</f>
        <v>0</v>
      </c>
      <c r="AR26" s="21">
        <f>COUNTIFS(AllMusters26!$AF$15:$AF$108,"I",(AllMusters26!$F$15:$F$108),"5")</f>
        <v>0</v>
      </c>
      <c r="AS26" s="22">
        <f>COUNTIFS(AllMusters26!$AF$15:$AF$108,"I",(AllMusters26!$F$15:$F$108),"6")</f>
        <v>0</v>
      </c>
      <c r="AT26" s="21">
        <f>COUNTIFS(AllMusters26!$AF$15:$AF$108,"I",(AllMusters26!$F$15:$F$108),"7")</f>
        <v>0</v>
      </c>
      <c r="AU26" s="22">
        <f>COUNTIFS(AllMusters26!$AF$15:$AF$108,"I",(AllMusters26!$F$15:$F$108),"8")</f>
        <v>0</v>
      </c>
      <c r="AV26" s="21">
        <f>COUNTIFS(AllMusters26!$AF$15:$AF$108,"I",(AllMusters26!$F$15:$F$108),"9")</f>
        <v>0</v>
      </c>
      <c r="AW26" s="22">
        <f>COUNTIFS(AllMusters26!$AF$15:$AF$108,"I",(AllMusters26!$F$15:$F$108),"10")</f>
        <v>0</v>
      </c>
      <c r="AX26" s="21">
        <f>COUNTIFS(AllMusters26!$AF$15:$AF$108,"I",(AllMusters26!$F$15:$F$108),"11")</f>
        <v>0</v>
      </c>
      <c r="AY26" s="22">
        <f>COUNTIFS(AllMusters26!$AF$15:$AF$108,"I",(AllMusters26!$F$15:$F$108),"12")</f>
        <v>0</v>
      </c>
      <c r="AZ26" s="21">
        <f t="shared" si="1"/>
        <v>7</v>
      </c>
      <c r="BA26" s="32">
        <f t="shared" si="2"/>
        <v>0.7</v>
      </c>
      <c r="BB26" s="12">
        <f t="shared" si="3"/>
        <v>60</v>
      </c>
      <c r="BC26" s="26">
        <f t="shared" si="4"/>
        <v>0.66666666666666663</v>
      </c>
    </row>
    <row r="27" spans="1:55" x14ac:dyDescent="0.25">
      <c r="A27" s="17" t="s">
        <v>47</v>
      </c>
      <c r="B27" s="21">
        <v>2</v>
      </c>
      <c r="C27" s="22">
        <v>2</v>
      </c>
      <c r="D27" s="21">
        <v>2</v>
      </c>
      <c r="E27" s="22">
        <v>4</v>
      </c>
      <c r="F27" s="21">
        <v>2</v>
      </c>
      <c r="G27" s="22">
        <v>2</v>
      </c>
      <c r="H27" s="21">
        <v>1</v>
      </c>
      <c r="I27" s="22">
        <v>1</v>
      </c>
      <c r="J27" s="21">
        <f t="shared" ref="J27:J31" si="11">SUM(B27:I27)</f>
        <v>16</v>
      </c>
      <c r="K27" s="32">
        <v>0.53333333333333333</v>
      </c>
      <c r="L27" s="21">
        <v>1</v>
      </c>
      <c r="M27" s="22">
        <v>4</v>
      </c>
      <c r="N27" s="21">
        <v>1</v>
      </c>
      <c r="O27" s="22">
        <v>4</v>
      </c>
      <c r="P27" s="21">
        <v>3</v>
      </c>
      <c r="Q27" s="22">
        <v>3</v>
      </c>
      <c r="R27" s="21">
        <v>4</v>
      </c>
      <c r="S27" s="22">
        <v>3</v>
      </c>
      <c r="T27" s="21">
        <v>4</v>
      </c>
      <c r="U27" s="22">
        <v>1</v>
      </c>
      <c r="V27" s="21">
        <v>3</v>
      </c>
      <c r="W27" s="22">
        <v>1</v>
      </c>
      <c r="X27" s="21">
        <v>32</v>
      </c>
      <c r="Y27" s="32">
        <v>0.6</v>
      </c>
      <c r="Z27" s="21">
        <v>3</v>
      </c>
      <c r="AA27" s="22">
        <v>1</v>
      </c>
      <c r="AB27" s="21">
        <v>3</v>
      </c>
      <c r="AC27" s="22">
        <v>1</v>
      </c>
      <c r="AD27" s="21">
        <v>2</v>
      </c>
      <c r="AE27" s="22">
        <v>2</v>
      </c>
      <c r="AF27" s="21">
        <v>2</v>
      </c>
      <c r="AG27" s="22">
        <v>3</v>
      </c>
      <c r="AH27" s="21">
        <v>3</v>
      </c>
      <c r="AI27" s="22">
        <v>3</v>
      </c>
      <c r="AJ27" s="21">
        <v>1</v>
      </c>
      <c r="AK27" s="22">
        <v>3</v>
      </c>
      <c r="AL27" s="21">
        <v>27</v>
      </c>
      <c r="AM27" s="32">
        <v>0.55102040816326525</v>
      </c>
      <c r="AN27" s="21">
        <f>COUNTIFS(AllMusters26!$AG$15:$AG$108,"I",(AllMusters26!$F$15:$F$108),"1")</f>
        <v>3</v>
      </c>
      <c r="AO27" s="22">
        <f>COUNTIFS(AllMusters26!$AG$15:$AG$108,"I",(AllMusters26!$F$15:$F$108),"2")</f>
        <v>4</v>
      </c>
      <c r="AP27" s="21">
        <f>COUNTIFS(AllMusters26!$AG$15:$AG$108,"I",(AllMusters26!$F$15:$F$108),"3")</f>
        <v>0</v>
      </c>
      <c r="AQ27" s="22">
        <f>COUNTIFS(AllMusters26!$AG$15:$AG$108,"I",(AllMusters26!$F$15:$F$108),"4")</f>
        <v>0</v>
      </c>
      <c r="AR27" s="21">
        <f>COUNTIFS(AllMusters26!$AG$15:$AG$108,"I",(AllMusters26!$F$15:$F$108),"5")</f>
        <v>0</v>
      </c>
      <c r="AS27" s="22">
        <f>COUNTIFS(AllMusters26!$AG$15:$AG$108,"I",(AllMusters26!$F$15:$F$108),"6")</f>
        <v>0</v>
      </c>
      <c r="AT27" s="21">
        <f>COUNTIFS(AllMusters26!$AG$15:$AG$108,"I",(AllMusters26!$F$15:$F$108),"7")</f>
        <v>0</v>
      </c>
      <c r="AU27" s="22">
        <f>COUNTIFS(AllMusters26!$AG$15:$AG$108,"I",(AllMusters26!$F$15:$F$108),"8")</f>
        <v>0</v>
      </c>
      <c r="AV27" s="21">
        <f>COUNTIFS(AllMusters26!$AG$15:$AG$108,"I",(AllMusters26!$F$15:$F$108),"9")</f>
        <v>0</v>
      </c>
      <c r="AW27" s="22">
        <f>COUNTIFS(AllMusters26!$AG$15:$AG$108,"I",(AllMusters26!$F$15:$F$108),"10")</f>
        <v>0</v>
      </c>
      <c r="AX27" s="21">
        <f>COUNTIFS(AllMusters26!$AG$15:$AG$108,"I",(AllMusters26!$F$15:$F$108),"11")</f>
        <v>0</v>
      </c>
      <c r="AY27" s="22">
        <f>COUNTIFS(AllMusters26!$AG$15:$AG$108,"I",(AllMusters26!$F$15:$F$108),"12")</f>
        <v>0</v>
      </c>
      <c r="AZ27" s="21">
        <f t="shared" si="1"/>
        <v>7</v>
      </c>
      <c r="BA27" s="32">
        <f t="shared" si="2"/>
        <v>0.7</v>
      </c>
      <c r="BB27" s="12">
        <f t="shared" ref="BB27:BB31" si="12">SUM(J27,X27,AZ27)</f>
        <v>55</v>
      </c>
      <c r="BC27" s="26">
        <f t="shared" ref="BC27:BC31" si="13">(SUM(BB27))/SUM($BB$2)</f>
        <v>0.61111111111111116</v>
      </c>
    </row>
    <row r="28" spans="1:55" x14ac:dyDescent="0.25">
      <c r="A28" s="17" t="s">
        <v>48</v>
      </c>
      <c r="B28" s="21">
        <v>2</v>
      </c>
      <c r="C28" s="22">
        <v>4</v>
      </c>
      <c r="D28" s="21">
        <v>3</v>
      </c>
      <c r="E28" s="22">
        <v>5</v>
      </c>
      <c r="F28" s="21">
        <v>4</v>
      </c>
      <c r="G28" s="22">
        <v>3</v>
      </c>
      <c r="H28" s="21">
        <v>3</v>
      </c>
      <c r="I28" s="22">
        <v>2</v>
      </c>
      <c r="J28" s="21">
        <f t="shared" si="11"/>
        <v>26</v>
      </c>
      <c r="K28" s="32">
        <v>0.8666666666666667</v>
      </c>
      <c r="L28" s="21">
        <v>2</v>
      </c>
      <c r="M28" s="22">
        <v>4</v>
      </c>
      <c r="N28" s="21">
        <v>3</v>
      </c>
      <c r="O28" s="22">
        <v>2</v>
      </c>
      <c r="P28" s="21">
        <v>2</v>
      </c>
      <c r="Q28" s="22">
        <v>4</v>
      </c>
      <c r="R28" s="21">
        <v>4</v>
      </c>
      <c r="S28" s="22">
        <v>2</v>
      </c>
      <c r="T28" s="21">
        <v>2</v>
      </c>
      <c r="U28" s="22">
        <v>1</v>
      </c>
      <c r="V28" s="21">
        <v>2</v>
      </c>
      <c r="W28" s="22">
        <v>1</v>
      </c>
      <c r="X28" s="21">
        <v>29</v>
      </c>
      <c r="Y28" s="32">
        <v>0.6875</v>
      </c>
      <c r="Z28" s="21">
        <v>1</v>
      </c>
      <c r="AA28" s="22">
        <v>2</v>
      </c>
      <c r="AB28" s="21">
        <v>3</v>
      </c>
      <c r="AC28" s="22">
        <v>3</v>
      </c>
      <c r="AD28" s="21">
        <v>2</v>
      </c>
      <c r="AE28" s="22">
        <v>4</v>
      </c>
      <c r="AF28" s="21">
        <v>1</v>
      </c>
      <c r="AG28" s="22">
        <v>3</v>
      </c>
      <c r="AH28" s="21">
        <v>2</v>
      </c>
      <c r="AI28" s="22">
        <v>2</v>
      </c>
      <c r="AJ28" s="21">
        <v>2</v>
      </c>
      <c r="AK28" s="22">
        <v>3</v>
      </c>
      <c r="AL28" s="21">
        <v>28</v>
      </c>
      <c r="AM28" s="32">
        <v>0.5714285714285714</v>
      </c>
      <c r="AN28" s="21">
        <f>COUNTIFS(AllMusters26!$AH$15:$AH$108,"I",(AllMusters26!$F$15:$F$108),"1")</f>
        <v>2</v>
      </c>
      <c r="AO28" s="22">
        <f>COUNTIFS(AllMusters26!$AH$15:$AH$108,"I",(AllMusters26!$F$15:$F$108),"2")</f>
        <v>3</v>
      </c>
      <c r="AP28" s="21">
        <f>COUNTIFS(AllMusters26!$AH$15:$AH$108,"I",(AllMusters26!$F$15:$F$108),"3")</f>
        <v>2</v>
      </c>
      <c r="AQ28" s="22">
        <f>COUNTIFS(AllMusters26!$AH$15:$AH$108,"I",(AllMusters26!$F$15:$F$108),"4")</f>
        <v>0</v>
      </c>
      <c r="AR28" s="21">
        <f>COUNTIFS(AllMusters26!$AH$15:$AH$108,"I",(AllMusters26!$F$15:$F$108),"5")</f>
        <v>0</v>
      </c>
      <c r="AS28" s="22">
        <f>COUNTIFS(AllMusters26!$AH$15:$AH$108,"I",(AllMusters26!$F$15:$F$108),"6")</f>
        <v>0</v>
      </c>
      <c r="AT28" s="21">
        <f>COUNTIFS(AllMusters26!$AH$15:$AH$108,"I",(AllMusters26!$F$15:$F$108),"7")</f>
        <v>0</v>
      </c>
      <c r="AU28" s="22">
        <f>COUNTIFS(AllMusters26!$AH$15:$AH$108,"I",(AllMusters26!$F$15:$F$108),"8")</f>
        <v>0</v>
      </c>
      <c r="AV28" s="21">
        <f>COUNTIFS(AllMusters26!$AH$15:$AH$108,"I",(AllMusters26!$F$15:$F$108),"9")</f>
        <v>0</v>
      </c>
      <c r="AW28" s="22">
        <f>COUNTIFS(AllMusters26!$AH$15:$AH$108,"I",(AllMusters26!$F$15:$F$108),"10")</f>
        <v>0</v>
      </c>
      <c r="AX28" s="21">
        <f>COUNTIFS(AllMusters26!$AH$15:$AH$108,"I",(AllMusters26!$F$15:$F$108),"11")</f>
        <v>0</v>
      </c>
      <c r="AY28" s="22">
        <f>COUNTIFS(AllMusters26!$AH$15:$AH$108,"I",(AllMusters26!$F$15:$F$108),"12")</f>
        <v>0</v>
      </c>
      <c r="AZ28" s="21">
        <f t="shared" si="1"/>
        <v>7</v>
      </c>
      <c r="BA28" s="32">
        <f t="shared" si="2"/>
        <v>0.7</v>
      </c>
      <c r="BB28" s="12">
        <f t="shared" si="12"/>
        <v>62</v>
      </c>
      <c r="BC28" s="26">
        <f t="shared" si="13"/>
        <v>0.68888888888888888</v>
      </c>
    </row>
    <row r="29" spans="1:55" x14ac:dyDescent="0.25">
      <c r="A29" s="17" t="s">
        <v>49</v>
      </c>
      <c r="B29" s="21">
        <v>2</v>
      </c>
      <c r="C29" s="22">
        <v>4</v>
      </c>
      <c r="D29" s="21">
        <v>4</v>
      </c>
      <c r="E29" s="22">
        <v>5</v>
      </c>
      <c r="F29" s="21">
        <v>4</v>
      </c>
      <c r="G29" s="22">
        <v>3</v>
      </c>
      <c r="H29" s="21">
        <v>4</v>
      </c>
      <c r="I29" s="22">
        <v>2</v>
      </c>
      <c r="J29" s="21">
        <f t="shared" si="11"/>
        <v>28</v>
      </c>
      <c r="K29" s="32">
        <v>0.93333333333333335</v>
      </c>
      <c r="L29" s="21">
        <v>3</v>
      </c>
      <c r="M29" s="22">
        <v>3</v>
      </c>
      <c r="N29" s="21">
        <v>4</v>
      </c>
      <c r="O29" s="22">
        <v>5</v>
      </c>
      <c r="P29" s="21">
        <v>4</v>
      </c>
      <c r="Q29" s="22">
        <v>3</v>
      </c>
      <c r="R29" s="21">
        <v>5</v>
      </c>
      <c r="S29" s="22">
        <v>5</v>
      </c>
      <c r="T29" s="21">
        <v>4</v>
      </c>
      <c r="U29" s="22">
        <v>4</v>
      </c>
      <c r="V29" s="21">
        <v>4</v>
      </c>
      <c r="W29" s="22">
        <v>3</v>
      </c>
      <c r="X29" s="21">
        <v>47</v>
      </c>
      <c r="Y29" s="32">
        <v>0.9375</v>
      </c>
      <c r="Z29" s="21">
        <v>3</v>
      </c>
      <c r="AA29" s="22">
        <v>3</v>
      </c>
      <c r="AB29" s="21">
        <v>0</v>
      </c>
      <c r="AC29" s="22">
        <v>2</v>
      </c>
      <c r="AD29" s="21">
        <v>0</v>
      </c>
      <c r="AE29" s="22">
        <v>4</v>
      </c>
      <c r="AF29" s="21">
        <v>4</v>
      </c>
      <c r="AG29" s="22">
        <v>4</v>
      </c>
      <c r="AH29" s="21">
        <v>5</v>
      </c>
      <c r="AI29" s="22">
        <v>4</v>
      </c>
      <c r="AJ29" s="21">
        <v>3</v>
      </c>
      <c r="AK29" s="22">
        <v>3</v>
      </c>
      <c r="AL29" s="21">
        <v>35</v>
      </c>
      <c r="AM29" s="32">
        <v>0.7142857142857143</v>
      </c>
      <c r="AN29" s="21">
        <f>COUNTIFS(AllMusters26!$AI$15:$AI$108,"I",(AllMusters26!$F$15:$F$108),"1")</f>
        <v>3</v>
      </c>
      <c r="AO29" s="22">
        <f>COUNTIFS(AllMusters26!$AI$15:$AI$108,"I",(AllMusters26!$F$15:$F$108),"2")</f>
        <v>4</v>
      </c>
      <c r="AP29" s="21">
        <f>COUNTIFS(AllMusters26!$AI$15:$AI$108,"I",(AllMusters26!$F$15:$F$108),"3")</f>
        <v>2</v>
      </c>
      <c r="AQ29" s="22">
        <f>COUNTIFS(AllMusters26!$AI$15:$AI$108,"I",(AllMusters26!$F$15:$F$108),"4")</f>
        <v>0</v>
      </c>
      <c r="AR29" s="21">
        <f>COUNTIFS(AllMusters26!$AI$15:$AI$108,"I",(AllMusters26!$F$15:$F$108),"5")</f>
        <v>0</v>
      </c>
      <c r="AS29" s="22">
        <f>COUNTIFS(AllMusters26!$AI$15:$AI$108,"I",(AllMusters26!$F$15:$F$108),"6")</f>
        <v>0</v>
      </c>
      <c r="AT29" s="21">
        <f>COUNTIFS(AllMusters26!$AI$15:$AI$108,"I",(AllMusters26!$F$15:$F$108),"7")</f>
        <v>0</v>
      </c>
      <c r="AU29" s="22">
        <f>COUNTIFS(AllMusters26!$AI$15:$AI$108,"I",(AllMusters26!$F$15:$F$108),"8")</f>
        <v>0</v>
      </c>
      <c r="AV29" s="21">
        <f>COUNTIFS(AllMusters26!$AI$15:$AI$108,"I",(AllMusters26!$F$15:$F$108),"9")</f>
        <v>0</v>
      </c>
      <c r="AW29" s="22">
        <f>COUNTIFS(AllMusters26!$AI$15:$AI$108,"I",(AllMusters26!$F$15:$F$108),"10")</f>
        <v>0</v>
      </c>
      <c r="AX29" s="21">
        <f>COUNTIFS(AllMusters26!$AI$15:$AI$108,"I",(AllMusters26!$F$15:$F$108),"11")</f>
        <v>0</v>
      </c>
      <c r="AY29" s="22">
        <f>COUNTIFS(AllMusters26!$AI$15:$AI$108,"I",(AllMusters26!$F$15:$F$108),"12")</f>
        <v>0</v>
      </c>
      <c r="AZ29" s="21">
        <f t="shared" si="1"/>
        <v>9</v>
      </c>
      <c r="BA29" s="32">
        <f t="shared" si="2"/>
        <v>0.9</v>
      </c>
      <c r="BB29" s="12">
        <f t="shared" si="12"/>
        <v>84</v>
      </c>
      <c r="BC29" s="26">
        <f t="shared" si="13"/>
        <v>0.93333333333333335</v>
      </c>
    </row>
    <row r="30" spans="1:55" x14ac:dyDescent="0.25">
      <c r="A30" s="17" t="s">
        <v>50</v>
      </c>
      <c r="B30" s="21">
        <v>0</v>
      </c>
      <c r="C30" s="22">
        <v>3</v>
      </c>
      <c r="D30" s="21">
        <v>3</v>
      </c>
      <c r="E30" s="22">
        <v>2</v>
      </c>
      <c r="F30" s="21">
        <v>4</v>
      </c>
      <c r="G30" s="22">
        <v>3</v>
      </c>
      <c r="H30" s="21">
        <v>4</v>
      </c>
      <c r="I30" s="22">
        <v>2</v>
      </c>
      <c r="J30" s="21">
        <f t="shared" si="11"/>
        <v>21</v>
      </c>
      <c r="K30" s="32">
        <v>0.7</v>
      </c>
      <c r="L30" s="21">
        <v>0</v>
      </c>
      <c r="M30" s="22">
        <v>2</v>
      </c>
      <c r="N30" s="21">
        <v>3</v>
      </c>
      <c r="O30" s="22">
        <v>5</v>
      </c>
      <c r="P30" s="21">
        <v>4</v>
      </c>
      <c r="Q30" s="22">
        <v>3</v>
      </c>
      <c r="R30" s="21">
        <v>3</v>
      </c>
      <c r="S30" s="22">
        <v>2</v>
      </c>
      <c r="T30" s="21">
        <v>4</v>
      </c>
      <c r="U30" s="22">
        <v>4</v>
      </c>
      <c r="V30" s="21">
        <v>4</v>
      </c>
      <c r="W30" s="22">
        <v>3</v>
      </c>
      <c r="X30" s="21">
        <v>37</v>
      </c>
      <c r="Y30" s="32">
        <v>0.72499999999999998</v>
      </c>
      <c r="Z30" s="21">
        <v>0</v>
      </c>
      <c r="AA30" s="22">
        <v>3</v>
      </c>
      <c r="AB30" s="21">
        <v>5</v>
      </c>
      <c r="AC30" s="22">
        <v>3</v>
      </c>
      <c r="AD30" s="21">
        <v>3</v>
      </c>
      <c r="AE30" s="22">
        <v>5</v>
      </c>
      <c r="AF30" s="21">
        <v>2</v>
      </c>
      <c r="AG30" s="22">
        <v>3</v>
      </c>
      <c r="AH30" s="21">
        <v>5</v>
      </c>
      <c r="AI30" s="22">
        <v>4</v>
      </c>
      <c r="AJ30" s="21">
        <v>2</v>
      </c>
      <c r="AK30" s="22">
        <v>3</v>
      </c>
      <c r="AL30" s="21">
        <v>38</v>
      </c>
      <c r="AM30" s="32">
        <v>0.77551020408163263</v>
      </c>
      <c r="AN30" s="21">
        <f>COUNTIFS(AllMusters26!$AJ$15:$AJ$108,"I",(AllMusters26!$F$15:$F$108),"1")</f>
        <v>0</v>
      </c>
      <c r="AO30" s="22">
        <f>COUNTIFS(AllMusters26!$AJ$15:$AJ$108,"I",(AllMusters26!$F$15:$F$108),"2")</f>
        <v>1</v>
      </c>
      <c r="AP30" s="21">
        <f>COUNTIFS(AllMusters26!$AJ$15:$AJ$108,"I",(AllMusters26!$F$15:$F$108),"3")</f>
        <v>2</v>
      </c>
      <c r="AQ30" s="22">
        <f>COUNTIFS(AllMusters26!$AJ$15:$AJ$108,"I",(AllMusters26!$F$15:$F$108),"4")</f>
        <v>0</v>
      </c>
      <c r="AR30" s="21">
        <f>COUNTIFS(AllMusters26!$AJ$15:$AJ$108,"I",(AllMusters26!$F$15:$F$108),"5")</f>
        <v>0</v>
      </c>
      <c r="AS30" s="22">
        <f>COUNTIFS(AllMusters26!$AJ$15:$AJ$108,"I",(AllMusters26!$F$15:$F$108),"6")</f>
        <v>0</v>
      </c>
      <c r="AT30" s="21">
        <f>COUNTIFS(AllMusters26!$AJ$15:$AJ$108,"I",(AllMusters26!$F$15:$F$108),"7")</f>
        <v>0</v>
      </c>
      <c r="AU30" s="22">
        <f>COUNTIFS(AllMusters26!$AJ$15:$AJ$108,"I",(AllMusters26!$F$15:$F$108),"8")</f>
        <v>0</v>
      </c>
      <c r="AV30" s="21">
        <f>COUNTIFS(AllMusters26!$AJ$15:$AJ$108,"I",(AllMusters26!$F$15:$F$108),"9")</f>
        <v>0</v>
      </c>
      <c r="AW30" s="22">
        <f>COUNTIFS(AllMusters26!$AJ$15:$AJ$108,"I",(AllMusters26!$F$15:$F$108),"10")</f>
        <v>0</v>
      </c>
      <c r="AX30" s="21">
        <f>COUNTIFS(AllMusters26!$AJ$15:$AJ$108,"I",(AllMusters26!$F$15:$F$108),"11")</f>
        <v>0</v>
      </c>
      <c r="AY30" s="22">
        <f>COUNTIFS(AllMusters26!$AJ$15:$AJ$108,"I",(AllMusters26!$F$15:$F$108),"12")</f>
        <v>0</v>
      </c>
      <c r="AZ30" s="21">
        <f t="shared" si="1"/>
        <v>3</v>
      </c>
      <c r="BA30" s="32">
        <f t="shared" si="2"/>
        <v>0.3</v>
      </c>
      <c r="BB30" s="12">
        <f t="shared" si="12"/>
        <v>61</v>
      </c>
      <c r="BC30" s="26">
        <f t="shared" si="13"/>
        <v>0.67777777777777781</v>
      </c>
    </row>
    <row r="31" spans="1:55" x14ac:dyDescent="0.25">
      <c r="A31" s="17" t="s">
        <v>51</v>
      </c>
      <c r="B31" s="52"/>
      <c r="C31" s="22">
        <v>1</v>
      </c>
      <c r="D31" s="21">
        <v>2</v>
      </c>
      <c r="E31" s="22">
        <v>3</v>
      </c>
      <c r="F31" s="21">
        <v>3</v>
      </c>
      <c r="G31" s="22">
        <v>3</v>
      </c>
      <c r="H31" s="21">
        <v>3</v>
      </c>
      <c r="I31" s="22">
        <v>1</v>
      </c>
      <c r="J31" s="21">
        <f t="shared" si="11"/>
        <v>16</v>
      </c>
      <c r="K31" s="32">
        <v>0.59259259259259256</v>
      </c>
      <c r="L31" s="21">
        <v>2</v>
      </c>
      <c r="M31" s="22">
        <v>1</v>
      </c>
      <c r="N31" s="21">
        <v>1</v>
      </c>
      <c r="O31" s="22">
        <v>3</v>
      </c>
      <c r="P31" s="21">
        <v>3</v>
      </c>
      <c r="Q31" s="22">
        <v>2</v>
      </c>
      <c r="R31" s="21">
        <v>2</v>
      </c>
      <c r="S31" s="22">
        <v>4</v>
      </c>
      <c r="T31" s="21">
        <v>3</v>
      </c>
      <c r="U31" s="22">
        <v>3</v>
      </c>
      <c r="V31" s="21">
        <v>2</v>
      </c>
      <c r="W31" s="22">
        <v>0</v>
      </c>
      <c r="X31" s="21">
        <v>26</v>
      </c>
      <c r="Y31" s="32">
        <v>0.52500000000000002</v>
      </c>
      <c r="Z31" s="21">
        <v>1</v>
      </c>
      <c r="AA31" s="22">
        <v>2</v>
      </c>
      <c r="AB31" s="21">
        <v>4</v>
      </c>
      <c r="AC31" s="22">
        <v>0</v>
      </c>
      <c r="AD31" s="21">
        <v>3</v>
      </c>
      <c r="AE31" s="22">
        <v>2</v>
      </c>
      <c r="AF31" s="21">
        <v>1</v>
      </c>
      <c r="AG31" s="22">
        <v>2</v>
      </c>
      <c r="AH31" s="21">
        <v>4</v>
      </c>
      <c r="AI31" s="22">
        <v>0</v>
      </c>
      <c r="AJ31" s="21">
        <v>2</v>
      </c>
      <c r="AK31" s="22">
        <v>2</v>
      </c>
      <c r="AL31" s="21">
        <v>23</v>
      </c>
      <c r="AM31" s="32">
        <v>0.46938775510204084</v>
      </c>
      <c r="AN31" s="21">
        <f>COUNTIFS(AllMusters26!$AK$15:$AK$108,"I",(AllMusters26!$F$15:$F$108),"1")</f>
        <v>2</v>
      </c>
      <c r="AO31" s="22">
        <f>COUNTIFS(AllMusters26!$AK$15:$AK$108,"I",(AllMusters26!$F$15:$F$108),"2")</f>
        <v>1</v>
      </c>
      <c r="AP31" s="21">
        <f>COUNTIFS(AllMusters26!$AK$15:$AK$108,"I",(AllMusters26!$F$15:$F$108),"3")</f>
        <v>2</v>
      </c>
      <c r="AQ31" s="22">
        <f>COUNTIFS(AllMusters26!$AK$15:$AK$108,"I",(AllMusters26!$F$15:$F$108),"4")</f>
        <v>0</v>
      </c>
      <c r="AR31" s="21">
        <f>COUNTIFS(AllMusters26!$AK$15:$AK$108,"I",(AllMusters26!$F$15:$F$108),"5")</f>
        <v>0</v>
      </c>
      <c r="AS31" s="22">
        <f>COUNTIFS(AllMusters26!$AK$15:$AK$108,"I",(AllMusters26!$F$15:$F$108),"6")</f>
        <v>0</v>
      </c>
      <c r="AT31" s="21">
        <f>COUNTIFS(AllMusters26!$AK$15:$AK$108,"I",(AllMusters26!$F$15:$F$108),"7")</f>
        <v>0</v>
      </c>
      <c r="AU31" s="22">
        <f>COUNTIFS(AllMusters26!$AK$15:$AK$108,"I",(AllMusters26!$F$15:$F$108),"8")</f>
        <v>0</v>
      </c>
      <c r="AV31" s="21">
        <f>COUNTIFS(AllMusters26!$AK$15:$AK$108,"I",(AllMusters26!$F$15:$F$108),"9")</f>
        <v>0</v>
      </c>
      <c r="AW31" s="22">
        <f>COUNTIFS(AllMusters26!$AK$15:$AK$108,"I",(AllMusters26!$F$15:$F$108),"10")</f>
        <v>0</v>
      </c>
      <c r="AX31" s="21">
        <f>COUNTIFS(AllMusters26!$AK$15:$AK$108,"I",(AllMusters26!$F$15:$F$108),"11")</f>
        <v>0</v>
      </c>
      <c r="AY31" s="22">
        <f>COUNTIFS(AllMusters26!$AK$15:$AK$108,"I",(AllMusters26!$F$15:$F$108),"12")</f>
        <v>0</v>
      </c>
      <c r="AZ31" s="21">
        <f t="shared" si="1"/>
        <v>5</v>
      </c>
      <c r="BA31" s="32">
        <f t="shared" si="2"/>
        <v>0.5</v>
      </c>
      <c r="BB31" s="12">
        <f t="shared" si="12"/>
        <v>47</v>
      </c>
      <c r="BC31" s="26">
        <f t="shared" si="13"/>
        <v>0.52222222222222225</v>
      </c>
    </row>
    <row r="32" spans="1:55" x14ac:dyDescent="0.25">
      <c r="A32" s="17" t="s">
        <v>626</v>
      </c>
      <c r="B32" s="52"/>
      <c r="C32" s="22"/>
      <c r="D32" s="21"/>
      <c r="E32" s="22"/>
      <c r="F32" s="21"/>
      <c r="G32" s="22"/>
      <c r="H32" s="21"/>
      <c r="I32" s="22"/>
      <c r="J32" s="21"/>
      <c r="K32" s="32"/>
      <c r="L32" s="21"/>
      <c r="M32" s="22"/>
      <c r="N32" s="21"/>
      <c r="O32" s="22"/>
      <c r="P32" s="21"/>
      <c r="Q32" s="22"/>
      <c r="R32" s="21"/>
      <c r="S32" s="22"/>
      <c r="T32" s="21"/>
      <c r="U32" s="22"/>
      <c r="V32" s="21"/>
      <c r="W32" s="22"/>
      <c r="X32" s="21"/>
      <c r="Y32" s="32"/>
      <c r="Z32" s="21"/>
      <c r="AA32" s="22"/>
      <c r="AB32" s="21"/>
      <c r="AC32" s="22"/>
      <c r="AD32" s="21"/>
      <c r="AE32" s="22"/>
      <c r="AF32" s="21"/>
      <c r="AG32" s="22"/>
      <c r="AH32" s="21"/>
      <c r="AI32" s="22"/>
      <c r="AJ32" s="21"/>
      <c r="AK32" s="22"/>
      <c r="AL32" s="21"/>
      <c r="AM32" s="32"/>
      <c r="AN32" s="21"/>
      <c r="AO32" s="22"/>
      <c r="AP32" s="21"/>
      <c r="AQ32" s="22"/>
      <c r="AR32" s="21"/>
      <c r="AS32" s="22"/>
      <c r="AT32" s="21"/>
      <c r="AU32" s="22"/>
      <c r="AV32" s="21"/>
      <c r="AW32" s="22"/>
      <c r="AX32" s="21"/>
      <c r="AY32" s="22"/>
      <c r="AZ32" s="21"/>
      <c r="BA32" s="32"/>
      <c r="BB32" s="12"/>
      <c r="BC32" s="26"/>
    </row>
    <row r="33" spans="1:55" x14ac:dyDescent="0.25">
      <c r="A33" s="17" t="s">
        <v>52</v>
      </c>
      <c r="B33" s="21">
        <v>1</v>
      </c>
      <c r="C33" s="29">
        <v>3</v>
      </c>
      <c r="D33" s="21">
        <v>2</v>
      </c>
      <c r="E33" s="29">
        <v>0</v>
      </c>
      <c r="F33" s="21">
        <v>0</v>
      </c>
      <c r="G33" s="22">
        <v>2</v>
      </c>
      <c r="H33" s="21">
        <v>2</v>
      </c>
      <c r="I33" s="22">
        <v>2</v>
      </c>
      <c r="J33" s="21">
        <f t="shared" si="0"/>
        <v>12</v>
      </c>
      <c r="K33" s="32">
        <v>0.4</v>
      </c>
      <c r="L33" s="21">
        <v>3</v>
      </c>
      <c r="M33" s="22">
        <v>1</v>
      </c>
      <c r="N33" s="21">
        <v>3</v>
      </c>
      <c r="O33" s="22">
        <v>3</v>
      </c>
      <c r="P33" s="21">
        <v>4</v>
      </c>
      <c r="Q33" s="22">
        <v>2</v>
      </c>
      <c r="R33" s="21">
        <v>4</v>
      </c>
      <c r="S33" s="29">
        <v>0</v>
      </c>
      <c r="T33" s="114">
        <v>0</v>
      </c>
      <c r="U33" s="29">
        <v>1</v>
      </c>
      <c r="V33" s="114">
        <v>2</v>
      </c>
      <c r="W33" s="29">
        <v>0</v>
      </c>
      <c r="X33" s="21">
        <v>23</v>
      </c>
      <c r="Y33" s="32">
        <v>0.4375</v>
      </c>
      <c r="Z33" s="114">
        <v>0</v>
      </c>
      <c r="AA33" s="22">
        <v>0</v>
      </c>
      <c r="AB33" s="21">
        <v>4</v>
      </c>
      <c r="AC33" s="22">
        <v>3</v>
      </c>
      <c r="AD33" s="21">
        <v>3</v>
      </c>
      <c r="AE33" s="22">
        <v>5</v>
      </c>
      <c r="AF33" s="21">
        <v>3</v>
      </c>
      <c r="AG33" s="22">
        <v>3</v>
      </c>
      <c r="AH33" s="21">
        <v>4</v>
      </c>
      <c r="AI33" s="22">
        <v>3</v>
      </c>
      <c r="AJ33" s="21">
        <v>2</v>
      </c>
      <c r="AK33" s="22">
        <v>3</v>
      </c>
      <c r="AL33" s="21">
        <v>33</v>
      </c>
      <c r="AM33" s="32">
        <v>0.67346938775510201</v>
      </c>
      <c r="AN33" s="21">
        <f>COUNTIFS(AllMusters26!$AM$15:$AM$108,"I",(AllMusters26!$F$15:$F$108),"1")</f>
        <v>0</v>
      </c>
      <c r="AO33" s="22">
        <f>COUNTIFS(AllMusters26!$AM$15:$AM$108,"I",(AllMusters26!$F$15:$F$108),"2")</f>
        <v>2</v>
      </c>
      <c r="AP33" s="21">
        <f>COUNTIFS(AllMusters26!$AM$15:$AM$108,"I",(AllMusters26!$F$15:$F$108),"3")</f>
        <v>1</v>
      </c>
      <c r="AQ33" s="22">
        <f>COUNTIFS(AllMusters26!$AM$15:$AM$108,"I",(AllMusters26!$F$15:$F$108),"4")</f>
        <v>0</v>
      </c>
      <c r="AR33" s="21">
        <f>COUNTIFS(AllMusters26!$AM$15:$AM$108,"I",(AllMusters26!$F$15:$F$108),"5")</f>
        <v>0</v>
      </c>
      <c r="AS33" s="22">
        <f>COUNTIFS(AllMusters26!$AM$15:$AM$108,"I",(AllMusters26!$F$15:$F$108),"6")</f>
        <v>0</v>
      </c>
      <c r="AT33" s="21">
        <f>COUNTIFS(AllMusters26!$AM$15:$AM$108,"I",(AllMusters26!$F$15:$F$108),"7")</f>
        <v>0</v>
      </c>
      <c r="AU33" s="22">
        <f>COUNTIFS(AllMusters26!$AM$15:$AM$108,"I",(AllMusters26!$F$15:$F$108),"8")</f>
        <v>0</v>
      </c>
      <c r="AV33" s="21">
        <f>COUNTIFS(AllMusters26!$AM$15:$AM$108,"I",(AllMusters26!$F$15:$F$108),"9")</f>
        <v>0</v>
      </c>
      <c r="AW33" s="22">
        <f>COUNTIFS(AllMusters26!$AM$15:$AM$108,"I",(AllMusters26!$F$15:$F$108),"10")</f>
        <v>0</v>
      </c>
      <c r="AX33" s="21">
        <f>COUNTIFS(AllMusters26!$AM$15:$AM$108,"I",(AllMusters26!$F$15:$F$108),"11")</f>
        <v>0</v>
      </c>
      <c r="AY33" s="22">
        <f>COUNTIFS(AllMusters26!$AM$15:$AM$108,"I",(AllMusters26!$F$15:$F$108),"12")</f>
        <v>0</v>
      </c>
      <c r="AZ33" s="21">
        <f t="shared" si="1"/>
        <v>3</v>
      </c>
      <c r="BA33" s="32">
        <f t="shared" si="2"/>
        <v>0.3</v>
      </c>
      <c r="BB33" s="12">
        <f t="shared" si="3"/>
        <v>38</v>
      </c>
      <c r="BC33" s="26">
        <f t="shared" si="4"/>
        <v>0.42222222222222222</v>
      </c>
    </row>
    <row r="34" spans="1:55" x14ac:dyDescent="0.25">
      <c r="A34" s="17" t="s">
        <v>53</v>
      </c>
      <c r="B34" s="21">
        <v>1</v>
      </c>
      <c r="C34" s="22">
        <v>4</v>
      </c>
      <c r="D34" s="21">
        <v>4</v>
      </c>
      <c r="E34" s="22">
        <v>5</v>
      </c>
      <c r="F34" s="21">
        <v>4</v>
      </c>
      <c r="G34" s="22">
        <v>4</v>
      </c>
      <c r="H34" s="21">
        <v>4</v>
      </c>
      <c r="I34" s="22">
        <v>2</v>
      </c>
      <c r="J34" s="21">
        <f t="shared" si="0"/>
        <v>28</v>
      </c>
      <c r="K34" s="32">
        <v>0.93333333333333335</v>
      </c>
      <c r="L34" s="21">
        <v>3</v>
      </c>
      <c r="M34" s="22">
        <v>4</v>
      </c>
      <c r="N34" s="21">
        <v>4</v>
      </c>
      <c r="O34" s="22">
        <v>5</v>
      </c>
      <c r="P34" s="21">
        <v>4</v>
      </c>
      <c r="Q34" s="22">
        <v>3</v>
      </c>
      <c r="R34" s="21">
        <v>3</v>
      </c>
      <c r="S34" s="22">
        <v>5</v>
      </c>
      <c r="T34" s="21">
        <v>5</v>
      </c>
      <c r="U34" s="22">
        <v>4</v>
      </c>
      <c r="V34" s="21">
        <v>4</v>
      </c>
      <c r="W34" s="22">
        <v>3</v>
      </c>
      <c r="X34" s="21">
        <v>47</v>
      </c>
      <c r="Y34" s="32">
        <v>0.9375</v>
      </c>
      <c r="Z34" s="21">
        <v>3</v>
      </c>
      <c r="AA34" s="22">
        <v>3</v>
      </c>
      <c r="AB34" s="21">
        <v>5</v>
      </c>
      <c r="AC34" s="22">
        <v>4</v>
      </c>
      <c r="AD34" s="21">
        <v>4</v>
      </c>
      <c r="AE34" s="22">
        <v>3</v>
      </c>
      <c r="AF34" s="21">
        <v>4</v>
      </c>
      <c r="AG34" s="22">
        <v>3</v>
      </c>
      <c r="AH34" s="21">
        <v>4</v>
      </c>
      <c r="AI34" s="22">
        <v>2</v>
      </c>
      <c r="AJ34" s="21">
        <v>4</v>
      </c>
      <c r="AK34" s="22">
        <v>3</v>
      </c>
      <c r="AL34" s="21">
        <v>42</v>
      </c>
      <c r="AM34" s="32">
        <v>0.8571428571428571</v>
      </c>
      <c r="AN34" s="21">
        <f>COUNTIFS(AllMusters26!$AN$15:$AN$108,"I",(AllMusters26!$F$15:$F$108),"1")</f>
        <v>3</v>
      </c>
      <c r="AO34" s="22">
        <f>COUNTIFS(AllMusters26!$AN$15:$AN$108,"I",(AllMusters26!$F$15:$F$108),"2")</f>
        <v>2</v>
      </c>
      <c r="AP34" s="21">
        <f>COUNTIFS(AllMusters26!$AN$15:$AN$108,"I",(AllMusters26!$F$15:$F$108),"3")</f>
        <v>2</v>
      </c>
      <c r="AQ34" s="22">
        <f>COUNTIFS(AllMusters26!$AN$15:$AN$108,"I",(AllMusters26!$F$15:$F$108),"4")</f>
        <v>0</v>
      </c>
      <c r="AR34" s="21">
        <f>COUNTIFS(AllMusters26!$AN$15:$AN$108,"I",(AllMusters26!$F$15:$F$108),"5")</f>
        <v>0</v>
      </c>
      <c r="AS34" s="22">
        <f>COUNTIFS(AllMusters26!$AN$15:$AN$108,"I",(AllMusters26!$F$15:$F$108),"6")</f>
        <v>0</v>
      </c>
      <c r="AT34" s="21">
        <f>COUNTIFS(AllMusters26!$AN$15:$AN$108,"I",(AllMusters26!$F$15:$F$108),"7")</f>
        <v>0</v>
      </c>
      <c r="AU34" s="22">
        <f>COUNTIFS(AllMusters26!$AN$15:$AN$108,"I",(AllMusters26!$F$15:$F$108),"8")</f>
        <v>0</v>
      </c>
      <c r="AV34" s="21">
        <f>COUNTIFS(AllMusters26!$AN$15:$AN$108,"I",(AllMusters26!$F$15:$F$108),"9")</f>
        <v>0</v>
      </c>
      <c r="AW34" s="22">
        <f>COUNTIFS(AllMusters26!$AN$15:$AN$108,"I",(AllMusters26!$F$15:$F$108),"10")</f>
        <v>0</v>
      </c>
      <c r="AX34" s="21">
        <f>COUNTIFS(AllMusters26!$AN$15:$AN$108,"I",(AllMusters26!$F$15:$F$108),"11")</f>
        <v>0</v>
      </c>
      <c r="AY34" s="22">
        <f>COUNTIFS(AllMusters26!$AN$15:$AN$108,"I",(AllMusters26!$F$15:$F$108),"12")</f>
        <v>0</v>
      </c>
      <c r="AZ34" s="21">
        <f t="shared" si="1"/>
        <v>7</v>
      </c>
      <c r="BA34" s="32">
        <f t="shared" si="2"/>
        <v>0.7</v>
      </c>
      <c r="BB34" s="12">
        <f t="shared" si="3"/>
        <v>82</v>
      </c>
      <c r="BC34" s="26">
        <f t="shared" si="4"/>
        <v>0.91111111111111109</v>
      </c>
    </row>
    <row r="35" spans="1:55" x14ac:dyDescent="0.25">
      <c r="A35" s="30" t="s">
        <v>54</v>
      </c>
      <c r="B35" s="21">
        <v>2</v>
      </c>
      <c r="C35" s="22">
        <v>4</v>
      </c>
      <c r="D35" s="21">
        <v>4</v>
      </c>
      <c r="E35" s="22">
        <v>5</v>
      </c>
      <c r="F35" s="21">
        <v>3</v>
      </c>
      <c r="G35" s="22">
        <v>4</v>
      </c>
      <c r="H35" s="21">
        <v>4</v>
      </c>
      <c r="I35" s="22">
        <v>2</v>
      </c>
      <c r="J35" s="21">
        <f>SUM(B35:I35)</f>
        <v>28</v>
      </c>
      <c r="K35" s="32">
        <v>0.93333333333333335</v>
      </c>
      <c r="L35" s="31">
        <v>3</v>
      </c>
      <c r="M35" s="22">
        <v>2</v>
      </c>
      <c r="N35" s="31">
        <v>3</v>
      </c>
      <c r="O35" s="22">
        <v>5</v>
      </c>
      <c r="P35" s="31">
        <v>2</v>
      </c>
      <c r="Q35" s="22">
        <v>3</v>
      </c>
      <c r="R35" s="31">
        <v>3</v>
      </c>
      <c r="S35" s="39">
        <v>4</v>
      </c>
      <c r="T35" s="31">
        <v>2</v>
      </c>
      <c r="U35" s="22">
        <v>0</v>
      </c>
      <c r="V35" s="31">
        <v>4</v>
      </c>
      <c r="W35" s="22">
        <v>3</v>
      </c>
      <c r="X35" s="21">
        <v>8</v>
      </c>
      <c r="Y35" s="32">
        <v>0.45</v>
      </c>
      <c r="Z35" s="31">
        <v>2</v>
      </c>
      <c r="AA35" s="22">
        <v>4</v>
      </c>
      <c r="AB35" s="31">
        <v>5</v>
      </c>
      <c r="AC35" s="22">
        <v>1</v>
      </c>
      <c r="AD35" s="31">
        <v>0</v>
      </c>
      <c r="AE35" s="22">
        <v>5</v>
      </c>
      <c r="AF35" s="31">
        <v>2</v>
      </c>
      <c r="AG35" s="39">
        <v>4</v>
      </c>
      <c r="AH35" s="31">
        <v>5</v>
      </c>
      <c r="AI35" s="22">
        <v>4</v>
      </c>
      <c r="AJ35" s="31">
        <v>3</v>
      </c>
      <c r="AK35" s="22">
        <v>3</v>
      </c>
      <c r="AL35" s="21">
        <v>38</v>
      </c>
      <c r="AM35" s="32">
        <v>0.77551020408163263</v>
      </c>
      <c r="AN35" s="31">
        <f>COUNTIFS(AllMusters26!$AO$15:$AO$108,"I",(AllMusters26!$F$15:$F$108),"1")</f>
        <v>3</v>
      </c>
      <c r="AO35" s="22">
        <f>COUNTIFS(AllMusters26!$AO$15:$AO$108,"I",(AllMusters26!$F$15:$F$108),"2")</f>
        <v>3</v>
      </c>
      <c r="AP35" s="31">
        <f>COUNTIFS(AllMusters26!$AO$15:$AO$108,"I",(AllMusters26!$F$15:$F$108),"3")</f>
        <v>2</v>
      </c>
      <c r="AQ35" s="22">
        <f>COUNTIFS(AllMusters26!$AO$15:$AO$108,"I",(AllMusters26!$F$15:$F$108),"4")</f>
        <v>0</v>
      </c>
      <c r="AR35" s="31">
        <f>COUNTIFS(AllMusters26!$AO$15:$AO$108,"I",(AllMusters26!$F$15:$F$108),"5")</f>
        <v>0</v>
      </c>
      <c r="AS35" s="22">
        <f>COUNTIFS(AllMusters26!$AO$15:$AO$108,"I",(AllMusters26!$F$15:$F$108),"6")</f>
        <v>0</v>
      </c>
      <c r="AT35" s="31">
        <f>COUNTIFS(AllMusters26!$AO$15:$AO$108,"I",(AllMusters26!$F$15:$F$108),"7")</f>
        <v>0</v>
      </c>
      <c r="AU35" s="39">
        <f>COUNTIFS(AllMusters26!$AO$15:$AO$108,"I",(AllMusters26!$F$15:$F$108),"8")</f>
        <v>0</v>
      </c>
      <c r="AV35" s="31">
        <f>COUNTIFS(AllMusters26!$AO$15:$AO$108,"I",(AllMusters26!$F$15:$F$108),"9")</f>
        <v>0</v>
      </c>
      <c r="AW35" s="22">
        <f>COUNTIFS(AllMusters26!$AO$15:$AO$108,"I",(AllMusters26!$F$15:$F$108),"10")</f>
        <v>0</v>
      </c>
      <c r="AX35" s="31">
        <f>COUNTIFS(AllMusters26!$AO$15:$AO$108,"I",(AllMusters26!$F$15:$F$108),"11")</f>
        <v>0</v>
      </c>
      <c r="AY35" s="22">
        <f>COUNTIFS(AllMusters26!$AO$15:$AO$108,"I",(AllMusters26!$F$15:$F$108),"12")</f>
        <v>0</v>
      </c>
      <c r="AZ35" s="21">
        <f t="shared" si="1"/>
        <v>8</v>
      </c>
      <c r="BA35" s="32">
        <f t="shared" si="2"/>
        <v>0.8</v>
      </c>
      <c r="BB35" s="12">
        <f t="shared" si="3"/>
        <v>44</v>
      </c>
      <c r="BC35" s="26">
        <f t="shared" si="4"/>
        <v>0.48888888888888887</v>
      </c>
    </row>
    <row r="36" spans="1:55" x14ac:dyDescent="0.25">
      <c r="A36" s="30" t="s">
        <v>74</v>
      </c>
      <c r="B36" s="50"/>
      <c r="C36" s="50"/>
      <c r="D36" s="50"/>
      <c r="E36" s="57"/>
      <c r="F36" s="31">
        <v>4</v>
      </c>
      <c r="G36" s="39">
        <v>3</v>
      </c>
      <c r="H36" s="31">
        <v>4</v>
      </c>
      <c r="I36" s="39">
        <v>1</v>
      </c>
      <c r="J36" s="21">
        <f>SUM(B36:I36)</f>
        <v>12</v>
      </c>
      <c r="K36" s="32">
        <v>0.8571428571428571</v>
      </c>
      <c r="L36" s="31">
        <v>1</v>
      </c>
      <c r="M36" s="39">
        <v>1</v>
      </c>
      <c r="N36" s="31">
        <v>0</v>
      </c>
      <c r="O36" s="39">
        <v>3</v>
      </c>
      <c r="P36" s="31">
        <v>3</v>
      </c>
      <c r="Q36" s="39">
        <v>4</v>
      </c>
      <c r="R36" s="31">
        <v>5</v>
      </c>
      <c r="S36" s="39">
        <v>4</v>
      </c>
      <c r="T36" s="31">
        <v>2</v>
      </c>
      <c r="U36" s="22">
        <v>2</v>
      </c>
      <c r="V36" s="31">
        <v>3</v>
      </c>
      <c r="W36" s="22">
        <v>3</v>
      </c>
      <c r="X36" s="21">
        <v>2</v>
      </c>
      <c r="Y36" s="32">
        <v>0.17499999999999999</v>
      </c>
      <c r="Z36" s="31">
        <v>2</v>
      </c>
      <c r="AA36" s="39">
        <v>2</v>
      </c>
      <c r="AB36" s="31">
        <v>2</v>
      </c>
      <c r="AC36" s="39">
        <v>4</v>
      </c>
      <c r="AD36" s="31">
        <v>2</v>
      </c>
      <c r="AE36" s="39">
        <v>4</v>
      </c>
      <c r="AF36" s="31">
        <v>3</v>
      </c>
      <c r="AG36" s="39">
        <v>3</v>
      </c>
      <c r="AH36" s="31">
        <v>3</v>
      </c>
      <c r="AI36" s="22">
        <v>3</v>
      </c>
      <c r="AJ36" s="31">
        <v>2</v>
      </c>
      <c r="AK36" s="22">
        <v>2</v>
      </c>
      <c r="AL36" s="21">
        <v>32</v>
      </c>
      <c r="AM36" s="32">
        <v>0.65306122448979587</v>
      </c>
      <c r="AN36" s="31">
        <f>COUNTIFS(AllMusters26!$AP$15:$AP$108,"I",(AllMusters26!$F$15:$F$108),"1")</f>
        <v>2</v>
      </c>
      <c r="AO36" s="39">
        <f>COUNTIFS(AllMusters26!$AP$15:$AP$108,"I",(AllMusters26!$F$15:$F$108),"2")</f>
        <v>1</v>
      </c>
      <c r="AP36" s="31">
        <f>COUNTIFS(AllMusters26!$AP$15:$AP$108,"I",(AllMusters26!$F$15:$F$108),"3")</f>
        <v>0</v>
      </c>
      <c r="AQ36" s="39">
        <f>COUNTIFS(AllMusters26!$AP$15:$AP$108,"I",(AllMusters26!$F$15:$F$108),"4")</f>
        <v>0</v>
      </c>
      <c r="AR36" s="31">
        <f>COUNTIFS(AllMusters26!$AP$15:$AP$108,"I",(AllMusters26!$F$15:$F$108),"5")</f>
        <v>0</v>
      </c>
      <c r="AS36" s="39">
        <f>COUNTIFS(AllMusters26!$AP$15:$AP$108,"I",(AllMusters26!$F$15:$F$108),"6")</f>
        <v>0</v>
      </c>
      <c r="AT36" s="31">
        <f>COUNTIFS(AllMusters26!$AP$15:$AP$108,"I",(AllMusters26!$F$15:$F$108),"7")</f>
        <v>0</v>
      </c>
      <c r="AU36" s="39">
        <f>COUNTIFS(AllMusters26!$AP$15:$AP$108,"I",(AllMusters26!$F$15:$F$108),"8")</f>
        <v>0</v>
      </c>
      <c r="AV36" s="31">
        <f>COUNTIFS(AllMusters26!$AP$15:$AP$108,"I",(AllMusters26!$F$15:$F$108),"9")</f>
        <v>0</v>
      </c>
      <c r="AW36" s="22">
        <f>COUNTIFS(AllMusters26!$AP$15:$AP$108,"I",(AllMusters26!$F$15:$F$108),"10")</f>
        <v>0</v>
      </c>
      <c r="AX36" s="31">
        <f>COUNTIFS(AllMusters26!$AP$15:$AP$108,"I",(AllMusters26!$F$15:$F$108),"11")</f>
        <v>0</v>
      </c>
      <c r="AY36" s="22">
        <f>COUNTIFS(AllMusters26!$AP$15:$AP$108,"I",(AllMusters26!$F$15:$F$108),"12")</f>
        <v>0</v>
      </c>
      <c r="AZ36" s="21">
        <f t="shared" si="1"/>
        <v>3</v>
      </c>
      <c r="BA36" s="32">
        <f t="shared" si="2"/>
        <v>0.3</v>
      </c>
      <c r="BB36" s="12">
        <f t="shared" si="3"/>
        <v>17</v>
      </c>
      <c r="BC36" s="26">
        <f t="shared" si="4"/>
        <v>0.18888888888888888</v>
      </c>
    </row>
    <row r="37" spans="1:55" x14ac:dyDescent="0.25">
      <c r="A37" s="30" t="s">
        <v>57</v>
      </c>
      <c r="B37" s="50"/>
      <c r="C37" s="50"/>
      <c r="D37" s="50"/>
      <c r="E37" s="57"/>
      <c r="F37" s="31"/>
      <c r="G37" s="123"/>
      <c r="H37" s="31"/>
      <c r="I37" s="39"/>
      <c r="J37" s="21"/>
      <c r="K37" s="32"/>
      <c r="L37" s="31"/>
      <c r="M37" s="39"/>
      <c r="N37" s="50" t="s">
        <v>58</v>
      </c>
      <c r="O37" s="31">
        <v>5</v>
      </c>
      <c r="P37" s="31">
        <v>4</v>
      </c>
      <c r="Q37" s="31">
        <v>3</v>
      </c>
      <c r="R37" s="31">
        <v>4</v>
      </c>
      <c r="S37" s="39">
        <v>4</v>
      </c>
      <c r="T37" s="31">
        <v>3</v>
      </c>
      <c r="U37" s="22">
        <v>3</v>
      </c>
      <c r="V37" s="31">
        <v>2</v>
      </c>
      <c r="W37" s="22">
        <v>3</v>
      </c>
      <c r="X37" s="21">
        <v>31</v>
      </c>
      <c r="Y37" s="32">
        <v>0.62</v>
      </c>
      <c r="Z37" s="31">
        <v>2</v>
      </c>
      <c r="AA37" s="39">
        <v>3</v>
      </c>
      <c r="AB37" s="31">
        <v>5</v>
      </c>
      <c r="AC37" s="39">
        <v>4</v>
      </c>
      <c r="AD37" s="31">
        <v>2</v>
      </c>
      <c r="AE37" s="39">
        <v>5</v>
      </c>
      <c r="AF37" s="31">
        <v>2</v>
      </c>
      <c r="AG37" s="39">
        <v>4</v>
      </c>
      <c r="AH37" s="31">
        <v>4</v>
      </c>
      <c r="AI37" s="22">
        <v>2</v>
      </c>
      <c r="AJ37" s="31">
        <v>3</v>
      </c>
      <c r="AK37" s="22">
        <v>2</v>
      </c>
      <c r="AL37" s="21">
        <v>38</v>
      </c>
      <c r="AM37" s="32">
        <v>0.77551020408163263</v>
      </c>
      <c r="AN37" s="31">
        <f>COUNTIFS(AllMusters26!$AQ$15:$AQ$108,"I",(AllMusters26!$F$15:$F$108),"1")</f>
        <v>2</v>
      </c>
      <c r="AO37" s="39">
        <f>COUNTIFS(AllMusters26!$AQ$15:$AQ$108,"I",(AllMusters26!$F$15:$F$108),"2")</f>
        <v>3</v>
      </c>
      <c r="AP37" s="31">
        <f>COUNTIFS(AllMusters26!$AQ$15:$AQ$108,"I",(AllMusters26!$F$15:$F$108),"3")</f>
        <v>2</v>
      </c>
      <c r="AQ37" s="39">
        <f>COUNTIFS(AllMusters26!$AQ$15:$AQ$108,"I",(AllMusters26!$F$15:$F$108),"4")</f>
        <v>0</v>
      </c>
      <c r="AR37" s="31">
        <f>COUNTIFS(AllMusters26!$AQ$15:$AQ$108,"I",(AllMusters26!$F$15:$F$108),"5")</f>
        <v>0</v>
      </c>
      <c r="AS37" s="39">
        <f>COUNTIFS(AllMusters26!$AQ$15:$AQ$108,"I",(AllMusters26!$F$15:$F$108),"6")</f>
        <v>0</v>
      </c>
      <c r="AT37" s="31">
        <f>COUNTIFS(AllMusters26!$AQ$15:$AQ$108,"I",(AllMusters26!$F$15:$F$108),"7")</f>
        <v>0</v>
      </c>
      <c r="AU37" s="39">
        <f>COUNTIFS(AllMusters26!$AQ$15:$AQ$108,"I",(AllMusters26!$F$15:$F$108),"8")</f>
        <v>0</v>
      </c>
      <c r="AV37" s="31">
        <f>COUNTIFS(AllMusters26!$AQ$15:$AQ$108,"I",(AllMusters26!$F$15:$F$108),"9")</f>
        <v>0</v>
      </c>
      <c r="AW37" s="22">
        <f>COUNTIFS(AllMusters26!$AQ$15:$AQ$108,"I",(AllMusters26!$F$15:$F$108),"10")</f>
        <v>0</v>
      </c>
      <c r="AX37" s="31">
        <f>COUNTIFS(AllMusters26!$AQ$15:$AQ$108,"I",(AllMusters26!$F$15:$F$108),"11")</f>
        <v>0</v>
      </c>
      <c r="AY37" s="22">
        <f>COUNTIFS(AllMusters26!$AQ$15:$AQ$108,"I",(AllMusters26!$F$15:$F$108),"12")</f>
        <v>0</v>
      </c>
      <c r="AZ37" s="21">
        <f>(SUM($AN37:$AY37))</f>
        <v>7</v>
      </c>
      <c r="BA37" s="32">
        <f t="shared" si="2"/>
        <v>0.7</v>
      </c>
      <c r="BB37" s="12">
        <f>SUM(J37,X37,AZ37)</f>
        <v>38</v>
      </c>
      <c r="BC37" s="26">
        <f>(SUM(BB37))/SUM($BB$2)</f>
        <v>0.42222222222222222</v>
      </c>
    </row>
    <row r="38" spans="1:55" x14ac:dyDescent="0.25">
      <c r="A38" s="17" t="s">
        <v>59</v>
      </c>
      <c r="B38" s="50"/>
      <c r="C38" s="50"/>
      <c r="D38" s="50"/>
      <c r="E38" s="57"/>
      <c r="F38" s="50"/>
      <c r="G38" s="58"/>
      <c r="H38" s="50"/>
      <c r="I38" s="57"/>
      <c r="J38" s="52"/>
      <c r="K38" s="32"/>
      <c r="L38" s="50"/>
      <c r="M38" s="50"/>
      <c r="N38" s="50" t="s">
        <v>58</v>
      </c>
      <c r="O38" s="50"/>
      <c r="P38" s="50"/>
      <c r="Q38" s="50"/>
      <c r="R38" s="50"/>
      <c r="S38" s="57"/>
      <c r="T38" s="50"/>
      <c r="U38" s="22">
        <v>3</v>
      </c>
      <c r="V38" s="31">
        <v>4</v>
      </c>
      <c r="W38" s="22">
        <v>3</v>
      </c>
      <c r="X38" s="21">
        <v>10</v>
      </c>
      <c r="Y38" s="32">
        <v>0.2</v>
      </c>
      <c r="Z38" s="31">
        <v>3</v>
      </c>
      <c r="AA38" s="39">
        <v>3</v>
      </c>
      <c r="AB38" s="31">
        <v>5</v>
      </c>
      <c r="AC38" s="39">
        <v>3</v>
      </c>
      <c r="AD38" s="31">
        <v>1</v>
      </c>
      <c r="AE38" s="39">
        <v>5</v>
      </c>
      <c r="AF38" s="31">
        <v>2</v>
      </c>
      <c r="AG38" s="39">
        <v>2</v>
      </c>
      <c r="AH38" s="31">
        <v>3</v>
      </c>
      <c r="AI38" s="22">
        <v>3</v>
      </c>
      <c r="AJ38" s="31">
        <v>3</v>
      </c>
      <c r="AK38" s="22">
        <v>3</v>
      </c>
      <c r="AL38" s="21">
        <v>36</v>
      </c>
      <c r="AM38" s="32">
        <v>0.73469387755102045</v>
      </c>
      <c r="AN38" s="31">
        <f>COUNTIFS(AllMusters26!$AR$15:$AR$108,"I",(AllMusters26!$F$15:$F$108),"1")</f>
        <v>3</v>
      </c>
      <c r="AO38" s="39">
        <f>COUNTIFS(AllMusters26!$AR$15:$AR$108,"I",(AllMusters26!$F$15:$F$108),"2")</f>
        <v>3</v>
      </c>
      <c r="AP38" s="31">
        <f>COUNTIFS(AllMusters26!$AR$15:$AR$108,"I",(AllMusters26!$F$15:$F$108),"3")</f>
        <v>2</v>
      </c>
      <c r="AQ38" s="39">
        <f>COUNTIFS(AllMusters26!$AR$15:$AR$108,"I",(AllMusters26!$F$15:$F$108),"4")</f>
        <v>0</v>
      </c>
      <c r="AR38" s="31">
        <f>COUNTIFS(AllMusters26!$AR$15:$AR$108,"I",(AllMusters26!$F$15:$F$108),"5")</f>
        <v>0</v>
      </c>
      <c r="AS38" s="39">
        <f>COUNTIFS(AllMusters26!$AR$15:$AR$108,"I",(AllMusters26!$F$15:$F$108),"6")</f>
        <v>0</v>
      </c>
      <c r="AT38" s="31">
        <f>COUNTIFS(AllMusters26!$AR$15:$AR$108,"I",(AllMusters26!$F$15:$F$108),"7")</f>
        <v>0</v>
      </c>
      <c r="AU38" s="39">
        <f>COUNTIFS(AllMusters26!$AR$15:$AR$108,"I",(AllMusters26!$F$15:$F$108),"8")</f>
        <v>0</v>
      </c>
      <c r="AV38" s="31">
        <f>COUNTIFS(AllMusters26!$AR$15:$AR$108,"I",(AllMusters26!$F$15:$F$108),"9")</f>
        <v>0</v>
      </c>
      <c r="AW38" s="22">
        <f>COUNTIFS(AllMusters26!$AR$15:$AR$108,"I",(AllMusters26!$F$15:$F$108),"10")</f>
        <v>0</v>
      </c>
      <c r="AX38" s="31">
        <f>COUNTIFS(AllMusters26!$AR$15:$AR$108,"I",(AllMusters26!$F$15:$F$108),"11")</f>
        <v>0</v>
      </c>
      <c r="AY38" s="22">
        <f>COUNTIFS(AllMusters26!$AR$15:$AR$108,"I",(AllMusters26!$F$15:$F$108),"12")</f>
        <v>0</v>
      </c>
      <c r="AZ38" s="21">
        <f t="shared" si="1"/>
        <v>8</v>
      </c>
      <c r="BA38" s="32">
        <f t="shared" si="2"/>
        <v>0.8</v>
      </c>
      <c r="BB38" s="12">
        <f t="shared" si="3"/>
        <v>18</v>
      </c>
      <c r="BC38" s="26">
        <f>(SUM($AZ38,$X38))/SUM($AZ$1,$T$1:$W$1)</f>
        <v>0.69230769230769229</v>
      </c>
    </row>
    <row r="39" spans="1:55" x14ac:dyDescent="0.25">
      <c r="A39" s="17" t="s">
        <v>60</v>
      </c>
      <c r="B39" s="50"/>
      <c r="C39" s="50"/>
      <c r="D39" s="50"/>
      <c r="E39" s="57"/>
      <c r="F39" s="50"/>
      <c r="G39" s="58"/>
      <c r="H39" s="50"/>
      <c r="I39" s="57"/>
      <c r="J39" s="52"/>
      <c r="K39" s="32"/>
      <c r="L39" s="50"/>
      <c r="M39" s="50"/>
      <c r="N39" s="50" t="s">
        <v>58</v>
      </c>
      <c r="O39" s="50"/>
      <c r="P39" s="50"/>
      <c r="Q39" s="50"/>
      <c r="R39" s="50"/>
      <c r="S39" s="57"/>
      <c r="T39" s="50"/>
      <c r="U39" s="22">
        <v>2</v>
      </c>
      <c r="V39" s="31">
        <v>3</v>
      </c>
      <c r="W39" s="22">
        <v>2</v>
      </c>
      <c r="X39" s="21">
        <v>7</v>
      </c>
      <c r="Y39" s="32">
        <v>0.14000000000000001</v>
      </c>
      <c r="Z39" s="31">
        <v>2</v>
      </c>
      <c r="AA39" s="39">
        <v>4</v>
      </c>
      <c r="AB39" s="31">
        <v>5</v>
      </c>
      <c r="AC39" s="39">
        <v>4</v>
      </c>
      <c r="AD39" s="31">
        <v>3</v>
      </c>
      <c r="AE39" s="39">
        <v>3</v>
      </c>
      <c r="AF39" s="31">
        <v>4</v>
      </c>
      <c r="AG39" s="39">
        <v>4</v>
      </c>
      <c r="AH39" s="31">
        <v>5</v>
      </c>
      <c r="AI39" s="22">
        <v>4</v>
      </c>
      <c r="AJ39" s="31">
        <v>2</v>
      </c>
      <c r="AK39" s="22">
        <v>1</v>
      </c>
      <c r="AL39" s="21">
        <v>41</v>
      </c>
      <c r="AM39" s="32">
        <v>0.83673469387755106</v>
      </c>
      <c r="AN39" s="31">
        <f>COUNTIFS(AllMusters26!$AS$15:$AS$108,"I",(AllMusters26!$F$15:$F$108),"1")</f>
        <v>3</v>
      </c>
      <c r="AO39" s="39">
        <f>COUNTIFS(AllMusters26!$AS$15:$AS$108,"I",(AllMusters26!$F$15:$F$108),"2")</f>
        <v>4</v>
      </c>
      <c r="AP39" s="31">
        <f>COUNTIFS(AllMusters26!$AS$15:$AS$108,"I",(AllMusters26!$F$15:$F$108),"3")</f>
        <v>2</v>
      </c>
      <c r="AQ39" s="39">
        <f>COUNTIFS(AllMusters26!$AS$15:$AS$108,"I",(AllMusters26!$F$15:$F$108),"4")</f>
        <v>0</v>
      </c>
      <c r="AR39" s="31">
        <f>COUNTIFS(AllMusters26!$AS$15:$AS$108,"I",(AllMusters26!$F$15:$F$108),"5")</f>
        <v>0</v>
      </c>
      <c r="AS39" s="39">
        <f>COUNTIFS(AllMusters26!$AS$15:$AS$108,"I",(AllMusters26!$F$15:$F$108),"6")</f>
        <v>0</v>
      </c>
      <c r="AT39" s="31">
        <f>COUNTIFS(AllMusters26!$AS$15:$AS$108,"I",(AllMusters26!$F$15:$F$108),"7")</f>
        <v>0</v>
      </c>
      <c r="AU39" s="39">
        <f>COUNTIFS(AllMusters26!$AS$15:$AS$108,"I",(AllMusters26!$F$15:$F$108),"8")</f>
        <v>0</v>
      </c>
      <c r="AV39" s="31">
        <f>COUNTIFS(AllMusters26!$AS$15:$AS$108,"I",(AllMusters26!$F$15:$F$108),"9")</f>
        <v>0</v>
      </c>
      <c r="AW39" s="22">
        <f>COUNTIFS(AllMusters26!$AS$15:$AS$108,"I",(AllMusters26!$F$15:$F$108),"10")</f>
        <v>0</v>
      </c>
      <c r="AX39" s="31">
        <f>COUNTIFS(AllMusters26!$AS$15:$AS$108,"I",(AllMusters26!$F$15:$F$108),"11")</f>
        <v>0</v>
      </c>
      <c r="AY39" s="22">
        <f>COUNTIFS(AllMusters26!$AS$15:$AS$108,"I",(AllMusters26!$F$15:$F$108),"12")</f>
        <v>0</v>
      </c>
      <c r="AZ39" s="21">
        <f t="shared" si="1"/>
        <v>9</v>
      </c>
      <c r="BA39" s="32">
        <f t="shared" si="2"/>
        <v>0.9</v>
      </c>
      <c r="BB39" s="12">
        <f t="shared" si="3"/>
        <v>16</v>
      </c>
      <c r="BC39" s="26">
        <f t="shared" ref="BC39:BC40" si="14">(SUM($AZ39,$X39))/SUM($AZ$1,$T$1:$W$1)</f>
        <v>0.61538461538461542</v>
      </c>
    </row>
    <row r="40" spans="1:55" x14ac:dyDescent="0.25">
      <c r="A40" s="17" t="s">
        <v>61</v>
      </c>
      <c r="B40" s="50"/>
      <c r="C40" s="50"/>
      <c r="D40" s="50"/>
      <c r="E40" s="57"/>
      <c r="F40" s="50"/>
      <c r="G40" s="58"/>
      <c r="H40" s="50"/>
      <c r="I40" s="57"/>
      <c r="J40" s="52"/>
      <c r="K40" s="32"/>
      <c r="L40" s="50"/>
      <c r="M40" s="50"/>
      <c r="N40" s="50" t="s">
        <v>58</v>
      </c>
      <c r="O40" s="50"/>
      <c r="P40" s="50"/>
      <c r="Q40" s="50"/>
      <c r="R40" s="50"/>
      <c r="S40" s="57"/>
      <c r="T40" s="50"/>
      <c r="U40" s="22">
        <v>2</v>
      </c>
      <c r="V40" s="31">
        <v>4</v>
      </c>
      <c r="W40" s="22">
        <v>2</v>
      </c>
      <c r="X40" s="21">
        <v>8</v>
      </c>
      <c r="Y40" s="32">
        <v>0.16</v>
      </c>
      <c r="Z40" s="31">
        <v>2</v>
      </c>
      <c r="AA40" s="22">
        <v>4</v>
      </c>
      <c r="AB40" s="31">
        <v>5</v>
      </c>
      <c r="AC40" s="22">
        <v>4</v>
      </c>
      <c r="AD40" s="31">
        <v>3</v>
      </c>
      <c r="AE40" s="22">
        <v>3</v>
      </c>
      <c r="AF40" s="31">
        <v>2</v>
      </c>
      <c r="AG40" s="39">
        <v>3</v>
      </c>
      <c r="AH40" s="31">
        <v>3</v>
      </c>
      <c r="AI40" s="22">
        <v>3</v>
      </c>
      <c r="AJ40" s="31">
        <v>3</v>
      </c>
      <c r="AK40" s="22">
        <v>3</v>
      </c>
      <c r="AL40" s="21">
        <v>38</v>
      </c>
      <c r="AM40" s="32">
        <v>0.77551020408163263</v>
      </c>
      <c r="AN40" s="31">
        <f>COUNTIFS(AllMusters26!$AT$15:$AT$108,"I",(AllMusters26!$F$15:$F$108),"1")</f>
        <v>2</v>
      </c>
      <c r="AO40" s="22">
        <f>COUNTIFS(AllMusters26!$AT$15:$AT$108,"I",(AllMusters26!$F$15:$F$108),"2")</f>
        <v>3</v>
      </c>
      <c r="AP40" s="31">
        <f>COUNTIFS(AllMusters26!$AT$15:$AT$108,"I",(AllMusters26!$F$15:$F$108),"3")</f>
        <v>2</v>
      </c>
      <c r="AQ40" s="22">
        <f>COUNTIFS(AllMusters26!$AT$15:$AT$108,"I",(AllMusters26!$F$15:$F$108),"4")</f>
        <v>0</v>
      </c>
      <c r="AR40" s="31">
        <f>COUNTIFS(AllMusters26!$AT$15:$AT$108,"I",(AllMusters26!$F$15:$F$108),"5")</f>
        <v>0</v>
      </c>
      <c r="AS40" s="22">
        <f>COUNTIFS(AllMusters26!$AT$15:$AT$108,"I",(AllMusters26!$F$15:$F$108),"6")</f>
        <v>0</v>
      </c>
      <c r="AT40" s="31">
        <f>COUNTIFS(AllMusters26!$AT$15:$AT$108,"I",(AllMusters26!$F$15:$F$108),"7")</f>
        <v>0</v>
      </c>
      <c r="AU40" s="39">
        <f>COUNTIFS(AllMusters26!$AT$15:$AT$108,"I",(AllMusters26!$F$15:$F$108),"8")</f>
        <v>0</v>
      </c>
      <c r="AV40" s="31">
        <f>COUNTIFS(AllMusters26!$AT$15:$AT$108,"I",(AllMusters26!$F$15:$F$108),"9")</f>
        <v>0</v>
      </c>
      <c r="AW40" s="22">
        <f>COUNTIFS(AllMusters26!$AT$15:$AT$108,"I",(AllMusters26!$F$15:$F$108),"10")</f>
        <v>0</v>
      </c>
      <c r="AX40" s="31">
        <f>COUNTIFS(AllMusters26!$AT$15:$AT$108,"I",(AllMusters26!$F$15:$F$108),"11")</f>
        <v>0</v>
      </c>
      <c r="AY40" s="22">
        <f>COUNTIFS(AllMusters26!$AT$15:$AT$108,"I",(AllMusters26!$F$15:$F$108),"12")</f>
        <v>0</v>
      </c>
      <c r="AZ40" s="21">
        <f t="shared" si="1"/>
        <v>7</v>
      </c>
      <c r="BA40" s="32">
        <f t="shared" si="2"/>
        <v>0.7</v>
      </c>
      <c r="BB40" s="12">
        <f t="shared" si="3"/>
        <v>15</v>
      </c>
      <c r="BC40" s="26">
        <f t="shared" si="14"/>
        <v>0.57692307692307687</v>
      </c>
    </row>
    <row r="41" spans="1:55" x14ac:dyDescent="0.25">
      <c r="A41" s="30" t="s">
        <v>62</v>
      </c>
      <c r="B41" s="50"/>
      <c r="C41" s="50"/>
      <c r="D41" s="50"/>
      <c r="E41" s="57"/>
      <c r="F41" s="50"/>
      <c r="G41" s="58"/>
      <c r="H41" s="31">
        <v>4</v>
      </c>
      <c r="I41" s="39">
        <v>2</v>
      </c>
      <c r="J41" s="21">
        <f>SUM(B41:I41)</f>
        <v>6</v>
      </c>
      <c r="K41" s="32">
        <v>0.42857142857142855</v>
      </c>
      <c r="L41" s="31">
        <v>3</v>
      </c>
      <c r="M41" s="39">
        <v>4</v>
      </c>
      <c r="N41" s="31">
        <v>4</v>
      </c>
      <c r="O41" s="39">
        <v>2</v>
      </c>
      <c r="P41" s="31">
        <v>2</v>
      </c>
      <c r="Q41" s="154">
        <v>0</v>
      </c>
      <c r="R41" s="155">
        <v>0</v>
      </c>
      <c r="S41" s="154">
        <v>0</v>
      </c>
      <c r="T41" s="155">
        <v>0</v>
      </c>
      <c r="U41" s="29">
        <v>0</v>
      </c>
      <c r="V41" s="31">
        <v>2</v>
      </c>
      <c r="W41" s="22">
        <v>0</v>
      </c>
      <c r="X41" s="21">
        <v>11</v>
      </c>
      <c r="Y41" s="32">
        <v>0.21249999999999999</v>
      </c>
      <c r="Z41" s="31">
        <v>1</v>
      </c>
      <c r="AA41" s="22">
        <v>3</v>
      </c>
      <c r="AB41" s="31">
        <v>3</v>
      </c>
      <c r="AC41" s="22">
        <v>2</v>
      </c>
      <c r="AD41" s="31">
        <v>3</v>
      </c>
      <c r="AE41" s="22">
        <v>4</v>
      </c>
      <c r="AF41" s="155">
        <v>0</v>
      </c>
      <c r="AG41" s="154">
        <v>0</v>
      </c>
      <c r="AH41" s="155">
        <v>0</v>
      </c>
      <c r="AI41" s="29">
        <v>0</v>
      </c>
      <c r="AJ41" s="155">
        <v>0</v>
      </c>
      <c r="AK41" s="29">
        <v>0</v>
      </c>
      <c r="AL41" s="21">
        <v>16</v>
      </c>
      <c r="AM41" s="32">
        <v>0.32653061224489793</v>
      </c>
      <c r="AN41" s="155">
        <f>COUNTIFS(AllMusters26!$AU$15:$AU$108,"I",(AllMusters26!$F$15:$F$108),"1")</f>
        <v>0</v>
      </c>
      <c r="AO41" s="29">
        <f>COUNTIFS(AllMusters26!$AU$15:$AU$108,"I",(AllMusters26!$F$15:$F$108),"2")</f>
        <v>0</v>
      </c>
      <c r="AP41" s="155">
        <f>COUNTIFS(AllMusters26!$AU$15:$AU$108,"I",(AllMusters26!$F$15:$F$108),"3")</f>
        <v>0</v>
      </c>
      <c r="AQ41" s="29">
        <f>COUNTIFS(AllMusters26!$AU$15:$AU$108,"I",(AllMusters26!$F$15:$F$108),"4")</f>
        <v>0</v>
      </c>
      <c r="AR41" s="155">
        <f>COUNTIFS(AllMusters26!$AU$15:$AU$108,"I",(AllMusters26!$F$15:$F$108),"5")</f>
        <v>0</v>
      </c>
      <c r="AS41" s="22">
        <f>COUNTIFS(AllMusters26!$AU$15:$AU$108,"I",(AllMusters26!$F$15:$F$108),"6")</f>
        <v>0</v>
      </c>
      <c r="AT41" s="31">
        <f>COUNTIFS(AllMusters26!$AU$15:$AU$108,"I",(AllMusters26!$F$15:$F$108),"7")</f>
        <v>0</v>
      </c>
      <c r="AU41" s="39">
        <f>COUNTIFS(AllMusters26!$AU$15:$AU$108,"I",(AllMusters26!$F$15:$F$108),"8")</f>
        <v>0</v>
      </c>
      <c r="AV41" s="31">
        <f>COUNTIFS(AllMusters26!$AU$15:$AU$108,"I",(AllMusters26!$F$15:$F$108),"9")</f>
        <v>0</v>
      </c>
      <c r="AW41" s="22">
        <f>COUNTIFS(AllMusters26!$AU$15:$AU$108,"I",(AllMusters26!$F$15:$F$108),"10")</f>
        <v>0</v>
      </c>
      <c r="AX41" s="31">
        <f>COUNTIFS(AllMusters26!$AU$15:$AU$108,"I",(AllMusters26!$F$15:$F$108),"11")</f>
        <v>0</v>
      </c>
      <c r="AY41" s="22">
        <f>COUNTIFS(AllMusters26!$AU$15:$AU$108,"I",(AllMusters26!$F$15:$F$108),"12")</f>
        <v>0</v>
      </c>
      <c r="AZ41" s="21">
        <f t="shared" si="1"/>
        <v>0</v>
      </c>
      <c r="BA41" s="32">
        <f t="shared" si="2"/>
        <v>0</v>
      </c>
      <c r="BB41" s="12">
        <f t="shared" ref="BB41" si="15">SUM(J41,X41,AZ41)</f>
        <v>17</v>
      </c>
      <c r="BC41" s="26">
        <f t="shared" ref="BC41" si="16">(SUM(BB41))/SUM($BB$2)</f>
        <v>0.18888888888888888</v>
      </c>
    </row>
    <row r="42" spans="1:55" x14ac:dyDescent="0.25">
      <c r="A42" s="17" t="s">
        <v>63</v>
      </c>
      <c r="B42" s="50"/>
      <c r="C42" s="50"/>
      <c r="D42" s="50"/>
      <c r="E42" s="57"/>
      <c r="F42" s="50"/>
      <c r="G42" s="58"/>
      <c r="H42" s="50"/>
      <c r="I42" s="57"/>
      <c r="J42" s="52"/>
      <c r="K42" s="32"/>
      <c r="L42" s="50"/>
      <c r="M42" s="50"/>
      <c r="N42" s="50"/>
      <c r="O42" s="50"/>
      <c r="P42" s="50"/>
      <c r="Q42" s="50"/>
      <c r="R42" s="50"/>
      <c r="S42" s="57"/>
      <c r="T42" s="50"/>
      <c r="U42" s="51"/>
      <c r="V42" s="50"/>
      <c r="W42" s="51"/>
      <c r="X42" s="52"/>
      <c r="Y42" s="138"/>
      <c r="Z42" s="50"/>
      <c r="AA42" s="51"/>
      <c r="AB42" s="50"/>
      <c r="AC42" s="51"/>
      <c r="AD42" s="31">
        <v>3</v>
      </c>
      <c r="AE42" s="22">
        <v>5</v>
      </c>
      <c r="AF42" s="31">
        <v>3</v>
      </c>
      <c r="AG42" s="39">
        <v>4</v>
      </c>
      <c r="AH42" s="31">
        <v>5</v>
      </c>
      <c r="AI42" s="22">
        <v>4</v>
      </c>
      <c r="AJ42" s="31">
        <v>4</v>
      </c>
      <c r="AK42" s="22">
        <v>3</v>
      </c>
      <c r="AL42" s="21">
        <v>31</v>
      </c>
      <c r="AM42" s="32">
        <v>0.93939393939393945</v>
      </c>
      <c r="AN42" s="31">
        <f>COUNTIFS(AllMusters26!$AV$15:$AV$108,"I",(AllMusters26!$F$15:$F$108),"1")</f>
        <v>3</v>
      </c>
      <c r="AO42" s="22">
        <f>COUNTIFS(AllMusters26!$AV$15:$AV$108,"I",(AllMusters26!$F$15:$F$108),"2")</f>
        <v>3</v>
      </c>
      <c r="AP42" s="31">
        <f>COUNTIFS(AllMusters26!$AV$15:$AV$108,"I",(AllMusters26!$F$15:$F$108),"3")</f>
        <v>2</v>
      </c>
      <c r="AQ42" s="22">
        <f>COUNTIFS(AllMusters26!$AV$15:$AV$108,"I",(AllMusters26!$F$15:$F$108),"4")</f>
        <v>0</v>
      </c>
      <c r="AR42" s="31">
        <f>COUNTIFS(AllMusters26!$AV$15:$AV$108,"I",(AllMusters26!$F$15:$F$108),"5")</f>
        <v>0</v>
      </c>
      <c r="AS42" s="22">
        <f>COUNTIFS(AllMusters26!$AV$15:$AV$108,"I",(AllMusters26!$F$15:$F$108),"6")</f>
        <v>0</v>
      </c>
      <c r="AT42" s="31">
        <f>COUNTIFS(AllMusters26!$AV$15:$AV$108,"I",(AllMusters26!$F$15:$F$108),"7")</f>
        <v>0</v>
      </c>
      <c r="AU42" s="39">
        <f>COUNTIFS(AllMusters26!$AV$15:$AV$108,"I",(AllMusters26!$F$15:$F$108),"8")</f>
        <v>0</v>
      </c>
      <c r="AV42" s="31">
        <f>COUNTIFS(AllMusters26!$AV$15:$AV$108,"I",(AllMusters26!$F$15:$F$108),"9")</f>
        <v>0</v>
      </c>
      <c r="AW42" s="22">
        <f>COUNTIFS(AllMusters26!$AV$15:$AV$108,"I",(AllMusters26!$F$15:$F$108),"10")</f>
        <v>0</v>
      </c>
      <c r="AX42" s="31">
        <f>COUNTIFS(AllMusters26!$AV$15:$AV$108,"I",(AllMusters26!$F$15:$F$108),"11")</f>
        <v>0</v>
      </c>
      <c r="AY42" s="22">
        <f>COUNTIFS(AllMusters26!$AV$15:$AV$108,"I",(AllMusters26!$F$15:$F$108),"12")</f>
        <v>0</v>
      </c>
      <c r="AZ42" s="21">
        <f t="shared" si="1"/>
        <v>8</v>
      </c>
      <c r="BA42" s="32">
        <f t="shared" si="2"/>
        <v>0.8</v>
      </c>
      <c r="BB42" s="12">
        <f>SUM(AL42,AZ42)</f>
        <v>39</v>
      </c>
      <c r="BC42" s="26">
        <f>(SUM(BB42))/SUM($AZ$1,AD1:AK1)</f>
        <v>0.90697674418604646</v>
      </c>
    </row>
    <row r="43" spans="1:55" x14ac:dyDescent="0.25">
      <c r="A43" s="17" t="s">
        <v>64</v>
      </c>
      <c r="B43" s="50"/>
      <c r="C43" s="50"/>
      <c r="D43" s="50"/>
      <c r="E43" s="57"/>
      <c r="F43" s="50"/>
      <c r="G43" s="58"/>
      <c r="H43" s="50"/>
      <c r="I43" s="57"/>
      <c r="J43" s="52"/>
      <c r="K43" s="32"/>
      <c r="L43" s="50"/>
      <c r="M43" s="50"/>
      <c r="N43" s="50"/>
      <c r="O43" s="50"/>
      <c r="P43" s="50"/>
      <c r="Q43" s="50"/>
      <c r="R43" s="50"/>
      <c r="S43" s="57"/>
      <c r="T43" s="50"/>
      <c r="U43" s="51"/>
      <c r="V43" s="50"/>
      <c r="W43" s="51"/>
      <c r="X43" s="52"/>
      <c r="Y43" s="138"/>
      <c r="Z43" s="50"/>
      <c r="AA43" s="51"/>
      <c r="AB43" s="50"/>
      <c r="AC43" s="51"/>
      <c r="AD43" s="50"/>
      <c r="AE43" s="51"/>
      <c r="AF43" s="50"/>
      <c r="AG43" s="57"/>
      <c r="AH43" s="31">
        <v>3</v>
      </c>
      <c r="AI43" s="22">
        <v>4</v>
      </c>
      <c r="AJ43" s="31">
        <v>2</v>
      </c>
      <c r="AK43" s="22">
        <v>3</v>
      </c>
      <c r="AL43" s="21">
        <v>12</v>
      </c>
      <c r="AM43" s="32">
        <v>0.75</v>
      </c>
      <c r="AN43" s="31">
        <f>COUNTIFS(AllMusters26!$AW$15:$AW$108,"I",(AllMusters26!$F$15:$F$108),"1")</f>
        <v>3</v>
      </c>
      <c r="AO43" s="22">
        <f>COUNTIFS(AllMusters26!$AW$15:$AW$108,"I",(AllMusters26!$F$15:$F$108),"2")</f>
        <v>2</v>
      </c>
      <c r="AP43" s="31">
        <f>COUNTIFS(AllMusters26!$AW$15:$AW$108,"I",(AllMusters26!$F$15:$F$108),"3")</f>
        <v>1</v>
      </c>
      <c r="AQ43" s="22">
        <f>COUNTIFS(AllMusters26!$AW$15:$AW$108,"I",(AllMusters26!$F$15:$F$108),"4")</f>
        <v>0</v>
      </c>
      <c r="AR43" s="31">
        <f>COUNTIFS(AllMusters26!$AW$15:$AW$108,"I",(AllMusters26!$F$15:$F$108),"5")</f>
        <v>0</v>
      </c>
      <c r="AS43" s="22">
        <f>COUNTIFS(AllMusters26!$AW$15:$AW$108,"I",(AllMusters26!$F$15:$F$108),"6")</f>
        <v>0</v>
      </c>
      <c r="AT43" s="31">
        <f>COUNTIFS(AllMusters26!$AW$15:$AW$108,"I",(AllMusters26!$F$15:$F$108),"7")</f>
        <v>0</v>
      </c>
      <c r="AU43" s="39">
        <f>COUNTIFS(AllMusters26!$AW$15:$AW$108,"I",(AllMusters26!$F$15:$F$108),"8")</f>
        <v>0</v>
      </c>
      <c r="AV43" s="31">
        <f>COUNTIFS(AllMusters26!$AW$15:$AW$108,"I",(AllMusters26!$F$15:$F$108),"9")</f>
        <v>0</v>
      </c>
      <c r="AW43" s="22">
        <f>COUNTIFS(AllMusters26!$AW$15:$AW$108,"I",(AllMusters26!$F$15:$F$108),"10")</f>
        <v>0</v>
      </c>
      <c r="AX43" s="31">
        <f>COUNTIFS(AllMusters26!$AW$15:$AW$108,"I",(AllMusters26!$F$15:$F$108),"11")</f>
        <v>0</v>
      </c>
      <c r="AY43" s="22">
        <f>COUNTIFS(AllMusters26!$AW$15:$AW$108,"I",(AllMusters26!$F$15:$F$108),"12")</f>
        <v>0</v>
      </c>
      <c r="AZ43" s="21">
        <f t="shared" si="1"/>
        <v>6</v>
      </c>
      <c r="BA43" s="32">
        <f t="shared" si="2"/>
        <v>0.6</v>
      </c>
      <c r="BB43" s="12">
        <f>SUM(AL43,AZ43)</f>
        <v>18</v>
      </c>
      <c r="BC43" s="26">
        <f>(SUM(BB43))/SUM($AZ$1,AH1:AK1)</f>
        <v>0.69230769230769229</v>
      </c>
    </row>
    <row r="44" spans="1:55" x14ac:dyDescent="0.25">
      <c r="A44" s="17" t="s">
        <v>65</v>
      </c>
      <c r="B44" s="50"/>
      <c r="C44" s="50"/>
      <c r="D44" s="50"/>
      <c r="E44" s="57"/>
      <c r="F44" s="50"/>
      <c r="G44" s="58"/>
      <c r="H44" s="50"/>
      <c r="I44" s="57"/>
      <c r="J44" s="52"/>
      <c r="K44" s="32"/>
      <c r="L44" s="50"/>
      <c r="M44" s="50"/>
      <c r="N44" s="50"/>
      <c r="O44" s="50"/>
      <c r="P44" s="50"/>
      <c r="Q44" s="50"/>
      <c r="R44" s="50"/>
      <c r="S44" s="57"/>
      <c r="T44" s="50"/>
      <c r="U44" s="51"/>
      <c r="V44" s="50"/>
      <c r="W44" s="51"/>
      <c r="X44" s="52"/>
      <c r="Y44" s="138"/>
      <c r="Z44" s="50"/>
      <c r="AA44" s="51"/>
      <c r="AB44" s="50"/>
      <c r="AC44" s="51"/>
      <c r="AD44" s="50"/>
      <c r="AE44" s="51"/>
      <c r="AF44" s="50"/>
      <c r="AG44" s="57"/>
      <c r="AH44" s="31">
        <v>3</v>
      </c>
      <c r="AI44" s="22">
        <v>2</v>
      </c>
      <c r="AJ44" s="31">
        <v>4</v>
      </c>
      <c r="AK44" s="22">
        <v>3</v>
      </c>
      <c r="AL44" s="21">
        <v>12</v>
      </c>
      <c r="AM44" s="32">
        <v>0.75</v>
      </c>
      <c r="AN44" s="31">
        <f>COUNTIFS(AllMusters26!$AX$15:$AX$108,"I",(AllMusters26!$F$15:$F$108),"1")</f>
        <v>2</v>
      </c>
      <c r="AO44" s="22">
        <f>COUNTIFS(AllMusters26!$AX$15:$AX$108,"I",(AllMusters26!$F$15:$F$108),"2")</f>
        <v>4</v>
      </c>
      <c r="AP44" s="31">
        <f>COUNTIFS(AllMusters26!$AX$15:$AX$108,"I",(AllMusters26!$F$15:$F$108),"3")</f>
        <v>1</v>
      </c>
      <c r="AQ44" s="22">
        <f>COUNTIFS(AllMusters26!$AX$15:$AX$108,"I",(AllMusters26!$F$15:$F$108),"4")</f>
        <v>0</v>
      </c>
      <c r="AR44" s="31">
        <f>COUNTIFS(AllMusters26!$AX$15:$AX$108,"I",(AllMusters26!$F$15:$F$108),"5")</f>
        <v>0</v>
      </c>
      <c r="AS44" s="22">
        <f>COUNTIFS(AllMusters26!$AX$15:$AX$108,"I",(AllMusters26!$F$15:$F$108),"6")</f>
        <v>0</v>
      </c>
      <c r="AT44" s="31">
        <f>COUNTIFS(AllMusters26!$AX$15:$AX$108,"I",(AllMusters26!$F$15:$F$108),"7")</f>
        <v>0</v>
      </c>
      <c r="AU44" s="39">
        <f>COUNTIFS(AllMusters26!$AX$15:$AX$108,"I",(AllMusters26!$F$15:$F$108),"8")</f>
        <v>0</v>
      </c>
      <c r="AV44" s="31">
        <f>COUNTIFS(AllMusters26!$AX$15:$AX$108,"I",(AllMusters26!$F$15:$F$108),"9")</f>
        <v>0</v>
      </c>
      <c r="AW44" s="22">
        <f>COUNTIFS(AllMusters26!$AX$15:$AX$108,"I",(AllMusters26!$F$15:$F$108),"10")</f>
        <v>0</v>
      </c>
      <c r="AX44" s="31">
        <f>COUNTIFS(AllMusters26!$AX$15:$AX$108,"I",(AllMusters26!$F$15:$F$108),"11")</f>
        <v>0</v>
      </c>
      <c r="AY44" s="22">
        <f>COUNTIFS(AllMusters26!$AX$15:$AX$108,"I",(AllMusters26!$F$15:$F$108),"12")</f>
        <v>0</v>
      </c>
      <c r="AZ44" s="21">
        <f t="shared" si="1"/>
        <v>7</v>
      </c>
      <c r="BA44" s="32">
        <f t="shared" si="2"/>
        <v>0.7</v>
      </c>
      <c r="BB44" s="12">
        <f>SUM(AL44,AZ44)</f>
        <v>19</v>
      </c>
      <c r="BC44" s="26">
        <f>(SUM(BB44))/SUM($AZ$1,AG1:AK1)</f>
        <v>0.6333333333333333</v>
      </c>
    </row>
    <row r="45" spans="1:55" x14ac:dyDescent="0.25">
      <c r="A45" s="156" t="s">
        <v>66</v>
      </c>
      <c r="B45" s="50"/>
      <c r="C45" s="50"/>
      <c r="D45" s="50"/>
      <c r="E45" s="57"/>
      <c r="F45" s="50"/>
      <c r="G45" s="58"/>
      <c r="H45" s="50"/>
      <c r="I45" s="57"/>
      <c r="J45" s="52"/>
      <c r="K45" s="32"/>
      <c r="L45" s="50"/>
      <c r="M45" s="50"/>
      <c r="N45" s="50"/>
      <c r="O45" s="50"/>
      <c r="P45" s="50"/>
      <c r="Q45" s="50"/>
      <c r="R45" s="50"/>
      <c r="S45" s="57"/>
      <c r="T45" s="50"/>
      <c r="U45" s="51"/>
      <c r="V45" s="50"/>
      <c r="W45" s="51"/>
      <c r="X45" s="52"/>
      <c r="Y45" s="138"/>
      <c r="Z45" s="50"/>
      <c r="AA45" s="51"/>
      <c r="AB45" s="50"/>
      <c r="AC45" s="51"/>
      <c r="AD45" s="50"/>
      <c r="AE45" s="51"/>
      <c r="AF45" s="50"/>
      <c r="AG45" s="57"/>
      <c r="AH45" s="50"/>
      <c r="AI45" s="57"/>
      <c r="AJ45" s="31">
        <v>2</v>
      </c>
      <c r="AK45" s="22">
        <v>3</v>
      </c>
      <c r="AL45" s="21">
        <v>5</v>
      </c>
      <c r="AM45" s="32">
        <v>0.3125</v>
      </c>
      <c r="AN45" s="31">
        <f>COUNTIFS(AllMusters26!$AY$15:$AY$108,"I",(AllMusters26!$F$15:$F$108),"1")</f>
        <v>3</v>
      </c>
      <c r="AO45" s="22">
        <f>COUNTIFS(AllMusters26!$AY$15:$AY$108,"I",(AllMusters26!$F$15:$F$108),"2")</f>
        <v>4</v>
      </c>
      <c r="AP45" s="31">
        <f>COUNTIFS(AllMusters26!$AY$15:$AY$108,"I",(AllMusters26!$F$15:$F$108),"3")</f>
        <v>2</v>
      </c>
      <c r="AQ45" s="22">
        <f>COUNTIFS(AllMusters26!$AY$15:$AY$108,"I",(AllMusters26!$F$15:$F$108),"4")</f>
        <v>0</v>
      </c>
      <c r="AR45" s="31">
        <f>COUNTIFS(AllMusters26!$AY$15:$AY$108,"I",(AllMusters26!$F$15:$F$108),"5")</f>
        <v>0</v>
      </c>
      <c r="AS45" s="22">
        <f>COUNTIFS(AllMusters26!$AY$15:$AY$108,"I",(AllMusters26!$F$15:$F$108),"6")</f>
        <v>0</v>
      </c>
      <c r="AT45" s="31">
        <f>COUNTIFS(AllMusters26!$AY$15:$AY$108,"I",(AllMusters26!$F$15:$F$108),"7")</f>
        <v>0</v>
      </c>
      <c r="AU45" s="39">
        <f>COUNTIFS(AllMusters26!$AY$15:$AY$108,"I",(AllMusters26!$F$15:$F$108),"8")</f>
        <v>0</v>
      </c>
      <c r="AV45" s="31">
        <f>COUNTIFS(AllMusters26!$AY$15:$AY$108,"I",(AllMusters26!$F$15:$F$108),"9")</f>
        <v>0</v>
      </c>
      <c r="AW45" s="22">
        <f>COUNTIFS(AllMusters26!$AY$15:$AY$108,"I",(AllMusters26!$F$15:$F$108),"10")</f>
        <v>0</v>
      </c>
      <c r="AX45" s="31">
        <f>COUNTIFS(AllMusters26!$AY$15:$AY$108,"I",(AllMusters26!$F$15:$F$108),"11")</f>
        <v>0</v>
      </c>
      <c r="AY45" s="22">
        <f>COUNTIFS(AllMusters26!$AY$15:$AY$108,"I",(AllMusters26!$F$15:$F$108),"12")</f>
        <v>0</v>
      </c>
      <c r="AZ45" s="21">
        <f t="shared" si="1"/>
        <v>9</v>
      </c>
      <c r="BA45" s="32">
        <f t="shared" si="2"/>
        <v>0.9</v>
      </c>
      <c r="BB45" s="12">
        <f t="shared" ref="BB45:BB46" si="17">SUM(AL45,AZ45)</f>
        <v>14</v>
      </c>
      <c r="BC45" s="26">
        <f>(SUM(BB45))/SUM($AZ$1,AJ1:AK1)</f>
        <v>0.82352941176470584</v>
      </c>
    </row>
    <row r="46" spans="1:55" x14ac:dyDescent="0.25">
      <c r="A46" s="156" t="s">
        <v>75</v>
      </c>
      <c r="B46" s="21">
        <v>2</v>
      </c>
      <c r="C46" s="22">
        <v>2</v>
      </c>
      <c r="D46" s="21">
        <v>3</v>
      </c>
      <c r="E46" s="22">
        <v>3</v>
      </c>
      <c r="F46" s="21">
        <v>1</v>
      </c>
      <c r="G46" s="22">
        <v>4</v>
      </c>
      <c r="H46" s="21">
        <v>3</v>
      </c>
      <c r="I46" s="22">
        <v>2</v>
      </c>
      <c r="J46" s="21">
        <v>20</v>
      </c>
      <c r="K46" s="32">
        <v>0.67</v>
      </c>
      <c r="L46" s="157">
        <v>1</v>
      </c>
      <c r="M46" s="158">
        <v>2</v>
      </c>
      <c r="N46" s="157">
        <v>2</v>
      </c>
      <c r="O46" s="158">
        <v>1</v>
      </c>
      <c r="P46" s="157">
        <v>2</v>
      </c>
      <c r="Q46" s="158">
        <v>2</v>
      </c>
      <c r="R46" s="157">
        <v>1</v>
      </c>
      <c r="S46" s="158">
        <v>0</v>
      </c>
      <c r="T46" s="50"/>
      <c r="U46" s="51"/>
      <c r="V46" s="50"/>
      <c r="W46" s="51"/>
      <c r="X46" s="157">
        <v>11</v>
      </c>
      <c r="Y46" s="159">
        <v>0.47</v>
      </c>
      <c r="Z46" s="50"/>
      <c r="AA46" s="50"/>
      <c r="AB46" s="50"/>
      <c r="AC46" s="51"/>
      <c r="AD46" s="50"/>
      <c r="AE46" s="51"/>
      <c r="AF46" s="50"/>
      <c r="AG46" s="51"/>
      <c r="AH46" s="50"/>
      <c r="AI46" s="57"/>
      <c r="AJ46" s="21">
        <v>2</v>
      </c>
      <c r="AK46" s="22">
        <v>3</v>
      </c>
      <c r="AL46" s="21">
        <v>5</v>
      </c>
      <c r="AM46" s="32">
        <v>0.10204081632653061</v>
      </c>
      <c r="AN46" s="31">
        <f>COUNTIFS(AllMusters26!$AZ$15:$AZ$108,"I",(AllMusters26!$F$15:$F$108),"1")</f>
        <v>2</v>
      </c>
      <c r="AO46" s="22">
        <f>COUNTIFS(AllMusters26!$AZ$15:$AZ$108,"I",(AllMusters26!$F$15:$F$108),"2")</f>
        <v>3</v>
      </c>
      <c r="AP46" s="31">
        <f>COUNTIFS(AllMusters26!$AZ$15:$AZ$108,"I",(AllMusters26!$F$15:$F$108),"3")</f>
        <v>2</v>
      </c>
      <c r="AQ46" s="22">
        <f>COUNTIFS(AllMusters26!$AZ$15:$AZ$108,"I",(AllMusters26!$F$15:$F$108),"4")</f>
        <v>0</v>
      </c>
      <c r="AR46" s="31">
        <f>COUNTIFS(AllMusters26!$AZ$15:$AZ$108,"I",(AllMusters26!$F$15:$F$108),"5")</f>
        <v>0</v>
      </c>
      <c r="AS46" s="22">
        <f>COUNTIFS(AllMusters26!$AZ$15:$AZ$108,"I",(AllMusters26!$F$15:$F$108),"6")</f>
        <v>0</v>
      </c>
      <c r="AT46" s="31">
        <f>COUNTIFS(AllMusters26!$AZ$15:$AZ$108,"I",(AllMusters26!$F$15:$F$108),"7")</f>
        <v>0</v>
      </c>
      <c r="AU46" s="39">
        <f>COUNTIFS(AllMusters26!$AZ$15:$AZ$108,"I",(AllMusters26!$F$15:$F$108),"8")</f>
        <v>0</v>
      </c>
      <c r="AV46" s="31">
        <f>COUNTIFS(AllMusters26!$AZ$15:$AZ$108,"I",(AllMusters26!$F$15:$F$108),"9")</f>
        <v>0</v>
      </c>
      <c r="AW46" s="22">
        <f>COUNTIFS(AllMusters26!$AZ$15:$AZ$108,"I",(AllMusters26!$F$15:$F$108),"10")</f>
        <v>0</v>
      </c>
      <c r="AX46" s="31">
        <f>COUNTIFS(AllMusters26!$AZ$15:$AZ$108,"I",(AllMusters26!$F$15:$F$108),"11")</f>
        <v>0</v>
      </c>
      <c r="AY46" s="22">
        <f>COUNTIFS(AllMusters26!$AZ$15:$AZ$108,"I",(AllMusters26!$F$15:$F$108),"12")</f>
        <v>0</v>
      </c>
      <c r="AZ46" s="21">
        <f t="shared" si="1"/>
        <v>7</v>
      </c>
      <c r="BA46" s="32">
        <f t="shared" si="2"/>
        <v>0.7</v>
      </c>
      <c r="BB46" s="12">
        <f t="shared" si="17"/>
        <v>12</v>
      </c>
      <c r="BC46" s="26">
        <f>(SUM(BB46))/SUM($AZ$1,AJ1:AK1)</f>
        <v>0.70588235294117652</v>
      </c>
    </row>
    <row r="47" spans="1:55" x14ac:dyDescent="0.25">
      <c r="A47" s="156" t="s">
        <v>68</v>
      </c>
      <c r="B47" s="50"/>
      <c r="C47" s="50"/>
      <c r="D47" s="50"/>
      <c r="E47" s="57"/>
      <c r="F47" s="50"/>
      <c r="G47" s="58"/>
      <c r="H47" s="50"/>
      <c r="I47" s="57"/>
      <c r="J47" s="52"/>
      <c r="K47" s="32"/>
      <c r="L47" s="50"/>
      <c r="M47" s="50"/>
      <c r="N47" s="50"/>
      <c r="O47" s="50"/>
      <c r="P47" s="50"/>
      <c r="Q47" s="50"/>
      <c r="R47" s="50"/>
      <c r="S47" s="57"/>
      <c r="T47" s="50"/>
      <c r="U47" s="51"/>
      <c r="V47" s="50"/>
      <c r="W47" s="51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31">
        <f>COUNTIFS(AllMusters26!$BA$15:$BA$108,"I",(AllMusters26!$F$15:$F$108),"3")</f>
        <v>0</v>
      </c>
      <c r="AQ47" s="22">
        <f>COUNTIFS(AllMusters26!$BA$15:$BA$108,"I",(AllMusters26!$F$15:$F$108),"4")</f>
        <v>0</v>
      </c>
      <c r="AR47" s="31">
        <f>COUNTIFS(AllMusters26!$BA$15:$BA$108,"I",(AllMusters26!$F$15:$F$108),"5")</f>
        <v>0</v>
      </c>
      <c r="AS47" s="22">
        <f>COUNTIFS(AllMusters26!$BA$15:$BA$108,"I",(AllMusters26!$F$15:$F$108),"6")</f>
        <v>0</v>
      </c>
      <c r="AT47" s="31">
        <f>COUNTIFS(AllMusters26!$BA$15:$BA$108,"I",(AllMusters26!$F$15:$F$108),"7")</f>
        <v>0</v>
      </c>
      <c r="AU47" s="39">
        <f>COUNTIFS(AllMusters26!$BA$15:$BA$108,"I",(AllMusters26!$F$15:$F$108),"8")</f>
        <v>0</v>
      </c>
      <c r="AV47" s="31">
        <f>COUNTIFS(AllMusters26!$BA$15:$BA$108,"I",(AllMusters26!$F$15:$F$108),"9")</f>
        <v>0</v>
      </c>
      <c r="AW47" s="22">
        <f>COUNTIFS(AllMusters26!$BA$15:$BA$108,"I",(AllMusters26!$F$15:$F$108),"10")</f>
        <v>0</v>
      </c>
      <c r="AX47" s="31">
        <f>COUNTIFS(AllMusters26!$BA$15:$BA$108,"I",(AllMusters26!$F$15:$F$108),"11")</f>
        <v>0</v>
      </c>
      <c r="AY47" s="22">
        <f>COUNTIFS(AllMusters26!$BA$15:$BA$108,"I",(AllMusters26!$F$15:$F$108),"12")</f>
        <v>0</v>
      </c>
      <c r="AZ47" s="21">
        <f>(SUM($AP47:$AY47))</f>
        <v>0</v>
      </c>
      <c r="BA47" s="32">
        <f>(SUM(AZ47))/SUM($AZ$1)</f>
        <v>0</v>
      </c>
      <c r="BB47" s="12">
        <f>SUM(AL47,AZ47)</f>
        <v>0</v>
      </c>
      <c r="BC47" s="26">
        <f>(SUM(BB47))/SUM($AZ$1,AJ3:AK3)</f>
        <v>0</v>
      </c>
    </row>
  </sheetData>
  <mergeCells count="4">
    <mergeCell ref="K1:K2"/>
    <mergeCell ref="Y1:Y2"/>
    <mergeCell ref="BA1:BA2"/>
    <mergeCell ref="AM1:AM2"/>
  </mergeCells>
  <conditionalFormatting sqref="K4:K16 K18:K37">
    <cfRule type="cellIs" dxfId="87" priority="26" operator="between">
      <formula>0.6</formula>
      <formula>1</formula>
    </cfRule>
    <cfRule type="cellIs" dxfId="86" priority="27" operator="between">
      <formula>0.4</formula>
      <formula>0.6</formula>
    </cfRule>
    <cfRule type="cellIs" dxfId="85" priority="28" operator="between">
      <formula>0</formula>
      <formula>0.39</formula>
    </cfRule>
  </conditionalFormatting>
  <conditionalFormatting sqref="K41">
    <cfRule type="cellIs" dxfId="84" priority="4" operator="between">
      <formula>0.6</formula>
      <formula>1</formula>
    </cfRule>
    <cfRule type="cellIs" dxfId="83" priority="5" operator="between">
      <formula>0.4</formula>
      <formula>0.6</formula>
    </cfRule>
    <cfRule type="cellIs" dxfId="82" priority="6" operator="between">
      <formula>0</formula>
      <formula>0.39</formula>
    </cfRule>
  </conditionalFormatting>
  <conditionalFormatting sqref="K46">
    <cfRule type="cellIs" dxfId="81" priority="1" operator="between">
      <formula>0.6</formula>
      <formula>1</formula>
    </cfRule>
    <cfRule type="cellIs" dxfId="80" priority="2" operator="between">
      <formula>0.4</formula>
      <formula>0.6</formula>
    </cfRule>
    <cfRule type="cellIs" dxfId="79" priority="3" operator="between">
      <formula>0</formula>
      <formula>0.39</formula>
    </cfRule>
  </conditionalFormatting>
  <conditionalFormatting sqref="Y4:Y16 AM4:AM46 BA4:BA47 Y18:Y45">
    <cfRule type="cellIs" dxfId="78" priority="23" operator="between">
      <formula>0.6</formula>
      <formula>1</formula>
    </cfRule>
    <cfRule type="cellIs" dxfId="77" priority="60" operator="between">
      <formula>0.199</formula>
      <formula>0.599</formula>
    </cfRule>
    <cfRule type="cellIs" dxfId="76" priority="61" operator="between">
      <formula>0</formula>
      <formula>0.199</formula>
    </cfRule>
  </conditionalFormatting>
  <conditionalFormatting sqref="BC4:BC47">
    <cfRule type="cellIs" dxfId="75" priority="7" operator="between">
      <formula>0.199</formula>
      <formula>1</formula>
    </cfRule>
    <cfRule type="cellIs" dxfId="74" priority="8" operator="between">
      <formula>0.0999</formula>
      <formula>0.199</formula>
    </cfRule>
    <cfRule type="cellIs" dxfId="73" priority="9" operator="between">
      <formula>0</formula>
      <formula>0.0999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05F1-694E-48A8-84FE-8D6B13C86470}">
  <dimension ref="A1:BV147"/>
  <sheetViews>
    <sheetView topLeftCell="U1" zoomScaleNormal="100" workbookViewId="0">
      <pane ySplit="2" topLeftCell="A133" activePane="bottomLeft" state="frozen"/>
      <selection activeCell="K1" sqref="K1"/>
      <selection pane="bottomLeft" activeCell="AL162" sqref="AL162"/>
    </sheetView>
  </sheetViews>
  <sheetFormatPr defaultRowHeight="15" x14ac:dyDescent="0.25"/>
  <cols>
    <col min="1" max="1" width="4.140625" customWidth="1"/>
    <col min="2" max="2" width="20.28515625" style="74" customWidth="1"/>
    <col min="3" max="3" width="10" style="77" customWidth="1"/>
    <col min="4" max="4" width="11.5703125" style="77" customWidth="1"/>
    <col min="5" max="5" width="11.5703125" style="7" customWidth="1"/>
    <col min="6" max="6" width="6.140625" customWidth="1"/>
    <col min="7" max="7" width="4.5703125" customWidth="1"/>
    <col min="8" max="8" width="18" customWidth="1"/>
    <col min="9" max="9" width="11.28515625" customWidth="1"/>
    <col min="10" max="10" width="12.7109375" style="70" customWidth="1"/>
    <col min="11" max="12" width="9.5703125" style="86" customWidth="1"/>
    <col min="13" max="13" width="13.85546875" style="7" customWidth="1"/>
    <col min="14" max="14" width="22.85546875" style="7" customWidth="1"/>
    <col min="15" max="15" width="21.140625" style="7" customWidth="1"/>
    <col min="16" max="16" width="26.85546875" style="7" customWidth="1"/>
    <col min="17" max="17" width="3.28515625" style="99" customWidth="1"/>
    <col min="18" max="18" width="34" style="7" customWidth="1"/>
    <col min="19" max="19" width="27.28515625" style="7" customWidth="1"/>
    <col min="20" max="20" width="38.7109375" customWidth="1"/>
    <col min="21" max="21" width="41.140625" customWidth="1"/>
    <col min="22" max="22" width="28" bestFit="1" customWidth="1"/>
    <col min="23" max="23" width="15.140625" bestFit="1" customWidth="1"/>
    <col min="24" max="24" width="5.5703125" bestFit="1" customWidth="1"/>
    <col min="25" max="26" width="5.140625" bestFit="1" customWidth="1"/>
    <col min="27" max="27" width="5.5703125" bestFit="1" customWidth="1"/>
    <col min="28" max="29" width="5.140625" bestFit="1" customWidth="1"/>
    <col min="30" max="31" width="5" customWidth="1"/>
    <col min="32" max="36" width="5.140625" bestFit="1" customWidth="1"/>
    <col min="37" max="38" width="5" customWidth="1"/>
    <col min="39" max="41" width="5.140625" bestFit="1" customWidth="1"/>
    <col min="42" max="42" width="5.5703125" bestFit="1" customWidth="1"/>
    <col min="43" max="47" width="5.140625" bestFit="1" customWidth="1"/>
    <col min="48" max="52" width="5" customWidth="1"/>
    <col min="53" max="53" width="4.7109375" bestFit="1" customWidth="1"/>
    <col min="54" max="54" width="5.28515625" customWidth="1"/>
    <col min="55" max="60" width="5.140625" style="68" bestFit="1" customWidth="1"/>
    <col min="61" max="61" width="5" style="68" customWidth="1"/>
    <col min="62" max="62" width="5.5703125" style="68" bestFit="1" customWidth="1"/>
    <col min="63" max="67" width="4.5703125" style="68" customWidth="1"/>
    <col min="68" max="70" width="4.5703125" style="68" bestFit="1" customWidth="1"/>
    <col min="71" max="71" width="4.5703125" style="147" bestFit="1" customWidth="1"/>
    <col min="72" max="72" width="17.85546875" style="73" bestFit="1" customWidth="1"/>
    <col min="73" max="73" width="84.140625" bestFit="1" customWidth="1"/>
    <col min="74" max="74" width="62.85546875" customWidth="1"/>
  </cols>
  <sheetData>
    <row r="1" spans="1:74" ht="172.5" customHeight="1" x14ac:dyDescent="0.25">
      <c r="A1" t="s">
        <v>76</v>
      </c>
      <c r="B1" s="74" t="s">
        <v>77</v>
      </c>
      <c r="C1" s="77" t="s">
        <v>78</v>
      </c>
      <c r="D1" s="77" t="s">
        <v>79</v>
      </c>
      <c r="E1" s="7" t="s">
        <v>80</v>
      </c>
      <c r="F1" s="1" t="s">
        <v>81</v>
      </c>
      <c r="G1" s="1" t="s">
        <v>82</v>
      </c>
      <c r="H1" t="s">
        <v>83</v>
      </c>
      <c r="I1" s="10" t="s">
        <v>84</v>
      </c>
      <c r="J1" s="71" t="s">
        <v>5</v>
      </c>
      <c r="K1" s="121" t="s">
        <v>85</v>
      </c>
      <c r="L1" s="121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142" t="s">
        <v>91</v>
      </c>
      <c r="R1" s="7" t="s">
        <v>92</v>
      </c>
      <c r="S1" s="7" t="s">
        <v>93</v>
      </c>
      <c r="T1" t="s">
        <v>94</v>
      </c>
      <c r="U1" t="s">
        <v>95</v>
      </c>
      <c r="V1" t="s">
        <v>96</v>
      </c>
      <c r="W1" t="s">
        <v>97</v>
      </c>
      <c r="X1" s="127" t="s">
        <v>21</v>
      </c>
      <c r="Y1" s="127" t="s">
        <v>23</v>
      </c>
      <c r="Z1" s="127" t="s">
        <v>24</v>
      </c>
      <c r="AA1" s="127" t="s">
        <v>25</v>
      </c>
      <c r="AB1" s="127" t="s">
        <v>26</v>
      </c>
      <c r="AC1" s="127" t="s">
        <v>27</v>
      </c>
      <c r="AD1" s="127" t="s">
        <v>28</v>
      </c>
      <c r="AE1" s="127" t="s">
        <v>29</v>
      </c>
      <c r="AF1" s="127" t="s">
        <v>30</v>
      </c>
      <c r="AG1" s="127" t="s">
        <v>32</v>
      </c>
      <c r="AH1" s="127" t="s">
        <v>34</v>
      </c>
      <c r="AI1" s="127" t="s">
        <v>35</v>
      </c>
      <c r="AJ1" s="127" t="s">
        <v>36</v>
      </c>
      <c r="AK1" s="127" t="s">
        <v>37</v>
      </c>
      <c r="AL1" s="127" t="s">
        <v>38</v>
      </c>
      <c r="AM1" s="127" t="s">
        <v>39</v>
      </c>
      <c r="AN1" s="127" t="s">
        <v>40</v>
      </c>
      <c r="AO1" s="127" t="s">
        <v>41</v>
      </c>
      <c r="AP1" s="127" t="s">
        <v>42</v>
      </c>
      <c r="AQ1" s="127" t="s">
        <v>43</v>
      </c>
      <c r="AR1" s="127" t="s">
        <v>44</v>
      </c>
      <c r="AS1" s="127" t="s">
        <v>45</v>
      </c>
      <c r="AT1" s="127" t="s">
        <v>46</v>
      </c>
      <c r="AU1" s="127" t="s">
        <v>47</v>
      </c>
      <c r="AV1" s="127" t="s">
        <v>48</v>
      </c>
      <c r="AW1" s="127" t="s">
        <v>49</v>
      </c>
      <c r="AX1" s="127" t="s">
        <v>50</v>
      </c>
      <c r="AY1" s="127" t="s">
        <v>51</v>
      </c>
      <c r="AZ1" s="127" t="s">
        <v>626</v>
      </c>
      <c r="BA1" s="127" t="s">
        <v>52</v>
      </c>
      <c r="BB1" s="127" t="s">
        <v>53</v>
      </c>
      <c r="BC1" s="128" t="s">
        <v>54</v>
      </c>
      <c r="BD1" s="128" t="s">
        <v>56</v>
      </c>
      <c r="BE1" s="128" t="s">
        <v>57</v>
      </c>
      <c r="BF1" s="128" t="s">
        <v>59</v>
      </c>
      <c r="BG1" s="128" t="s">
        <v>60</v>
      </c>
      <c r="BH1" s="128" t="s">
        <v>61</v>
      </c>
      <c r="BI1" s="128" t="s">
        <v>62</v>
      </c>
      <c r="BJ1" s="128" t="s">
        <v>63</v>
      </c>
      <c r="BK1" s="128" t="s">
        <v>64</v>
      </c>
      <c r="BL1" s="128" t="s">
        <v>65</v>
      </c>
      <c r="BM1" s="128" t="s">
        <v>66</v>
      </c>
      <c r="BN1" s="128" t="s">
        <v>67</v>
      </c>
      <c r="BO1" s="128" t="s">
        <v>68</v>
      </c>
      <c r="BP1" s="128" t="s">
        <v>98</v>
      </c>
      <c r="BQ1" s="128" t="s">
        <v>99</v>
      </c>
      <c r="BR1" s="128" t="s">
        <v>100</v>
      </c>
      <c r="BS1" s="143" t="s">
        <v>101</v>
      </c>
      <c r="BT1" s="72" t="s">
        <v>102</v>
      </c>
      <c r="BU1" t="s">
        <v>103</v>
      </c>
    </row>
    <row r="2" spans="1:74" s="73" customFormat="1" ht="42.75" customHeight="1" x14ac:dyDescent="0.25">
      <c r="A2" s="87" t="s">
        <v>104</v>
      </c>
      <c r="B2" s="88"/>
      <c r="C2" s="89">
        <f>MAX($A15:$A1134)</f>
        <v>133</v>
      </c>
      <c r="D2" s="85"/>
      <c r="E2" s="89"/>
      <c r="F2" s="73">
        <f t="shared" ref="F2" si="0">(C2+1)</f>
        <v>134</v>
      </c>
      <c r="I2" s="90"/>
      <c r="J2" s="69">
        <f ca="1">TODAY()</f>
        <v>46095</v>
      </c>
      <c r="K2" s="95"/>
      <c r="L2" s="95"/>
      <c r="M2" s="91"/>
      <c r="N2" s="91"/>
      <c r="O2" s="92" t="s">
        <v>105</v>
      </c>
      <c r="P2" s="91" t="s">
        <v>106</v>
      </c>
      <c r="Q2" s="86"/>
      <c r="R2" s="86">
        <f>MAX($L15:$L1134)+1</f>
        <v>148</v>
      </c>
      <c r="S2" s="91"/>
      <c r="V2" s="133" t="s">
        <v>107</v>
      </c>
      <c r="W2" s="133" t="str">
        <f>$T3 &amp; ", " &amp; T4+ T5 &amp; ", " &amp; T6</f>
        <v>8, 11, 0</v>
      </c>
      <c r="X2" s="93" t="s">
        <v>22</v>
      </c>
      <c r="Y2" s="93" t="s">
        <v>22</v>
      </c>
      <c r="Z2" s="93" t="s">
        <v>22</v>
      </c>
      <c r="AA2" s="93" t="s">
        <v>22</v>
      </c>
      <c r="AB2" s="93" t="s">
        <v>22</v>
      </c>
      <c r="AC2" s="93" t="s">
        <v>22</v>
      </c>
      <c r="AD2" s="93" t="s">
        <v>22</v>
      </c>
      <c r="AE2" s="93" t="s">
        <v>22</v>
      </c>
      <c r="AF2" s="93" t="s">
        <v>31</v>
      </c>
      <c r="AG2" s="93" t="s">
        <v>33</v>
      </c>
      <c r="AH2" s="93" t="s">
        <v>31</v>
      </c>
      <c r="AI2" s="93" t="s">
        <v>31</v>
      </c>
      <c r="AJ2" s="93" t="s">
        <v>33</v>
      </c>
      <c r="AK2" s="93" t="s">
        <v>33</v>
      </c>
      <c r="AL2" s="93" t="s">
        <v>31</v>
      </c>
      <c r="AM2" s="93"/>
      <c r="AN2" s="93" t="s">
        <v>33</v>
      </c>
      <c r="AO2" s="93" t="s">
        <v>33</v>
      </c>
      <c r="AP2" s="93"/>
      <c r="AQ2" s="93"/>
      <c r="AR2" s="93"/>
      <c r="AS2" s="135" t="s">
        <v>33</v>
      </c>
      <c r="AT2" s="93" t="s">
        <v>33</v>
      </c>
      <c r="AU2" s="93"/>
      <c r="AV2" s="93"/>
      <c r="AW2" s="93"/>
      <c r="AX2" s="117"/>
      <c r="AY2" s="117"/>
      <c r="AZ2" s="117"/>
      <c r="BA2" s="93"/>
      <c r="BB2" s="93"/>
      <c r="BC2" s="117"/>
      <c r="BD2" s="117"/>
      <c r="BE2" s="117"/>
      <c r="BF2" s="125"/>
      <c r="BG2" s="125"/>
      <c r="BH2" s="125"/>
      <c r="BI2" s="125" t="s">
        <v>108</v>
      </c>
      <c r="BJ2" s="125" t="s">
        <v>108</v>
      </c>
      <c r="BK2" s="125" t="s">
        <v>108</v>
      </c>
      <c r="BL2" s="125" t="s">
        <v>108</v>
      </c>
      <c r="BM2" s="125"/>
      <c r="BN2" s="125"/>
      <c r="BO2" s="125"/>
      <c r="BP2" s="122">
        <f t="shared" ref="BP2:BP33" si="1">COUNTIF($X2:$BH2, "I")</f>
        <v>0</v>
      </c>
      <c r="BQ2" s="122">
        <f t="shared" ref="BQ2:BQ33" si="2">COUNTIFS($X2:$BH2, "I",$X$2:$BH$2, "DR" )</f>
        <v>0</v>
      </c>
      <c r="BR2" s="122">
        <f t="shared" ref="BR2:BR33" si="3">COUNTIFS($X2:$BH2, "I",$X$5:$BH$5, "OF" )</f>
        <v>0</v>
      </c>
      <c r="BS2" s="144">
        <f t="shared" ref="BS2:BS33" si="4">COUNTIFS($X2:$BH2, "I",$X$5:$BH$5, "FF" )</f>
        <v>0</v>
      </c>
    </row>
    <row r="3" spans="1:74" ht="15" customHeight="1" x14ac:dyDescent="0.55000000000000004">
      <c r="A3" s="81"/>
      <c r="C3" s="85" t="s">
        <v>109</v>
      </c>
      <c r="D3" s="86">
        <f>COUNTIF($K$15:$K$1250, "1")</f>
        <v>60</v>
      </c>
      <c r="E3" s="82"/>
      <c r="I3" s="83"/>
      <c r="J3" s="69"/>
      <c r="K3" s="95"/>
      <c r="L3" s="95"/>
      <c r="O3" s="84"/>
      <c r="R3" s="7">
        <f>MAX($L16:$L1135)+1</f>
        <v>148</v>
      </c>
      <c r="T3" s="134">
        <f>COUNTIF($X$2:$BH$2, "OF")</f>
        <v>8</v>
      </c>
      <c r="V3" s="3" t="s">
        <v>110</v>
      </c>
      <c r="W3" s="3">
        <f>COUNTIF($X$3:$BH$3, "C")</f>
        <v>21</v>
      </c>
      <c r="X3" s="131" t="s">
        <v>111</v>
      </c>
      <c r="Y3" s="131" t="s">
        <v>111</v>
      </c>
      <c r="Z3" s="131"/>
      <c r="AA3" s="131"/>
      <c r="AB3" s="131"/>
      <c r="AC3" s="131" t="s">
        <v>111</v>
      </c>
      <c r="AD3" s="131" t="s">
        <v>111</v>
      </c>
      <c r="AE3" s="131" t="s">
        <v>111</v>
      </c>
      <c r="AF3" s="131" t="s">
        <v>111</v>
      </c>
      <c r="AG3" s="131" t="s">
        <v>111</v>
      </c>
      <c r="AH3" s="131" t="s">
        <v>111</v>
      </c>
      <c r="AI3" s="131" t="s">
        <v>111</v>
      </c>
      <c r="AJ3" s="131" t="s">
        <v>111</v>
      </c>
      <c r="AK3" s="131" t="s">
        <v>111</v>
      </c>
      <c r="AL3" s="131" t="s">
        <v>111</v>
      </c>
      <c r="AM3" s="131" t="s">
        <v>111</v>
      </c>
      <c r="AN3" s="131" t="s">
        <v>111</v>
      </c>
      <c r="AO3" s="131" t="s">
        <v>111</v>
      </c>
      <c r="AP3" s="131" t="s">
        <v>111</v>
      </c>
      <c r="AQ3" s="131" t="s">
        <v>111</v>
      </c>
      <c r="AR3" s="131" t="s">
        <v>111</v>
      </c>
      <c r="AS3" s="131" t="s">
        <v>111</v>
      </c>
      <c r="AT3" s="131" t="s">
        <v>111</v>
      </c>
      <c r="AU3" s="131"/>
      <c r="AV3" s="131"/>
      <c r="AW3" s="131"/>
      <c r="AX3" s="132"/>
      <c r="AY3" s="132"/>
      <c r="AZ3" s="132"/>
      <c r="BA3" s="131" t="s">
        <v>111</v>
      </c>
      <c r="BB3" s="131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0">
        <f t="shared" si="1"/>
        <v>0</v>
      </c>
      <c r="BQ3" s="130">
        <f t="shared" si="2"/>
        <v>0</v>
      </c>
      <c r="BR3" s="130">
        <f t="shared" si="3"/>
        <v>0</v>
      </c>
      <c r="BS3" s="145">
        <f t="shared" si="4"/>
        <v>0</v>
      </c>
      <c r="BT3" s="73" t="s">
        <v>112</v>
      </c>
      <c r="BU3" s="3">
        <f>COUNTIF(BR:BR, 1)+COUNTIF(BR:BR, 0)</f>
        <v>20</v>
      </c>
      <c r="BV3" s="3"/>
    </row>
    <row r="4" spans="1:74" ht="15" customHeight="1" x14ac:dyDescent="0.55000000000000004">
      <c r="A4" s="81"/>
      <c r="C4" s="85" t="s">
        <v>113</v>
      </c>
      <c r="D4" s="86">
        <f>COUNTIF($K$15:$K$1250, "2")</f>
        <v>44</v>
      </c>
      <c r="E4" s="82"/>
      <c r="I4" s="83"/>
      <c r="J4" s="69"/>
      <c r="K4" s="95"/>
      <c r="L4" s="95"/>
      <c r="O4" s="84"/>
      <c r="R4" s="7">
        <f>MAX($L17:$L1136)+1</f>
        <v>148</v>
      </c>
      <c r="T4" s="134"/>
      <c r="V4" s="3" t="s">
        <v>114</v>
      </c>
      <c r="W4" s="3">
        <f>COUNTIF($X$4:$BH$4, "BA")</f>
        <v>7</v>
      </c>
      <c r="X4" s="131"/>
      <c r="Y4" s="131" t="s">
        <v>115</v>
      </c>
      <c r="Z4" s="131"/>
      <c r="AA4" s="131"/>
      <c r="AB4" s="131"/>
      <c r="AC4" s="131"/>
      <c r="AD4" s="131" t="s">
        <v>115</v>
      </c>
      <c r="AE4" s="131" t="s">
        <v>115</v>
      </c>
      <c r="AF4" s="131"/>
      <c r="AG4" s="131"/>
      <c r="AH4" s="131" t="s">
        <v>115</v>
      </c>
      <c r="AI4" s="131" t="s">
        <v>115</v>
      </c>
      <c r="AJ4" s="131"/>
      <c r="AK4" s="131"/>
      <c r="AL4" s="131" t="s">
        <v>115</v>
      </c>
      <c r="AM4" s="131"/>
      <c r="AN4" s="131" t="s">
        <v>115</v>
      </c>
      <c r="AO4" s="131"/>
      <c r="AP4" s="131"/>
      <c r="AQ4" s="131"/>
      <c r="AR4" s="131"/>
      <c r="AS4" s="131"/>
      <c r="AT4" s="131"/>
      <c r="AU4" s="131"/>
      <c r="AV4" s="131"/>
      <c r="AW4" s="131"/>
      <c r="AX4" s="132"/>
      <c r="AY4" s="132"/>
      <c r="AZ4" s="132"/>
      <c r="BA4" s="131"/>
      <c r="BB4" s="131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0">
        <f t="shared" si="1"/>
        <v>0</v>
      </c>
      <c r="BQ4" s="130">
        <f t="shared" si="2"/>
        <v>0</v>
      </c>
      <c r="BR4" s="130">
        <f t="shared" si="3"/>
        <v>0</v>
      </c>
      <c r="BS4" s="145">
        <f t="shared" si="4"/>
        <v>0</v>
      </c>
      <c r="BT4" s="73" t="s">
        <v>116</v>
      </c>
      <c r="BU4" s="3">
        <f>COUNTIF(BQ:BQ,1)+COUNTIF(BQ:BQ,0)</f>
        <v>55</v>
      </c>
      <c r="BV4" s="3"/>
    </row>
    <row r="5" spans="1:74" ht="15" customHeight="1" x14ac:dyDescent="0.55000000000000004">
      <c r="A5" s="81"/>
      <c r="C5" s="85" t="s">
        <v>117</v>
      </c>
      <c r="D5" s="86">
        <f>COUNTIF($K$15:$K$1250, "3")</f>
        <v>29</v>
      </c>
      <c r="E5" s="82"/>
      <c r="I5" s="83"/>
      <c r="J5" s="69"/>
      <c r="K5" s="95"/>
      <c r="L5" s="95"/>
      <c r="O5" s="84"/>
      <c r="R5" s="7">
        <f>MAX($L18:$L1137)+1</f>
        <v>148</v>
      </c>
      <c r="T5" s="134">
        <f xml:space="preserve"> COUNTIF($X$2:$BH$2, "DR*")</f>
        <v>11</v>
      </c>
      <c r="X5" s="131" t="s">
        <v>22</v>
      </c>
      <c r="Y5" s="131" t="s">
        <v>22</v>
      </c>
      <c r="Z5" s="131" t="s">
        <v>22</v>
      </c>
      <c r="AA5" s="131" t="s">
        <v>22</v>
      </c>
      <c r="AB5" s="131" t="s">
        <v>22</v>
      </c>
      <c r="AC5" s="131" t="s">
        <v>22</v>
      </c>
      <c r="AD5" s="131" t="s">
        <v>22</v>
      </c>
      <c r="AE5" s="131" t="s">
        <v>22</v>
      </c>
      <c r="AF5" s="131" t="s">
        <v>118</v>
      </c>
      <c r="AG5" s="131" t="s">
        <v>118</v>
      </c>
      <c r="AH5" s="131" t="s">
        <v>118</v>
      </c>
      <c r="AI5" s="131" t="s">
        <v>118</v>
      </c>
      <c r="AJ5" s="131" t="s">
        <v>118</v>
      </c>
      <c r="AK5" s="131" t="s">
        <v>118</v>
      </c>
      <c r="AL5" s="131" t="s">
        <v>118</v>
      </c>
      <c r="AM5" s="131" t="s">
        <v>118</v>
      </c>
      <c r="AN5" s="131" t="s">
        <v>118</v>
      </c>
      <c r="AO5" s="131" t="s">
        <v>118</v>
      </c>
      <c r="AP5" s="131" t="s">
        <v>118</v>
      </c>
      <c r="AQ5" s="131" t="s">
        <v>118</v>
      </c>
      <c r="AR5" s="131" t="s">
        <v>118</v>
      </c>
      <c r="AS5" s="131" t="s">
        <v>118</v>
      </c>
      <c r="AT5" s="131" t="s">
        <v>118</v>
      </c>
      <c r="AU5" s="131" t="s">
        <v>118</v>
      </c>
      <c r="AV5" s="131" t="s">
        <v>118</v>
      </c>
      <c r="AW5" s="131" t="s">
        <v>118</v>
      </c>
      <c r="AX5" s="131" t="s">
        <v>118</v>
      </c>
      <c r="AY5" s="131" t="s">
        <v>118</v>
      </c>
      <c r="AZ5" s="131"/>
      <c r="BA5" s="131" t="s">
        <v>118</v>
      </c>
      <c r="BB5" s="131" t="s">
        <v>118</v>
      </c>
      <c r="BC5" s="131" t="s">
        <v>118</v>
      </c>
      <c r="BD5" s="131" t="s">
        <v>118</v>
      </c>
      <c r="BE5" s="131" t="s">
        <v>118</v>
      </c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0">
        <f t="shared" si="1"/>
        <v>0</v>
      </c>
      <c r="BQ5" s="130">
        <f t="shared" si="2"/>
        <v>0</v>
      </c>
      <c r="BR5" s="130">
        <f t="shared" si="3"/>
        <v>0</v>
      </c>
      <c r="BS5" s="145">
        <f t="shared" si="4"/>
        <v>0</v>
      </c>
      <c r="BT5" s="73" t="s">
        <v>119</v>
      </c>
      <c r="BU5" s="3">
        <f>COUNTIF(BP:BP,1)+COUNTIF(BP:BP,0)+COUNTIF(BP:BP,2)+COUNTIF(BP:BP,3)+COUNTIF(BP:BP,4)+COUNTIF(BP:BP,5)</f>
        <v>16</v>
      </c>
      <c r="BV5" s="3"/>
    </row>
    <row r="6" spans="1:74" ht="15" customHeight="1" x14ac:dyDescent="0.55000000000000004">
      <c r="A6" s="81"/>
      <c r="C6" s="85" t="s">
        <v>120</v>
      </c>
      <c r="D6" s="86">
        <f>COUNTIF($K$15:$K$1250, "4")</f>
        <v>0</v>
      </c>
      <c r="E6" s="82"/>
      <c r="I6" s="83"/>
      <c r="J6" s="69"/>
      <c r="K6" s="95"/>
      <c r="L6" s="95"/>
      <c r="O6" s="84"/>
      <c r="R6" s="7">
        <f>MAX($L19:$L1138)+1</f>
        <v>148</v>
      </c>
      <c r="T6" s="134">
        <f>COUNTIF($X$2:$BH$2, "RC")</f>
        <v>0</v>
      </c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2"/>
      <c r="AY6" s="132"/>
      <c r="AZ6" s="132"/>
      <c r="BA6" s="131"/>
      <c r="BB6" s="131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0">
        <f t="shared" si="1"/>
        <v>0</v>
      </c>
      <c r="BQ6" s="130">
        <f t="shared" si="2"/>
        <v>0</v>
      </c>
      <c r="BR6" s="130">
        <f t="shared" si="3"/>
        <v>0</v>
      </c>
      <c r="BS6" s="145">
        <f t="shared" si="4"/>
        <v>0</v>
      </c>
      <c r="BT6" s="73" t="s">
        <v>121</v>
      </c>
      <c r="BU6" s="3">
        <f>COUNTIF(BP:BP,1)+COUNTIF(BP:BP,0)+COUNTIF(BP:BP,2)+COUNTIF(BP:BP,3)+COUNTIF(BP:BP,4)+COUNTIF(BP:BP,5)+COUNTIF(BP:BP,6)+COUNTIF(BP:BP,7)</f>
        <v>29</v>
      </c>
      <c r="BV6" s="3"/>
    </row>
    <row r="7" spans="1:74" ht="15" customHeight="1" x14ac:dyDescent="0.55000000000000004">
      <c r="A7" s="81"/>
      <c r="C7" s="85" t="s">
        <v>6</v>
      </c>
      <c r="D7" s="86">
        <f>COUNTIF($K$15:$K$1250, "5")</f>
        <v>0</v>
      </c>
      <c r="E7" s="82"/>
      <c r="I7" s="83"/>
      <c r="J7" s="69"/>
      <c r="K7" s="95"/>
      <c r="L7" s="95"/>
      <c r="O7" s="84"/>
      <c r="R7" s="7">
        <f>MAX($L20:$L1139)+1</f>
        <v>148</v>
      </c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2"/>
      <c r="AY7" s="132"/>
      <c r="AZ7" s="132"/>
      <c r="BA7" s="131"/>
      <c r="BB7" s="131"/>
      <c r="BC7" s="132"/>
      <c r="BD7" s="132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0">
        <f t="shared" si="1"/>
        <v>0</v>
      </c>
      <c r="BQ7" s="130">
        <f t="shared" si="2"/>
        <v>0</v>
      </c>
      <c r="BR7" s="130">
        <f t="shared" si="3"/>
        <v>0</v>
      </c>
      <c r="BS7" s="145">
        <f t="shared" si="4"/>
        <v>0</v>
      </c>
      <c r="BT7" s="73" t="s">
        <v>122</v>
      </c>
      <c r="BU7" s="3">
        <f>COUNTIF(Q:Q,2)+COUNTIF(Q:Q,3)</f>
        <v>0</v>
      </c>
      <c r="BV7" s="3"/>
    </row>
    <row r="8" spans="1:74" ht="15" customHeight="1" x14ac:dyDescent="0.55000000000000004">
      <c r="A8" s="81"/>
      <c r="C8" s="85" t="s">
        <v>7</v>
      </c>
      <c r="D8" s="86">
        <f>COUNTIF($K$15:$K$1250, "6")</f>
        <v>0</v>
      </c>
      <c r="E8" s="82"/>
      <c r="I8" s="83"/>
      <c r="J8" s="69"/>
      <c r="K8" s="95"/>
      <c r="L8" s="95"/>
      <c r="O8" s="84"/>
      <c r="R8" s="7">
        <f>MAX($L21:$L1140)+1</f>
        <v>148</v>
      </c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2"/>
      <c r="AY8" s="132"/>
      <c r="AZ8" s="132"/>
      <c r="BA8" s="131"/>
      <c r="BB8" s="131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0">
        <f t="shared" si="1"/>
        <v>0</v>
      </c>
      <c r="BQ8" s="130">
        <f t="shared" si="2"/>
        <v>0</v>
      </c>
      <c r="BR8" s="130">
        <f t="shared" si="3"/>
        <v>0</v>
      </c>
      <c r="BS8" s="145">
        <f t="shared" si="4"/>
        <v>0</v>
      </c>
    </row>
    <row r="9" spans="1:74" ht="15" customHeight="1" x14ac:dyDescent="0.55000000000000004">
      <c r="A9" s="81"/>
      <c r="C9" s="85" t="s">
        <v>8</v>
      </c>
      <c r="D9" s="86">
        <f>COUNTIF($K$15:$K$1250, "7")</f>
        <v>0</v>
      </c>
      <c r="E9" s="82"/>
      <c r="I9" s="83"/>
      <c r="J9" s="69"/>
      <c r="K9" s="95"/>
      <c r="L9" s="95"/>
      <c r="O9" s="84"/>
      <c r="R9" s="7">
        <f>MAX($L22:$L1141)+1</f>
        <v>148</v>
      </c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2"/>
      <c r="AY9" s="132"/>
      <c r="AZ9" s="132"/>
      <c r="BA9" s="131"/>
      <c r="BB9" s="131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0">
        <f t="shared" si="1"/>
        <v>0</v>
      </c>
      <c r="BQ9" s="130">
        <f t="shared" si="2"/>
        <v>0</v>
      </c>
      <c r="BR9" s="130">
        <f t="shared" si="3"/>
        <v>0</v>
      </c>
      <c r="BS9" s="145">
        <f t="shared" si="4"/>
        <v>0</v>
      </c>
      <c r="BT9" s="73" t="s">
        <v>123</v>
      </c>
      <c r="BU9" s="3">
        <f>COUNTIF(BR:BR, 0)</f>
        <v>13</v>
      </c>
      <c r="BV9" s="3"/>
    </row>
    <row r="10" spans="1:74" ht="15" customHeight="1" x14ac:dyDescent="0.55000000000000004">
      <c r="A10" s="81"/>
      <c r="C10" s="85" t="s">
        <v>124</v>
      </c>
      <c r="D10" s="86">
        <f>COUNTIF($K$15:$K$1250, "8")</f>
        <v>0</v>
      </c>
      <c r="E10" s="82"/>
      <c r="I10" s="83"/>
      <c r="J10" s="69"/>
      <c r="K10" s="95"/>
      <c r="L10" s="95"/>
      <c r="O10" s="84"/>
      <c r="R10" s="7">
        <f>MAX($L23:$L1142)+1</f>
        <v>148</v>
      </c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2"/>
      <c r="AY10" s="132"/>
      <c r="AZ10" s="132"/>
      <c r="BA10" s="131"/>
      <c r="BB10" s="131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0">
        <f t="shared" si="1"/>
        <v>0</v>
      </c>
      <c r="BQ10" s="130">
        <f t="shared" si="2"/>
        <v>0</v>
      </c>
      <c r="BR10" s="130">
        <f t="shared" si="3"/>
        <v>0</v>
      </c>
      <c r="BS10" s="145">
        <f t="shared" si="4"/>
        <v>0</v>
      </c>
      <c r="BT10" s="73" t="s">
        <v>125</v>
      </c>
      <c r="BU10" s="3">
        <f>COUNTIF(BQ:BQ,0)</f>
        <v>24</v>
      </c>
      <c r="BV10" s="3"/>
    </row>
    <row r="11" spans="1:74" ht="15" customHeight="1" x14ac:dyDescent="0.55000000000000004">
      <c r="A11" s="81"/>
      <c r="C11" s="85" t="s">
        <v>126</v>
      </c>
      <c r="D11" s="86">
        <f>COUNTIF($K$15:$K$1250, "9")</f>
        <v>0</v>
      </c>
      <c r="E11" s="82"/>
      <c r="I11" s="83"/>
      <c r="J11" s="69"/>
      <c r="K11" s="95"/>
      <c r="L11" s="95"/>
      <c r="O11" s="84"/>
      <c r="R11" s="7">
        <f>MAX($L24:$L1143)+1</f>
        <v>148</v>
      </c>
      <c r="W11" s="141" t="s">
        <v>127</v>
      </c>
      <c r="X11" s="131">
        <f>COUNTIF(X$15:X$432, "I")</f>
        <v>62</v>
      </c>
      <c r="Y11" s="131">
        <f>COUNTIF(Y$15:Y$432, "I")</f>
        <v>71</v>
      </c>
      <c r="Z11" s="131">
        <f>COUNTIF(Z$15:Z$432, "I")</f>
        <v>29</v>
      </c>
      <c r="AA11" s="131">
        <f>COUNTIF(AA$15:AA$432, "I")</f>
        <v>97</v>
      </c>
      <c r="AB11" s="131">
        <f>COUNTIF(AB$15:AB$432, "I")</f>
        <v>50</v>
      </c>
      <c r="AC11" s="131">
        <f>COUNTIF(AC$15:AC$432, "I")</f>
        <v>34</v>
      </c>
      <c r="AD11" s="131">
        <f>COUNTIF(AD$15:AD$432, "I")</f>
        <v>50</v>
      </c>
      <c r="AE11" s="131">
        <f>COUNTIF(AE$15:AE$432, "I")</f>
        <v>43</v>
      </c>
      <c r="AF11" s="131">
        <f>COUNTIF(AF$15:AF$432, "I")</f>
        <v>14</v>
      </c>
      <c r="AG11" s="131">
        <f>COUNTIF(AG$15:AG$432, "I")</f>
        <v>10</v>
      </c>
      <c r="AH11" s="131">
        <f>COUNTIF(AH$15:AH$432, "I")</f>
        <v>83</v>
      </c>
      <c r="AI11" s="131">
        <f>COUNTIF(AI$15:AI$432, "I")</f>
        <v>43</v>
      </c>
      <c r="AJ11" s="131">
        <f>COUNTIF(AJ$15:AJ$432, "I")</f>
        <v>86</v>
      </c>
      <c r="AK11" s="131">
        <f>COUNTIF(AK$15:AK$432, "I")</f>
        <v>22</v>
      </c>
      <c r="AL11" s="131">
        <f>COUNTIF(AL$15:AL$432, "I")</f>
        <v>14</v>
      </c>
      <c r="AM11" s="131">
        <f>COUNTIF(AM$15:AM$432, "I")</f>
        <v>35</v>
      </c>
      <c r="AN11" s="131">
        <f>COUNTIF(AN$15:AN$432, "I")</f>
        <v>56</v>
      </c>
      <c r="AO11" s="131">
        <f>COUNTIF(AO$15:AO$432, "I")</f>
        <v>20</v>
      </c>
      <c r="AP11" s="131">
        <f>COUNTIF(AP$15:AP$432, "I")</f>
        <v>24</v>
      </c>
      <c r="AQ11" s="131">
        <f>COUNTIF(AQ$15:AQ$432, "I")</f>
        <v>38</v>
      </c>
      <c r="AR11" s="131">
        <f>COUNTIF(AR$15:AR$432, "I")</f>
        <v>11</v>
      </c>
      <c r="AS11" s="131">
        <f>COUNTIF(AS$15:AS$432, "I")</f>
        <v>29</v>
      </c>
      <c r="AT11" s="131">
        <f>COUNTIF(AT$15:AT$432, "I")</f>
        <v>37</v>
      </c>
      <c r="AU11" s="131">
        <f>COUNTIF(AU$15:AU$432, "I")</f>
        <v>37</v>
      </c>
      <c r="AV11" s="131">
        <f>COUNTIF(AV$15:AV$432, "I")</f>
        <v>24</v>
      </c>
      <c r="AW11" s="131">
        <f>COUNTIF(AW$15:AW$432, "I")</f>
        <v>65</v>
      </c>
      <c r="AX11" s="131">
        <f>COUNTIF(AX$15:AX$432, "I")</f>
        <v>30</v>
      </c>
      <c r="AY11" s="131">
        <f>COUNTIF(AY$15:AY$432, "I")</f>
        <v>39</v>
      </c>
      <c r="AZ11" s="131"/>
      <c r="BA11" s="131">
        <f>COUNTIF(BA$15:BA$432, "I")</f>
        <v>36</v>
      </c>
      <c r="BB11" s="131">
        <f>COUNTIF(BB$15:BB$432, "I")</f>
        <v>35</v>
      </c>
      <c r="BC11" s="131">
        <f>COUNTIF(BC$15:BC$432, "I")</f>
        <v>25</v>
      </c>
      <c r="BD11" s="131">
        <f>COUNTIF(BD$15:BD$432, "I")</f>
        <v>14</v>
      </c>
      <c r="BE11" s="131">
        <f>COUNTIF(BE$15:BE$432, "I")</f>
        <v>9</v>
      </c>
      <c r="BF11" s="131">
        <f>COUNTIF(BF$15:BF$432, "I")</f>
        <v>25</v>
      </c>
      <c r="BG11" s="131">
        <f>COUNTIF(BG$15:BG$432, "I")</f>
        <v>57</v>
      </c>
      <c r="BH11" s="131">
        <f>COUNTIF(BH$15:BH$432, "I")</f>
        <v>66</v>
      </c>
      <c r="BI11" s="131">
        <f>COUNTIF(BI$15:BI$432, "I")</f>
        <v>2</v>
      </c>
      <c r="BJ11" s="131">
        <f>COUNTIF(BJ$15:BJ$432, "I")</f>
        <v>96</v>
      </c>
      <c r="BK11" s="131">
        <f>COUNTIF(BK$15:BK$432, "I")</f>
        <v>42</v>
      </c>
      <c r="BL11" s="131">
        <f>COUNTIF(BL$15:BL$432, "I")</f>
        <v>36</v>
      </c>
      <c r="BM11" s="131"/>
      <c r="BN11" s="131"/>
      <c r="BO11" s="131"/>
      <c r="BP11" s="130">
        <f t="shared" si="1"/>
        <v>0</v>
      </c>
      <c r="BQ11" s="130">
        <f t="shared" si="2"/>
        <v>0</v>
      </c>
      <c r="BR11" s="130">
        <f t="shared" si="3"/>
        <v>0</v>
      </c>
      <c r="BS11" s="145">
        <f t="shared" si="4"/>
        <v>0</v>
      </c>
      <c r="BT11" s="73" t="s">
        <v>128</v>
      </c>
      <c r="BU11" s="3">
        <f>COUNTIF(BP:BP,1)+COUNTIF(BP:BP,0)+COUNTIF(BP:BP,2)</f>
        <v>13</v>
      </c>
      <c r="BV11" s="3"/>
    </row>
    <row r="12" spans="1:74" ht="15" customHeight="1" x14ac:dyDescent="0.55000000000000004">
      <c r="A12" s="81"/>
      <c r="C12" s="85" t="s">
        <v>129</v>
      </c>
      <c r="D12" s="86">
        <f>COUNTIF($K$15:$K$1250, "10")</f>
        <v>0</v>
      </c>
      <c r="E12" s="82"/>
      <c r="I12" s="83"/>
      <c r="J12" s="69"/>
      <c r="K12" s="95"/>
      <c r="L12" s="95"/>
      <c r="O12" s="84"/>
      <c r="R12" s="7">
        <f>MAX($L25:$L1144)+1</f>
        <v>148</v>
      </c>
      <c r="W12" s="141" t="s">
        <v>130</v>
      </c>
      <c r="X12" s="162">
        <f t="shared" ref="X12:BL12" si="5">(X11/$C$2)</f>
        <v>0.46616541353383456</v>
      </c>
      <c r="Y12" s="163">
        <f t="shared" si="5"/>
        <v>0.53383458646616544</v>
      </c>
      <c r="Z12" s="163">
        <f t="shared" si="5"/>
        <v>0.21804511278195488</v>
      </c>
      <c r="AA12" s="163">
        <f t="shared" si="5"/>
        <v>0.72932330827067671</v>
      </c>
      <c r="AB12" s="163">
        <f t="shared" si="5"/>
        <v>0.37593984962406013</v>
      </c>
      <c r="AC12" s="163">
        <f t="shared" si="5"/>
        <v>0.25563909774436089</v>
      </c>
      <c r="AD12" s="163">
        <f t="shared" ref="AD12:AE12" si="6">(AD11/$C$2)</f>
        <v>0.37593984962406013</v>
      </c>
      <c r="AE12" s="163">
        <f t="shared" si="6"/>
        <v>0.32330827067669171</v>
      </c>
      <c r="AF12" s="163">
        <f t="shared" si="5"/>
        <v>0.10526315789473684</v>
      </c>
      <c r="AG12" s="163">
        <f t="shared" si="5"/>
        <v>7.5187969924812026E-2</v>
      </c>
      <c r="AH12" s="163">
        <f t="shared" si="5"/>
        <v>0.62406015037593987</v>
      </c>
      <c r="AI12" s="163">
        <f t="shared" si="5"/>
        <v>0.32330827067669171</v>
      </c>
      <c r="AJ12" s="163">
        <f t="shared" si="5"/>
        <v>0.64661654135338342</v>
      </c>
      <c r="AK12" s="163">
        <f t="shared" ref="AK12" si="7">(AK11/$C$2)</f>
        <v>0.16541353383458646</v>
      </c>
      <c r="AL12" s="163">
        <f>(AL11/$C$2)</f>
        <v>0.10526315789473684</v>
      </c>
      <c r="AM12" s="163">
        <f t="shared" si="5"/>
        <v>0.26315789473684209</v>
      </c>
      <c r="AN12" s="163">
        <f t="shared" si="5"/>
        <v>0.42105263157894735</v>
      </c>
      <c r="AO12" s="163">
        <f t="shared" si="5"/>
        <v>0.15037593984962405</v>
      </c>
      <c r="AP12" s="163">
        <f t="shared" si="5"/>
        <v>0.18045112781954886</v>
      </c>
      <c r="AQ12" s="163">
        <f t="shared" si="5"/>
        <v>0.2857142857142857</v>
      </c>
      <c r="AR12" s="163">
        <f t="shared" si="5"/>
        <v>8.2706766917293228E-2</v>
      </c>
      <c r="AS12" s="163">
        <f t="shared" si="5"/>
        <v>0.21804511278195488</v>
      </c>
      <c r="AT12" s="163">
        <f t="shared" si="5"/>
        <v>0.2781954887218045</v>
      </c>
      <c r="AU12" s="163">
        <f t="shared" ref="AU12:AY12" si="8">(AU11/$C$2)</f>
        <v>0.2781954887218045</v>
      </c>
      <c r="AV12" s="163">
        <f t="shared" si="8"/>
        <v>0.18045112781954886</v>
      </c>
      <c r="AW12" s="163">
        <f t="shared" si="8"/>
        <v>0.48872180451127817</v>
      </c>
      <c r="AX12" s="163">
        <f t="shared" si="8"/>
        <v>0.22556390977443608</v>
      </c>
      <c r="AY12" s="163">
        <f t="shared" si="8"/>
        <v>0.2932330827067669</v>
      </c>
      <c r="AZ12" s="163"/>
      <c r="BA12" s="163">
        <f t="shared" si="5"/>
        <v>0.27067669172932329</v>
      </c>
      <c r="BB12" s="163">
        <f t="shared" si="5"/>
        <v>0.26315789473684209</v>
      </c>
      <c r="BC12" s="163">
        <f t="shared" si="5"/>
        <v>0.18796992481203006</v>
      </c>
      <c r="BD12" s="163">
        <f t="shared" si="5"/>
        <v>0.10526315789473684</v>
      </c>
      <c r="BE12" s="163">
        <f t="shared" si="5"/>
        <v>6.7669172932330823E-2</v>
      </c>
      <c r="BF12" s="163">
        <f t="shared" si="5"/>
        <v>0.18796992481203006</v>
      </c>
      <c r="BG12" s="163">
        <f t="shared" si="5"/>
        <v>0.42857142857142855</v>
      </c>
      <c r="BH12" s="163">
        <f t="shared" si="5"/>
        <v>0.49624060150375937</v>
      </c>
      <c r="BI12" s="163">
        <f t="shared" ref="BI12" si="9">(BI11/$C$2)</f>
        <v>1.5037593984962405E-2</v>
      </c>
      <c r="BJ12" s="163">
        <f t="shared" si="5"/>
        <v>0.72180451127819545</v>
      </c>
      <c r="BK12" s="163">
        <f t="shared" si="5"/>
        <v>0.31578947368421051</v>
      </c>
      <c r="BL12" s="163">
        <f t="shared" si="5"/>
        <v>0.27067669172932329</v>
      </c>
      <c r="BM12" s="140"/>
      <c r="BN12" s="140"/>
      <c r="BO12" s="140"/>
      <c r="BP12" s="130">
        <f t="shared" si="1"/>
        <v>0</v>
      </c>
      <c r="BQ12" s="130">
        <f t="shared" si="2"/>
        <v>0</v>
      </c>
      <c r="BR12" s="130">
        <f t="shared" si="3"/>
        <v>0</v>
      </c>
      <c r="BS12" s="145">
        <f t="shared" si="4"/>
        <v>0</v>
      </c>
      <c r="BT12" s="73" t="s">
        <v>131</v>
      </c>
      <c r="BU12" s="3">
        <f>COUNTIF(BP:BP,1)+COUNTIF(BP:BP,0)+COUNTIF(BP:BP,2)+COUNTIF(BP:BP,3)</f>
        <v>13</v>
      </c>
      <c r="BV12" s="3"/>
    </row>
    <row r="13" spans="1:74" ht="15" customHeight="1" x14ac:dyDescent="0.55000000000000004">
      <c r="A13" s="81"/>
      <c r="C13" s="85" t="s">
        <v>132</v>
      </c>
      <c r="D13" s="86">
        <f>COUNTIF($K$15:$K$1250, "11")</f>
        <v>0</v>
      </c>
      <c r="E13" s="82"/>
      <c r="I13" s="83"/>
      <c r="J13" s="69"/>
      <c r="K13" s="95"/>
      <c r="L13" s="95"/>
      <c r="O13" s="84"/>
      <c r="R13" s="7">
        <f>MAX($L26:$L1145)+1</f>
        <v>148</v>
      </c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  <c r="AW13" s="131"/>
      <c r="AX13" s="132"/>
      <c r="AY13" s="132"/>
      <c r="AZ13" s="132"/>
      <c r="BA13" s="131"/>
      <c r="BB13" s="131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0">
        <f t="shared" si="1"/>
        <v>0</v>
      </c>
      <c r="BQ13" s="130">
        <f t="shared" si="2"/>
        <v>0</v>
      </c>
      <c r="BR13" s="130">
        <f t="shared" si="3"/>
        <v>0</v>
      </c>
      <c r="BS13" s="145">
        <f t="shared" si="4"/>
        <v>0</v>
      </c>
      <c r="BT13" s="73" t="s">
        <v>133</v>
      </c>
      <c r="BU13" s="3">
        <f>COUNTIF(Q:Q,1)</f>
        <v>0</v>
      </c>
      <c r="BV13" s="3"/>
    </row>
    <row r="14" spans="1:74" ht="15" customHeight="1" x14ac:dyDescent="0.55000000000000004">
      <c r="A14" s="81"/>
      <c r="C14" s="85" t="s">
        <v>134</v>
      </c>
      <c r="D14" s="86">
        <f>COUNTIF($K$15:$K$1250, "12")</f>
        <v>0</v>
      </c>
      <c r="E14" s="82"/>
      <c r="I14" s="83"/>
      <c r="J14" s="69"/>
      <c r="K14" s="95"/>
      <c r="L14" s="95"/>
      <c r="O14" s="84"/>
      <c r="R14" s="7">
        <f>MAX($L27:$L1146)+1</f>
        <v>148</v>
      </c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1"/>
      <c r="AW14" s="131"/>
      <c r="AX14" s="132"/>
      <c r="AY14" s="132"/>
      <c r="AZ14" s="132"/>
      <c r="BA14" s="131"/>
      <c r="BB14" s="131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0">
        <f t="shared" si="1"/>
        <v>0</v>
      </c>
      <c r="BQ14" s="130">
        <f t="shared" si="2"/>
        <v>0</v>
      </c>
      <c r="BR14" s="130">
        <f t="shared" si="3"/>
        <v>0</v>
      </c>
      <c r="BS14" s="145">
        <f t="shared" si="4"/>
        <v>0</v>
      </c>
      <c r="BU14" t="s">
        <v>135</v>
      </c>
    </row>
    <row r="15" spans="1:74" x14ac:dyDescent="0.25">
      <c r="A15">
        <v>1</v>
      </c>
      <c r="B15" s="74">
        <v>46023.051516203705</v>
      </c>
      <c r="E15" s="7">
        <v>46023</v>
      </c>
      <c r="F15">
        <v>1211</v>
      </c>
      <c r="I15" s="10" t="s">
        <v>136</v>
      </c>
      <c r="J15" s="161">
        <v>46023</v>
      </c>
      <c r="K15" s="96">
        <f t="shared" ref="K15:K46" si="10">MONTH($J15)</f>
        <v>1</v>
      </c>
      <c r="L15" s="96">
        <v>15</v>
      </c>
      <c r="O15" s="7" t="s">
        <v>137</v>
      </c>
      <c r="R15" s="7">
        <f>MAX($L28:$L1147)+1</f>
        <v>148</v>
      </c>
      <c r="T15" t="s">
        <v>138</v>
      </c>
      <c r="X15" s="36" t="s">
        <v>139</v>
      </c>
      <c r="Y15" s="36"/>
      <c r="Z15" s="36"/>
      <c r="AA15" s="36" t="s">
        <v>139</v>
      </c>
      <c r="AB15" s="36"/>
      <c r="AC15" s="36"/>
      <c r="AD15" s="36" t="s">
        <v>139</v>
      </c>
      <c r="AE15" s="36"/>
      <c r="AF15" s="36"/>
      <c r="AG15" s="36"/>
      <c r="AH15" s="36" t="s">
        <v>139</v>
      </c>
      <c r="AI15" s="36"/>
      <c r="AJ15" s="36"/>
      <c r="AK15" s="116"/>
      <c r="AL15" s="36"/>
      <c r="AM15" s="36"/>
      <c r="AN15" s="36" t="s">
        <v>139</v>
      </c>
      <c r="AO15" s="36" t="s">
        <v>139</v>
      </c>
      <c r="AP15" s="36" t="s">
        <v>139</v>
      </c>
      <c r="AQ15" s="36"/>
      <c r="AR15" s="36"/>
      <c r="AS15" s="36"/>
      <c r="AT15" s="36"/>
      <c r="AU15" s="36"/>
      <c r="AV15" s="36"/>
      <c r="AW15" s="36"/>
      <c r="AX15" s="116"/>
      <c r="AY15" s="116"/>
      <c r="AZ15" s="116"/>
      <c r="BA15" s="36"/>
      <c r="BB15" s="36" t="s">
        <v>139</v>
      </c>
      <c r="BC15" s="116"/>
      <c r="BD15" s="116"/>
      <c r="BE15" s="116"/>
      <c r="BF15" s="116"/>
      <c r="BG15" s="116"/>
      <c r="BH15" s="116" t="s">
        <v>139</v>
      </c>
      <c r="BI15" s="116"/>
      <c r="BJ15" s="116" t="s">
        <v>139</v>
      </c>
      <c r="BK15" s="116"/>
      <c r="BL15" s="116"/>
      <c r="BM15" s="116"/>
      <c r="BN15" s="116"/>
      <c r="BO15" s="116"/>
      <c r="BP15" s="116">
        <f t="shared" si="1"/>
        <v>9</v>
      </c>
      <c r="BQ15" s="116">
        <f t="shared" si="2"/>
        <v>2</v>
      </c>
      <c r="BR15" s="116">
        <f t="shared" si="3"/>
        <v>3</v>
      </c>
      <c r="BS15" s="146">
        <f t="shared" si="4"/>
        <v>5</v>
      </c>
      <c r="BT15" s="73" t="s">
        <v>140</v>
      </c>
      <c r="BU15" s="73"/>
    </row>
    <row r="16" spans="1:74" x14ac:dyDescent="0.25">
      <c r="A16">
        <v>2</v>
      </c>
      <c r="B16" s="74">
        <v>46023.35664351852</v>
      </c>
      <c r="E16" s="7">
        <v>46023</v>
      </c>
      <c r="F16">
        <v>1212</v>
      </c>
      <c r="I16" s="10" t="s">
        <v>141</v>
      </c>
      <c r="J16" s="161">
        <v>46023</v>
      </c>
      <c r="K16" s="96">
        <f t="shared" si="10"/>
        <v>1</v>
      </c>
      <c r="L16" s="96">
        <v>16</v>
      </c>
      <c r="O16" s="7" t="s">
        <v>142</v>
      </c>
      <c r="R16" s="7">
        <f>MAX($L29:$L1148)+1</f>
        <v>148</v>
      </c>
      <c r="T16" t="s">
        <v>143</v>
      </c>
      <c r="X16" s="36" t="s">
        <v>139</v>
      </c>
      <c r="Y16" s="36"/>
      <c r="Z16" s="36"/>
      <c r="AA16" s="36" t="s">
        <v>139</v>
      </c>
      <c r="AB16" s="36"/>
      <c r="AC16" s="36"/>
      <c r="AD16" s="36" t="s">
        <v>139</v>
      </c>
      <c r="AE16" s="36" t="s">
        <v>139</v>
      </c>
      <c r="AF16" s="36"/>
      <c r="AG16" s="36"/>
      <c r="AH16" s="36"/>
      <c r="AI16" s="36" t="s">
        <v>139</v>
      </c>
      <c r="AJ16" s="36"/>
      <c r="AK16" s="116"/>
      <c r="AL16" s="36"/>
      <c r="AM16" s="36"/>
      <c r="AN16" s="36"/>
      <c r="AO16" s="36"/>
      <c r="AP16" s="36" t="s">
        <v>139</v>
      </c>
      <c r="AQ16" s="36"/>
      <c r="AR16" s="36"/>
      <c r="AS16" s="36"/>
      <c r="AT16" s="36" t="s">
        <v>139</v>
      </c>
      <c r="AU16" s="36"/>
      <c r="AV16" s="36" t="s">
        <v>139</v>
      </c>
      <c r="AW16" s="36" t="s">
        <v>139</v>
      </c>
      <c r="AX16" s="116"/>
      <c r="AY16" s="116"/>
      <c r="AZ16" s="116"/>
      <c r="BA16" s="36"/>
      <c r="BB16" s="36" t="s">
        <v>139</v>
      </c>
      <c r="BC16" s="116"/>
      <c r="BD16" s="116"/>
      <c r="BE16" s="116"/>
      <c r="BF16" s="116"/>
      <c r="BG16" s="116"/>
      <c r="BH16" s="116"/>
      <c r="BI16" s="116"/>
      <c r="BJ16" s="116" t="s">
        <v>139</v>
      </c>
      <c r="BK16" s="116"/>
      <c r="BL16" s="116"/>
      <c r="BM16" s="116"/>
      <c r="BN16" s="116"/>
      <c r="BO16" s="116"/>
      <c r="BP16" s="116">
        <f t="shared" si="1"/>
        <v>10</v>
      </c>
      <c r="BQ16" s="116">
        <f t="shared" si="2"/>
        <v>1</v>
      </c>
      <c r="BR16" s="116">
        <f t="shared" si="3"/>
        <v>4</v>
      </c>
      <c r="BS16" s="146">
        <f t="shared" si="4"/>
        <v>6</v>
      </c>
      <c r="BT16" s="73" t="s">
        <v>144</v>
      </c>
      <c r="BU16" s="73"/>
    </row>
    <row r="17" spans="1:73" x14ac:dyDescent="0.25">
      <c r="A17">
        <v>3</v>
      </c>
      <c r="B17" s="74">
        <v>46023.923182870371</v>
      </c>
      <c r="E17" s="7">
        <v>46024</v>
      </c>
      <c r="F17">
        <v>1213</v>
      </c>
      <c r="I17" s="10" t="s">
        <v>145</v>
      </c>
      <c r="J17" s="161">
        <v>46024</v>
      </c>
      <c r="K17" s="96">
        <f t="shared" si="10"/>
        <v>1</v>
      </c>
      <c r="L17" s="96">
        <v>17</v>
      </c>
      <c r="O17" s="7" t="s">
        <v>146</v>
      </c>
      <c r="R17" s="7">
        <f>MAX($L30:$L1149)+1</f>
        <v>148</v>
      </c>
      <c r="T17" t="s">
        <v>147</v>
      </c>
      <c r="X17" s="36"/>
      <c r="Y17" s="36" t="s">
        <v>139</v>
      </c>
      <c r="Z17" s="36"/>
      <c r="AA17" s="36" t="s">
        <v>139</v>
      </c>
      <c r="AB17" s="36"/>
      <c r="AC17" s="36"/>
      <c r="AD17" s="36"/>
      <c r="AE17" s="36"/>
      <c r="AF17" s="36"/>
      <c r="AG17" s="36"/>
      <c r="AH17" s="36" t="s">
        <v>139</v>
      </c>
      <c r="AI17" s="36"/>
      <c r="AJ17" s="36"/>
      <c r="AK17" s="116"/>
      <c r="AL17" s="36"/>
      <c r="AM17" s="36"/>
      <c r="AN17" s="36"/>
      <c r="AO17" s="36"/>
      <c r="AP17" s="36"/>
      <c r="AQ17" s="36" t="s">
        <v>139</v>
      </c>
      <c r="AR17" s="36"/>
      <c r="AS17" s="36"/>
      <c r="AT17" s="36"/>
      <c r="AU17" s="36"/>
      <c r="AV17" s="36" t="s">
        <v>139</v>
      </c>
      <c r="AW17" s="36"/>
      <c r="AX17" s="116"/>
      <c r="AY17" s="116"/>
      <c r="AZ17" s="116"/>
      <c r="BA17" s="36"/>
      <c r="BB17" s="36"/>
      <c r="BC17" s="116"/>
      <c r="BD17" s="116"/>
      <c r="BE17" s="116"/>
      <c r="BF17" s="116"/>
      <c r="BG17" s="116" t="s">
        <v>139</v>
      </c>
      <c r="BH17" s="116" t="s">
        <v>139</v>
      </c>
      <c r="BI17" s="116"/>
      <c r="BJ17" s="116" t="s">
        <v>139</v>
      </c>
      <c r="BK17" s="116"/>
      <c r="BL17" s="116"/>
      <c r="BM17" s="116"/>
      <c r="BN17" s="116"/>
      <c r="BO17" s="116"/>
      <c r="BP17" s="116">
        <f t="shared" si="1"/>
        <v>7</v>
      </c>
      <c r="BQ17" s="116">
        <f t="shared" si="2"/>
        <v>0</v>
      </c>
      <c r="BR17" s="116">
        <f t="shared" si="3"/>
        <v>2</v>
      </c>
      <c r="BS17" s="146">
        <f t="shared" si="4"/>
        <v>3</v>
      </c>
      <c r="BT17" s="73" t="s">
        <v>148</v>
      </c>
      <c r="BU17" s="73"/>
    </row>
    <row r="18" spans="1:73" x14ac:dyDescent="0.25">
      <c r="A18">
        <v>4</v>
      </c>
      <c r="B18" s="74">
        <v>46024.233796296299</v>
      </c>
      <c r="E18" s="7">
        <v>46024</v>
      </c>
      <c r="F18">
        <v>1214</v>
      </c>
      <c r="I18" s="10" t="s">
        <v>149</v>
      </c>
      <c r="J18" s="161">
        <v>46024</v>
      </c>
      <c r="K18" s="96">
        <f t="shared" si="10"/>
        <v>1</v>
      </c>
      <c r="L18" s="96">
        <v>18</v>
      </c>
      <c r="O18" s="7" t="s">
        <v>137</v>
      </c>
      <c r="R18" s="7">
        <f>MAX($L31:$L1150)+1</f>
        <v>148</v>
      </c>
      <c r="T18" t="s">
        <v>150</v>
      </c>
      <c r="X18" s="36" t="s">
        <v>139</v>
      </c>
      <c r="Y18" s="36" t="s">
        <v>139</v>
      </c>
      <c r="Z18" s="36"/>
      <c r="AA18" s="36" t="s">
        <v>139</v>
      </c>
      <c r="AB18" s="36"/>
      <c r="AC18" s="36"/>
      <c r="AD18" s="36"/>
      <c r="AE18" s="36"/>
      <c r="AF18" s="36"/>
      <c r="AG18" s="36"/>
      <c r="AH18" s="36"/>
      <c r="AI18" s="36"/>
      <c r="AJ18" s="36"/>
      <c r="AK18" s="116"/>
      <c r="AL18" s="36"/>
      <c r="AM18" s="36"/>
      <c r="AN18" s="36"/>
      <c r="AO18" s="36"/>
      <c r="AP18" s="36" t="s">
        <v>139</v>
      </c>
      <c r="AQ18" s="36"/>
      <c r="AR18" s="36"/>
      <c r="AS18" s="36" t="s">
        <v>139</v>
      </c>
      <c r="AT18" s="36" t="s">
        <v>139</v>
      </c>
      <c r="AU18" s="36"/>
      <c r="AV18" s="36" t="s">
        <v>139</v>
      </c>
      <c r="AW18" s="36"/>
      <c r="AX18" s="116"/>
      <c r="AY18" s="116"/>
      <c r="AZ18" s="116"/>
      <c r="BA18" s="36" t="s">
        <v>139</v>
      </c>
      <c r="BB18" s="36"/>
      <c r="BC18" s="116"/>
      <c r="BD18" s="116"/>
      <c r="BE18" s="116"/>
      <c r="BF18" s="116"/>
      <c r="BG18" s="116" t="s">
        <v>139</v>
      </c>
      <c r="BH18" s="116"/>
      <c r="BI18" s="116"/>
      <c r="BJ18" s="116" t="s">
        <v>139</v>
      </c>
      <c r="BK18" s="116"/>
      <c r="BL18" s="116" t="s">
        <v>139</v>
      </c>
      <c r="BM18" s="116"/>
      <c r="BN18" s="116"/>
      <c r="BO18" s="116"/>
      <c r="BP18" s="116">
        <f t="shared" si="1"/>
        <v>9</v>
      </c>
      <c r="BQ18" s="116">
        <f t="shared" si="2"/>
        <v>2</v>
      </c>
      <c r="BR18" s="116">
        <f t="shared" si="3"/>
        <v>3</v>
      </c>
      <c r="BS18" s="146">
        <f t="shared" si="4"/>
        <v>5</v>
      </c>
      <c r="BT18" s="73" t="s">
        <v>151</v>
      </c>
      <c r="BU18" s="73"/>
    </row>
    <row r="19" spans="1:73" x14ac:dyDescent="0.25">
      <c r="A19">
        <v>5</v>
      </c>
      <c r="B19" s="74">
        <v>46025.413819444446</v>
      </c>
      <c r="E19" s="7">
        <v>46024</v>
      </c>
      <c r="F19">
        <v>1215</v>
      </c>
      <c r="I19" s="10" t="s">
        <v>152</v>
      </c>
      <c r="J19" s="161">
        <v>46025</v>
      </c>
      <c r="K19" s="96">
        <f t="shared" si="10"/>
        <v>1</v>
      </c>
      <c r="L19" s="96">
        <v>19</v>
      </c>
      <c r="O19" s="7" t="s">
        <v>153</v>
      </c>
      <c r="R19" s="7">
        <f>MAX($L32:$L1151)+1</f>
        <v>148</v>
      </c>
      <c r="T19" t="s">
        <v>154</v>
      </c>
      <c r="X19" s="36" t="s">
        <v>139</v>
      </c>
      <c r="Y19" s="36" t="s">
        <v>139</v>
      </c>
      <c r="Z19" s="36"/>
      <c r="AA19" s="36" t="s">
        <v>139</v>
      </c>
      <c r="AB19" s="36" t="s">
        <v>139</v>
      </c>
      <c r="AC19" s="36"/>
      <c r="AD19" s="36" t="s">
        <v>139</v>
      </c>
      <c r="AE19" s="36" t="s">
        <v>139</v>
      </c>
      <c r="AF19" s="36"/>
      <c r="AG19" s="36" t="s">
        <v>139</v>
      </c>
      <c r="AH19" s="36"/>
      <c r="AI19" s="36" t="s">
        <v>139</v>
      </c>
      <c r="AJ19" s="36"/>
      <c r="AK19" s="116"/>
      <c r="AL19" s="36"/>
      <c r="AM19" s="36"/>
      <c r="AN19" s="36"/>
      <c r="AO19" s="36"/>
      <c r="AP19" s="36"/>
      <c r="AQ19" s="36"/>
      <c r="AR19" s="36"/>
      <c r="AS19" s="36" t="s">
        <v>139</v>
      </c>
      <c r="AT19" s="36" t="s">
        <v>139</v>
      </c>
      <c r="AU19" s="36"/>
      <c r="AV19" s="36"/>
      <c r="AW19" s="36" t="s">
        <v>139</v>
      </c>
      <c r="AX19" s="116"/>
      <c r="AY19" s="116"/>
      <c r="AZ19" s="116"/>
      <c r="BA19" s="36"/>
      <c r="BB19" s="36"/>
      <c r="BC19" s="116"/>
      <c r="BD19" s="116"/>
      <c r="BE19" s="116"/>
      <c r="BF19" s="116"/>
      <c r="BG19" s="116" t="s">
        <v>139</v>
      </c>
      <c r="BH19" s="116"/>
      <c r="BI19" s="116"/>
      <c r="BJ19" s="116" t="s">
        <v>139</v>
      </c>
      <c r="BK19" s="116"/>
      <c r="BL19" s="116"/>
      <c r="BM19" s="116"/>
      <c r="BN19" s="116"/>
      <c r="BO19" s="116"/>
      <c r="BP19" s="116">
        <f t="shared" si="1"/>
        <v>12</v>
      </c>
      <c r="BQ19" s="116">
        <f t="shared" si="2"/>
        <v>3</v>
      </c>
      <c r="BR19" s="116">
        <f t="shared" si="3"/>
        <v>6</v>
      </c>
      <c r="BS19" s="146">
        <f t="shared" si="4"/>
        <v>5</v>
      </c>
      <c r="BT19" s="73" t="s">
        <v>155</v>
      </c>
      <c r="BU19" s="73"/>
    </row>
    <row r="20" spans="1:73" x14ac:dyDescent="0.25">
      <c r="A20">
        <v>6</v>
      </c>
      <c r="B20" s="74">
        <v>46026.828368055554</v>
      </c>
      <c r="E20" s="7">
        <v>46027</v>
      </c>
      <c r="F20">
        <v>1216</v>
      </c>
      <c r="I20" s="10" t="s">
        <v>156</v>
      </c>
      <c r="J20" s="161">
        <v>46027</v>
      </c>
      <c r="K20" s="96">
        <f t="shared" si="10"/>
        <v>1</v>
      </c>
      <c r="L20" s="96">
        <v>20</v>
      </c>
      <c r="O20" s="7" t="s">
        <v>137</v>
      </c>
      <c r="R20" s="7">
        <f>MAX($L33:$L1152)+1</f>
        <v>148</v>
      </c>
      <c r="T20" t="s">
        <v>157</v>
      </c>
      <c r="X20" s="36"/>
      <c r="Y20" s="36"/>
      <c r="Z20" s="36"/>
      <c r="AA20" s="36" t="s">
        <v>139</v>
      </c>
      <c r="AB20" s="36" t="s">
        <v>139</v>
      </c>
      <c r="AC20" s="36"/>
      <c r="AD20" s="36"/>
      <c r="AE20" s="36"/>
      <c r="AF20" s="36"/>
      <c r="AG20" s="36"/>
      <c r="AH20" s="36" t="s">
        <v>139</v>
      </c>
      <c r="AI20" s="36"/>
      <c r="AJ20" s="36"/>
      <c r="AK20" s="116" t="s">
        <v>139</v>
      </c>
      <c r="AL20" s="36"/>
      <c r="AM20" s="36"/>
      <c r="AN20" s="36"/>
      <c r="AO20" s="36"/>
      <c r="AP20" s="36" t="s">
        <v>139</v>
      </c>
      <c r="AQ20" s="36"/>
      <c r="AR20" s="36"/>
      <c r="AS20" s="36"/>
      <c r="AT20" s="36"/>
      <c r="AU20" s="36" t="s">
        <v>139</v>
      </c>
      <c r="AV20" s="36"/>
      <c r="AW20" s="36"/>
      <c r="AX20" s="116"/>
      <c r="AY20" s="116"/>
      <c r="AZ20" s="116"/>
      <c r="BA20" s="36"/>
      <c r="BB20" s="36"/>
      <c r="BC20" s="116" t="s">
        <v>139</v>
      </c>
      <c r="BD20" s="116"/>
      <c r="BE20" s="116"/>
      <c r="BF20" s="116"/>
      <c r="BG20" s="116" t="s">
        <v>139</v>
      </c>
      <c r="BH20" s="116"/>
      <c r="BI20" s="116"/>
      <c r="BJ20" s="116" t="s">
        <v>139</v>
      </c>
      <c r="BK20" s="116"/>
      <c r="BL20" s="116"/>
      <c r="BM20" s="116"/>
      <c r="BN20" s="116"/>
      <c r="BO20" s="116"/>
      <c r="BP20" s="116">
        <f t="shared" si="1"/>
        <v>8</v>
      </c>
      <c r="BQ20" s="116">
        <f t="shared" si="2"/>
        <v>1</v>
      </c>
      <c r="BR20" s="116">
        <f t="shared" si="3"/>
        <v>2</v>
      </c>
      <c r="BS20" s="146">
        <f t="shared" si="4"/>
        <v>5</v>
      </c>
      <c r="BT20" s="73" t="s">
        <v>140</v>
      </c>
      <c r="BU20" s="73"/>
    </row>
    <row r="21" spans="1:73" x14ac:dyDescent="0.25">
      <c r="A21">
        <v>7</v>
      </c>
      <c r="B21" s="74">
        <v>46026.882141203707</v>
      </c>
      <c r="E21" s="7">
        <v>46027</v>
      </c>
      <c r="F21">
        <v>1217</v>
      </c>
      <c r="I21" s="10" t="s">
        <v>158</v>
      </c>
      <c r="J21" s="161">
        <v>46027</v>
      </c>
      <c r="K21" s="96">
        <f t="shared" si="10"/>
        <v>1</v>
      </c>
      <c r="L21" s="96">
        <v>21</v>
      </c>
      <c r="O21" s="7" t="s">
        <v>137</v>
      </c>
      <c r="R21" s="7">
        <f>MAX($L34:$L1153)+1</f>
        <v>148</v>
      </c>
      <c r="T21" t="s">
        <v>159</v>
      </c>
      <c r="X21" s="36"/>
      <c r="Y21" s="36"/>
      <c r="Z21" s="36"/>
      <c r="AA21" s="36" t="s">
        <v>139</v>
      </c>
      <c r="AB21" s="36" t="s">
        <v>139</v>
      </c>
      <c r="AC21" s="36"/>
      <c r="AD21" s="36"/>
      <c r="AE21" s="36"/>
      <c r="AF21" s="36"/>
      <c r="AG21" s="36"/>
      <c r="AH21" s="36" t="s">
        <v>139</v>
      </c>
      <c r="AI21" s="36"/>
      <c r="AJ21" s="36"/>
      <c r="AK21" s="116" t="s">
        <v>139</v>
      </c>
      <c r="AL21" s="36"/>
      <c r="AM21" s="36"/>
      <c r="AN21" s="36"/>
      <c r="AO21" s="36"/>
      <c r="AP21" s="36" t="s">
        <v>139</v>
      </c>
      <c r="AQ21" s="36"/>
      <c r="AR21" s="36"/>
      <c r="AS21" s="36"/>
      <c r="AT21" s="36"/>
      <c r="AU21" s="36"/>
      <c r="AV21" s="36"/>
      <c r="AW21" s="36"/>
      <c r="AX21" s="116"/>
      <c r="AY21" s="116"/>
      <c r="AZ21" s="116"/>
      <c r="BA21" s="36"/>
      <c r="BB21" s="36"/>
      <c r="BC21" s="116"/>
      <c r="BD21" s="116"/>
      <c r="BE21" s="116"/>
      <c r="BF21" s="116"/>
      <c r="BG21" s="116" t="s">
        <v>139</v>
      </c>
      <c r="BH21" s="116"/>
      <c r="BI21" s="116"/>
      <c r="BJ21" s="116" t="s">
        <v>139</v>
      </c>
      <c r="BK21" s="116" t="s">
        <v>139</v>
      </c>
      <c r="BL21" s="116"/>
      <c r="BM21" s="116"/>
      <c r="BN21" s="116"/>
      <c r="BO21" s="116"/>
      <c r="BP21" s="116">
        <f t="shared" si="1"/>
        <v>6</v>
      </c>
      <c r="BQ21" s="116">
        <f t="shared" si="2"/>
        <v>1</v>
      </c>
      <c r="BR21" s="116">
        <f t="shared" si="3"/>
        <v>2</v>
      </c>
      <c r="BS21" s="146">
        <f t="shared" si="4"/>
        <v>3</v>
      </c>
      <c r="BT21" s="73" t="s">
        <v>155</v>
      </c>
      <c r="BU21" s="73"/>
    </row>
    <row r="22" spans="1:73" x14ac:dyDescent="0.25">
      <c r="A22">
        <v>8</v>
      </c>
      <c r="B22" s="74">
        <v>46027.84716435185</v>
      </c>
      <c r="E22" s="7">
        <v>46028</v>
      </c>
      <c r="F22">
        <v>1218</v>
      </c>
      <c r="I22" s="10" t="s">
        <v>160</v>
      </c>
      <c r="J22" s="161">
        <v>46028</v>
      </c>
      <c r="K22" s="96">
        <f t="shared" si="10"/>
        <v>1</v>
      </c>
      <c r="L22" s="96">
        <v>22</v>
      </c>
      <c r="O22" s="7" t="s">
        <v>161</v>
      </c>
      <c r="R22" s="7">
        <f>MAX($L35:$L1154)+1</f>
        <v>148</v>
      </c>
      <c r="T22" t="s">
        <v>162</v>
      </c>
      <c r="X22" s="36"/>
      <c r="Y22" s="36"/>
      <c r="Z22" s="36"/>
      <c r="AA22" s="36" t="s">
        <v>139</v>
      </c>
      <c r="AB22" s="36"/>
      <c r="AC22" s="36"/>
      <c r="AD22" s="36"/>
      <c r="AE22" s="36"/>
      <c r="AF22" s="36"/>
      <c r="AG22" s="36"/>
      <c r="AH22" s="36"/>
      <c r="AI22" s="36"/>
      <c r="AJ22" s="36"/>
      <c r="AK22" s="116"/>
      <c r="AL22" s="36"/>
      <c r="AM22" s="36"/>
      <c r="AN22" s="36"/>
      <c r="AO22" s="36"/>
      <c r="AP22" s="36"/>
      <c r="AQ22" s="36"/>
      <c r="AR22" s="36"/>
      <c r="AS22" s="36"/>
      <c r="AT22" s="36"/>
      <c r="AU22" s="36" t="s">
        <v>139</v>
      </c>
      <c r="AV22" s="36"/>
      <c r="AW22" s="36" t="s">
        <v>139</v>
      </c>
      <c r="AX22" s="116"/>
      <c r="AY22" s="116" t="s">
        <v>139</v>
      </c>
      <c r="AZ22" s="116"/>
      <c r="BA22" s="36"/>
      <c r="BB22" s="36"/>
      <c r="BC22" s="116" t="s">
        <v>139</v>
      </c>
      <c r="BD22" s="116" t="s">
        <v>139</v>
      </c>
      <c r="BE22" s="116"/>
      <c r="BF22" s="116"/>
      <c r="BG22" s="116" t="s">
        <v>139</v>
      </c>
      <c r="BH22" s="116" t="s">
        <v>139</v>
      </c>
      <c r="BI22" s="116"/>
      <c r="BJ22" s="116" t="s">
        <v>139</v>
      </c>
      <c r="BK22" s="116"/>
      <c r="BL22" s="116"/>
      <c r="BM22" s="116"/>
      <c r="BN22" s="116"/>
      <c r="BO22" s="116"/>
      <c r="BP22" s="116">
        <f t="shared" si="1"/>
        <v>8</v>
      </c>
      <c r="BQ22" s="116">
        <f t="shared" si="2"/>
        <v>0</v>
      </c>
      <c r="BR22" s="116">
        <f t="shared" si="3"/>
        <v>1</v>
      </c>
      <c r="BS22" s="146">
        <f t="shared" si="4"/>
        <v>5</v>
      </c>
      <c r="BT22" s="73" t="s">
        <v>163</v>
      </c>
      <c r="BU22" s="73"/>
    </row>
    <row r="23" spans="1:73" x14ac:dyDescent="0.25">
      <c r="A23">
        <v>9</v>
      </c>
      <c r="B23" s="74">
        <v>46028.358402777776</v>
      </c>
      <c r="E23" s="7">
        <v>46028</v>
      </c>
      <c r="F23">
        <v>1219</v>
      </c>
      <c r="I23" s="10" t="s">
        <v>164</v>
      </c>
      <c r="J23" s="161">
        <v>46028</v>
      </c>
      <c r="K23" s="96">
        <f t="shared" si="10"/>
        <v>1</v>
      </c>
      <c r="L23" s="96">
        <v>23</v>
      </c>
      <c r="O23" s="7" t="s">
        <v>137</v>
      </c>
      <c r="R23" s="7">
        <f>MAX($L36:$L1155)+1</f>
        <v>148</v>
      </c>
      <c r="T23" t="s">
        <v>165</v>
      </c>
      <c r="X23" s="36" t="s">
        <v>139</v>
      </c>
      <c r="Y23" s="36"/>
      <c r="Z23" s="36"/>
      <c r="AA23" s="36" t="s">
        <v>139</v>
      </c>
      <c r="AB23" s="36"/>
      <c r="AC23" s="36"/>
      <c r="AD23" s="36" t="s">
        <v>139</v>
      </c>
      <c r="AE23" s="36" t="s">
        <v>139</v>
      </c>
      <c r="AF23" s="36"/>
      <c r="AG23" s="36"/>
      <c r="AH23" s="36"/>
      <c r="AI23" s="36" t="s">
        <v>139</v>
      </c>
      <c r="AJ23" s="36"/>
      <c r="AK23" s="116"/>
      <c r="AL23" s="36"/>
      <c r="AM23" s="36"/>
      <c r="AN23" s="36"/>
      <c r="AO23" s="36" t="s">
        <v>139</v>
      </c>
      <c r="AP23" s="36"/>
      <c r="AQ23" s="36"/>
      <c r="AR23" s="36"/>
      <c r="AS23" s="36"/>
      <c r="AT23" s="36"/>
      <c r="AU23" s="36" t="s">
        <v>139</v>
      </c>
      <c r="AV23" s="36"/>
      <c r="AW23" s="36" t="s">
        <v>139</v>
      </c>
      <c r="AX23" s="116"/>
      <c r="AY23" s="116" t="s">
        <v>139</v>
      </c>
      <c r="AZ23" s="116"/>
      <c r="BA23" s="36" t="s">
        <v>139</v>
      </c>
      <c r="BB23" s="36"/>
      <c r="BC23" s="116" t="s">
        <v>139</v>
      </c>
      <c r="BD23" s="116"/>
      <c r="BE23" s="116"/>
      <c r="BF23" s="116"/>
      <c r="BG23" s="116" t="s">
        <v>139</v>
      </c>
      <c r="BH23" s="116"/>
      <c r="BI23" s="116"/>
      <c r="BJ23" s="116" t="s">
        <v>139</v>
      </c>
      <c r="BK23" s="116"/>
      <c r="BL23" s="116"/>
      <c r="BM23" s="116"/>
      <c r="BN23" s="116"/>
      <c r="BO23" s="116"/>
      <c r="BP23" s="116">
        <f t="shared" si="1"/>
        <v>12</v>
      </c>
      <c r="BQ23" s="116">
        <f t="shared" si="2"/>
        <v>1</v>
      </c>
      <c r="BR23" s="116">
        <f t="shared" si="3"/>
        <v>4</v>
      </c>
      <c r="BS23" s="146">
        <f t="shared" si="4"/>
        <v>7</v>
      </c>
      <c r="BT23" s="73" t="s">
        <v>140</v>
      </c>
      <c r="BU23" s="73"/>
    </row>
    <row r="24" spans="1:73" x14ac:dyDescent="0.25">
      <c r="A24">
        <v>10</v>
      </c>
      <c r="B24" s="74">
        <v>46028.929039351853</v>
      </c>
      <c r="E24" s="7">
        <v>46029</v>
      </c>
      <c r="F24">
        <v>1220</v>
      </c>
      <c r="I24" s="10" t="s">
        <v>166</v>
      </c>
      <c r="J24" s="161">
        <v>46029</v>
      </c>
      <c r="K24" s="96">
        <f t="shared" si="10"/>
        <v>1</v>
      </c>
      <c r="L24" s="96">
        <v>24</v>
      </c>
      <c r="O24" s="7" t="s">
        <v>137</v>
      </c>
      <c r="R24" s="7">
        <f>MAX($L37:$L1156)+1</f>
        <v>148</v>
      </c>
      <c r="T24" t="s">
        <v>167</v>
      </c>
      <c r="X24" s="36"/>
      <c r="Y24" s="36"/>
      <c r="Z24" s="36"/>
      <c r="AA24" s="36" t="s">
        <v>139</v>
      </c>
      <c r="AB24" s="36" t="s">
        <v>139</v>
      </c>
      <c r="AC24" s="36"/>
      <c r="AD24" s="36"/>
      <c r="AE24" s="36"/>
      <c r="AF24" s="36"/>
      <c r="AG24" s="36"/>
      <c r="AH24" s="36" t="s">
        <v>139</v>
      </c>
      <c r="AI24" s="36"/>
      <c r="AJ24" s="36"/>
      <c r="AK24" s="11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116"/>
      <c r="AY24" s="116" t="s">
        <v>139</v>
      </c>
      <c r="AZ24" s="116"/>
      <c r="BA24" s="36" t="s">
        <v>139</v>
      </c>
      <c r="BB24" s="36"/>
      <c r="BC24" s="116" t="s">
        <v>139</v>
      </c>
      <c r="BD24" s="116"/>
      <c r="BE24" s="116"/>
      <c r="BF24" s="116"/>
      <c r="BG24" s="116" t="s">
        <v>139</v>
      </c>
      <c r="BH24" s="116" t="s">
        <v>139</v>
      </c>
      <c r="BI24" s="116"/>
      <c r="BJ24" s="116" t="s">
        <v>139</v>
      </c>
      <c r="BK24" s="116"/>
      <c r="BL24" s="116"/>
      <c r="BM24" s="116"/>
      <c r="BN24" s="116"/>
      <c r="BO24" s="116"/>
      <c r="BP24" s="116">
        <f t="shared" si="1"/>
        <v>8</v>
      </c>
      <c r="BQ24" s="116">
        <f t="shared" si="2"/>
        <v>0</v>
      </c>
      <c r="BR24" s="116">
        <f t="shared" si="3"/>
        <v>2</v>
      </c>
      <c r="BS24" s="146">
        <f t="shared" si="4"/>
        <v>4</v>
      </c>
      <c r="BT24" s="73" t="s">
        <v>155</v>
      </c>
      <c r="BU24" s="73"/>
    </row>
    <row r="25" spans="1:73" x14ac:dyDescent="0.25">
      <c r="A25">
        <v>11</v>
      </c>
      <c r="B25" s="74">
        <v>46029.138657407406</v>
      </c>
      <c r="E25" s="7">
        <v>46028</v>
      </c>
      <c r="F25">
        <v>1221</v>
      </c>
      <c r="I25" s="10" t="s">
        <v>168</v>
      </c>
      <c r="J25" s="161">
        <v>46029</v>
      </c>
      <c r="K25" s="96">
        <f t="shared" si="10"/>
        <v>1</v>
      </c>
      <c r="L25" s="96">
        <v>25</v>
      </c>
      <c r="O25" s="7" t="s">
        <v>169</v>
      </c>
      <c r="R25" s="7">
        <f>MAX($L38:$L1157)+1</f>
        <v>148</v>
      </c>
      <c r="T25" t="s">
        <v>170</v>
      </c>
      <c r="X25" s="36" t="s">
        <v>139</v>
      </c>
      <c r="Y25" s="36" t="s">
        <v>139</v>
      </c>
      <c r="Z25" s="36"/>
      <c r="AA25" s="36" t="s">
        <v>139</v>
      </c>
      <c r="AB25" s="36" t="s">
        <v>139</v>
      </c>
      <c r="AC25" s="36"/>
      <c r="AD25" s="36" t="s">
        <v>139</v>
      </c>
      <c r="AE25" s="36"/>
      <c r="AF25" s="36"/>
      <c r="AG25" s="36"/>
      <c r="AH25" s="36" t="s">
        <v>139</v>
      </c>
      <c r="AI25" s="36"/>
      <c r="AJ25" s="36" t="s">
        <v>139</v>
      </c>
      <c r="AK25" s="116"/>
      <c r="AL25" s="36"/>
      <c r="AM25" s="36"/>
      <c r="AN25" s="36"/>
      <c r="AO25" s="36"/>
      <c r="AP25" s="36"/>
      <c r="AQ25" s="36" t="s">
        <v>139</v>
      </c>
      <c r="AR25" s="36"/>
      <c r="AS25" s="36"/>
      <c r="AT25" s="36"/>
      <c r="AU25" s="36"/>
      <c r="AV25" s="36" t="s">
        <v>139</v>
      </c>
      <c r="AW25" s="36"/>
      <c r="AX25" s="116"/>
      <c r="AY25" s="116"/>
      <c r="AZ25" s="116"/>
      <c r="BA25" s="36"/>
      <c r="BB25" s="36"/>
      <c r="BC25" s="116" t="s">
        <v>139</v>
      </c>
      <c r="BD25" s="116"/>
      <c r="BE25" s="116" t="s">
        <v>139</v>
      </c>
      <c r="BF25" s="116"/>
      <c r="BG25" s="116"/>
      <c r="BH25" s="116"/>
      <c r="BI25" s="116"/>
      <c r="BJ25" s="116"/>
      <c r="BK25" s="116" t="s">
        <v>139</v>
      </c>
      <c r="BL25" s="116"/>
      <c r="BM25" s="116"/>
      <c r="BN25" s="116"/>
      <c r="BO25" s="116"/>
      <c r="BP25" s="116">
        <f t="shared" si="1"/>
        <v>11</v>
      </c>
      <c r="BQ25" s="116">
        <f t="shared" si="2"/>
        <v>1</v>
      </c>
      <c r="BR25" s="116">
        <f t="shared" si="3"/>
        <v>5</v>
      </c>
      <c r="BS25" s="146">
        <f t="shared" si="4"/>
        <v>6</v>
      </c>
      <c r="BT25" s="73" t="s">
        <v>171</v>
      </c>
      <c r="BU25" s="73"/>
    </row>
    <row r="26" spans="1:73" x14ac:dyDescent="0.25">
      <c r="A26">
        <v>12</v>
      </c>
      <c r="B26" s="74">
        <v>46029.757060185184</v>
      </c>
      <c r="E26" s="7">
        <v>46028</v>
      </c>
      <c r="F26">
        <v>1222</v>
      </c>
      <c r="I26" s="10" t="s">
        <v>172</v>
      </c>
      <c r="J26" s="161">
        <v>46030</v>
      </c>
      <c r="K26" s="96">
        <f t="shared" si="10"/>
        <v>1</v>
      </c>
      <c r="L26" s="96">
        <v>26</v>
      </c>
      <c r="O26" s="7" t="s">
        <v>137</v>
      </c>
      <c r="R26" s="7">
        <f>MAX($L39:$L1158)+1</f>
        <v>148</v>
      </c>
      <c r="T26" t="s">
        <v>173</v>
      </c>
      <c r="X26" s="36"/>
      <c r="Y26" s="36" t="s">
        <v>139</v>
      </c>
      <c r="Z26" s="36"/>
      <c r="AA26" s="36" t="s">
        <v>139</v>
      </c>
      <c r="AB26" s="36" t="s">
        <v>139</v>
      </c>
      <c r="AC26" s="36"/>
      <c r="AD26" s="36" t="s">
        <v>139</v>
      </c>
      <c r="AE26" s="36"/>
      <c r="AF26" s="36"/>
      <c r="AG26" s="36"/>
      <c r="AH26" s="36" t="s">
        <v>139</v>
      </c>
      <c r="AI26" s="36"/>
      <c r="AJ26" s="36"/>
      <c r="AK26" s="116"/>
      <c r="AL26" s="36"/>
      <c r="AM26" s="36"/>
      <c r="AN26" s="36"/>
      <c r="AO26" s="36"/>
      <c r="AP26" s="36" t="s">
        <v>139</v>
      </c>
      <c r="AQ26" s="36"/>
      <c r="AR26" s="36"/>
      <c r="AS26" s="36" t="s">
        <v>139</v>
      </c>
      <c r="AT26" s="36"/>
      <c r="AU26" s="36"/>
      <c r="AV26" s="36"/>
      <c r="AW26" s="36"/>
      <c r="AX26" s="116"/>
      <c r="AY26" s="116"/>
      <c r="AZ26" s="116"/>
      <c r="BA26" s="36" t="s">
        <v>139</v>
      </c>
      <c r="BB26" s="36"/>
      <c r="BC26" s="116" t="s">
        <v>139</v>
      </c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>
        <f t="shared" si="1"/>
        <v>9</v>
      </c>
      <c r="BQ26" s="116">
        <f t="shared" si="2"/>
        <v>1</v>
      </c>
      <c r="BR26" s="116">
        <f t="shared" si="3"/>
        <v>4</v>
      </c>
      <c r="BS26" s="146">
        <f t="shared" si="4"/>
        <v>5</v>
      </c>
      <c r="BT26" s="73" t="s">
        <v>155</v>
      </c>
      <c r="BU26" s="73"/>
    </row>
    <row r="27" spans="1:73" x14ac:dyDescent="0.25">
      <c r="A27">
        <v>13</v>
      </c>
      <c r="B27" s="74">
        <v>46030.063784722224</v>
      </c>
      <c r="E27" s="7">
        <v>46028</v>
      </c>
      <c r="F27">
        <v>1223</v>
      </c>
      <c r="I27" s="10" t="s">
        <v>174</v>
      </c>
      <c r="J27" s="161">
        <v>46030</v>
      </c>
      <c r="K27" s="96">
        <f t="shared" si="10"/>
        <v>1</v>
      </c>
      <c r="L27" s="96">
        <v>27</v>
      </c>
      <c r="O27" s="7" t="s">
        <v>153</v>
      </c>
      <c r="R27" s="7">
        <f>MAX($L40:$L1159)+1</f>
        <v>148</v>
      </c>
      <c r="T27" t="s">
        <v>175</v>
      </c>
      <c r="X27" s="36"/>
      <c r="Y27" s="36" t="s">
        <v>139</v>
      </c>
      <c r="Z27" s="36"/>
      <c r="AA27" s="36" t="s">
        <v>139</v>
      </c>
      <c r="AB27" s="36"/>
      <c r="AC27" s="36"/>
      <c r="AD27" s="36" t="s">
        <v>139</v>
      </c>
      <c r="AE27" s="36" t="s">
        <v>139</v>
      </c>
      <c r="AF27" s="36"/>
      <c r="AG27" s="36"/>
      <c r="AH27" s="36" t="s">
        <v>139</v>
      </c>
      <c r="AI27" s="36" t="s">
        <v>139</v>
      </c>
      <c r="AJ27" s="36"/>
      <c r="AK27" s="116"/>
      <c r="AL27" s="36"/>
      <c r="AM27" s="36"/>
      <c r="AN27" s="36"/>
      <c r="AO27" s="36"/>
      <c r="AP27" s="36" t="s">
        <v>139</v>
      </c>
      <c r="AQ27" s="36" t="s">
        <v>139</v>
      </c>
      <c r="AR27" s="36"/>
      <c r="AS27" s="36"/>
      <c r="AT27" s="36"/>
      <c r="AU27" s="36"/>
      <c r="AV27" s="36" t="s">
        <v>139</v>
      </c>
      <c r="AW27" s="36"/>
      <c r="AX27" s="116"/>
      <c r="AY27" s="116"/>
      <c r="AZ27" s="116"/>
      <c r="BA27" s="36" t="s">
        <v>139</v>
      </c>
      <c r="BB27" s="36" t="s">
        <v>139</v>
      </c>
      <c r="BC27" s="116" t="s">
        <v>139</v>
      </c>
      <c r="BD27" s="116"/>
      <c r="BE27" s="116" t="s">
        <v>139</v>
      </c>
      <c r="BF27" s="116"/>
      <c r="BG27" s="116"/>
      <c r="BH27" s="116"/>
      <c r="BI27" s="116"/>
      <c r="BJ27" s="116"/>
      <c r="BK27" s="116" t="s">
        <v>139</v>
      </c>
      <c r="BL27" s="116"/>
      <c r="BM27" s="116"/>
      <c r="BN27" s="116"/>
      <c r="BO27" s="116"/>
      <c r="BP27" s="116">
        <f t="shared" si="1"/>
        <v>13</v>
      </c>
      <c r="BQ27" s="116">
        <f t="shared" si="2"/>
        <v>0</v>
      </c>
      <c r="BR27" s="116">
        <f t="shared" si="3"/>
        <v>4</v>
      </c>
      <c r="BS27" s="146">
        <f t="shared" si="4"/>
        <v>9</v>
      </c>
      <c r="BT27" s="73" t="s">
        <v>176</v>
      </c>
      <c r="BU27" s="73"/>
    </row>
    <row r="28" spans="1:73" x14ac:dyDescent="0.25">
      <c r="A28">
        <v>14</v>
      </c>
      <c r="B28" s="74">
        <v>46030.544525462959</v>
      </c>
      <c r="E28" s="7">
        <v>46031</v>
      </c>
      <c r="F28">
        <v>1224</v>
      </c>
      <c r="I28" s="10" t="s">
        <v>177</v>
      </c>
      <c r="J28" s="161">
        <v>46031</v>
      </c>
      <c r="K28" s="96">
        <f t="shared" si="10"/>
        <v>1</v>
      </c>
      <c r="L28" s="96">
        <v>28</v>
      </c>
      <c r="O28" s="7" t="s">
        <v>137</v>
      </c>
      <c r="R28" s="7">
        <f>MAX($L41:$L1160)+1</f>
        <v>148</v>
      </c>
      <c r="T28" t="s">
        <v>178</v>
      </c>
      <c r="X28" s="36" t="s">
        <v>139</v>
      </c>
      <c r="Y28" s="36" t="s">
        <v>139</v>
      </c>
      <c r="Z28" s="36"/>
      <c r="AA28" s="36"/>
      <c r="AB28" s="36"/>
      <c r="AC28" s="36"/>
      <c r="AD28" s="36" t="s">
        <v>139</v>
      </c>
      <c r="AE28" s="36"/>
      <c r="AF28" s="36"/>
      <c r="AG28" s="36"/>
      <c r="AH28" s="36" t="s">
        <v>139</v>
      </c>
      <c r="AI28" s="36"/>
      <c r="AJ28" s="36"/>
      <c r="AK28" s="116"/>
      <c r="AL28" s="36"/>
      <c r="AM28" s="36"/>
      <c r="AN28" s="36"/>
      <c r="AO28" s="36"/>
      <c r="AP28" s="36" t="s">
        <v>139</v>
      </c>
      <c r="AQ28" s="36" t="s">
        <v>139</v>
      </c>
      <c r="AR28" s="36"/>
      <c r="AS28" s="36" t="s">
        <v>139</v>
      </c>
      <c r="AT28" s="36"/>
      <c r="AU28" s="36"/>
      <c r="AV28" s="36"/>
      <c r="AW28" s="36"/>
      <c r="AX28" s="116"/>
      <c r="AY28" s="116"/>
      <c r="AZ28" s="116"/>
      <c r="BA28" s="36"/>
      <c r="BB28" s="36"/>
      <c r="BC28" s="116" t="s">
        <v>139</v>
      </c>
      <c r="BD28" s="116"/>
      <c r="BE28" s="116"/>
      <c r="BF28" s="116"/>
      <c r="BG28" s="116"/>
      <c r="BH28" s="116" t="s">
        <v>139</v>
      </c>
      <c r="BI28" s="116"/>
      <c r="BJ28" s="116" t="s">
        <v>139</v>
      </c>
      <c r="BK28" s="116" t="s">
        <v>139</v>
      </c>
      <c r="BL28" s="116" t="s">
        <v>139</v>
      </c>
      <c r="BM28" s="116"/>
      <c r="BN28" s="116"/>
      <c r="BO28" s="116"/>
      <c r="BP28" s="116">
        <f t="shared" si="1"/>
        <v>9</v>
      </c>
      <c r="BQ28" s="116">
        <f t="shared" si="2"/>
        <v>1</v>
      </c>
      <c r="BR28" s="116">
        <f t="shared" si="3"/>
        <v>3</v>
      </c>
      <c r="BS28" s="146">
        <f t="shared" si="4"/>
        <v>5</v>
      </c>
      <c r="BT28" s="73" t="s">
        <v>179</v>
      </c>
      <c r="BU28" s="73"/>
    </row>
    <row r="29" spans="1:73" x14ac:dyDescent="0.25">
      <c r="A29">
        <v>15</v>
      </c>
      <c r="B29" s="74">
        <v>46030.579687500001</v>
      </c>
      <c r="E29" s="7">
        <v>46031</v>
      </c>
      <c r="F29">
        <v>1225</v>
      </c>
      <c r="I29" s="10">
        <v>4374428</v>
      </c>
      <c r="J29" s="161">
        <v>46031</v>
      </c>
      <c r="K29" s="96">
        <f t="shared" si="10"/>
        <v>1</v>
      </c>
      <c r="L29" s="96">
        <v>29</v>
      </c>
      <c r="O29" s="7" t="s">
        <v>137</v>
      </c>
      <c r="R29" s="7">
        <f>MAX($L42:$L1161)+1</f>
        <v>148</v>
      </c>
      <c r="T29" t="s">
        <v>180</v>
      </c>
      <c r="X29" s="36" t="s">
        <v>139</v>
      </c>
      <c r="Y29" s="36"/>
      <c r="Z29" s="36"/>
      <c r="AA29" s="36"/>
      <c r="AB29" s="36"/>
      <c r="AC29" s="36"/>
      <c r="AD29" s="36" t="s">
        <v>139</v>
      </c>
      <c r="AE29" s="36"/>
      <c r="AF29" s="36"/>
      <c r="AG29" s="36"/>
      <c r="AH29" s="36" t="s">
        <v>139</v>
      </c>
      <c r="AI29" s="36"/>
      <c r="AJ29" s="36"/>
      <c r="AK29" s="116"/>
      <c r="AL29" s="36"/>
      <c r="AM29" s="36"/>
      <c r="AN29" s="36"/>
      <c r="AO29" s="36"/>
      <c r="AP29" s="36" t="s">
        <v>139</v>
      </c>
      <c r="AQ29" s="36" t="s">
        <v>139</v>
      </c>
      <c r="AR29" s="36"/>
      <c r="AS29" s="36" t="s">
        <v>139</v>
      </c>
      <c r="AT29" s="36"/>
      <c r="AU29" s="36"/>
      <c r="AV29" s="36"/>
      <c r="AW29" s="36"/>
      <c r="AX29" s="116"/>
      <c r="AY29" s="116"/>
      <c r="AZ29" s="116"/>
      <c r="BA29" s="36"/>
      <c r="BB29" s="36"/>
      <c r="BC29" s="116" t="s">
        <v>139</v>
      </c>
      <c r="BD29" s="116"/>
      <c r="BE29" s="116"/>
      <c r="BF29" s="116"/>
      <c r="BG29" s="116"/>
      <c r="BH29" s="116" t="s">
        <v>139</v>
      </c>
      <c r="BI29" s="116"/>
      <c r="BJ29" s="116" t="s">
        <v>139</v>
      </c>
      <c r="BK29" s="116" t="s">
        <v>139</v>
      </c>
      <c r="BL29" s="116" t="s">
        <v>139</v>
      </c>
      <c r="BM29" s="116"/>
      <c r="BN29" s="116"/>
      <c r="BO29" s="116"/>
      <c r="BP29" s="116">
        <f t="shared" si="1"/>
        <v>8</v>
      </c>
      <c r="BQ29" s="116">
        <f t="shared" si="2"/>
        <v>1</v>
      </c>
      <c r="BR29" s="116">
        <f t="shared" si="3"/>
        <v>2</v>
      </c>
      <c r="BS29" s="146">
        <f t="shared" si="4"/>
        <v>5</v>
      </c>
      <c r="BT29" s="73" t="s">
        <v>140</v>
      </c>
      <c r="BU29" s="73"/>
    </row>
    <row r="30" spans="1:73" x14ac:dyDescent="0.25">
      <c r="A30">
        <v>16</v>
      </c>
      <c r="B30" s="74">
        <v>46030.986898148149</v>
      </c>
      <c r="E30" s="7">
        <v>46031</v>
      </c>
      <c r="F30">
        <v>1226</v>
      </c>
      <c r="I30" s="10" t="s">
        <v>181</v>
      </c>
      <c r="J30" s="161">
        <v>46031</v>
      </c>
      <c r="K30" s="96">
        <f t="shared" si="10"/>
        <v>1</v>
      </c>
      <c r="L30" s="96">
        <v>30</v>
      </c>
      <c r="O30" s="7" t="s">
        <v>153</v>
      </c>
      <c r="R30" s="7">
        <f>MAX($L43:$L1162)+1</f>
        <v>148</v>
      </c>
      <c r="T30" t="s">
        <v>182</v>
      </c>
      <c r="X30" s="36"/>
      <c r="Y30" s="36" t="s">
        <v>139</v>
      </c>
      <c r="Z30" s="36"/>
      <c r="AA30" s="36" t="s">
        <v>139</v>
      </c>
      <c r="AB30" s="36"/>
      <c r="AC30" s="36"/>
      <c r="AD30" s="36"/>
      <c r="AE30" s="36"/>
      <c r="AF30" s="36"/>
      <c r="AG30" s="36"/>
      <c r="AH30" s="36" t="s">
        <v>139</v>
      </c>
      <c r="AI30" s="36"/>
      <c r="AJ30" s="36" t="s">
        <v>139</v>
      </c>
      <c r="AK30" s="116"/>
      <c r="AL30" s="36"/>
      <c r="AM30" s="36" t="s">
        <v>139</v>
      </c>
      <c r="AN30" s="36"/>
      <c r="AO30" s="36"/>
      <c r="AP30" s="36" t="s">
        <v>139</v>
      </c>
      <c r="AQ30" s="36" t="s">
        <v>139</v>
      </c>
      <c r="AR30" s="36"/>
      <c r="AS30" s="36"/>
      <c r="AT30" s="36"/>
      <c r="AU30" s="36"/>
      <c r="AV30" s="36"/>
      <c r="AW30" s="36"/>
      <c r="AX30" s="116"/>
      <c r="AY30" s="116" t="s">
        <v>139</v>
      </c>
      <c r="AZ30" s="116"/>
      <c r="BA30" s="36"/>
      <c r="BB30" s="36"/>
      <c r="BC30" s="116" t="s">
        <v>139</v>
      </c>
      <c r="BD30" s="116"/>
      <c r="BE30" s="116"/>
      <c r="BF30" s="116"/>
      <c r="BG30" s="116"/>
      <c r="BH30" s="116"/>
      <c r="BI30" s="116"/>
      <c r="BJ30" s="116" t="s">
        <v>139</v>
      </c>
      <c r="BK30" s="116"/>
      <c r="BL30" s="116"/>
      <c r="BM30" s="116"/>
      <c r="BN30" s="116"/>
      <c r="BO30" s="116"/>
      <c r="BP30" s="116">
        <f t="shared" si="1"/>
        <v>9</v>
      </c>
      <c r="BQ30" s="116">
        <f t="shared" si="2"/>
        <v>1</v>
      </c>
      <c r="BR30" s="116">
        <f t="shared" si="3"/>
        <v>2</v>
      </c>
      <c r="BS30" s="146">
        <f t="shared" si="4"/>
        <v>7</v>
      </c>
      <c r="BT30" s="73" t="s">
        <v>140</v>
      </c>
      <c r="BU30" s="73"/>
    </row>
    <row r="31" spans="1:73" x14ac:dyDescent="0.25">
      <c r="A31">
        <v>17</v>
      </c>
      <c r="B31" s="74">
        <v>46030.98877314815</v>
      </c>
      <c r="E31" s="7">
        <v>46031</v>
      </c>
      <c r="F31">
        <v>1227</v>
      </c>
      <c r="I31" s="10" t="s">
        <v>183</v>
      </c>
      <c r="J31" s="161">
        <v>46031</v>
      </c>
      <c r="K31" s="96">
        <f t="shared" si="10"/>
        <v>1</v>
      </c>
      <c r="L31" s="96">
        <v>31</v>
      </c>
      <c r="O31" s="7" t="s">
        <v>153</v>
      </c>
      <c r="R31" s="7">
        <f>MAX($L44:$L1163)+1</f>
        <v>148</v>
      </c>
      <c r="T31" t="s">
        <v>184</v>
      </c>
      <c r="X31" s="36" t="s">
        <v>139</v>
      </c>
      <c r="Y31" s="36" t="s">
        <v>139</v>
      </c>
      <c r="Z31" s="36"/>
      <c r="AA31" s="36" t="s">
        <v>139</v>
      </c>
      <c r="AB31" s="36"/>
      <c r="AC31" s="36"/>
      <c r="AD31" s="36"/>
      <c r="AE31" s="36"/>
      <c r="AF31" s="36"/>
      <c r="AG31" s="36"/>
      <c r="AH31" s="36" t="s">
        <v>139</v>
      </c>
      <c r="AI31" s="36"/>
      <c r="AJ31" s="36" t="s">
        <v>139</v>
      </c>
      <c r="AK31" s="116"/>
      <c r="AL31" s="36"/>
      <c r="AM31" s="36" t="s">
        <v>139</v>
      </c>
      <c r="AN31" s="36"/>
      <c r="AO31" s="36"/>
      <c r="AP31" s="36" t="s">
        <v>139</v>
      </c>
      <c r="AQ31" s="36" t="s">
        <v>139</v>
      </c>
      <c r="AR31" s="36"/>
      <c r="AS31" s="36"/>
      <c r="AT31" s="36"/>
      <c r="AU31" s="36"/>
      <c r="AV31" s="36"/>
      <c r="AW31" s="36"/>
      <c r="AX31" s="116"/>
      <c r="AY31" s="116" t="s">
        <v>139</v>
      </c>
      <c r="AZ31" s="116"/>
      <c r="BA31" s="36"/>
      <c r="BB31" s="36"/>
      <c r="BC31" s="116" t="s">
        <v>139</v>
      </c>
      <c r="BD31" s="116"/>
      <c r="BE31" s="116"/>
      <c r="BF31" s="116"/>
      <c r="BG31" s="116"/>
      <c r="BH31" s="116"/>
      <c r="BI31" s="116"/>
      <c r="BJ31" s="116" t="s">
        <v>139</v>
      </c>
      <c r="BK31" s="116"/>
      <c r="BL31" s="116"/>
      <c r="BM31" s="116"/>
      <c r="BN31" s="116"/>
      <c r="BO31" s="116"/>
      <c r="BP31" s="116">
        <f t="shared" si="1"/>
        <v>10</v>
      </c>
      <c r="BQ31" s="116">
        <f t="shared" si="2"/>
        <v>1</v>
      </c>
      <c r="BR31" s="116">
        <f t="shared" si="3"/>
        <v>3</v>
      </c>
      <c r="BS31" s="146">
        <f t="shared" si="4"/>
        <v>7</v>
      </c>
      <c r="BT31" s="73" t="s">
        <v>140</v>
      </c>
      <c r="BU31" s="73"/>
    </row>
    <row r="32" spans="1:73" x14ac:dyDescent="0.25">
      <c r="A32">
        <v>18</v>
      </c>
      <c r="B32" s="74">
        <v>46031.950833333336</v>
      </c>
      <c r="E32" s="7">
        <v>46032</v>
      </c>
      <c r="F32">
        <v>1228</v>
      </c>
      <c r="I32" s="10" t="s">
        <v>185</v>
      </c>
      <c r="J32" s="161">
        <v>46032</v>
      </c>
      <c r="K32" s="96">
        <f t="shared" si="10"/>
        <v>1</v>
      </c>
      <c r="L32" s="96">
        <v>32</v>
      </c>
      <c r="O32" s="7" t="s">
        <v>137</v>
      </c>
      <c r="R32" s="7">
        <f>MAX($L45:$L1164)+1</f>
        <v>148</v>
      </c>
      <c r="T32" t="s">
        <v>186</v>
      </c>
      <c r="X32" s="36" t="s">
        <v>139</v>
      </c>
      <c r="Y32" s="36"/>
      <c r="Z32" s="36" t="s">
        <v>139</v>
      </c>
      <c r="AA32" s="36" t="s">
        <v>139</v>
      </c>
      <c r="AB32" s="36"/>
      <c r="AC32" s="36"/>
      <c r="AD32" s="36"/>
      <c r="AE32" s="36" t="s">
        <v>139</v>
      </c>
      <c r="AF32" s="36"/>
      <c r="AG32" s="36"/>
      <c r="AH32" s="36" t="s">
        <v>139</v>
      </c>
      <c r="AI32" s="36" t="s">
        <v>139</v>
      </c>
      <c r="AJ32" s="36" t="s">
        <v>139</v>
      </c>
      <c r="AK32" s="116"/>
      <c r="AL32" s="36"/>
      <c r="AM32" s="36"/>
      <c r="AN32" s="36"/>
      <c r="AO32" s="36" t="s">
        <v>139</v>
      </c>
      <c r="AP32" s="36"/>
      <c r="AQ32" s="36" t="s">
        <v>139</v>
      </c>
      <c r="AR32" s="36"/>
      <c r="AS32" s="36" t="s">
        <v>139</v>
      </c>
      <c r="AT32" s="36"/>
      <c r="AU32" s="36"/>
      <c r="AV32" s="36"/>
      <c r="AW32" s="36"/>
      <c r="AX32" s="116"/>
      <c r="AY32" s="116" t="s">
        <v>139</v>
      </c>
      <c r="AZ32" s="116"/>
      <c r="BA32" s="36"/>
      <c r="BB32" s="36"/>
      <c r="BC32" s="116" t="s">
        <v>139</v>
      </c>
      <c r="BD32" s="116"/>
      <c r="BE32" s="116"/>
      <c r="BF32" s="116"/>
      <c r="BG32" s="116"/>
      <c r="BH32" s="116"/>
      <c r="BI32" s="116" t="s">
        <v>139</v>
      </c>
      <c r="BJ32" s="116"/>
      <c r="BK32" s="116"/>
      <c r="BL32" s="116"/>
      <c r="BM32" s="116"/>
      <c r="BN32" s="116"/>
      <c r="BO32" s="116"/>
      <c r="BP32" s="116">
        <f t="shared" si="1"/>
        <v>12</v>
      </c>
      <c r="BQ32" s="116">
        <f t="shared" si="2"/>
        <v>3</v>
      </c>
      <c r="BR32" s="116">
        <f t="shared" si="3"/>
        <v>4</v>
      </c>
      <c r="BS32" s="146">
        <f t="shared" si="4"/>
        <v>8</v>
      </c>
      <c r="BT32" s="73" t="s">
        <v>187</v>
      </c>
      <c r="BU32" s="73"/>
    </row>
    <row r="33" spans="1:73" x14ac:dyDescent="0.25">
      <c r="A33">
        <v>19</v>
      </c>
      <c r="B33" s="74">
        <v>46031.959421296298</v>
      </c>
      <c r="E33" s="7">
        <v>46032</v>
      </c>
      <c r="F33">
        <v>1229</v>
      </c>
      <c r="I33" s="10" t="s">
        <v>188</v>
      </c>
      <c r="J33" s="161">
        <v>46032</v>
      </c>
      <c r="K33" s="96">
        <f t="shared" si="10"/>
        <v>1</v>
      </c>
      <c r="L33" s="96">
        <v>33</v>
      </c>
      <c r="O33" s="7" t="s">
        <v>146</v>
      </c>
      <c r="R33" s="7">
        <f>MAX($L46:$L1165)+1</f>
        <v>148</v>
      </c>
      <c r="T33" t="s">
        <v>189</v>
      </c>
      <c r="X33" s="36" t="s">
        <v>139</v>
      </c>
      <c r="Y33" s="36"/>
      <c r="Z33" s="36" t="s">
        <v>139</v>
      </c>
      <c r="AA33" s="36" t="s">
        <v>139</v>
      </c>
      <c r="AB33" s="36"/>
      <c r="AC33" s="36"/>
      <c r="AD33" s="36"/>
      <c r="AE33" s="36" t="s">
        <v>139</v>
      </c>
      <c r="AF33" s="36"/>
      <c r="AG33" s="36"/>
      <c r="AH33" s="36" t="s">
        <v>139</v>
      </c>
      <c r="AI33" s="36" t="s">
        <v>139</v>
      </c>
      <c r="AJ33" s="36" t="s">
        <v>139</v>
      </c>
      <c r="AK33" s="116"/>
      <c r="AL33" s="36"/>
      <c r="AM33" s="36"/>
      <c r="AN33" s="36"/>
      <c r="AO33" s="36" t="s">
        <v>139</v>
      </c>
      <c r="AP33" s="36"/>
      <c r="AQ33" s="36" t="s">
        <v>139</v>
      </c>
      <c r="AR33" s="36"/>
      <c r="AS33" s="36" t="s">
        <v>139</v>
      </c>
      <c r="AT33" s="36"/>
      <c r="AU33" s="36"/>
      <c r="AV33" s="36"/>
      <c r="AW33" s="36"/>
      <c r="AX33" s="116"/>
      <c r="AY33" s="116" t="s">
        <v>139</v>
      </c>
      <c r="AZ33" s="116"/>
      <c r="BA33" s="36"/>
      <c r="BB33" s="36"/>
      <c r="BC33" s="116" t="s">
        <v>139</v>
      </c>
      <c r="BD33" s="116"/>
      <c r="BE33" s="116"/>
      <c r="BF33" s="116"/>
      <c r="BG33" s="116"/>
      <c r="BH33" s="116"/>
      <c r="BI33" s="116" t="s">
        <v>139</v>
      </c>
      <c r="BJ33" s="116"/>
      <c r="BK33" s="116"/>
      <c r="BL33" s="116"/>
      <c r="BM33" s="116"/>
      <c r="BN33" s="116"/>
      <c r="BO33" s="116"/>
      <c r="BP33" s="116">
        <f t="shared" si="1"/>
        <v>12</v>
      </c>
      <c r="BQ33" s="116">
        <f t="shared" si="2"/>
        <v>3</v>
      </c>
      <c r="BR33" s="116">
        <f t="shared" si="3"/>
        <v>4</v>
      </c>
      <c r="BS33" s="146">
        <f t="shared" si="4"/>
        <v>8</v>
      </c>
      <c r="BT33" s="73" t="s">
        <v>155</v>
      </c>
      <c r="BU33" s="73"/>
    </row>
    <row r="34" spans="1:73" x14ac:dyDescent="0.25">
      <c r="A34">
        <v>20</v>
      </c>
      <c r="B34" s="74">
        <v>46032.718969907408</v>
      </c>
      <c r="E34" s="7">
        <v>46033</v>
      </c>
      <c r="F34">
        <v>1230</v>
      </c>
      <c r="I34" s="10" t="s">
        <v>190</v>
      </c>
      <c r="J34" s="161">
        <v>46033</v>
      </c>
      <c r="K34" s="96">
        <f t="shared" si="10"/>
        <v>1</v>
      </c>
      <c r="L34" s="96">
        <v>34</v>
      </c>
      <c r="O34" s="7" t="s">
        <v>146</v>
      </c>
      <c r="R34" s="7">
        <f>MAX($L47:$L1166)+1</f>
        <v>148</v>
      </c>
      <c r="T34" t="s">
        <v>191</v>
      </c>
      <c r="X34" s="36"/>
      <c r="Y34" s="36"/>
      <c r="Z34" s="36" t="s">
        <v>139</v>
      </c>
      <c r="AA34" s="36" t="s">
        <v>139</v>
      </c>
      <c r="AB34" s="36"/>
      <c r="AC34" s="36"/>
      <c r="AD34" s="36"/>
      <c r="AE34" s="36"/>
      <c r="AF34" s="36"/>
      <c r="AG34" s="36"/>
      <c r="AH34" s="36" t="s">
        <v>139</v>
      </c>
      <c r="AI34" s="36"/>
      <c r="AJ34" s="36"/>
      <c r="AK34" s="11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116"/>
      <c r="AY34" s="116"/>
      <c r="AZ34" s="116"/>
      <c r="BA34" s="36"/>
      <c r="BB34" s="36"/>
      <c r="BC34" s="116"/>
      <c r="BD34" s="116"/>
      <c r="BE34" s="116"/>
      <c r="BF34" s="116" t="s">
        <v>139</v>
      </c>
      <c r="BG34" s="116"/>
      <c r="BH34" s="116"/>
      <c r="BI34" s="116"/>
      <c r="BJ34" s="116"/>
      <c r="BK34" s="116"/>
      <c r="BL34" s="116" t="s">
        <v>139</v>
      </c>
      <c r="BM34" s="116"/>
      <c r="BN34" s="116"/>
      <c r="BO34" s="116"/>
      <c r="BP34" s="116">
        <f t="shared" ref="BP34:BP65" si="11">COUNTIF($X34:$BH34, "I")</f>
        <v>4</v>
      </c>
      <c r="BQ34" s="116">
        <f t="shared" ref="BQ34:BQ65" si="12">COUNTIFS($X34:$BH34, "I",$X$2:$BH$2, "DR" )</f>
        <v>0</v>
      </c>
      <c r="BR34" s="116">
        <f t="shared" ref="BR34:BR65" si="13">COUNTIFS($X34:$BH34, "I",$X$5:$BH$5, "OF" )</f>
        <v>2</v>
      </c>
      <c r="BS34" s="146">
        <f t="shared" ref="BS34:BS65" si="14">COUNTIFS($X34:$BH34, "I",$X$5:$BH$5, "FF" )</f>
        <v>1</v>
      </c>
      <c r="BT34" s="73" t="s">
        <v>148</v>
      </c>
      <c r="BU34" s="73"/>
    </row>
    <row r="35" spans="1:73" x14ac:dyDescent="0.25">
      <c r="A35">
        <v>21</v>
      </c>
      <c r="B35" s="74">
        <v>46032.800682870373</v>
      </c>
      <c r="E35" s="7">
        <v>46033</v>
      </c>
      <c r="F35">
        <v>1231</v>
      </c>
      <c r="I35" s="10" t="s">
        <v>192</v>
      </c>
      <c r="J35" s="161">
        <v>46033</v>
      </c>
      <c r="K35" s="96">
        <f t="shared" si="10"/>
        <v>1</v>
      </c>
      <c r="L35" s="96">
        <v>35</v>
      </c>
      <c r="O35" s="7" t="s">
        <v>142</v>
      </c>
      <c r="R35" s="7">
        <f>MAX($L48:$L1167)+1</f>
        <v>148</v>
      </c>
      <c r="T35" t="s">
        <v>193</v>
      </c>
      <c r="X35" s="36" t="s">
        <v>139</v>
      </c>
      <c r="Y35" s="36" t="s">
        <v>139</v>
      </c>
      <c r="Z35" s="36" t="s">
        <v>139</v>
      </c>
      <c r="AA35" s="36" t="s">
        <v>139</v>
      </c>
      <c r="AB35" s="36"/>
      <c r="AC35" s="36"/>
      <c r="AD35" s="36"/>
      <c r="AE35" s="36" t="s">
        <v>139</v>
      </c>
      <c r="AF35" s="36"/>
      <c r="AG35" s="36"/>
      <c r="AH35" s="36" t="s">
        <v>139</v>
      </c>
      <c r="AI35" s="36" t="s">
        <v>139</v>
      </c>
      <c r="AJ35" s="36" t="s">
        <v>139</v>
      </c>
      <c r="AK35" s="116"/>
      <c r="AL35" s="36"/>
      <c r="AM35" s="36" t="s">
        <v>139</v>
      </c>
      <c r="AN35" s="36"/>
      <c r="AO35" s="36" t="s">
        <v>139</v>
      </c>
      <c r="AP35" s="36"/>
      <c r="AQ35" s="36" t="s">
        <v>139</v>
      </c>
      <c r="AR35" s="36"/>
      <c r="AS35" s="36"/>
      <c r="AT35" s="36" t="s">
        <v>139</v>
      </c>
      <c r="AU35" s="36"/>
      <c r="AV35" s="36" t="s">
        <v>139</v>
      </c>
      <c r="AW35" s="36"/>
      <c r="AX35" s="116"/>
      <c r="AY35" s="116"/>
      <c r="AZ35" s="116"/>
      <c r="BA35" s="36"/>
      <c r="BB35" s="36"/>
      <c r="BC35" s="116"/>
      <c r="BD35" s="116"/>
      <c r="BE35" s="116"/>
      <c r="BF35" s="116"/>
      <c r="BG35" s="116"/>
      <c r="BH35" s="116"/>
      <c r="BI35" s="116"/>
      <c r="BJ35" s="116" t="s">
        <v>139</v>
      </c>
      <c r="BK35" s="116" t="s">
        <v>139</v>
      </c>
      <c r="BL35" s="116" t="s">
        <v>139</v>
      </c>
      <c r="BM35" s="116"/>
      <c r="BN35" s="116"/>
      <c r="BO35" s="116"/>
      <c r="BP35" s="116">
        <f t="shared" si="11"/>
        <v>13</v>
      </c>
      <c r="BQ35" s="116">
        <f t="shared" si="12"/>
        <v>3</v>
      </c>
      <c r="BR35" s="116">
        <f t="shared" si="13"/>
        <v>5</v>
      </c>
      <c r="BS35" s="146">
        <f t="shared" si="14"/>
        <v>8</v>
      </c>
      <c r="BT35" s="73" t="s">
        <v>194</v>
      </c>
      <c r="BU35" s="73"/>
    </row>
    <row r="36" spans="1:73" x14ac:dyDescent="0.25">
      <c r="A36">
        <v>22</v>
      </c>
      <c r="B36" s="74">
        <v>46034.335555555554</v>
      </c>
      <c r="E36" s="7">
        <v>46034</v>
      </c>
      <c r="F36">
        <v>1232</v>
      </c>
      <c r="I36" s="10" t="s">
        <v>195</v>
      </c>
      <c r="J36" s="161">
        <v>46034</v>
      </c>
      <c r="K36" s="96">
        <f t="shared" si="10"/>
        <v>1</v>
      </c>
      <c r="L36" s="96">
        <v>36</v>
      </c>
      <c r="O36" s="7" t="s">
        <v>137</v>
      </c>
      <c r="R36" s="7">
        <f>MAX($L49:$L1168)+1</f>
        <v>148</v>
      </c>
      <c r="T36" t="s">
        <v>196</v>
      </c>
      <c r="X36" s="36" t="s">
        <v>139</v>
      </c>
      <c r="Y36" s="36" t="s">
        <v>139</v>
      </c>
      <c r="Z36" s="36"/>
      <c r="AA36" s="36" t="s">
        <v>139</v>
      </c>
      <c r="AB36" s="36"/>
      <c r="AC36" s="36" t="s">
        <v>139</v>
      </c>
      <c r="AD36" s="36"/>
      <c r="AE36" s="36" t="s">
        <v>139</v>
      </c>
      <c r="AF36" s="36" t="s">
        <v>139</v>
      </c>
      <c r="AG36" s="36" t="s">
        <v>139</v>
      </c>
      <c r="AH36" s="36"/>
      <c r="AI36" s="36" t="s">
        <v>139</v>
      </c>
      <c r="AJ36" s="36" t="s">
        <v>139</v>
      </c>
      <c r="AK36" s="116"/>
      <c r="AL36" s="36"/>
      <c r="AM36" s="36" t="s">
        <v>139</v>
      </c>
      <c r="AN36" s="36"/>
      <c r="AO36" s="36"/>
      <c r="AP36" s="36" t="s">
        <v>139</v>
      </c>
      <c r="AQ36" s="36"/>
      <c r="AR36" s="36"/>
      <c r="AS36" s="36"/>
      <c r="AT36" s="36"/>
      <c r="AU36" s="36"/>
      <c r="AV36" s="36" t="s">
        <v>139</v>
      </c>
      <c r="AW36" s="36" t="s">
        <v>139</v>
      </c>
      <c r="AX36" s="116"/>
      <c r="AY36" s="116"/>
      <c r="AZ36" s="116"/>
      <c r="BA36" s="36"/>
      <c r="BB36" s="36" t="s">
        <v>139</v>
      </c>
      <c r="BC36" s="116" t="s">
        <v>139</v>
      </c>
      <c r="BD36" s="116" t="s">
        <v>139</v>
      </c>
      <c r="BE36" s="116" t="s">
        <v>139</v>
      </c>
      <c r="BF36" s="116"/>
      <c r="BG36" s="116" t="s">
        <v>139</v>
      </c>
      <c r="BH36" s="116" t="s">
        <v>139</v>
      </c>
      <c r="BI36" s="116"/>
      <c r="BJ36" s="116" t="s">
        <v>139</v>
      </c>
      <c r="BK36" s="116" t="s">
        <v>139</v>
      </c>
      <c r="BL36" s="116" t="s">
        <v>139</v>
      </c>
      <c r="BM36" s="116"/>
      <c r="BN36" s="116"/>
      <c r="BO36" s="116"/>
      <c r="BP36" s="116">
        <f t="shared" si="11"/>
        <v>19</v>
      </c>
      <c r="BQ36" s="116">
        <f t="shared" si="12"/>
        <v>2</v>
      </c>
      <c r="BR36" s="116">
        <f t="shared" si="13"/>
        <v>5</v>
      </c>
      <c r="BS36" s="146">
        <f t="shared" si="14"/>
        <v>12</v>
      </c>
      <c r="BT36" s="73" t="s">
        <v>197</v>
      </c>
      <c r="BU36" s="73"/>
    </row>
    <row r="37" spans="1:73" x14ac:dyDescent="0.25">
      <c r="A37">
        <v>23</v>
      </c>
      <c r="B37" s="74">
        <v>46034.538530092592</v>
      </c>
      <c r="E37" s="7">
        <v>46035</v>
      </c>
      <c r="F37">
        <v>1233</v>
      </c>
      <c r="I37" s="10" t="s">
        <v>198</v>
      </c>
      <c r="J37" s="161">
        <v>46035</v>
      </c>
      <c r="K37" s="96">
        <f t="shared" si="10"/>
        <v>1</v>
      </c>
      <c r="L37" s="96">
        <v>37</v>
      </c>
      <c r="O37" s="7" t="s">
        <v>137</v>
      </c>
      <c r="R37" s="7">
        <f>MAX($L50:$L1169)+1</f>
        <v>148</v>
      </c>
      <c r="T37" t="s">
        <v>199</v>
      </c>
      <c r="X37" s="36" t="s">
        <v>139</v>
      </c>
      <c r="Y37" s="36" t="s">
        <v>139</v>
      </c>
      <c r="Z37" s="36"/>
      <c r="AA37" s="36"/>
      <c r="AB37" s="36"/>
      <c r="AC37" s="36" t="s">
        <v>139</v>
      </c>
      <c r="AD37" s="36"/>
      <c r="AE37" s="36" t="s">
        <v>139</v>
      </c>
      <c r="AF37" s="36"/>
      <c r="AG37" s="36"/>
      <c r="AH37" s="36" t="s">
        <v>139</v>
      </c>
      <c r="AI37" s="36" t="s">
        <v>139</v>
      </c>
      <c r="AJ37" s="36"/>
      <c r="AK37" s="11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 t="s">
        <v>139</v>
      </c>
      <c r="AX37" s="116"/>
      <c r="AY37" s="116"/>
      <c r="AZ37" s="116"/>
      <c r="BA37" s="36"/>
      <c r="BB37" s="36"/>
      <c r="BC37" s="116"/>
      <c r="BD37" s="116"/>
      <c r="BE37" s="116"/>
      <c r="BF37" s="116"/>
      <c r="BG37" s="116" t="s">
        <v>139</v>
      </c>
      <c r="BH37" s="116" t="s">
        <v>139</v>
      </c>
      <c r="BI37" s="116"/>
      <c r="BJ37" s="116" t="s">
        <v>139</v>
      </c>
      <c r="BK37" s="116"/>
      <c r="BL37" s="116" t="s">
        <v>139</v>
      </c>
      <c r="BM37" s="116"/>
      <c r="BN37" s="116"/>
      <c r="BO37" s="116"/>
      <c r="BP37" s="116">
        <f t="shared" si="11"/>
        <v>9</v>
      </c>
      <c r="BQ37" s="116">
        <f t="shared" si="12"/>
        <v>0</v>
      </c>
      <c r="BR37" s="116">
        <f t="shared" si="13"/>
        <v>4</v>
      </c>
      <c r="BS37" s="146">
        <f t="shared" si="14"/>
        <v>3</v>
      </c>
      <c r="BT37" s="73" t="s">
        <v>200</v>
      </c>
      <c r="BU37" s="73"/>
    </row>
    <row r="38" spans="1:73" x14ac:dyDescent="0.25">
      <c r="A38">
        <v>24</v>
      </c>
      <c r="B38" s="74">
        <v>46035.032638888886</v>
      </c>
      <c r="E38" s="7">
        <v>46035</v>
      </c>
      <c r="F38">
        <v>1234</v>
      </c>
      <c r="I38" s="10" t="s">
        <v>201</v>
      </c>
      <c r="J38" s="161">
        <v>46035</v>
      </c>
      <c r="K38" s="96">
        <f t="shared" si="10"/>
        <v>1</v>
      </c>
      <c r="L38" s="96">
        <v>38</v>
      </c>
      <c r="O38" s="7" t="s">
        <v>137</v>
      </c>
      <c r="R38" s="7">
        <f>MAX($L51:$L1170)+1</f>
        <v>148</v>
      </c>
      <c r="T38" t="s">
        <v>202</v>
      </c>
      <c r="X38" s="36"/>
      <c r="Y38" s="36"/>
      <c r="Z38" s="36"/>
      <c r="AA38" s="36" t="s">
        <v>139</v>
      </c>
      <c r="AB38" s="36"/>
      <c r="AC38" s="36"/>
      <c r="AD38" s="36"/>
      <c r="AE38" s="36"/>
      <c r="AF38" s="36"/>
      <c r="AG38" s="36"/>
      <c r="AH38" s="36" t="s">
        <v>139</v>
      </c>
      <c r="AI38" s="36"/>
      <c r="AJ38" s="36" t="s">
        <v>139</v>
      </c>
      <c r="AK38" s="11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 t="s">
        <v>139</v>
      </c>
      <c r="AW38" s="36"/>
      <c r="AX38" s="116"/>
      <c r="AY38" s="116"/>
      <c r="AZ38" s="116"/>
      <c r="BA38" s="36"/>
      <c r="BB38" s="36" t="s">
        <v>139</v>
      </c>
      <c r="BC38" s="116"/>
      <c r="BD38" s="116" t="s">
        <v>139</v>
      </c>
      <c r="BE38" s="116"/>
      <c r="BF38" s="116"/>
      <c r="BG38" s="116" t="s">
        <v>139</v>
      </c>
      <c r="BH38" s="116"/>
      <c r="BI38" s="116"/>
      <c r="BJ38" s="116"/>
      <c r="BK38" s="116"/>
      <c r="BL38" s="116"/>
      <c r="BM38" s="116"/>
      <c r="BN38" s="116"/>
      <c r="BO38" s="116"/>
      <c r="BP38" s="116">
        <f t="shared" si="11"/>
        <v>7</v>
      </c>
      <c r="BQ38" s="116">
        <f t="shared" si="12"/>
        <v>1</v>
      </c>
      <c r="BR38" s="116">
        <f t="shared" si="13"/>
        <v>1</v>
      </c>
      <c r="BS38" s="146">
        <f t="shared" si="14"/>
        <v>5</v>
      </c>
      <c r="BT38" s="73" t="s">
        <v>203</v>
      </c>
      <c r="BU38" s="73"/>
    </row>
    <row r="39" spans="1:73" x14ac:dyDescent="0.25">
      <c r="A39">
        <v>25</v>
      </c>
      <c r="B39" s="74">
        <v>46035.100613425922</v>
      </c>
      <c r="E39" s="7">
        <v>46035</v>
      </c>
      <c r="F39">
        <v>1235</v>
      </c>
      <c r="I39" s="10" t="s">
        <v>204</v>
      </c>
      <c r="J39" s="161">
        <v>46035</v>
      </c>
      <c r="K39" s="96">
        <f t="shared" si="10"/>
        <v>1</v>
      </c>
      <c r="L39" s="96">
        <v>39</v>
      </c>
      <c r="O39" s="7" t="s">
        <v>169</v>
      </c>
      <c r="R39" s="7">
        <f>MAX($L52:$L1171)+1</f>
        <v>148</v>
      </c>
      <c r="T39" t="s">
        <v>205</v>
      </c>
      <c r="X39" s="36" t="s">
        <v>139</v>
      </c>
      <c r="Y39" s="36"/>
      <c r="Z39" s="36"/>
      <c r="AA39" s="36" t="s">
        <v>139</v>
      </c>
      <c r="AB39" s="36"/>
      <c r="AC39" s="36"/>
      <c r="AD39" s="36"/>
      <c r="AE39" s="36" t="s">
        <v>139</v>
      </c>
      <c r="AF39" s="36"/>
      <c r="AG39" s="36"/>
      <c r="AH39" s="36" t="s">
        <v>139</v>
      </c>
      <c r="AI39" s="36" t="s">
        <v>139</v>
      </c>
      <c r="AJ39" s="36" t="s">
        <v>139</v>
      </c>
      <c r="AK39" s="116"/>
      <c r="AL39" s="36"/>
      <c r="AM39" s="36" t="s">
        <v>139</v>
      </c>
      <c r="AN39" s="36"/>
      <c r="AO39" s="36"/>
      <c r="AP39" s="36"/>
      <c r="AQ39" s="36"/>
      <c r="AR39" s="36"/>
      <c r="AS39" s="36" t="s">
        <v>139</v>
      </c>
      <c r="AT39" s="36" t="s">
        <v>139</v>
      </c>
      <c r="AU39" s="36" t="s">
        <v>139</v>
      </c>
      <c r="AV39" s="36"/>
      <c r="AW39" s="36"/>
      <c r="AX39" s="116"/>
      <c r="AY39" s="116" t="s">
        <v>139</v>
      </c>
      <c r="AZ39" s="116"/>
      <c r="BA39" s="36" t="s">
        <v>139</v>
      </c>
      <c r="BB39" s="36" t="s">
        <v>139</v>
      </c>
      <c r="BC39" s="116"/>
      <c r="BD39" s="116" t="s">
        <v>139</v>
      </c>
      <c r="BE39" s="116"/>
      <c r="BF39" s="116"/>
      <c r="BG39" s="116"/>
      <c r="BH39" s="116" t="s">
        <v>139</v>
      </c>
      <c r="BI39" s="116"/>
      <c r="BJ39" s="116"/>
      <c r="BK39" s="116" t="s">
        <v>139</v>
      </c>
      <c r="BL39" s="116"/>
      <c r="BM39" s="116"/>
      <c r="BN39" s="116"/>
      <c r="BO39" s="116"/>
      <c r="BP39" s="116">
        <f t="shared" si="11"/>
        <v>15</v>
      </c>
      <c r="BQ39" s="116">
        <f t="shared" si="12"/>
        <v>3</v>
      </c>
      <c r="BR39" s="116">
        <f t="shared" si="13"/>
        <v>3</v>
      </c>
      <c r="BS39" s="146">
        <f t="shared" si="14"/>
        <v>11</v>
      </c>
      <c r="BT39" s="73" t="s">
        <v>206</v>
      </c>
      <c r="BU39" s="73"/>
    </row>
    <row r="40" spans="1:73" x14ac:dyDescent="0.25">
      <c r="A40">
        <v>26</v>
      </c>
      <c r="B40" s="74">
        <v>46035.119699074072</v>
      </c>
      <c r="E40" s="7">
        <v>46035</v>
      </c>
      <c r="F40">
        <v>1236</v>
      </c>
      <c r="I40" s="10" t="s">
        <v>198</v>
      </c>
      <c r="J40" s="161">
        <v>46035</v>
      </c>
      <c r="K40" s="96">
        <f t="shared" si="10"/>
        <v>1</v>
      </c>
      <c r="L40" s="96">
        <v>40</v>
      </c>
      <c r="O40" s="7" t="s">
        <v>137</v>
      </c>
      <c r="R40" s="7">
        <f>MAX($L53:$L1172)+1</f>
        <v>148</v>
      </c>
      <c r="T40" t="s">
        <v>207</v>
      </c>
      <c r="X40" s="36" t="s">
        <v>139</v>
      </c>
      <c r="Y40" s="36"/>
      <c r="Z40" s="36"/>
      <c r="AA40" s="36" t="s">
        <v>139</v>
      </c>
      <c r="AB40" s="36"/>
      <c r="AC40" s="36"/>
      <c r="AD40" s="36"/>
      <c r="AE40" s="36" t="s">
        <v>139</v>
      </c>
      <c r="AF40" s="36"/>
      <c r="AG40" s="36"/>
      <c r="AH40" s="36" t="s">
        <v>139</v>
      </c>
      <c r="AI40" s="36" t="s">
        <v>139</v>
      </c>
      <c r="AJ40" s="36" t="s">
        <v>139</v>
      </c>
      <c r="AK40" s="116"/>
      <c r="AL40" s="36"/>
      <c r="AM40" s="36" t="s">
        <v>139</v>
      </c>
      <c r="AN40" s="36"/>
      <c r="AO40" s="36"/>
      <c r="AP40" s="36"/>
      <c r="AQ40" s="36"/>
      <c r="AR40" s="36"/>
      <c r="AS40" s="36" t="s">
        <v>139</v>
      </c>
      <c r="AT40" s="36" t="s">
        <v>139</v>
      </c>
      <c r="AU40" s="36" t="s">
        <v>139</v>
      </c>
      <c r="AV40" s="36"/>
      <c r="AW40" s="36"/>
      <c r="AX40" s="116"/>
      <c r="AY40" s="116" t="s">
        <v>139</v>
      </c>
      <c r="AZ40" s="116"/>
      <c r="BA40" s="36" t="s">
        <v>139</v>
      </c>
      <c r="BB40" s="36" t="s">
        <v>139</v>
      </c>
      <c r="BC40" s="116"/>
      <c r="BD40" s="116" t="s">
        <v>139</v>
      </c>
      <c r="BE40" s="116"/>
      <c r="BF40" s="116"/>
      <c r="BG40" s="116"/>
      <c r="BH40" s="116" t="s">
        <v>139</v>
      </c>
      <c r="BI40" s="116"/>
      <c r="BJ40" s="116"/>
      <c r="BK40" s="116" t="s">
        <v>139</v>
      </c>
      <c r="BL40" s="116"/>
      <c r="BM40" s="116"/>
      <c r="BN40" s="116"/>
      <c r="BO40" s="116"/>
      <c r="BP40" s="116">
        <f t="shared" si="11"/>
        <v>15</v>
      </c>
      <c r="BQ40" s="116">
        <f t="shared" si="12"/>
        <v>3</v>
      </c>
      <c r="BR40" s="116">
        <f t="shared" si="13"/>
        <v>3</v>
      </c>
      <c r="BS40" s="146">
        <f t="shared" si="14"/>
        <v>11</v>
      </c>
      <c r="BT40" s="73" t="s">
        <v>148</v>
      </c>
      <c r="BU40" s="73"/>
    </row>
    <row r="41" spans="1:73" x14ac:dyDescent="0.25">
      <c r="A41">
        <v>27</v>
      </c>
      <c r="B41" s="74">
        <v>46035.285937499997</v>
      </c>
      <c r="E41" s="7">
        <v>46035</v>
      </c>
      <c r="F41">
        <v>1237</v>
      </c>
      <c r="I41" s="10" t="s">
        <v>204</v>
      </c>
      <c r="J41" s="161">
        <v>46035</v>
      </c>
      <c r="K41" s="96">
        <f t="shared" si="10"/>
        <v>1</v>
      </c>
      <c r="L41" s="96">
        <v>41</v>
      </c>
      <c r="O41" s="7" t="s">
        <v>137</v>
      </c>
      <c r="R41" s="7">
        <f>MAX($L54:$L1173)+1</f>
        <v>148</v>
      </c>
      <c r="T41" t="s">
        <v>208</v>
      </c>
      <c r="X41" s="36" t="s">
        <v>139</v>
      </c>
      <c r="Y41" s="36"/>
      <c r="Z41" s="36" t="s">
        <v>139</v>
      </c>
      <c r="AA41" s="36" t="s">
        <v>139</v>
      </c>
      <c r="AB41" s="36"/>
      <c r="AC41" s="36"/>
      <c r="AD41" s="36"/>
      <c r="AE41" s="36" t="s">
        <v>139</v>
      </c>
      <c r="AF41" s="36"/>
      <c r="AG41" s="36"/>
      <c r="AH41" s="36" t="s">
        <v>139</v>
      </c>
      <c r="AI41" s="36" t="s">
        <v>139</v>
      </c>
      <c r="AJ41" s="36" t="s">
        <v>139</v>
      </c>
      <c r="AK41" s="116"/>
      <c r="AL41" s="36"/>
      <c r="AM41" s="36" t="s">
        <v>139</v>
      </c>
      <c r="AN41" s="36"/>
      <c r="AO41" s="36"/>
      <c r="AP41" s="36"/>
      <c r="AQ41" s="36"/>
      <c r="AR41" s="36"/>
      <c r="AS41" s="36" t="s">
        <v>139</v>
      </c>
      <c r="AT41" s="36" t="s">
        <v>139</v>
      </c>
      <c r="AU41" s="36" t="s">
        <v>139</v>
      </c>
      <c r="AV41" s="36"/>
      <c r="AW41" s="36"/>
      <c r="AX41" s="116"/>
      <c r="AY41" s="116" t="s">
        <v>139</v>
      </c>
      <c r="AZ41" s="116"/>
      <c r="BA41" s="36" t="s">
        <v>139</v>
      </c>
      <c r="BB41" s="36" t="s">
        <v>139</v>
      </c>
      <c r="BC41" s="116"/>
      <c r="BD41" s="116" t="s">
        <v>139</v>
      </c>
      <c r="BE41" s="116"/>
      <c r="BF41" s="116"/>
      <c r="BG41" s="116"/>
      <c r="BH41" s="116" t="s">
        <v>139</v>
      </c>
      <c r="BI41" s="116"/>
      <c r="BJ41" s="116"/>
      <c r="BK41" s="116" t="s">
        <v>139</v>
      </c>
      <c r="BL41" s="116"/>
      <c r="BM41" s="116"/>
      <c r="BN41" s="116"/>
      <c r="BO41" s="116"/>
      <c r="BP41" s="116">
        <f t="shared" si="11"/>
        <v>16</v>
      </c>
      <c r="BQ41" s="116">
        <f t="shared" si="12"/>
        <v>3</v>
      </c>
      <c r="BR41" s="116">
        <f t="shared" si="13"/>
        <v>4</v>
      </c>
      <c r="BS41" s="146">
        <f t="shared" si="14"/>
        <v>11</v>
      </c>
      <c r="BT41" s="73" t="s">
        <v>206</v>
      </c>
      <c r="BU41" s="73"/>
    </row>
    <row r="42" spans="1:73" x14ac:dyDescent="0.25">
      <c r="A42">
        <v>28</v>
      </c>
      <c r="B42" s="74">
        <v>46035.28943287037</v>
      </c>
      <c r="E42" s="7">
        <v>46036</v>
      </c>
      <c r="F42">
        <v>1238</v>
      </c>
      <c r="I42" s="10" t="s">
        <v>209</v>
      </c>
      <c r="J42" s="161">
        <v>46035</v>
      </c>
      <c r="K42" s="96">
        <f t="shared" si="10"/>
        <v>1</v>
      </c>
      <c r="L42" s="96">
        <v>42</v>
      </c>
      <c r="O42" s="7" t="s">
        <v>169</v>
      </c>
      <c r="R42" s="7">
        <f>MAX($L55:$L1174)+1</f>
        <v>148</v>
      </c>
      <c r="T42" t="s">
        <v>210</v>
      </c>
      <c r="X42" s="36"/>
      <c r="Y42" s="36"/>
      <c r="Z42" s="36" t="s">
        <v>139</v>
      </c>
      <c r="AA42" s="36" t="s">
        <v>139</v>
      </c>
      <c r="AB42" s="36"/>
      <c r="AC42" s="36" t="s">
        <v>139</v>
      </c>
      <c r="AD42" s="36"/>
      <c r="AE42" s="36" t="s">
        <v>139</v>
      </c>
      <c r="AF42" s="36"/>
      <c r="AG42" s="36"/>
      <c r="AH42" s="36"/>
      <c r="AI42" s="36" t="s">
        <v>139</v>
      </c>
      <c r="AJ42" s="36" t="s">
        <v>139</v>
      </c>
      <c r="AK42" s="11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 t="s">
        <v>139</v>
      </c>
      <c r="AW42" s="36"/>
      <c r="AX42" s="116"/>
      <c r="AY42" s="116" t="s">
        <v>139</v>
      </c>
      <c r="AZ42" s="116"/>
      <c r="BA42" s="36" t="s">
        <v>139</v>
      </c>
      <c r="BB42" s="36" t="s">
        <v>139</v>
      </c>
      <c r="BC42" s="116"/>
      <c r="BD42" s="116"/>
      <c r="BE42" s="116"/>
      <c r="BF42" s="116"/>
      <c r="BG42" s="116" t="s">
        <v>139</v>
      </c>
      <c r="BH42" s="116"/>
      <c r="BI42" s="116"/>
      <c r="BJ42" s="116" t="s">
        <v>139</v>
      </c>
      <c r="BK42" s="116"/>
      <c r="BL42" s="116"/>
      <c r="BM42" s="116"/>
      <c r="BN42" s="116"/>
      <c r="BO42" s="116"/>
      <c r="BP42" s="116">
        <f t="shared" si="11"/>
        <v>11</v>
      </c>
      <c r="BQ42" s="116">
        <f t="shared" si="12"/>
        <v>1</v>
      </c>
      <c r="BR42" s="116">
        <f t="shared" si="13"/>
        <v>4</v>
      </c>
      <c r="BS42" s="146">
        <f t="shared" si="14"/>
        <v>6</v>
      </c>
      <c r="BT42" s="73" t="s">
        <v>206</v>
      </c>
      <c r="BU42" s="73"/>
    </row>
    <row r="43" spans="1:73" x14ac:dyDescent="0.25">
      <c r="A43">
        <v>29</v>
      </c>
      <c r="B43" s="74">
        <v>46035.489212962966</v>
      </c>
      <c r="E43" s="7">
        <v>46035</v>
      </c>
      <c r="F43">
        <v>1239</v>
      </c>
      <c r="I43" s="10" t="s">
        <v>211</v>
      </c>
      <c r="J43" s="161">
        <v>46036</v>
      </c>
      <c r="K43" s="96">
        <f t="shared" si="10"/>
        <v>1</v>
      </c>
      <c r="L43" s="96">
        <v>43</v>
      </c>
      <c r="O43" s="7" t="s">
        <v>146</v>
      </c>
      <c r="R43" s="7">
        <f>MAX($L56:$L1175)+1</f>
        <v>148</v>
      </c>
      <c r="T43" t="s">
        <v>212</v>
      </c>
      <c r="X43" s="36"/>
      <c r="Y43" s="36"/>
      <c r="Z43" s="36" t="s">
        <v>139</v>
      </c>
      <c r="AA43" s="36"/>
      <c r="AB43" s="36"/>
      <c r="AC43" s="36" t="s">
        <v>139</v>
      </c>
      <c r="AD43" s="36"/>
      <c r="AE43" s="36" t="s">
        <v>139</v>
      </c>
      <c r="AF43" s="36"/>
      <c r="AG43" s="36"/>
      <c r="AH43" s="36" t="s">
        <v>139</v>
      </c>
      <c r="AI43" s="36" t="s">
        <v>139</v>
      </c>
      <c r="AJ43" s="36" t="s">
        <v>139</v>
      </c>
      <c r="AK43" s="11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 t="s">
        <v>139</v>
      </c>
      <c r="AX43" s="116"/>
      <c r="AY43" s="116" t="s">
        <v>139</v>
      </c>
      <c r="AZ43" s="116"/>
      <c r="BA43" s="36" t="s">
        <v>139</v>
      </c>
      <c r="BB43" s="36"/>
      <c r="BC43" s="116"/>
      <c r="BD43" s="116"/>
      <c r="BE43" s="116"/>
      <c r="BF43" s="116"/>
      <c r="BG43" s="116" t="s">
        <v>139</v>
      </c>
      <c r="BH43" s="116"/>
      <c r="BI43" s="116"/>
      <c r="BJ43" s="116" t="s">
        <v>139</v>
      </c>
      <c r="BK43" s="116"/>
      <c r="BL43" s="116"/>
      <c r="BM43" s="116"/>
      <c r="BN43" s="116"/>
      <c r="BO43" s="116"/>
      <c r="BP43" s="116">
        <f t="shared" si="11"/>
        <v>10</v>
      </c>
      <c r="BQ43" s="116">
        <f t="shared" si="12"/>
        <v>1</v>
      </c>
      <c r="BR43" s="116">
        <f t="shared" si="13"/>
        <v>3</v>
      </c>
      <c r="BS43" s="146">
        <f t="shared" si="14"/>
        <v>6</v>
      </c>
      <c r="BT43" s="73" t="s">
        <v>148</v>
      </c>
      <c r="BU43" s="73"/>
    </row>
    <row r="44" spans="1:73" x14ac:dyDescent="0.25">
      <c r="A44">
        <v>30</v>
      </c>
      <c r="B44" s="74">
        <v>46037.050659722219</v>
      </c>
      <c r="E44" s="7">
        <v>46037</v>
      </c>
      <c r="F44">
        <v>1240</v>
      </c>
      <c r="I44" s="10" t="s">
        <v>213</v>
      </c>
      <c r="J44" s="161">
        <v>46037</v>
      </c>
      <c r="K44" s="96">
        <f t="shared" si="10"/>
        <v>1</v>
      </c>
      <c r="L44" s="96">
        <v>44</v>
      </c>
      <c r="O44" s="7" t="s">
        <v>214</v>
      </c>
      <c r="R44" s="7">
        <f>MAX($L57:$L1176)+1</f>
        <v>148</v>
      </c>
      <c r="T44" t="s">
        <v>215</v>
      </c>
      <c r="X44" s="36"/>
      <c r="Y44" s="36" t="s">
        <v>139</v>
      </c>
      <c r="Z44" s="36"/>
      <c r="AA44" s="36" t="s">
        <v>139</v>
      </c>
      <c r="AB44" s="36"/>
      <c r="AC44" s="36" t="s">
        <v>139</v>
      </c>
      <c r="AD44" s="36"/>
      <c r="AE44" s="36"/>
      <c r="AF44" s="36"/>
      <c r="AG44" s="36"/>
      <c r="AH44" s="36" t="s">
        <v>139</v>
      </c>
      <c r="AI44" s="36"/>
      <c r="AJ44" s="36" t="s">
        <v>139</v>
      </c>
      <c r="AK44" s="116"/>
      <c r="AL44" s="36"/>
      <c r="AM44" s="36"/>
      <c r="AN44" s="36" t="s">
        <v>139</v>
      </c>
      <c r="AO44" s="36"/>
      <c r="AP44" s="36" t="s">
        <v>139</v>
      </c>
      <c r="AQ44" s="36"/>
      <c r="AR44" s="36"/>
      <c r="AS44" s="36"/>
      <c r="AT44" s="36"/>
      <c r="AU44" s="36"/>
      <c r="AV44" s="36"/>
      <c r="AW44" s="36" t="s">
        <v>139</v>
      </c>
      <c r="AX44" s="116"/>
      <c r="AY44" s="116"/>
      <c r="AZ44" s="116"/>
      <c r="BA44" s="36" t="s">
        <v>139</v>
      </c>
      <c r="BB44" s="36"/>
      <c r="BC44" s="116"/>
      <c r="BD44" s="116"/>
      <c r="BE44" s="116"/>
      <c r="BF44" s="116" t="s">
        <v>139</v>
      </c>
      <c r="BG44" s="116" t="s">
        <v>139</v>
      </c>
      <c r="BH44" s="116"/>
      <c r="BI44" s="116"/>
      <c r="BJ44" s="116" t="s">
        <v>139</v>
      </c>
      <c r="BK44" s="116"/>
      <c r="BL44" s="116"/>
      <c r="BM44" s="116"/>
      <c r="BN44" s="116"/>
      <c r="BO44" s="116"/>
      <c r="BP44" s="116">
        <f t="shared" si="11"/>
        <v>11</v>
      </c>
      <c r="BQ44" s="116">
        <f t="shared" si="12"/>
        <v>2</v>
      </c>
      <c r="BR44" s="116">
        <f t="shared" si="13"/>
        <v>3</v>
      </c>
      <c r="BS44" s="146">
        <f t="shared" si="14"/>
        <v>6</v>
      </c>
      <c r="BT44" s="73" t="s">
        <v>216</v>
      </c>
      <c r="BU44" s="73"/>
    </row>
    <row r="45" spans="1:73" x14ac:dyDescent="0.25">
      <c r="A45">
        <v>31</v>
      </c>
      <c r="B45" s="74">
        <v>46037.951608796298</v>
      </c>
      <c r="E45" s="7">
        <v>46038</v>
      </c>
      <c r="F45">
        <v>1241</v>
      </c>
      <c r="I45" s="10" t="s">
        <v>217</v>
      </c>
      <c r="J45" s="161">
        <v>46038</v>
      </c>
      <c r="K45" s="96">
        <f t="shared" si="10"/>
        <v>1</v>
      </c>
      <c r="L45" s="96">
        <v>45</v>
      </c>
      <c r="O45" s="7" t="s">
        <v>218</v>
      </c>
      <c r="R45" s="7">
        <f>MAX($L58:$L1177)+1</f>
        <v>148</v>
      </c>
      <c r="T45" t="s">
        <v>219</v>
      </c>
      <c r="X45" s="36" t="s">
        <v>139</v>
      </c>
      <c r="Y45" s="36" t="s">
        <v>139</v>
      </c>
      <c r="Z45" s="36"/>
      <c r="AA45" s="36"/>
      <c r="AB45" s="36"/>
      <c r="AC45" s="36"/>
      <c r="AD45" s="36"/>
      <c r="AE45" s="36"/>
      <c r="AF45" s="36"/>
      <c r="AG45" s="36"/>
      <c r="AH45" s="36" t="s">
        <v>139</v>
      </c>
      <c r="AI45" s="36"/>
      <c r="AJ45" s="36" t="s">
        <v>139</v>
      </c>
      <c r="AK45" s="116"/>
      <c r="AL45" s="36"/>
      <c r="AM45" s="36"/>
      <c r="AN45" s="36" t="s">
        <v>139</v>
      </c>
      <c r="AO45" s="36"/>
      <c r="AP45" s="36" t="s">
        <v>139</v>
      </c>
      <c r="AQ45" s="36"/>
      <c r="AR45" s="36"/>
      <c r="AS45" s="36"/>
      <c r="AT45" s="36"/>
      <c r="AU45" s="36" t="s">
        <v>139</v>
      </c>
      <c r="AV45" s="36"/>
      <c r="AW45" s="36"/>
      <c r="AX45" s="116"/>
      <c r="AY45" s="116"/>
      <c r="AZ45" s="116"/>
      <c r="BA45" s="36"/>
      <c r="BB45" s="36"/>
      <c r="BC45" s="116"/>
      <c r="BD45" s="116"/>
      <c r="BE45" s="116"/>
      <c r="BF45" s="116"/>
      <c r="BG45" s="116" t="s">
        <v>139</v>
      </c>
      <c r="BH45" s="116"/>
      <c r="BI45" s="116"/>
      <c r="BJ45" s="116" t="s">
        <v>139</v>
      </c>
      <c r="BK45" s="116"/>
      <c r="BL45" s="116"/>
      <c r="BM45" s="116"/>
      <c r="BN45" s="116"/>
      <c r="BO45" s="116"/>
      <c r="BP45" s="116">
        <f t="shared" si="11"/>
        <v>8</v>
      </c>
      <c r="BQ45" s="116">
        <f t="shared" si="12"/>
        <v>2</v>
      </c>
      <c r="BR45" s="116">
        <f t="shared" si="13"/>
        <v>2</v>
      </c>
      <c r="BS45" s="146">
        <f t="shared" si="14"/>
        <v>5</v>
      </c>
      <c r="BT45" s="73" t="s">
        <v>220</v>
      </c>
      <c r="BU45" s="73"/>
    </row>
    <row r="46" spans="1:73" x14ac:dyDescent="0.25">
      <c r="A46">
        <v>32</v>
      </c>
      <c r="B46" s="74">
        <v>46038.526585648149</v>
      </c>
      <c r="E46" s="7">
        <v>46039</v>
      </c>
      <c r="F46">
        <v>1242</v>
      </c>
      <c r="I46" s="10" t="s">
        <v>221</v>
      </c>
      <c r="J46" s="161">
        <v>46039</v>
      </c>
      <c r="K46" s="96">
        <f t="shared" si="10"/>
        <v>1</v>
      </c>
      <c r="L46" s="96">
        <v>46</v>
      </c>
      <c r="O46" s="7" t="s">
        <v>137</v>
      </c>
      <c r="R46" s="7">
        <f>MAX($L59:$L1178)+1</f>
        <v>148</v>
      </c>
      <c r="T46" t="s">
        <v>222</v>
      </c>
      <c r="X46" s="36" t="s">
        <v>139</v>
      </c>
      <c r="Y46" s="36"/>
      <c r="Z46" s="36" t="s">
        <v>139</v>
      </c>
      <c r="AA46" s="36"/>
      <c r="AB46" s="36"/>
      <c r="AC46" s="36" t="s">
        <v>139</v>
      </c>
      <c r="AD46" s="36" t="s">
        <v>139</v>
      </c>
      <c r="AE46" s="36"/>
      <c r="AF46" s="36"/>
      <c r="AG46" s="36"/>
      <c r="AH46" s="36" t="s">
        <v>139</v>
      </c>
      <c r="AI46" s="36"/>
      <c r="AJ46" s="36" t="s">
        <v>139</v>
      </c>
      <c r="AK46" s="116"/>
      <c r="AL46" s="36"/>
      <c r="AM46" s="36"/>
      <c r="AN46" s="36"/>
      <c r="AO46" s="36"/>
      <c r="AP46" s="36"/>
      <c r="AQ46" s="36"/>
      <c r="AR46" s="36"/>
      <c r="AS46" s="36"/>
      <c r="AT46" s="36" t="s">
        <v>139</v>
      </c>
      <c r="AU46" s="36"/>
      <c r="AV46" s="36"/>
      <c r="AW46" s="36" t="s">
        <v>139</v>
      </c>
      <c r="AX46" s="116"/>
      <c r="AY46" s="116"/>
      <c r="AZ46" s="116"/>
      <c r="BA46" s="36"/>
      <c r="BB46" s="36"/>
      <c r="BC46" s="116"/>
      <c r="BD46" s="116"/>
      <c r="BE46" s="116"/>
      <c r="BF46" s="116" t="s">
        <v>139</v>
      </c>
      <c r="BG46" s="116" t="s">
        <v>139</v>
      </c>
      <c r="BH46" s="116"/>
      <c r="BI46" s="116"/>
      <c r="BJ46" s="116" t="s">
        <v>139</v>
      </c>
      <c r="BK46" s="116"/>
      <c r="BL46" s="116"/>
      <c r="BM46" s="116"/>
      <c r="BN46" s="116"/>
      <c r="BO46" s="116"/>
      <c r="BP46" s="116">
        <f t="shared" si="11"/>
        <v>10</v>
      </c>
      <c r="BQ46" s="116">
        <f t="shared" si="12"/>
        <v>2</v>
      </c>
      <c r="BR46" s="116">
        <f t="shared" si="13"/>
        <v>4</v>
      </c>
      <c r="BS46" s="146">
        <f t="shared" si="14"/>
        <v>4</v>
      </c>
      <c r="BT46" s="73" t="s">
        <v>140</v>
      </c>
      <c r="BU46" s="73"/>
    </row>
    <row r="47" spans="1:73" x14ac:dyDescent="0.25">
      <c r="A47">
        <v>33</v>
      </c>
      <c r="B47" s="74">
        <v>46040.096689814818</v>
      </c>
      <c r="E47" s="7">
        <v>46040</v>
      </c>
      <c r="F47">
        <v>1243</v>
      </c>
      <c r="I47" s="10" t="s">
        <v>223</v>
      </c>
      <c r="J47" s="161">
        <v>46040</v>
      </c>
      <c r="K47" s="96">
        <f t="shared" ref="K47:K78" si="15">MONTH($J47)</f>
        <v>1</v>
      </c>
      <c r="L47" s="96">
        <v>47</v>
      </c>
      <c r="O47" s="7" t="s">
        <v>146</v>
      </c>
      <c r="R47" s="7">
        <f>MAX($L60:$L1179)+1</f>
        <v>148</v>
      </c>
      <c r="T47" t="s">
        <v>224</v>
      </c>
      <c r="X47" s="36"/>
      <c r="Y47" s="36" t="s">
        <v>139</v>
      </c>
      <c r="Z47" s="36" t="s">
        <v>139</v>
      </c>
      <c r="AA47" s="36" t="s">
        <v>139</v>
      </c>
      <c r="AB47" s="36"/>
      <c r="AC47" s="36"/>
      <c r="AD47" s="36" t="s">
        <v>139</v>
      </c>
      <c r="AE47" s="36"/>
      <c r="AF47" s="36"/>
      <c r="AG47" s="36" t="s">
        <v>139</v>
      </c>
      <c r="AH47" s="36" t="s">
        <v>139</v>
      </c>
      <c r="AI47" s="36"/>
      <c r="AJ47" s="36" t="s">
        <v>139</v>
      </c>
      <c r="AK47" s="116"/>
      <c r="AL47" s="36"/>
      <c r="AM47" s="36" t="s">
        <v>139</v>
      </c>
      <c r="AN47" s="36"/>
      <c r="AO47" s="36" t="s">
        <v>139</v>
      </c>
      <c r="AP47" s="36" t="s">
        <v>139</v>
      </c>
      <c r="AQ47" s="36"/>
      <c r="AR47" s="36"/>
      <c r="AS47" s="36"/>
      <c r="AT47" s="36"/>
      <c r="AU47" s="36"/>
      <c r="AV47" s="36"/>
      <c r="AW47" s="36"/>
      <c r="AX47" s="116"/>
      <c r="AY47" s="116"/>
      <c r="AZ47" s="116"/>
      <c r="BA47" s="36"/>
      <c r="BB47" s="36"/>
      <c r="BC47" s="116"/>
      <c r="BD47" s="116" t="s">
        <v>139</v>
      </c>
      <c r="BE47" s="116"/>
      <c r="BF47" s="116"/>
      <c r="BG47" s="116"/>
      <c r="BH47" s="116"/>
      <c r="BI47" s="116"/>
      <c r="BJ47" s="116" t="s">
        <v>139</v>
      </c>
      <c r="BK47" s="116"/>
      <c r="BL47" s="116"/>
      <c r="BM47" s="116"/>
      <c r="BN47" s="116"/>
      <c r="BO47" s="116"/>
      <c r="BP47" s="116">
        <f t="shared" si="11"/>
        <v>11</v>
      </c>
      <c r="BQ47" s="116">
        <f t="shared" si="12"/>
        <v>3</v>
      </c>
      <c r="BR47" s="116">
        <f t="shared" si="13"/>
        <v>4</v>
      </c>
      <c r="BS47" s="146">
        <f t="shared" si="14"/>
        <v>7</v>
      </c>
      <c r="BT47" s="73" t="s">
        <v>225</v>
      </c>
      <c r="BU47" s="73"/>
    </row>
    <row r="48" spans="1:73" x14ac:dyDescent="0.25">
      <c r="A48">
        <v>34</v>
      </c>
      <c r="B48" s="74">
        <v>46040.986967592595</v>
      </c>
      <c r="E48" s="7">
        <v>46041</v>
      </c>
      <c r="F48">
        <v>1244</v>
      </c>
      <c r="I48" s="10" t="s">
        <v>226</v>
      </c>
      <c r="J48" s="161">
        <v>46041</v>
      </c>
      <c r="K48" s="96">
        <f t="shared" si="15"/>
        <v>1</v>
      </c>
      <c r="L48" s="96">
        <v>48</v>
      </c>
      <c r="O48" s="7" t="s">
        <v>227</v>
      </c>
      <c r="R48" s="7">
        <f>MAX($L61:$L1180)+1</f>
        <v>148</v>
      </c>
      <c r="T48" t="s">
        <v>228</v>
      </c>
      <c r="X48" s="36"/>
      <c r="Y48" s="36" t="s">
        <v>139</v>
      </c>
      <c r="Z48" s="36"/>
      <c r="AA48" s="36" t="s">
        <v>139</v>
      </c>
      <c r="AB48" s="36"/>
      <c r="AC48" s="36"/>
      <c r="AD48" s="36"/>
      <c r="AE48" s="36"/>
      <c r="AF48" s="36" t="s">
        <v>139</v>
      </c>
      <c r="AG48" s="36"/>
      <c r="AH48" s="36" t="s">
        <v>139</v>
      </c>
      <c r="AI48" s="36"/>
      <c r="AJ48" s="36" t="s">
        <v>139</v>
      </c>
      <c r="AK48" s="116"/>
      <c r="AL48" s="36" t="s">
        <v>139</v>
      </c>
      <c r="AM48" s="36"/>
      <c r="AN48" s="36" t="s">
        <v>139</v>
      </c>
      <c r="AO48" s="36"/>
      <c r="AP48" s="36"/>
      <c r="AQ48" s="36"/>
      <c r="AR48" s="36"/>
      <c r="AS48" s="36"/>
      <c r="AT48" s="36"/>
      <c r="AU48" s="36" t="s">
        <v>139</v>
      </c>
      <c r="AV48" s="36"/>
      <c r="AW48" s="36"/>
      <c r="AX48" s="116"/>
      <c r="AY48" s="116"/>
      <c r="AZ48" s="116"/>
      <c r="BA48" s="36"/>
      <c r="BB48" s="36"/>
      <c r="BC48" s="116"/>
      <c r="BD48" s="116"/>
      <c r="BE48" s="116"/>
      <c r="BF48" s="116"/>
      <c r="BG48" s="116" t="s">
        <v>139</v>
      </c>
      <c r="BH48" s="116"/>
      <c r="BI48" s="116"/>
      <c r="BJ48" s="116" t="s">
        <v>139</v>
      </c>
      <c r="BK48" s="116"/>
      <c r="BL48" s="116"/>
      <c r="BM48" s="116"/>
      <c r="BN48" s="116"/>
      <c r="BO48" s="116"/>
      <c r="BP48" s="116">
        <f t="shared" si="11"/>
        <v>9</v>
      </c>
      <c r="BQ48" s="116">
        <f t="shared" si="12"/>
        <v>2</v>
      </c>
      <c r="BR48" s="116">
        <f t="shared" si="13"/>
        <v>2</v>
      </c>
      <c r="BS48" s="146">
        <f t="shared" si="14"/>
        <v>6</v>
      </c>
      <c r="BT48" s="73" t="s">
        <v>155</v>
      </c>
      <c r="BU48" s="73"/>
    </row>
    <row r="49" spans="1:73" x14ac:dyDescent="0.25">
      <c r="A49">
        <v>35</v>
      </c>
      <c r="B49" s="74">
        <v>46041.044085648151</v>
      </c>
      <c r="E49" s="7">
        <v>46041</v>
      </c>
      <c r="F49">
        <v>1245</v>
      </c>
      <c r="I49" s="10" t="s">
        <v>229</v>
      </c>
      <c r="J49" s="161">
        <v>46041</v>
      </c>
      <c r="K49" s="96">
        <f t="shared" si="15"/>
        <v>1</v>
      </c>
      <c r="L49" s="96">
        <v>49</v>
      </c>
      <c r="O49" s="7" t="s">
        <v>169</v>
      </c>
      <c r="R49" s="7">
        <f>MAX($L62:$L1181)+1</f>
        <v>148</v>
      </c>
      <c r="T49" t="s">
        <v>230</v>
      </c>
      <c r="X49" s="36"/>
      <c r="Y49" s="36" t="s">
        <v>139</v>
      </c>
      <c r="Z49" s="36"/>
      <c r="AA49" s="36"/>
      <c r="AB49" s="36"/>
      <c r="AC49" s="36"/>
      <c r="AD49" s="36"/>
      <c r="AE49" s="36"/>
      <c r="AF49" s="36" t="s">
        <v>139</v>
      </c>
      <c r="AG49" s="36"/>
      <c r="AH49" s="36" t="s">
        <v>139</v>
      </c>
      <c r="AI49" s="36"/>
      <c r="AJ49" s="36" t="s">
        <v>139</v>
      </c>
      <c r="AK49" s="116"/>
      <c r="AL49" s="36" t="s">
        <v>139</v>
      </c>
      <c r="AM49" s="36" t="s">
        <v>139</v>
      </c>
      <c r="AN49" s="36" t="s">
        <v>139</v>
      </c>
      <c r="AO49" s="36"/>
      <c r="AP49" s="36"/>
      <c r="AQ49" s="36"/>
      <c r="AR49" s="36"/>
      <c r="AS49" s="36"/>
      <c r="AT49" s="36"/>
      <c r="AU49" s="36"/>
      <c r="AV49" s="36"/>
      <c r="AW49" s="36"/>
      <c r="AX49" s="116"/>
      <c r="AY49" s="116"/>
      <c r="AZ49" s="116"/>
      <c r="BA49" s="36"/>
      <c r="BB49" s="36"/>
      <c r="BC49" s="116"/>
      <c r="BD49" s="116"/>
      <c r="BE49" s="116"/>
      <c r="BF49" s="116"/>
      <c r="BG49" s="116" t="s">
        <v>139</v>
      </c>
      <c r="BH49" s="116"/>
      <c r="BI49" s="116"/>
      <c r="BJ49" s="116" t="s">
        <v>139</v>
      </c>
      <c r="BK49" s="116"/>
      <c r="BL49" s="116"/>
      <c r="BM49" s="116"/>
      <c r="BN49" s="116"/>
      <c r="BO49" s="116"/>
      <c r="BP49" s="116">
        <f t="shared" si="11"/>
        <v>8</v>
      </c>
      <c r="BQ49" s="116">
        <f t="shared" si="12"/>
        <v>2</v>
      </c>
      <c r="BR49" s="116">
        <f t="shared" si="13"/>
        <v>1</v>
      </c>
      <c r="BS49" s="146">
        <f t="shared" si="14"/>
        <v>6</v>
      </c>
      <c r="BT49" s="73" t="s">
        <v>231</v>
      </c>
      <c r="BU49" s="73"/>
    </row>
    <row r="50" spans="1:73" x14ac:dyDescent="0.25">
      <c r="A50">
        <v>36</v>
      </c>
      <c r="B50" s="74">
        <v>46042.055601851855</v>
      </c>
      <c r="E50" s="7">
        <v>46042</v>
      </c>
      <c r="F50">
        <v>1246</v>
      </c>
      <c r="I50" s="10" t="s">
        <v>232</v>
      </c>
      <c r="J50" s="161">
        <v>46042</v>
      </c>
      <c r="K50" s="96">
        <f t="shared" si="15"/>
        <v>1</v>
      </c>
      <c r="L50" s="96">
        <v>50</v>
      </c>
      <c r="O50" s="7" t="s">
        <v>142</v>
      </c>
      <c r="R50" s="7">
        <f>MAX($L63:$L1182)+1</f>
        <v>148</v>
      </c>
      <c r="T50" t="s">
        <v>233</v>
      </c>
      <c r="X50" s="36"/>
      <c r="Y50" s="36" t="s">
        <v>139</v>
      </c>
      <c r="Z50" s="36"/>
      <c r="AA50" s="36" t="s">
        <v>139</v>
      </c>
      <c r="AB50" s="36"/>
      <c r="AC50" s="36"/>
      <c r="AD50" s="36"/>
      <c r="AE50" s="36" t="s">
        <v>139</v>
      </c>
      <c r="AF50" s="36" t="s">
        <v>139</v>
      </c>
      <c r="AG50" s="36"/>
      <c r="AH50" s="36"/>
      <c r="AI50" s="36" t="s">
        <v>139</v>
      </c>
      <c r="AJ50" s="36" t="s">
        <v>139</v>
      </c>
      <c r="AK50" s="116"/>
      <c r="AL50" s="36" t="s">
        <v>139</v>
      </c>
      <c r="AM50" s="36"/>
      <c r="AN50" s="36" t="s">
        <v>139</v>
      </c>
      <c r="AO50" s="36"/>
      <c r="AP50" s="36"/>
      <c r="AQ50" s="36"/>
      <c r="AR50" s="36"/>
      <c r="AS50" s="36"/>
      <c r="AT50" s="36"/>
      <c r="AU50" s="36"/>
      <c r="AV50" s="36"/>
      <c r="AW50" s="36" t="s">
        <v>139</v>
      </c>
      <c r="AX50" s="116"/>
      <c r="AY50" s="116"/>
      <c r="AZ50" s="116"/>
      <c r="BA50" s="36"/>
      <c r="BB50" s="36"/>
      <c r="BC50" s="116"/>
      <c r="BD50" s="116"/>
      <c r="BE50" s="116"/>
      <c r="BF50" s="116"/>
      <c r="BG50" s="116" t="s">
        <v>139</v>
      </c>
      <c r="BH50" s="116"/>
      <c r="BI50" s="116"/>
      <c r="BJ50" s="116" t="s">
        <v>139</v>
      </c>
      <c r="BK50" s="116" t="s">
        <v>139</v>
      </c>
      <c r="BL50" s="116"/>
      <c r="BM50" s="116"/>
      <c r="BN50" s="116"/>
      <c r="BO50" s="116"/>
      <c r="BP50" s="116">
        <f t="shared" si="11"/>
        <v>10</v>
      </c>
      <c r="BQ50" s="116">
        <f t="shared" si="12"/>
        <v>2</v>
      </c>
      <c r="BR50" s="116">
        <f t="shared" si="13"/>
        <v>3</v>
      </c>
      <c r="BS50" s="146">
        <f t="shared" si="14"/>
        <v>6</v>
      </c>
      <c r="BT50" s="73" t="s">
        <v>234</v>
      </c>
      <c r="BU50" s="73"/>
    </row>
    <row r="51" spans="1:73" x14ac:dyDescent="0.25">
      <c r="A51">
        <v>37</v>
      </c>
      <c r="B51" s="74">
        <v>46042.375752314816</v>
      </c>
      <c r="E51" s="7">
        <v>46042</v>
      </c>
      <c r="F51">
        <v>1247</v>
      </c>
      <c r="I51" s="10" t="s">
        <v>235</v>
      </c>
      <c r="J51" s="161">
        <v>46042</v>
      </c>
      <c r="K51" s="96">
        <f t="shared" si="15"/>
        <v>1</v>
      </c>
      <c r="L51" s="96">
        <v>51</v>
      </c>
      <c r="O51" s="7" t="s">
        <v>137</v>
      </c>
      <c r="R51" s="7">
        <f>MAX($L64:$L1183)+1</f>
        <v>148</v>
      </c>
      <c r="T51" t="s">
        <v>236</v>
      </c>
      <c r="X51" s="36"/>
      <c r="Y51" s="36" t="s">
        <v>139</v>
      </c>
      <c r="Z51" s="36"/>
      <c r="AA51" s="36" t="s">
        <v>139</v>
      </c>
      <c r="AB51" s="36" t="s">
        <v>139</v>
      </c>
      <c r="AC51" s="36"/>
      <c r="AD51" s="36"/>
      <c r="AE51" s="36" t="s">
        <v>139</v>
      </c>
      <c r="AF51" s="36"/>
      <c r="AG51" s="36"/>
      <c r="AH51" s="36"/>
      <c r="AI51" s="36" t="s">
        <v>139</v>
      </c>
      <c r="AJ51" s="36" t="s">
        <v>139</v>
      </c>
      <c r="AK51" s="116"/>
      <c r="AL51" s="36" t="s">
        <v>139</v>
      </c>
      <c r="AM51" s="36"/>
      <c r="AN51" s="36"/>
      <c r="AO51" s="36"/>
      <c r="AP51" s="36"/>
      <c r="AQ51" s="36"/>
      <c r="AR51" s="36"/>
      <c r="AS51" s="36" t="s">
        <v>139</v>
      </c>
      <c r="AT51" s="36"/>
      <c r="AU51" s="36"/>
      <c r="AV51" s="36"/>
      <c r="AW51" s="36" t="s">
        <v>139</v>
      </c>
      <c r="AX51" s="116"/>
      <c r="AY51" s="116"/>
      <c r="AZ51" s="116"/>
      <c r="BA51" s="36"/>
      <c r="BB51" s="36"/>
      <c r="BC51" s="116" t="s">
        <v>139</v>
      </c>
      <c r="BD51" s="116"/>
      <c r="BE51" s="116" t="s">
        <v>139</v>
      </c>
      <c r="BF51" s="116"/>
      <c r="BG51" s="116"/>
      <c r="BH51" s="116" t="s">
        <v>139</v>
      </c>
      <c r="BI51" s="116"/>
      <c r="BJ51" s="116" t="s">
        <v>139</v>
      </c>
      <c r="BK51" s="116"/>
      <c r="BL51" s="116"/>
      <c r="BM51" s="116"/>
      <c r="BN51" s="116"/>
      <c r="BO51" s="116"/>
      <c r="BP51" s="116">
        <f t="shared" si="11"/>
        <v>12</v>
      </c>
      <c r="BQ51" s="116">
        <f t="shared" si="12"/>
        <v>2</v>
      </c>
      <c r="BR51" s="116">
        <f t="shared" si="13"/>
        <v>4</v>
      </c>
      <c r="BS51" s="146">
        <f t="shared" si="14"/>
        <v>7</v>
      </c>
      <c r="BT51" s="73" t="s">
        <v>237</v>
      </c>
      <c r="BU51" s="73"/>
    </row>
    <row r="52" spans="1:73" x14ac:dyDescent="0.25">
      <c r="A52">
        <v>38</v>
      </c>
      <c r="B52" s="74">
        <v>46043.748541666668</v>
      </c>
      <c r="E52" s="7">
        <v>46044</v>
      </c>
      <c r="F52">
        <v>1248</v>
      </c>
      <c r="I52" s="10" t="s">
        <v>238</v>
      </c>
      <c r="J52" s="161">
        <v>46044</v>
      </c>
      <c r="K52" s="96">
        <f t="shared" si="15"/>
        <v>1</v>
      </c>
      <c r="L52" s="96">
        <v>52</v>
      </c>
      <c r="O52" s="7" t="s">
        <v>137</v>
      </c>
      <c r="R52" s="7">
        <f>MAX($L65:$L1184)+1</f>
        <v>148</v>
      </c>
      <c r="T52" t="s">
        <v>239</v>
      </c>
      <c r="X52" s="36"/>
      <c r="Y52" s="36" t="s">
        <v>139</v>
      </c>
      <c r="Z52" s="36"/>
      <c r="AA52" s="36"/>
      <c r="AB52" s="36" t="s">
        <v>139</v>
      </c>
      <c r="AC52" s="36"/>
      <c r="AD52" s="36"/>
      <c r="AE52" s="36"/>
      <c r="AF52" s="36"/>
      <c r="AG52" s="36"/>
      <c r="AH52" s="36" t="s">
        <v>139</v>
      </c>
      <c r="AI52" s="36"/>
      <c r="AJ52" s="36" t="s">
        <v>139</v>
      </c>
      <c r="AK52" s="116"/>
      <c r="AL52" s="36"/>
      <c r="AM52" s="36"/>
      <c r="AN52" s="36"/>
      <c r="AO52" s="36"/>
      <c r="AP52" s="36"/>
      <c r="AQ52" s="36"/>
      <c r="AR52" s="36"/>
      <c r="AS52" s="36" t="s">
        <v>139</v>
      </c>
      <c r="AT52" s="36" t="s">
        <v>139</v>
      </c>
      <c r="AU52" s="36" t="s">
        <v>139</v>
      </c>
      <c r="AV52" s="36"/>
      <c r="AW52" s="36"/>
      <c r="AX52" s="116"/>
      <c r="AY52" s="116" t="s">
        <v>139</v>
      </c>
      <c r="AZ52" s="116"/>
      <c r="BA52" s="36"/>
      <c r="BB52" s="36"/>
      <c r="BC52" s="116"/>
      <c r="BD52" s="116"/>
      <c r="BE52" s="116"/>
      <c r="BF52" s="116"/>
      <c r="BG52" s="116"/>
      <c r="BH52" s="116" t="s">
        <v>139</v>
      </c>
      <c r="BI52" s="116"/>
      <c r="BJ52" s="116"/>
      <c r="BK52" s="116"/>
      <c r="BL52" s="116"/>
      <c r="BM52" s="116"/>
      <c r="BN52" s="116"/>
      <c r="BO52" s="116"/>
      <c r="BP52" s="116">
        <f t="shared" si="11"/>
        <v>9</v>
      </c>
      <c r="BQ52" s="116">
        <f t="shared" si="12"/>
        <v>3</v>
      </c>
      <c r="BR52" s="116">
        <f t="shared" si="13"/>
        <v>2</v>
      </c>
      <c r="BS52" s="146">
        <f t="shared" si="14"/>
        <v>6</v>
      </c>
      <c r="BT52" s="73" t="s">
        <v>240</v>
      </c>
      <c r="BU52" s="73"/>
    </row>
    <row r="53" spans="1:73" x14ac:dyDescent="0.25">
      <c r="A53">
        <v>39</v>
      </c>
      <c r="B53" s="74">
        <v>46043.817939814813</v>
      </c>
      <c r="E53" s="7">
        <v>46042</v>
      </c>
      <c r="F53">
        <v>1249</v>
      </c>
      <c r="I53" s="10" t="s">
        <v>241</v>
      </c>
      <c r="J53" s="161">
        <v>46044</v>
      </c>
      <c r="K53" s="96">
        <f t="shared" si="15"/>
        <v>1</v>
      </c>
      <c r="L53" s="96">
        <v>53</v>
      </c>
      <c r="O53" s="7" t="s">
        <v>137</v>
      </c>
      <c r="R53" s="7">
        <f>MAX($L66:$L1185)+1</f>
        <v>148</v>
      </c>
      <c r="T53" t="s">
        <v>242</v>
      </c>
      <c r="X53" s="36"/>
      <c r="Y53" s="36" t="s">
        <v>139</v>
      </c>
      <c r="Z53" s="36"/>
      <c r="AA53" s="36"/>
      <c r="AB53" s="36" t="s">
        <v>139</v>
      </c>
      <c r="AC53" s="36"/>
      <c r="AD53" s="36"/>
      <c r="AE53" s="36" t="s">
        <v>139</v>
      </c>
      <c r="AF53" s="36"/>
      <c r="AG53" s="36"/>
      <c r="AH53" s="36" t="s">
        <v>139</v>
      </c>
      <c r="AI53" s="36" t="s">
        <v>139</v>
      </c>
      <c r="AJ53" s="36" t="s">
        <v>139</v>
      </c>
      <c r="AK53" s="116"/>
      <c r="AL53" s="36"/>
      <c r="AM53" s="36"/>
      <c r="AN53" s="36" t="s">
        <v>139</v>
      </c>
      <c r="AO53" s="36"/>
      <c r="AP53" s="36"/>
      <c r="AQ53" s="36"/>
      <c r="AR53" s="36"/>
      <c r="AS53" s="36"/>
      <c r="AT53" s="36"/>
      <c r="AU53" s="36"/>
      <c r="AV53" s="36"/>
      <c r="AW53" s="36"/>
      <c r="AX53" s="116"/>
      <c r="AY53" s="116" t="s">
        <v>139</v>
      </c>
      <c r="AZ53" s="116"/>
      <c r="BA53" s="36"/>
      <c r="BB53" s="36"/>
      <c r="BC53" s="116"/>
      <c r="BD53" s="116"/>
      <c r="BE53" s="116"/>
      <c r="BF53" s="116"/>
      <c r="BG53" s="116"/>
      <c r="BH53" s="116" t="s">
        <v>139</v>
      </c>
      <c r="BI53" s="116"/>
      <c r="BJ53" s="116"/>
      <c r="BK53" s="116"/>
      <c r="BL53" s="116"/>
      <c r="BM53" s="116"/>
      <c r="BN53" s="116"/>
      <c r="BO53" s="116"/>
      <c r="BP53" s="116">
        <f t="shared" si="11"/>
        <v>9</v>
      </c>
      <c r="BQ53" s="116">
        <f t="shared" si="12"/>
        <v>2</v>
      </c>
      <c r="BR53" s="116">
        <f t="shared" si="13"/>
        <v>3</v>
      </c>
      <c r="BS53" s="146">
        <f t="shared" si="14"/>
        <v>5</v>
      </c>
      <c r="BT53" s="73" t="s">
        <v>225</v>
      </c>
      <c r="BU53" s="73"/>
    </row>
    <row r="54" spans="1:73" x14ac:dyDescent="0.25">
      <c r="A54">
        <v>40</v>
      </c>
      <c r="B54" s="74">
        <v>46044.050358796296</v>
      </c>
      <c r="E54" s="7">
        <v>46044</v>
      </c>
      <c r="F54">
        <v>1250</v>
      </c>
      <c r="I54" s="10" t="s">
        <v>243</v>
      </c>
      <c r="J54" s="161">
        <v>46044</v>
      </c>
      <c r="K54" s="96">
        <f t="shared" si="15"/>
        <v>1</v>
      </c>
      <c r="L54" s="96">
        <v>54</v>
      </c>
      <c r="O54" s="7" t="s">
        <v>153</v>
      </c>
      <c r="R54" s="7">
        <f>MAX($L67:$L1186)+1</f>
        <v>148</v>
      </c>
      <c r="T54" t="s">
        <v>244</v>
      </c>
      <c r="X54" s="36"/>
      <c r="Y54" s="36" t="s">
        <v>139</v>
      </c>
      <c r="Z54" s="36"/>
      <c r="AA54" s="36" t="s">
        <v>139</v>
      </c>
      <c r="AB54" s="36"/>
      <c r="AC54" s="36"/>
      <c r="AD54" s="36"/>
      <c r="AE54" s="36"/>
      <c r="AF54" s="36"/>
      <c r="AG54" s="36"/>
      <c r="AH54" s="36" t="s">
        <v>139</v>
      </c>
      <c r="AI54" s="36"/>
      <c r="AJ54" s="36" t="s">
        <v>139</v>
      </c>
      <c r="AK54" s="116"/>
      <c r="AL54" s="36" t="s">
        <v>139</v>
      </c>
      <c r="AM54" s="36"/>
      <c r="AN54" s="36" t="s">
        <v>139</v>
      </c>
      <c r="AO54" s="36"/>
      <c r="AP54" s="36"/>
      <c r="AQ54" s="36"/>
      <c r="AR54" s="36"/>
      <c r="AS54" s="36"/>
      <c r="AT54" s="36" t="s">
        <v>139</v>
      </c>
      <c r="AU54" s="36" t="s">
        <v>139</v>
      </c>
      <c r="AV54" s="36"/>
      <c r="AW54" s="36"/>
      <c r="AX54" s="116"/>
      <c r="AY54" s="116"/>
      <c r="AZ54" s="116"/>
      <c r="BA54" s="36" t="s">
        <v>139</v>
      </c>
      <c r="BB54" s="36"/>
      <c r="BC54" s="116"/>
      <c r="BD54" s="116"/>
      <c r="BE54" s="116"/>
      <c r="BF54" s="116"/>
      <c r="BG54" s="116"/>
      <c r="BH54" s="116" t="s">
        <v>139</v>
      </c>
      <c r="BI54" s="116"/>
      <c r="BJ54" s="116" t="s">
        <v>139</v>
      </c>
      <c r="BK54" s="116" t="s">
        <v>139</v>
      </c>
      <c r="BL54" s="116"/>
      <c r="BM54" s="116"/>
      <c r="BN54" s="116"/>
      <c r="BO54" s="116"/>
      <c r="BP54" s="116">
        <f t="shared" si="11"/>
        <v>10</v>
      </c>
      <c r="BQ54" s="116">
        <f t="shared" si="12"/>
        <v>3</v>
      </c>
      <c r="BR54" s="116">
        <f t="shared" si="13"/>
        <v>2</v>
      </c>
      <c r="BS54" s="146">
        <f t="shared" si="14"/>
        <v>7</v>
      </c>
      <c r="BT54" s="73" t="s">
        <v>140</v>
      </c>
      <c r="BU54" s="73"/>
    </row>
    <row r="55" spans="1:73" x14ac:dyDescent="0.25">
      <c r="A55">
        <v>41</v>
      </c>
      <c r="B55" s="74">
        <v>46044.721145833333</v>
      </c>
      <c r="E55" s="7">
        <v>46045</v>
      </c>
      <c r="F55">
        <v>1251</v>
      </c>
      <c r="I55" s="10" t="s">
        <v>245</v>
      </c>
      <c r="J55" s="161">
        <v>46045</v>
      </c>
      <c r="K55" s="96">
        <f t="shared" si="15"/>
        <v>1</v>
      </c>
      <c r="L55" s="96">
        <v>55</v>
      </c>
      <c r="O55" s="7" t="s">
        <v>153</v>
      </c>
      <c r="R55" s="7">
        <f>MAX($L68:$L1187)+1</f>
        <v>148</v>
      </c>
      <c r="T55" t="s">
        <v>246</v>
      </c>
      <c r="X55" s="36" t="s">
        <v>139</v>
      </c>
      <c r="Y55" s="36" t="s">
        <v>139</v>
      </c>
      <c r="Z55" s="36" t="s">
        <v>139</v>
      </c>
      <c r="AA55" s="36" t="s">
        <v>139</v>
      </c>
      <c r="AB55" s="36" t="s">
        <v>139</v>
      </c>
      <c r="AC55" s="36" t="s">
        <v>139</v>
      </c>
      <c r="AD55" s="36"/>
      <c r="AE55" s="36"/>
      <c r="AF55" s="36"/>
      <c r="AG55" s="36"/>
      <c r="AH55" s="36" t="s">
        <v>139</v>
      </c>
      <c r="AI55" s="36"/>
      <c r="AJ55" s="36"/>
      <c r="AK55" s="116"/>
      <c r="AL55" s="36"/>
      <c r="AM55" s="36"/>
      <c r="AN55" s="36"/>
      <c r="AO55" s="36"/>
      <c r="AP55" s="36" t="s">
        <v>139</v>
      </c>
      <c r="AQ55" s="36"/>
      <c r="AR55" s="36"/>
      <c r="AS55" s="36" t="s">
        <v>139</v>
      </c>
      <c r="AT55" s="36"/>
      <c r="AU55" s="36"/>
      <c r="AV55" s="36"/>
      <c r="AW55" s="36"/>
      <c r="AX55" s="116"/>
      <c r="AY55" s="116"/>
      <c r="AZ55" s="116"/>
      <c r="BA55" s="36" t="s">
        <v>139</v>
      </c>
      <c r="BB55" s="36"/>
      <c r="BC55" s="116"/>
      <c r="BD55" s="116"/>
      <c r="BE55" s="116"/>
      <c r="BF55" s="116"/>
      <c r="BG55" s="116"/>
      <c r="BH55" s="116" t="s">
        <v>139</v>
      </c>
      <c r="BI55" s="116"/>
      <c r="BJ55" s="116" t="s">
        <v>139</v>
      </c>
      <c r="BK55" s="116" t="s">
        <v>139</v>
      </c>
      <c r="BL55" s="116"/>
      <c r="BM55" s="116"/>
      <c r="BN55" s="116"/>
      <c r="BO55" s="116"/>
      <c r="BP55" s="116">
        <f t="shared" si="11"/>
        <v>11</v>
      </c>
      <c r="BQ55" s="116">
        <f t="shared" si="12"/>
        <v>1</v>
      </c>
      <c r="BR55" s="116">
        <f t="shared" si="13"/>
        <v>6</v>
      </c>
      <c r="BS55" s="146">
        <f t="shared" si="14"/>
        <v>4</v>
      </c>
      <c r="BT55" s="73" t="s">
        <v>247</v>
      </c>
      <c r="BU55" s="73"/>
    </row>
    <row r="56" spans="1:73" x14ac:dyDescent="0.25">
      <c r="A56">
        <v>42</v>
      </c>
      <c r="B56" s="74">
        <v>46045.142430555556</v>
      </c>
      <c r="E56" s="7">
        <v>46042</v>
      </c>
      <c r="F56">
        <v>1252</v>
      </c>
      <c r="I56" s="10" t="s">
        <v>248</v>
      </c>
      <c r="J56" s="161">
        <v>46045</v>
      </c>
      <c r="K56" s="96">
        <f t="shared" si="15"/>
        <v>1</v>
      </c>
      <c r="L56" s="96">
        <v>56</v>
      </c>
      <c r="O56" s="7" t="s">
        <v>137</v>
      </c>
      <c r="R56" s="7">
        <f>MAX($L69:$L1188)+1</f>
        <v>148</v>
      </c>
      <c r="T56" t="s">
        <v>249</v>
      </c>
      <c r="X56" s="36" t="s">
        <v>139</v>
      </c>
      <c r="Y56" s="36"/>
      <c r="Z56" s="36" t="s">
        <v>139</v>
      </c>
      <c r="AA56" s="36" t="s">
        <v>139</v>
      </c>
      <c r="AB56" s="36"/>
      <c r="AC56" s="36" t="s">
        <v>139</v>
      </c>
      <c r="AD56" s="36" t="s">
        <v>139</v>
      </c>
      <c r="AE56" s="36"/>
      <c r="AF56" s="36"/>
      <c r="AG56" s="36"/>
      <c r="AH56" s="36" t="s">
        <v>139</v>
      </c>
      <c r="AI56" s="36"/>
      <c r="AJ56" s="36" t="s">
        <v>139</v>
      </c>
      <c r="AK56" s="116"/>
      <c r="AL56" s="36"/>
      <c r="AM56" s="36"/>
      <c r="AN56" s="36"/>
      <c r="AO56" s="36" t="s">
        <v>139</v>
      </c>
      <c r="AP56" s="36" t="s">
        <v>139</v>
      </c>
      <c r="AQ56" s="36" t="s">
        <v>139</v>
      </c>
      <c r="AR56" s="36"/>
      <c r="AS56" s="36"/>
      <c r="AT56" s="36"/>
      <c r="AU56" s="36"/>
      <c r="AV56" s="36" t="s">
        <v>139</v>
      </c>
      <c r="AW56" s="36"/>
      <c r="AX56" s="116"/>
      <c r="AY56" s="116"/>
      <c r="AZ56" s="116"/>
      <c r="BA56" s="36"/>
      <c r="BB56" s="36"/>
      <c r="BC56" s="116"/>
      <c r="BD56" s="116"/>
      <c r="BE56" s="116"/>
      <c r="BF56" s="116"/>
      <c r="BG56" s="116"/>
      <c r="BH56" s="116" t="s">
        <v>139</v>
      </c>
      <c r="BI56" s="116"/>
      <c r="BJ56" s="116" t="s">
        <v>139</v>
      </c>
      <c r="BK56" s="116"/>
      <c r="BL56" s="116"/>
      <c r="BM56" s="116"/>
      <c r="BN56" s="116"/>
      <c r="BO56" s="116"/>
      <c r="BP56" s="116">
        <f t="shared" si="11"/>
        <v>12</v>
      </c>
      <c r="BQ56" s="116">
        <f t="shared" si="12"/>
        <v>2</v>
      </c>
      <c r="BR56" s="116">
        <f t="shared" si="13"/>
        <v>5</v>
      </c>
      <c r="BS56" s="146">
        <f t="shared" si="14"/>
        <v>6</v>
      </c>
      <c r="BT56" s="73" t="s">
        <v>148</v>
      </c>
      <c r="BU56" s="73"/>
    </row>
    <row r="57" spans="1:73" x14ac:dyDescent="0.25">
      <c r="A57">
        <v>43</v>
      </c>
      <c r="B57" s="74">
        <v>46046.367789351854</v>
      </c>
      <c r="E57" s="7">
        <v>46046</v>
      </c>
      <c r="F57">
        <v>1253</v>
      </c>
      <c r="I57" s="10" t="s">
        <v>250</v>
      </c>
      <c r="J57" s="161">
        <v>46046</v>
      </c>
      <c r="K57" s="96">
        <f t="shared" si="15"/>
        <v>1</v>
      </c>
      <c r="L57" s="96">
        <v>57</v>
      </c>
      <c r="O57" s="7" t="s">
        <v>146</v>
      </c>
      <c r="R57" s="7">
        <f>MAX($L70:$L1189)+1</f>
        <v>148</v>
      </c>
      <c r="T57" t="s">
        <v>251</v>
      </c>
      <c r="X57" s="36" t="s">
        <v>139</v>
      </c>
      <c r="Y57" s="36" t="s">
        <v>139</v>
      </c>
      <c r="Z57" s="36"/>
      <c r="AA57" s="36" t="s">
        <v>139</v>
      </c>
      <c r="AB57" s="36"/>
      <c r="AC57" s="36" t="s">
        <v>139</v>
      </c>
      <c r="AD57" s="36"/>
      <c r="AE57" s="36" t="s">
        <v>139</v>
      </c>
      <c r="AF57" s="36"/>
      <c r="AG57" s="36"/>
      <c r="AH57" s="36"/>
      <c r="AI57" s="36" t="s">
        <v>139</v>
      </c>
      <c r="AJ57" s="36"/>
      <c r="AK57" s="116"/>
      <c r="AL57" s="36"/>
      <c r="AM57" s="36"/>
      <c r="AN57" s="36"/>
      <c r="AO57" s="36"/>
      <c r="AP57" s="36"/>
      <c r="AQ57" s="36" t="s">
        <v>139</v>
      </c>
      <c r="AR57" s="36"/>
      <c r="AS57" s="36"/>
      <c r="AT57" s="36"/>
      <c r="AU57" s="36" t="s">
        <v>139</v>
      </c>
      <c r="AV57" s="36"/>
      <c r="AW57" s="36" t="s">
        <v>139</v>
      </c>
      <c r="AX57" s="116"/>
      <c r="AY57" s="116"/>
      <c r="AZ57" s="116"/>
      <c r="BA57" s="36"/>
      <c r="BB57" s="36" t="s">
        <v>139</v>
      </c>
      <c r="BC57" s="116"/>
      <c r="BD57" s="116"/>
      <c r="BE57" s="116"/>
      <c r="BF57" s="116"/>
      <c r="BG57" s="116"/>
      <c r="BH57" s="116"/>
      <c r="BI57" s="116"/>
      <c r="BJ57" s="116" t="s">
        <v>139</v>
      </c>
      <c r="BK57" s="116"/>
      <c r="BL57" s="116" t="s">
        <v>139</v>
      </c>
      <c r="BM57" s="116"/>
      <c r="BN57" s="116"/>
      <c r="BO57" s="116"/>
      <c r="BP57" s="116">
        <f t="shared" si="11"/>
        <v>10</v>
      </c>
      <c r="BQ57" s="116">
        <f t="shared" si="12"/>
        <v>0</v>
      </c>
      <c r="BR57" s="116">
        <f t="shared" si="13"/>
        <v>5</v>
      </c>
      <c r="BS57" s="146">
        <f t="shared" si="14"/>
        <v>5</v>
      </c>
      <c r="BT57" s="73" t="s">
        <v>140</v>
      </c>
      <c r="BU57" s="73"/>
    </row>
    <row r="58" spans="1:73" x14ac:dyDescent="0.25">
      <c r="A58">
        <v>44</v>
      </c>
      <c r="B58" s="74">
        <v>46046.652557870373</v>
      </c>
      <c r="E58" s="7">
        <v>46047</v>
      </c>
      <c r="F58">
        <v>1254</v>
      </c>
      <c r="I58" s="10" t="s">
        <v>252</v>
      </c>
      <c r="J58" s="161">
        <v>46047</v>
      </c>
      <c r="K58" s="96">
        <f t="shared" si="15"/>
        <v>1</v>
      </c>
      <c r="L58" s="96">
        <v>58</v>
      </c>
      <c r="O58" s="7" t="s">
        <v>146</v>
      </c>
      <c r="R58" s="7">
        <f>MAX($L71:$L1190)+1</f>
        <v>148</v>
      </c>
      <c r="T58" t="s">
        <v>253</v>
      </c>
      <c r="X58" s="36" t="s">
        <v>139</v>
      </c>
      <c r="Y58" s="36"/>
      <c r="Z58" s="36"/>
      <c r="AA58" s="36" t="s">
        <v>139</v>
      </c>
      <c r="AB58" s="36"/>
      <c r="AC58" s="36" t="s">
        <v>139</v>
      </c>
      <c r="AD58" s="36"/>
      <c r="AE58" s="36" t="s">
        <v>139</v>
      </c>
      <c r="AF58" s="36"/>
      <c r="AG58" s="36"/>
      <c r="AH58" s="36"/>
      <c r="AI58" s="36" t="s">
        <v>139</v>
      </c>
      <c r="AJ58" s="36"/>
      <c r="AK58" s="116"/>
      <c r="AL58" s="36"/>
      <c r="AM58" s="36"/>
      <c r="AN58" s="36"/>
      <c r="AO58" s="36"/>
      <c r="AP58" s="36"/>
      <c r="AQ58" s="36" t="s">
        <v>139</v>
      </c>
      <c r="AR58" s="36"/>
      <c r="AS58" s="36"/>
      <c r="AT58" s="36"/>
      <c r="AU58" s="36" t="s">
        <v>139</v>
      </c>
      <c r="AV58" s="36"/>
      <c r="AW58" s="36" t="s">
        <v>139</v>
      </c>
      <c r="AX58" s="116"/>
      <c r="AY58" s="116"/>
      <c r="AZ58" s="116"/>
      <c r="BA58" s="36"/>
      <c r="BB58" s="36"/>
      <c r="BC58" s="116"/>
      <c r="BD58" s="116"/>
      <c r="BE58" s="116"/>
      <c r="BF58" s="116"/>
      <c r="BG58" s="116"/>
      <c r="BH58" s="116"/>
      <c r="BI58" s="116"/>
      <c r="BJ58" s="116" t="s">
        <v>139</v>
      </c>
      <c r="BK58" s="116"/>
      <c r="BL58" s="116" t="s">
        <v>139</v>
      </c>
      <c r="BM58" s="116"/>
      <c r="BN58" s="116"/>
      <c r="BO58" s="116"/>
      <c r="BP58" s="116">
        <f t="shared" si="11"/>
        <v>8</v>
      </c>
      <c r="BQ58" s="116">
        <f t="shared" si="12"/>
        <v>0</v>
      </c>
      <c r="BR58" s="116">
        <f t="shared" si="13"/>
        <v>4</v>
      </c>
      <c r="BS58" s="146">
        <f t="shared" si="14"/>
        <v>4</v>
      </c>
      <c r="BT58" s="73" t="s">
        <v>140</v>
      </c>
      <c r="BU58" s="73"/>
    </row>
    <row r="59" spans="1:73" x14ac:dyDescent="0.25">
      <c r="A59">
        <v>45</v>
      </c>
      <c r="B59" s="74">
        <v>46046.783425925925</v>
      </c>
      <c r="E59" s="7">
        <v>46047</v>
      </c>
      <c r="F59">
        <v>1255</v>
      </c>
      <c r="I59" s="10" t="s">
        <v>254</v>
      </c>
      <c r="J59" s="161">
        <v>46047</v>
      </c>
      <c r="K59" s="96">
        <f t="shared" si="15"/>
        <v>1</v>
      </c>
      <c r="L59" s="96">
        <v>59</v>
      </c>
      <c r="O59" s="7" t="s">
        <v>255</v>
      </c>
      <c r="R59" s="7">
        <f>MAX($L72:$L1191)+1</f>
        <v>148</v>
      </c>
      <c r="T59" t="s">
        <v>256</v>
      </c>
      <c r="X59" s="36"/>
      <c r="Y59" s="36" t="s">
        <v>139</v>
      </c>
      <c r="Z59" s="36" t="s">
        <v>139</v>
      </c>
      <c r="AA59" s="36" t="s">
        <v>139</v>
      </c>
      <c r="AB59" s="36"/>
      <c r="AC59" s="36"/>
      <c r="AD59" s="36"/>
      <c r="AE59" s="36" t="s">
        <v>139</v>
      </c>
      <c r="AF59" s="36"/>
      <c r="AG59" s="36"/>
      <c r="AH59" s="36"/>
      <c r="AI59" s="36" t="s">
        <v>139</v>
      </c>
      <c r="AJ59" s="36"/>
      <c r="AK59" s="116"/>
      <c r="AL59" s="36"/>
      <c r="AM59" s="36"/>
      <c r="AN59" s="36"/>
      <c r="AO59" s="36"/>
      <c r="AP59" s="36"/>
      <c r="AQ59" s="36" t="s">
        <v>139</v>
      </c>
      <c r="AR59" s="36"/>
      <c r="AS59" s="36"/>
      <c r="AT59" s="36"/>
      <c r="AU59" s="36"/>
      <c r="AV59" s="36" t="s">
        <v>139</v>
      </c>
      <c r="AW59" s="36" t="s">
        <v>139</v>
      </c>
      <c r="AX59" s="116"/>
      <c r="AY59" s="116"/>
      <c r="AZ59" s="116"/>
      <c r="BA59" s="36"/>
      <c r="BB59" s="36"/>
      <c r="BC59" s="116"/>
      <c r="BD59" s="116"/>
      <c r="BE59" s="116"/>
      <c r="BF59" s="116" t="s">
        <v>139</v>
      </c>
      <c r="BG59" s="116"/>
      <c r="BH59" s="116"/>
      <c r="BI59" s="116"/>
      <c r="BJ59" s="116" t="s">
        <v>139</v>
      </c>
      <c r="BK59" s="116"/>
      <c r="BL59" s="116" t="s">
        <v>139</v>
      </c>
      <c r="BM59" s="116"/>
      <c r="BN59" s="116"/>
      <c r="BO59" s="116"/>
      <c r="BP59" s="116">
        <f t="shared" si="11"/>
        <v>9</v>
      </c>
      <c r="BQ59" s="116">
        <f t="shared" si="12"/>
        <v>0</v>
      </c>
      <c r="BR59" s="116">
        <f t="shared" si="13"/>
        <v>4</v>
      </c>
      <c r="BS59" s="146">
        <f t="shared" si="14"/>
        <v>4</v>
      </c>
      <c r="BT59" s="73" t="s">
        <v>257</v>
      </c>
      <c r="BU59" s="73"/>
    </row>
    <row r="60" spans="1:73" x14ac:dyDescent="0.25">
      <c r="A60">
        <v>46</v>
      </c>
      <c r="B60" s="74">
        <v>46047.168900462966</v>
      </c>
      <c r="E60" s="7">
        <v>46047</v>
      </c>
      <c r="F60">
        <v>1256</v>
      </c>
      <c r="I60" s="10" t="s">
        <v>258</v>
      </c>
      <c r="J60" s="161">
        <v>46047</v>
      </c>
      <c r="K60" s="96">
        <f t="shared" si="15"/>
        <v>1</v>
      </c>
      <c r="L60" s="96">
        <v>60</v>
      </c>
      <c r="O60" s="7" t="s">
        <v>259</v>
      </c>
      <c r="R60" s="7">
        <f>MAX($L73:$L1192)+1</f>
        <v>148</v>
      </c>
      <c r="T60" t="s">
        <v>260</v>
      </c>
      <c r="X60" s="36"/>
      <c r="Y60" s="36" t="s">
        <v>139</v>
      </c>
      <c r="Z60" s="36" t="s">
        <v>139</v>
      </c>
      <c r="AA60" s="36" t="s">
        <v>139</v>
      </c>
      <c r="AB60" s="36"/>
      <c r="AC60" s="36"/>
      <c r="AD60" s="36"/>
      <c r="AE60" s="36" t="s">
        <v>139</v>
      </c>
      <c r="AF60" s="36"/>
      <c r="AG60" s="36"/>
      <c r="AH60" s="36"/>
      <c r="AI60" s="36" t="s">
        <v>139</v>
      </c>
      <c r="AJ60" s="36" t="s">
        <v>139</v>
      </c>
      <c r="AK60" s="116"/>
      <c r="AL60" s="36"/>
      <c r="AM60" s="36" t="s">
        <v>139</v>
      </c>
      <c r="AN60" s="36"/>
      <c r="AO60" s="36"/>
      <c r="AP60" s="36"/>
      <c r="AQ60" s="36" t="s">
        <v>139</v>
      </c>
      <c r="AR60" s="36"/>
      <c r="AS60" s="36" t="s">
        <v>139</v>
      </c>
      <c r="AT60" s="36"/>
      <c r="AU60" s="36"/>
      <c r="AV60" s="36"/>
      <c r="AW60" s="36"/>
      <c r="AX60" s="116"/>
      <c r="AY60" s="116" t="s">
        <v>139</v>
      </c>
      <c r="AZ60" s="116"/>
      <c r="BA60" s="36"/>
      <c r="BB60" s="36" t="s">
        <v>139</v>
      </c>
      <c r="BC60" s="116"/>
      <c r="BD60" s="116"/>
      <c r="BE60" s="116"/>
      <c r="BF60" s="116"/>
      <c r="BG60" s="116"/>
      <c r="BH60" s="116" t="s">
        <v>139</v>
      </c>
      <c r="BI60" s="116"/>
      <c r="BJ60" s="116" t="s">
        <v>139</v>
      </c>
      <c r="BK60" s="116" t="s">
        <v>139</v>
      </c>
      <c r="BL60" s="116" t="s">
        <v>139</v>
      </c>
      <c r="BM60" s="116"/>
      <c r="BN60" s="116"/>
      <c r="BO60" s="116"/>
      <c r="BP60" s="116">
        <f t="shared" si="11"/>
        <v>12</v>
      </c>
      <c r="BQ60" s="116">
        <f t="shared" si="12"/>
        <v>2</v>
      </c>
      <c r="BR60" s="116">
        <f t="shared" si="13"/>
        <v>4</v>
      </c>
      <c r="BS60" s="146">
        <f t="shared" si="14"/>
        <v>7</v>
      </c>
      <c r="BT60" s="73" t="s">
        <v>155</v>
      </c>
      <c r="BU60" s="73"/>
    </row>
    <row r="61" spans="1:73" x14ac:dyDescent="0.25">
      <c r="A61">
        <v>47</v>
      </c>
      <c r="B61" s="74">
        <v>46047.29111111111</v>
      </c>
      <c r="E61" s="7">
        <v>46047</v>
      </c>
      <c r="F61">
        <v>1257</v>
      </c>
      <c r="I61" s="10" t="s">
        <v>261</v>
      </c>
      <c r="J61" s="161">
        <v>46047</v>
      </c>
      <c r="K61" s="96">
        <f t="shared" si="15"/>
        <v>1</v>
      </c>
      <c r="L61" s="96">
        <v>61</v>
      </c>
      <c r="O61" s="7" t="s">
        <v>262</v>
      </c>
      <c r="R61" s="7">
        <f>MAX($L74:$L1193)+1</f>
        <v>148</v>
      </c>
      <c r="T61" t="s">
        <v>263</v>
      </c>
      <c r="X61" s="36"/>
      <c r="Y61" s="36" t="s">
        <v>139</v>
      </c>
      <c r="Z61" s="36" t="s">
        <v>139</v>
      </c>
      <c r="AA61" s="36" t="s">
        <v>139</v>
      </c>
      <c r="AB61" s="36"/>
      <c r="AC61" s="36"/>
      <c r="AD61" s="36" t="s">
        <v>139</v>
      </c>
      <c r="AE61" s="36" t="s">
        <v>139</v>
      </c>
      <c r="AF61" s="36"/>
      <c r="AG61" s="36"/>
      <c r="AH61" s="36"/>
      <c r="AI61" s="36" t="s">
        <v>139</v>
      </c>
      <c r="AJ61" s="36" t="s">
        <v>139</v>
      </c>
      <c r="AK61" s="116"/>
      <c r="AL61" s="36"/>
      <c r="AM61" s="36"/>
      <c r="AN61" s="36"/>
      <c r="AO61" s="36"/>
      <c r="AP61" s="36"/>
      <c r="AQ61" s="36" t="s">
        <v>139</v>
      </c>
      <c r="AR61" s="36"/>
      <c r="AS61" s="36" t="s">
        <v>139</v>
      </c>
      <c r="AT61" s="36"/>
      <c r="AU61" s="36" t="s">
        <v>139</v>
      </c>
      <c r="AV61" s="36" t="s">
        <v>139</v>
      </c>
      <c r="AW61" s="36" t="s">
        <v>139</v>
      </c>
      <c r="AX61" s="116"/>
      <c r="AY61" s="116" t="s">
        <v>139</v>
      </c>
      <c r="AZ61" s="116"/>
      <c r="BA61" s="36"/>
      <c r="BB61" s="36" t="s">
        <v>139</v>
      </c>
      <c r="BC61" s="116"/>
      <c r="BD61" s="116"/>
      <c r="BE61" s="116"/>
      <c r="BF61" s="116"/>
      <c r="BG61" s="116" t="s">
        <v>139</v>
      </c>
      <c r="BH61" s="116"/>
      <c r="BI61" s="116"/>
      <c r="BJ61" s="116" t="s">
        <v>139</v>
      </c>
      <c r="BK61" s="116" t="s">
        <v>139</v>
      </c>
      <c r="BL61" s="116" t="s">
        <v>139</v>
      </c>
      <c r="BM61" s="116"/>
      <c r="BN61" s="116"/>
      <c r="BO61" s="116"/>
      <c r="BP61" s="116">
        <f t="shared" si="11"/>
        <v>15</v>
      </c>
      <c r="BQ61" s="116">
        <f t="shared" si="12"/>
        <v>2</v>
      </c>
      <c r="BR61" s="116">
        <f t="shared" si="13"/>
        <v>5</v>
      </c>
      <c r="BS61" s="146">
        <f t="shared" si="14"/>
        <v>9</v>
      </c>
      <c r="BT61" s="73" t="s">
        <v>155</v>
      </c>
      <c r="BU61" s="73"/>
    </row>
    <row r="62" spans="1:73" x14ac:dyDescent="0.25">
      <c r="A62">
        <v>48</v>
      </c>
      <c r="B62" s="74">
        <v>46047.696689814817</v>
      </c>
      <c r="E62" s="7">
        <v>46048</v>
      </c>
      <c r="F62">
        <v>1258</v>
      </c>
      <c r="I62" s="10" t="s">
        <v>264</v>
      </c>
      <c r="J62" s="161">
        <v>46048</v>
      </c>
      <c r="K62" s="96">
        <f t="shared" si="15"/>
        <v>1</v>
      </c>
      <c r="L62" s="96">
        <v>62</v>
      </c>
      <c r="O62" s="7" t="s">
        <v>137</v>
      </c>
      <c r="R62" s="7">
        <f>MAX($L75:$L1194)+1</f>
        <v>148</v>
      </c>
      <c r="T62" t="s">
        <v>265</v>
      </c>
      <c r="X62" s="36"/>
      <c r="Y62" s="36"/>
      <c r="Z62" s="36"/>
      <c r="AA62" s="36" t="s">
        <v>139</v>
      </c>
      <c r="AB62" s="36"/>
      <c r="AC62" s="36"/>
      <c r="AD62" s="36" t="s">
        <v>139</v>
      </c>
      <c r="AE62" s="36"/>
      <c r="AF62" s="36"/>
      <c r="AG62" s="36"/>
      <c r="AH62" s="36" t="s">
        <v>139</v>
      </c>
      <c r="AI62" s="36"/>
      <c r="AJ62" s="36"/>
      <c r="AK62" s="116"/>
      <c r="AL62" s="36"/>
      <c r="AM62" s="36"/>
      <c r="AN62" s="36"/>
      <c r="AO62" s="36"/>
      <c r="AP62" s="36"/>
      <c r="AQ62" s="36" t="s">
        <v>139</v>
      </c>
      <c r="AR62" s="36"/>
      <c r="AS62" s="36"/>
      <c r="AT62" s="36"/>
      <c r="AU62" s="36"/>
      <c r="AV62" s="36"/>
      <c r="AW62" s="36" t="s">
        <v>139</v>
      </c>
      <c r="AX62" s="116"/>
      <c r="AY62" s="116"/>
      <c r="AZ62" s="116"/>
      <c r="BA62" s="36"/>
      <c r="BB62" s="36"/>
      <c r="BC62" s="116"/>
      <c r="BD62" s="116"/>
      <c r="BE62" s="116"/>
      <c r="BF62" s="116"/>
      <c r="BG62" s="116"/>
      <c r="BH62" s="116" t="s">
        <v>139</v>
      </c>
      <c r="BI62" s="116"/>
      <c r="BJ62" s="116" t="s">
        <v>139</v>
      </c>
      <c r="BK62" s="116" t="s">
        <v>139</v>
      </c>
      <c r="BL62" s="116" t="s">
        <v>139</v>
      </c>
      <c r="BM62" s="116"/>
      <c r="BN62" s="116"/>
      <c r="BO62" s="116"/>
      <c r="BP62" s="116">
        <f t="shared" si="11"/>
        <v>6</v>
      </c>
      <c r="BQ62" s="116">
        <f t="shared" si="12"/>
        <v>0</v>
      </c>
      <c r="BR62" s="116">
        <f t="shared" si="13"/>
        <v>2</v>
      </c>
      <c r="BS62" s="146">
        <f t="shared" si="14"/>
        <v>3</v>
      </c>
      <c r="BT62" s="73" t="s">
        <v>140</v>
      </c>
      <c r="BU62" s="73"/>
    </row>
    <row r="63" spans="1:73" x14ac:dyDescent="0.25">
      <c r="A63">
        <v>49</v>
      </c>
      <c r="B63" s="74">
        <v>46047.781678240739</v>
      </c>
      <c r="E63" s="7">
        <v>46048</v>
      </c>
      <c r="F63">
        <v>1259</v>
      </c>
      <c r="I63" s="10" t="s">
        <v>266</v>
      </c>
      <c r="J63" s="161">
        <v>46048</v>
      </c>
      <c r="K63" s="96">
        <f t="shared" si="15"/>
        <v>1</v>
      </c>
      <c r="L63" s="96">
        <v>63</v>
      </c>
      <c r="O63" s="7" t="s">
        <v>169</v>
      </c>
      <c r="R63" s="7">
        <f>MAX($L76:$L1195)+1</f>
        <v>148</v>
      </c>
      <c r="T63" t="s">
        <v>267</v>
      </c>
      <c r="X63" s="36"/>
      <c r="Y63" s="36" t="s">
        <v>139</v>
      </c>
      <c r="Z63" s="36" t="s">
        <v>139</v>
      </c>
      <c r="AA63" s="36" t="s">
        <v>139</v>
      </c>
      <c r="AB63" s="36"/>
      <c r="AC63" s="36"/>
      <c r="AD63" s="36" t="s">
        <v>139</v>
      </c>
      <c r="AE63" s="36"/>
      <c r="AF63" s="36"/>
      <c r="AG63" s="36"/>
      <c r="AH63" s="36" t="s">
        <v>139</v>
      </c>
      <c r="AI63" s="36"/>
      <c r="AJ63" s="36"/>
      <c r="AK63" s="116"/>
      <c r="AL63" s="36"/>
      <c r="AM63" s="36" t="s">
        <v>139</v>
      </c>
      <c r="AN63" s="36"/>
      <c r="AO63" s="36"/>
      <c r="AP63" s="36"/>
      <c r="AQ63" s="36" t="s">
        <v>139</v>
      </c>
      <c r="AR63" s="36"/>
      <c r="AS63" s="36" t="s">
        <v>139</v>
      </c>
      <c r="AT63" s="36"/>
      <c r="AU63" s="36"/>
      <c r="AV63" s="36" t="s">
        <v>139</v>
      </c>
      <c r="AW63" s="36" t="s">
        <v>139</v>
      </c>
      <c r="AX63" s="116"/>
      <c r="AY63" s="116"/>
      <c r="AZ63" s="116"/>
      <c r="BA63" s="36"/>
      <c r="BB63" s="36"/>
      <c r="BC63" s="116"/>
      <c r="BD63" s="116"/>
      <c r="BE63" s="116"/>
      <c r="BF63" s="116"/>
      <c r="BG63" s="116"/>
      <c r="BH63" s="116" t="s">
        <v>139</v>
      </c>
      <c r="BI63" s="116"/>
      <c r="BJ63" s="116" t="s">
        <v>139</v>
      </c>
      <c r="BK63" s="116" t="s">
        <v>139</v>
      </c>
      <c r="BL63" s="116" t="s">
        <v>139</v>
      </c>
      <c r="BM63" s="116"/>
      <c r="BN63" s="116"/>
      <c r="BO63" s="116"/>
      <c r="BP63" s="116">
        <f t="shared" si="11"/>
        <v>11</v>
      </c>
      <c r="BQ63" s="116">
        <f t="shared" si="12"/>
        <v>1</v>
      </c>
      <c r="BR63" s="116">
        <f t="shared" si="13"/>
        <v>4</v>
      </c>
      <c r="BS63" s="146">
        <f t="shared" si="14"/>
        <v>6</v>
      </c>
      <c r="BT63" s="73" t="s">
        <v>200</v>
      </c>
      <c r="BU63" s="73"/>
    </row>
    <row r="64" spans="1:73" x14ac:dyDescent="0.25">
      <c r="A64">
        <v>50</v>
      </c>
      <c r="B64" s="74">
        <v>46048.822164351855</v>
      </c>
      <c r="E64" s="7">
        <v>46049</v>
      </c>
      <c r="F64">
        <v>1260</v>
      </c>
      <c r="I64" s="10" t="s">
        <v>268</v>
      </c>
      <c r="J64" s="161">
        <v>46049</v>
      </c>
      <c r="K64" s="96">
        <f t="shared" si="15"/>
        <v>1</v>
      </c>
      <c r="L64" s="96">
        <v>64</v>
      </c>
      <c r="O64" s="7" t="s">
        <v>137</v>
      </c>
      <c r="R64" s="7">
        <f>MAX($L77:$L1196)+1</f>
        <v>148</v>
      </c>
      <c r="T64" t="s">
        <v>269</v>
      </c>
      <c r="X64" s="36"/>
      <c r="Y64" s="36" t="s">
        <v>139</v>
      </c>
      <c r="Z64" s="36"/>
      <c r="AA64" s="36" t="s">
        <v>139</v>
      </c>
      <c r="AB64" s="36"/>
      <c r="AC64" s="36"/>
      <c r="AD64" s="36"/>
      <c r="AE64" s="36"/>
      <c r="AF64" s="36"/>
      <c r="AG64" s="36"/>
      <c r="AH64" s="36" t="s">
        <v>139</v>
      </c>
      <c r="AI64" s="36"/>
      <c r="AJ64" s="36" t="s">
        <v>139</v>
      </c>
      <c r="AK64" s="116"/>
      <c r="AL64" s="36"/>
      <c r="AM64" s="36"/>
      <c r="AN64" s="36" t="s">
        <v>139</v>
      </c>
      <c r="AO64" s="36"/>
      <c r="AP64" s="36"/>
      <c r="AQ64" s="36"/>
      <c r="AR64" s="36"/>
      <c r="AS64" s="36"/>
      <c r="AT64" s="36"/>
      <c r="AU64" s="36"/>
      <c r="AV64" s="36"/>
      <c r="AW64" s="36"/>
      <c r="AX64" s="116"/>
      <c r="AY64" s="116"/>
      <c r="AZ64" s="116"/>
      <c r="BA64" s="36"/>
      <c r="BB64" s="36"/>
      <c r="BC64" s="116"/>
      <c r="BD64" s="116"/>
      <c r="BE64" s="116"/>
      <c r="BF64" s="116"/>
      <c r="BG64" s="116" t="s">
        <v>139</v>
      </c>
      <c r="BH64" s="116" t="s">
        <v>139</v>
      </c>
      <c r="BI64" s="116"/>
      <c r="BJ64" s="116" t="s">
        <v>139</v>
      </c>
      <c r="BK64" s="116"/>
      <c r="BL64" s="116"/>
      <c r="BM64" s="116"/>
      <c r="BN64" s="116"/>
      <c r="BO64" s="116"/>
      <c r="BP64" s="116">
        <f t="shared" si="11"/>
        <v>7</v>
      </c>
      <c r="BQ64" s="116">
        <f t="shared" si="12"/>
        <v>2</v>
      </c>
      <c r="BR64" s="116">
        <f t="shared" si="13"/>
        <v>2</v>
      </c>
      <c r="BS64" s="146">
        <f t="shared" si="14"/>
        <v>3</v>
      </c>
      <c r="BT64" s="73" t="s">
        <v>140</v>
      </c>
      <c r="BU64" s="73"/>
    </row>
    <row r="65" spans="1:73" x14ac:dyDescent="0.25">
      <c r="A65">
        <v>51</v>
      </c>
      <c r="B65" s="74">
        <v>46048.907893518517</v>
      </c>
      <c r="E65" s="7">
        <v>46049</v>
      </c>
      <c r="F65">
        <v>1261</v>
      </c>
      <c r="I65" s="10" t="s">
        <v>270</v>
      </c>
      <c r="J65" s="161">
        <v>46049</v>
      </c>
      <c r="K65" s="96">
        <f t="shared" si="15"/>
        <v>1</v>
      </c>
      <c r="L65" s="96">
        <v>65</v>
      </c>
      <c r="O65" s="7" t="s">
        <v>153</v>
      </c>
      <c r="R65" s="7">
        <f>MAX($L78:$L1197)+1</f>
        <v>148</v>
      </c>
      <c r="T65" t="s">
        <v>271</v>
      </c>
      <c r="X65" s="36"/>
      <c r="Y65" s="36"/>
      <c r="Z65" s="36"/>
      <c r="AA65" s="36" t="s">
        <v>139</v>
      </c>
      <c r="AB65" s="36"/>
      <c r="AC65" s="36"/>
      <c r="AD65" s="36"/>
      <c r="AE65" s="36"/>
      <c r="AF65" s="36"/>
      <c r="AG65" s="36"/>
      <c r="AH65" s="36" t="s">
        <v>139</v>
      </c>
      <c r="AI65" s="36"/>
      <c r="AJ65" s="36" t="s">
        <v>139</v>
      </c>
      <c r="AK65" s="116"/>
      <c r="AL65" s="36"/>
      <c r="AM65" s="36"/>
      <c r="AN65" s="36" t="s">
        <v>139</v>
      </c>
      <c r="AO65" s="36"/>
      <c r="AP65" s="36"/>
      <c r="AQ65" s="36"/>
      <c r="AR65" s="36"/>
      <c r="AS65" s="36"/>
      <c r="AT65" s="36"/>
      <c r="AU65" s="36" t="s">
        <v>139</v>
      </c>
      <c r="AV65" s="36"/>
      <c r="AW65" s="36"/>
      <c r="AX65" s="116"/>
      <c r="AY65" s="116"/>
      <c r="AZ65" s="116"/>
      <c r="BA65" s="36"/>
      <c r="BB65" s="36"/>
      <c r="BC65" s="116"/>
      <c r="BD65" s="116"/>
      <c r="BE65" s="116"/>
      <c r="BF65" s="116"/>
      <c r="BG65" s="116" t="s">
        <v>139</v>
      </c>
      <c r="BH65" s="116"/>
      <c r="BI65" s="116"/>
      <c r="BJ65" s="116" t="s">
        <v>139</v>
      </c>
      <c r="BK65" s="116"/>
      <c r="BL65" s="116"/>
      <c r="BM65" s="116"/>
      <c r="BN65" s="116"/>
      <c r="BO65" s="116"/>
      <c r="BP65" s="116">
        <f t="shared" si="11"/>
        <v>6</v>
      </c>
      <c r="BQ65" s="116">
        <f t="shared" si="12"/>
        <v>2</v>
      </c>
      <c r="BR65" s="116">
        <f t="shared" si="13"/>
        <v>1</v>
      </c>
      <c r="BS65" s="146">
        <f t="shared" si="14"/>
        <v>4</v>
      </c>
      <c r="BT65" s="73" t="s">
        <v>272</v>
      </c>
      <c r="BU65" s="73"/>
    </row>
    <row r="66" spans="1:73" x14ac:dyDescent="0.25">
      <c r="A66">
        <v>52</v>
      </c>
      <c r="B66" s="74">
        <v>46049.103506944448</v>
      </c>
      <c r="E66" s="7">
        <v>46049</v>
      </c>
      <c r="F66">
        <v>1262</v>
      </c>
      <c r="I66" s="10" t="s">
        <v>273</v>
      </c>
      <c r="J66" s="161">
        <v>46049</v>
      </c>
      <c r="K66" s="96">
        <f t="shared" si="15"/>
        <v>1</v>
      </c>
      <c r="L66" s="96">
        <v>66</v>
      </c>
      <c r="O66" s="7" t="s">
        <v>274</v>
      </c>
      <c r="R66" s="7">
        <f>MAX($L79:$L1198)+1</f>
        <v>148</v>
      </c>
      <c r="T66" t="s">
        <v>275</v>
      </c>
      <c r="X66" s="36" t="s">
        <v>139</v>
      </c>
      <c r="Y66" s="36" t="s">
        <v>139</v>
      </c>
      <c r="Z66" s="36"/>
      <c r="AA66" s="36" t="s">
        <v>139</v>
      </c>
      <c r="AB66" s="36"/>
      <c r="AC66" s="36"/>
      <c r="AD66" s="36" t="s">
        <v>139</v>
      </c>
      <c r="AE66" s="36"/>
      <c r="AF66" s="36"/>
      <c r="AG66" s="36"/>
      <c r="AH66" s="36" t="s">
        <v>139</v>
      </c>
      <c r="AI66" s="36"/>
      <c r="AJ66" s="36" t="s">
        <v>139</v>
      </c>
      <c r="AK66" s="116"/>
      <c r="AL66" s="36"/>
      <c r="AM66" s="36"/>
      <c r="AN66" s="36" t="s">
        <v>139</v>
      </c>
      <c r="AO66" s="36"/>
      <c r="AP66" s="36"/>
      <c r="AQ66" s="36"/>
      <c r="AR66" s="36"/>
      <c r="AS66" s="36"/>
      <c r="AT66" s="36"/>
      <c r="AU66" s="36"/>
      <c r="AV66" s="36"/>
      <c r="AW66" s="36"/>
      <c r="AX66" s="116"/>
      <c r="AY66" s="116"/>
      <c r="AZ66" s="116"/>
      <c r="BA66" s="36"/>
      <c r="BB66" s="36"/>
      <c r="BC66" s="116"/>
      <c r="BD66" s="116"/>
      <c r="BE66" s="116"/>
      <c r="BF66" s="116"/>
      <c r="BG66" s="116" t="s">
        <v>139</v>
      </c>
      <c r="BH66" s="116"/>
      <c r="BI66" s="116"/>
      <c r="BJ66" s="116" t="s">
        <v>139</v>
      </c>
      <c r="BK66" s="116" t="s">
        <v>139</v>
      </c>
      <c r="BL66" s="116"/>
      <c r="BM66" s="116"/>
      <c r="BN66" s="116"/>
      <c r="BO66" s="116"/>
      <c r="BP66" s="116">
        <f t="shared" ref="BP66:BP97" si="16">COUNTIF($X66:$BH66, "I")</f>
        <v>8</v>
      </c>
      <c r="BQ66" s="116">
        <f t="shared" ref="BQ66:BQ97" si="17">COUNTIFS($X66:$BH66, "I",$X$2:$BH$2, "DR" )</f>
        <v>2</v>
      </c>
      <c r="BR66" s="116">
        <f t="shared" ref="BR66:BR97" si="18">COUNTIFS($X66:$BH66, "I",$X$5:$BH$5, "OF" )</f>
        <v>4</v>
      </c>
      <c r="BS66" s="146">
        <f t="shared" ref="BS66:BS97" si="19">COUNTIFS($X66:$BH66, "I",$X$5:$BH$5, "FF" )</f>
        <v>3</v>
      </c>
      <c r="BT66" s="73" t="s">
        <v>155</v>
      </c>
      <c r="BU66" s="73"/>
    </row>
    <row r="67" spans="1:73" x14ac:dyDescent="0.25">
      <c r="A67">
        <v>53</v>
      </c>
      <c r="B67" s="74">
        <v>46049.451666666668</v>
      </c>
      <c r="E67" s="7">
        <v>46048</v>
      </c>
      <c r="F67">
        <v>1263</v>
      </c>
      <c r="I67" s="10" t="s">
        <v>276</v>
      </c>
      <c r="J67" s="161">
        <v>46049</v>
      </c>
      <c r="K67" s="96">
        <f t="shared" si="15"/>
        <v>1</v>
      </c>
      <c r="L67" s="96">
        <v>67</v>
      </c>
      <c r="O67" s="7" t="s">
        <v>169</v>
      </c>
      <c r="R67" s="7">
        <f>MAX($L80:$L1199)+1</f>
        <v>148</v>
      </c>
      <c r="T67" t="s">
        <v>277</v>
      </c>
      <c r="X67" s="36"/>
      <c r="Y67" s="36"/>
      <c r="Z67" s="36"/>
      <c r="AA67" s="36" t="s">
        <v>139</v>
      </c>
      <c r="AB67" s="36" t="s">
        <v>139</v>
      </c>
      <c r="AC67" s="36" t="s">
        <v>139</v>
      </c>
      <c r="AD67" s="36" t="s">
        <v>139</v>
      </c>
      <c r="AE67" s="36"/>
      <c r="AF67" s="36"/>
      <c r="AG67" s="36"/>
      <c r="AH67" s="36" t="s">
        <v>139</v>
      </c>
      <c r="AI67" s="36"/>
      <c r="AJ67" s="36"/>
      <c r="AK67" s="11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116"/>
      <c r="AY67" s="116"/>
      <c r="AZ67" s="116"/>
      <c r="BA67" s="36"/>
      <c r="BB67" s="36"/>
      <c r="BC67" s="116"/>
      <c r="BD67" s="116"/>
      <c r="BE67" s="116"/>
      <c r="BF67" s="116"/>
      <c r="BG67" s="116" t="s">
        <v>139</v>
      </c>
      <c r="BH67" s="116"/>
      <c r="BI67" s="116"/>
      <c r="BJ67" s="116" t="s">
        <v>139</v>
      </c>
      <c r="BK67" s="116" t="s">
        <v>139</v>
      </c>
      <c r="BL67" s="116"/>
      <c r="BM67" s="116"/>
      <c r="BN67" s="116"/>
      <c r="BO67" s="116"/>
      <c r="BP67" s="116">
        <f t="shared" si="16"/>
        <v>6</v>
      </c>
      <c r="BQ67" s="116">
        <f t="shared" si="17"/>
        <v>0</v>
      </c>
      <c r="BR67" s="116">
        <f t="shared" si="18"/>
        <v>4</v>
      </c>
      <c r="BS67" s="146">
        <f t="shared" si="19"/>
        <v>1</v>
      </c>
      <c r="BT67" s="73" t="s">
        <v>278</v>
      </c>
      <c r="BU67" s="73"/>
    </row>
    <row r="68" spans="1:73" x14ac:dyDescent="0.25">
      <c r="A68">
        <v>54</v>
      </c>
      <c r="B68" s="74">
        <v>46050.507418981484</v>
      </c>
      <c r="E68" s="7">
        <v>46051</v>
      </c>
      <c r="F68">
        <v>1264</v>
      </c>
      <c r="I68" s="10" t="s">
        <v>279</v>
      </c>
      <c r="J68" s="161">
        <v>46051</v>
      </c>
      <c r="K68" s="96">
        <f t="shared" si="15"/>
        <v>1</v>
      </c>
      <c r="L68" s="96">
        <v>68</v>
      </c>
      <c r="O68" s="7" t="s">
        <v>146</v>
      </c>
      <c r="R68" s="7">
        <f>MAX($L81:$L1200)+1</f>
        <v>148</v>
      </c>
      <c r="T68" t="s">
        <v>280</v>
      </c>
      <c r="X68" s="36"/>
      <c r="Y68" s="36"/>
      <c r="Z68" s="36"/>
      <c r="AA68" s="36"/>
      <c r="AB68" s="36" t="s">
        <v>139</v>
      </c>
      <c r="AC68" s="36"/>
      <c r="AD68" s="36"/>
      <c r="AE68" s="36"/>
      <c r="AF68" s="36"/>
      <c r="AG68" s="36"/>
      <c r="AH68" s="36" t="s">
        <v>139</v>
      </c>
      <c r="AI68" s="36"/>
      <c r="AJ68" s="36" t="s">
        <v>139</v>
      </c>
      <c r="AK68" s="116"/>
      <c r="AL68" s="36"/>
      <c r="AM68" s="36" t="s">
        <v>139</v>
      </c>
      <c r="AN68" s="36"/>
      <c r="AO68" s="36"/>
      <c r="AP68" s="36"/>
      <c r="AQ68" s="36"/>
      <c r="AR68" s="36"/>
      <c r="AS68" s="36"/>
      <c r="AT68" s="36" t="s">
        <v>139</v>
      </c>
      <c r="AU68" s="36"/>
      <c r="AV68" s="36"/>
      <c r="AW68" s="36" t="s">
        <v>139</v>
      </c>
      <c r="AX68" s="116"/>
      <c r="AY68" s="116"/>
      <c r="AZ68" s="116"/>
      <c r="BA68" s="36"/>
      <c r="BB68" s="36"/>
      <c r="BC68" s="116"/>
      <c r="BD68" s="116"/>
      <c r="BE68" s="116"/>
      <c r="BF68" s="116"/>
      <c r="BG68" s="116" t="s">
        <v>139</v>
      </c>
      <c r="BH68" s="116"/>
      <c r="BI68" s="116"/>
      <c r="BJ68" s="116" t="s">
        <v>139</v>
      </c>
      <c r="BK68" s="116"/>
      <c r="BL68" s="116"/>
      <c r="BM68" s="116"/>
      <c r="BN68" s="116"/>
      <c r="BO68" s="116"/>
      <c r="BP68" s="116">
        <f t="shared" si="16"/>
        <v>7</v>
      </c>
      <c r="BQ68" s="116">
        <f t="shared" si="17"/>
        <v>2</v>
      </c>
      <c r="BR68" s="116">
        <f t="shared" si="18"/>
        <v>1</v>
      </c>
      <c r="BS68" s="146">
        <f t="shared" si="19"/>
        <v>5</v>
      </c>
      <c r="BT68" s="73" t="s">
        <v>148</v>
      </c>
      <c r="BU68" s="73"/>
    </row>
    <row r="69" spans="1:73" x14ac:dyDescent="0.25">
      <c r="A69">
        <v>55</v>
      </c>
      <c r="B69" s="74">
        <v>46050.569664351853</v>
      </c>
      <c r="E69" s="7">
        <v>46051</v>
      </c>
      <c r="F69">
        <v>1265</v>
      </c>
      <c r="I69" s="10" t="s">
        <v>281</v>
      </c>
      <c r="J69" s="161">
        <v>46051</v>
      </c>
      <c r="K69" s="96">
        <f t="shared" si="15"/>
        <v>1</v>
      </c>
      <c r="L69" s="96">
        <v>69</v>
      </c>
      <c r="O69" s="7" t="s">
        <v>146</v>
      </c>
      <c r="R69" s="7">
        <f>MAX($L82:$L1201)+1</f>
        <v>148</v>
      </c>
      <c r="T69" t="s">
        <v>282</v>
      </c>
      <c r="X69" s="36"/>
      <c r="Y69" s="36"/>
      <c r="Z69" s="36"/>
      <c r="AA69" s="36"/>
      <c r="AB69" s="36" t="s">
        <v>139</v>
      </c>
      <c r="AC69" s="36"/>
      <c r="AD69" s="36"/>
      <c r="AE69" s="36"/>
      <c r="AF69" s="36"/>
      <c r="AG69" s="36"/>
      <c r="AH69" s="36" t="s">
        <v>139</v>
      </c>
      <c r="AI69" s="36"/>
      <c r="AJ69" s="36" t="s">
        <v>139</v>
      </c>
      <c r="AK69" s="116"/>
      <c r="AL69" s="36"/>
      <c r="AM69" s="36" t="s">
        <v>139</v>
      </c>
      <c r="AN69" s="36"/>
      <c r="AO69" s="36"/>
      <c r="AP69" s="36"/>
      <c r="AQ69" s="36"/>
      <c r="AR69" s="36"/>
      <c r="AS69" s="36"/>
      <c r="AT69" s="36" t="s">
        <v>139</v>
      </c>
      <c r="AU69" s="36"/>
      <c r="AV69" s="36"/>
      <c r="AW69" s="36"/>
      <c r="AX69" s="116"/>
      <c r="AY69" s="116"/>
      <c r="AZ69" s="116"/>
      <c r="BA69" s="36"/>
      <c r="BB69" s="36"/>
      <c r="BC69" s="116"/>
      <c r="BD69" s="116"/>
      <c r="BE69" s="116"/>
      <c r="BF69" s="116"/>
      <c r="BG69" s="116" t="s">
        <v>139</v>
      </c>
      <c r="BH69" s="116"/>
      <c r="BI69" s="116"/>
      <c r="BJ69" s="116" t="s">
        <v>139</v>
      </c>
      <c r="BK69" s="116"/>
      <c r="BL69" s="116"/>
      <c r="BM69" s="116"/>
      <c r="BN69" s="116"/>
      <c r="BO69" s="116"/>
      <c r="BP69" s="116">
        <f t="shared" si="16"/>
        <v>6</v>
      </c>
      <c r="BQ69" s="116">
        <f t="shared" si="17"/>
        <v>2</v>
      </c>
      <c r="BR69" s="116">
        <f t="shared" si="18"/>
        <v>1</v>
      </c>
      <c r="BS69" s="146">
        <f t="shared" si="19"/>
        <v>4</v>
      </c>
      <c r="BT69" s="73" t="s">
        <v>148</v>
      </c>
      <c r="BU69" s="73"/>
    </row>
    <row r="70" spans="1:73" x14ac:dyDescent="0.25">
      <c r="A70">
        <v>56</v>
      </c>
      <c r="B70" s="74">
        <v>46051.293333333335</v>
      </c>
      <c r="E70" s="7">
        <v>46051</v>
      </c>
      <c r="F70">
        <v>1266</v>
      </c>
      <c r="I70" s="10" t="s">
        <v>283</v>
      </c>
      <c r="J70" s="161">
        <v>46051</v>
      </c>
      <c r="K70" s="96">
        <f t="shared" si="15"/>
        <v>1</v>
      </c>
      <c r="L70" s="96">
        <v>70</v>
      </c>
      <c r="O70" s="7" t="s">
        <v>153</v>
      </c>
      <c r="R70" s="7">
        <f>MAX($L83:$L1202)+1</f>
        <v>148</v>
      </c>
      <c r="T70" t="s">
        <v>284</v>
      </c>
      <c r="X70" s="36" t="s">
        <v>139</v>
      </c>
      <c r="Y70" s="36"/>
      <c r="Z70" s="36" t="s">
        <v>139</v>
      </c>
      <c r="AA70" s="36" t="s">
        <v>139</v>
      </c>
      <c r="AB70" s="36" t="s">
        <v>139</v>
      </c>
      <c r="AC70" s="36"/>
      <c r="AD70" s="36" t="s">
        <v>139</v>
      </c>
      <c r="AE70" s="36"/>
      <c r="AF70" s="36"/>
      <c r="AG70" s="36" t="s">
        <v>139</v>
      </c>
      <c r="AH70" s="36" t="s">
        <v>139</v>
      </c>
      <c r="AI70" s="36"/>
      <c r="AJ70" s="36"/>
      <c r="AK70" s="116"/>
      <c r="AL70" s="36"/>
      <c r="AM70" s="36" t="s">
        <v>139</v>
      </c>
      <c r="AN70" s="36" t="s">
        <v>139</v>
      </c>
      <c r="AO70" s="36"/>
      <c r="AP70" s="36"/>
      <c r="AQ70" s="36"/>
      <c r="AR70" s="36"/>
      <c r="AS70" s="36"/>
      <c r="AT70" s="36" t="s">
        <v>139</v>
      </c>
      <c r="AU70" s="36"/>
      <c r="AV70" s="36" t="s">
        <v>139</v>
      </c>
      <c r="AW70" s="36"/>
      <c r="AX70" s="116"/>
      <c r="AY70" s="116"/>
      <c r="AZ70" s="116"/>
      <c r="BA70" s="36"/>
      <c r="BB70" s="3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>
        <f t="shared" si="16"/>
        <v>11</v>
      </c>
      <c r="BQ70" s="116">
        <f t="shared" si="17"/>
        <v>3</v>
      </c>
      <c r="BR70" s="116">
        <f t="shared" si="18"/>
        <v>5</v>
      </c>
      <c r="BS70" s="146">
        <f t="shared" si="19"/>
        <v>6</v>
      </c>
      <c r="BT70" s="73" t="s">
        <v>285</v>
      </c>
      <c r="BU70" s="73"/>
    </row>
    <row r="71" spans="1:73" x14ac:dyDescent="0.25">
      <c r="A71">
        <v>57</v>
      </c>
      <c r="B71" s="74">
        <v>46052.02306712963</v>
      </c>
      <c r="E71" s="7">
        <v>46052</v>
      </c>
      <c r="F71">
        <v>1267</v>
      </c>
      <c r="I71" s="10" t="s">
        <v>286</v>
      </c>
      <c r="J71" s="161">
        <v>46052</v>
      </c>
      <c r="K71" s="96">
        <f t="shared" si="15"/>
        <v>1</v>
      </c>
      <c r="L71" s="96">
        <v>71</v>
      </c>
      <c r="O71" s="7" t="s">
        <v>287</v>
      </c>
      <c r="R71" s="7">
        <f>MAX($L84:$L1203)+1</f>
        <v>148</v>
      </c>
      <c r="T71" t="s">
        <v>288</v>
      </c>
      <c r="X71" s="36" t="s">
        <v>139</v>
      </c>
      <c r="Y71" s="36" t="s">
        <v>139</v>
      </c>
      <c r="Z71" s="36"/>
      <c r="AA71" s="36" t="s">
        <v>139</v>
      </c>
      <c r="AB71" s="36"/>
      <c r="AC71" s="36"/>
      <c r="AD71" s="36"/>
      <c r="AE71" s="36" t="s">
        <v>139</v>
      </c>
      <c r="AF71" s="36" t="s">
        <v>139</v>
      </c>
      <c r="AG71" s="36"/>
      <c r="AH71" s="36"/>
      <c r="AI71" s="36" t="s">
        <v>139</v>
      </c>
      <c r="AJ71" s="36" t="s">
        <v>139</v>
      </c>
      <c r="AK71" s="116"/>
      <c r="AL71" s="36"/>
      <c r="AM71" s="36" t="s">
        <v>139</v>
      </c>
      <c r="AN71" s="36"/>
      <c r="AO71" s="36" t="s">
        <v>139</v>
      </c>
      <c r="AP71" s="36"/>
      <c r="AQ71" s="36"/>
      <c r="AR71" s="36"/>
      <c r="AS71" s="36"/>
      <c r="AT71" s="36" t="s">
        <v>139</v>
      </c>
      <c r="AU71" s="36" t="s">
        <v>139</v>
      </c>
      <c r="AV71" s="36"/>
      <c r="AW71" s="36" t="s">
        <v>139</v>
      </c>
      <c r="AX71" s="116"/>
      <c r="AY71" s="116"/>
      <c r="AZ71" s="116"/>
      <c r="BA71" s="36"/>
      <c r="BB71" s="36" t="s">
        <v>139</v>
      </c>
      <c r="BC71" s="116"/>
      <c r="BD71" s="116" t="s">
        <v>139</v>
      </c>
      <c r="BE71" s="116"/>
      <c r="BF71" s="116" t="s">
        <v>139</v>
      </c>
      <c r="BG71" s="116"/>
      <c r="BH71" s="116"/>
      <c r="BI71" s="116"/>
      <c r="BJ71" s="116" t="s">
        <v>139</v>
      </c>
      <c r="BK71" s="116"/>
      <c r="BL71" s="116"/>
      <c r="BM71" s="116"/>
      <c r="BN71" s="116"/>
      <c r="BO71" s="116"/>
      <c r="BP71" s="116">
        <f t="shared" si="16"/>
        <v>15</v>
      </c>
      <c r="BQ71" s="116">
        <f t="shared" si="17"/>
        <v>3</v>
      </c>
      <c r="BR71" s="116">
        <f t="shared" si="18"/>
        <v>4</v>
      </c>
      <c r="BS71" s="146">
        <f t="shared" si="19"/>
        <v>10</v>
      </c>
      <c r="BT71" s="73" t="s">
        <v>151</v>
      </c>
      <c r="BU71" s="73"/>
    </row>
    <row r="72" spans="1:73" x14ac:dyDescent="0.25">
      <c r="A72">
        <v>58</v>
      </c>
      <c r="B72" s="74">
        <v>46052.348854166667</v>
      </c>
      <c r="E72" s="7">
        <v>46052</v>
      </c>
      <c r="F72">
        <v>1268</v>
      </c>
      <c r="I72" s="10" t="s">
        <v>289</v>
      </c>
      <c r="J72" s="161">
        <v>46052</v>
      </c>
      <c r="K72" s="96">
        <f t="shared" si="15"/>
        <v>1</v>
      </c>
      <c r="L72" s="96">
        <v>72</v>
      </c>
      <c r="O72" s="7" t="s">
        <v>146</v>
      </c>
      <c r="R72" s="7">
        <f>MAX($L85:$L1204)+1</f>
        <v>148</v>
      </c>
      <c r="T72" t="s">
        <v>290</v>
      </c>
      <c r="X72" s="36" t="s">
        <v>139</v>
      </c>
      <c r="Y72" s="36"/>
      <c r="Z72" s="36"/>
      <c r="AA72" s="36" t="s">
        <v>139</v>
      </c>
      <c r="AB72" s="36"/>
      <c r="AC72" s="36"/>
      <c r="AD72" s="36" t="s">
        <v>139</v>
      </c>
      <c r="AE72" s="36"/>
      <c r="AF72" s="36"/>
      <c r="AG72" s="36"/>
      <c r="AH72" s="36" t="s">
        <v>139</v>
      </c>
      <c r="AI72" s="36"/>
      <c r="AJ72" s="36" t="s">
        <v>139</v>
      </c>
      <c r="AK72" s="116"/>
      <c r="AL72" s="36"/>
      <c r="AM72" s="36"/>
      <c r="AN72" s="36"/>
      <c r="AO72" s="36"/>
      <c r="AP72" s="36" t="s">
        <v>139</v>
      </c>
      <c r="AQ72" s="36"/>
      <c r="AR72" s="36"/>
      <c r="AS72" s="36"/>
      <c r="AT72" s="36" t="s">
        <v>139</v>
      </c>
      <c r="AU72" s="36" t="s">
        <v>139</v>
      </c>
      <c r="AV72" s="36"/>
      <c r="AW72" s="36" t="s">
        <v>139</v>
      </c>
      <c r="AX72" s="116"/>
      <c r="AY72" s="116"/>
      <c r="AZ72" s="116"/>
      <c r="BA72" s="36"/>
      <c r="BB72" s="36" t="s">
        <v>139</v>
      </c>
      <c r="BC72" s="116"/>
      <c r="BD72" s="116" t="s">
        <v>139</v>
      </c>
      <c r="BE72" s="116"/>
      <c r="BF72" s="116" t="s">
        <v>139</v>
      </c>
      <c r="BG72" s="116"/>
      <c r="BH72" s="116"/>
      <c r="BI72" s="116"/>
      <c r="BJ72" s="116"/>
      <c r="BK72" s="116" t="s">
        <v>139</v>
      </c>
      <c r="BL72" s="116"/>
      <c r="BM72" s="116"/>
      <c r="BN72" s="116" t="s">
        <v>139</v>
      </c>
      <c r="BO72" s="116"/>
      <c r="BP72" s="116">
        <f t="shared" si="16"/>
        <v>12</v>
      </c>
      <c r="BQ72" s="116">
        <f t="shared" si="17"/>
        <v>2</v>
      </c>
      <c r="BR72" s="116">
        <f t="shared" si="18"/>
        <v>3</v>
      </c>
      <c r="BS72" s="146">
        <f t="shared" si="19"/>
        <v>8</v>
      </c>
      <c r="BT72" s="73" t="s">
        <v>155</v>
      </c>
      <c r="BU72" s="73"/>
    </row>
    <row r="73" spans="1:73" x14ac:dyDescent="0.25">
      <c r="A73">
        <v>59</v>
      </c>
      <c r="B73" s="74">
        <v>46052.359027777777</v>
      </c>
      <c r="E73" s="7">
        <v>46052</v>
      </c>
      <c r="F73">
        <v>1269</v>
      </c>
      <c r="I73" s="10" t="s">
        <v>291</v>
      </c>
      <c r="J73" s="161">
        <v>46052</v>
      </c>
      <c r="K73" s="96">
        <f t="shared" si="15"/>
        <v>1</v>
      </c>
      <c r="L73" s="96">
        <v>73</v>
      </c>
      <c r="O73" s="7" t="s">
        <v>142</v>
      </c>
      <c r="R73" s="7">
        <f>MAX($L86:$L1205)+1</f>
        <v>148</v>
      </c>
      <c r="T73" t="s">
        <v>292</v>
      </c>
      <c r="X73" s="36" t="s">
        <v>139</v>
      </c>
      <c r="Y73" s="36" t="s">
        <v>139</v>
      </c>
      <c r="Z73" s="36"/>
      <c r="AA73" s="36" t="s">
        <v>139</v>
      </c>
      <c r="AB73" s="36" t="s">
        <v>139</v>
      </c>
      <c r="AC73" s="36" t="s">
        <v>139</v>
      </c>
      <c r="AD73" s="36"/>
      <c r="AE73" s="36"/>
      <c r="AF73" s="36"/>
      <c r="AG73" s="36"/>
      <c r="AH73" s="36"/>
      <c r="AI73" s="36"/>
      <c r="AJ73" s="36" t="s">
        <v>139</v>
      </c>
      <c r="AK73" s="116" t="s">
        <v>139</v>
      </c>
      <c r="AL73" s="36"/>
      <c r="AM73" s="36"/>
      <c r="AN73" s="36" t="s">
        <v>139</v>
      </c>
      <c r="AO73" s="36" t="s">
        <v>139</v>
      </c>
      <c r="AP73" s="36"/>
      <c r="AQ73" s="36"/>
      <c r="AR73" s="36"/>
      <c r="AS73" s="36"/>
      <c r="AT73" s="36"/>
      <c r="AU73" s="36"/>
      <c r="AV73" s="36"/>
      <c r="AW73" s="36" t="s">
        <v>139</v>
      </c>
      <c r="AX73" s="116"/>
      <c r="AY73" s="116"/>
      <c r="AZ73" s="116"/>
      <c r="BA73" s="36"/>
      <c r="BB73" s="36"/>
      <c r="BC73" s="116"/>
      <c r="BD73" s="116"/>
      <c r="BE73" s="116"/>
      <c r="BF73" s="116" t="s">
        <v>139</v>
      </c>
      <c r="BG73" s="116" t="s">
        <v>139</v>
      </c>
      <c r="BH73" s="116"/>
      <c r="BI73" s="116"/>
      <c r="BJ73" s="116" t="s">
        <v>139</v>
      </c>
      <c r="BK73" s="116"/>
      <c r="BL73" s="116" t="s">
        <v>139</v>
      </c>
      <c r="BM73" s="116"/>
      <c r="BN73" s="116"/>
      <c r="BO73" s="116"/>
      <c r="BP73" s="116">
        <f t="shared" si="16"/>
        <v>12</v>
      </c>
      <c r="BQ73" s="116">
        <f t="shared" si="17"/>
        <v>4</v>
      </c>
      <c r="BR73" s="116">
        <f t="shared" si="18"/>
        <v>5</v>
      </c>
      <c r="BS73" s="146">
        <f t="shared" si="19"/>
        <v>5</v>
      </c>
      <c r="BT73" s="73" t="s">
        <v>247</v>
      </c>
      <c r="BU73" s="73"/>
    </row>
    <row r="74" spans="1:73" x14ac:dyDescent="0.25">
      <c r="A74">
        <v>60</v>
      </c>
      <c r="B74" s="74">
        <v>46053.404363425929</v>
      </c>
      <c r="E74" s="7">
        <v>46053</v>
      </c>
      <c r="F74">
        <v>1270</v>
      </c>
      <c r="I74" s="10" t="s">
        <v>293</v>
      </c>
      <c r="J74" s="161">
        <v>46053</v>
      </c>
      <c r="K74" s="96">
        <f t="shared" si="15"/>
        <v>1</v>
      </c>
      <c r="L74" s="96">
        <v>74</v>
      </c>
      <c r="O74" s="7" t="s">
        <v>294</v>
      </c>
      <c r="R74" s="7">
        <f>MAX($L87:$L1206)+1</f>
        <v>148</v>
      </c>
      <c r="T74" t="s">
        <v>295</v>
      </c>
      <c r="X74" s="36" t="s">
        <v>139</v>
      </c>
      <c r="Y74" s="36"/>
      <c r="Z74" s="36"/>
      <c r="AA74" s="36" t="s">
        <v>139</v>
      </c>
      <c r="AB74" s="36" t="s">
        <v>139</v>
      </c>
      <c r="AC74" s="36" t="s">
        <v>139</v>
      </c>
      <c r="AD74" s="36" t="s">
        <v>139</v>
      </c>
      <c r="AE74" s="36"/>
      <c r="AF74" s="36"/>
      <c r="AG74" s="36"/>
      <c r="AH74" s="36"/>
      <c r="AI74" s="36"/>
      <c r="AJ74" s="36"/>
      <c r="AK74" s="116"/>
      <c r="AL74" s="36"/>
      <c r="AM74" s="36" t="s">
        <v>139</v>
      </c>
      <c r="AN74" s="36"/>
      <c r="AO74" s="36"/>
      <c r="AP74" s="36"/>
      <c r="AQ74" s="36"/>
      <c r="AR74" s="36"/>
      <c r="AS74" s="36" t="s">
        <v>139</v>
      </c>
      <c r="AT74" s="36"/>
      <c r="AU74" s="36"/>
      <c r="AV74" s="36" t="s">
        <v>139</v>
      </c>
      <c r="AW74" s="36" t="s">
        <v>139</v>
      </c>
      <c r="AX74" s="116"/>
      <c r="AY74" s="116"/>
      <c r="AZ74" s="116"/>
      <c r="BA74" s="36"/>
      <c r="BB74" s="36"/>
      <c r="BC74" s="116"/>
      <c r="BD74" s="116"/>
      <c r="BE74" s="116"/>
      <c r="BF74" s="116"/>
      <c r="BG74" s="116"/>
      <c r="BH74" s="116"/>
      <c r="BI74" s="116"/>
      <c r="BJ74" s="116" t="s">
        <v>139</v>
      </c>
      <c r="BK74" s="116"/>
      <c r="BL74" s="116" t="s">
        <v>139</v>
      </c>
      <c r="BM74" s="116"/>
      <c r="BN74" s="116"/>
      <c r="BO74" s="116"/>
      <c r="BP74" s="116">
        <f t="shared" si="16"/>
        <v>9</v>
      </c>
      <c r="BQ74" s="116">
        <f t="shared" si="17"/>
        <v>1</v>
      </c>
      <c r="BR74" s="116">
        <f t="shared" si="18"/>
        <v>5</v>
      </c>
      <c r="BS74" s="146">
        <f t="shared" si="19"/>
        <v>4</v>
      </c>
      <c r="BT74" s="73" t="s">
        <v>247</v>
      </c>
      <c r="BU74" s="73"/>
    </row>
    <row r="75" spans="1:73" x14ac:dyDescent="0.25">
      <c r="A75">
        <v>61</v>
      </c>
      <c r="B75" s="74">
        <v>46054.031284722223</v>
      </c>
      <c r="E75" s="7">
        <v>46054</v>
      </c>
      <c r="F75">
        <v>1271</v>
      </c>
      <c r="I75" s="10" t="s">
        <v>296</v>
      </c>
      <c r="J75" s="161">
        <v>46054</v>
      </c>
      <c r="K75" s="96">
        <f t="shared" si="15"/>
        <v>2</v>
      </c>
      <c r="L75" s="96">
        <v>75</v>
      </c>
      <c r="O75" s="7" t="s">
        <v>297</v>
      </c>
      <c r="R75" s="7">
        <f>MAX($L88:$L1207)+1</f>
        <v>148</v>
      </c>
      <c r="T75" t="s">
        <v>298</v>
      </c>
      <c r="X75" s="36" t="s">
        <v>139</v>
      </c>
      <c r="Y75" s="36"/>
      <c r="Z75" s="36"/>
      <c r="AA75" s="36" t="s">
        <v>139</v>
      </c>
      <c r="AB75" s="36" t="s">
        <v>139</v>
      </c>
      <c r="AC75" s="36"/>
      <c r="AD75" s="36"/>
      <c r="AE75" s="36"/>
      <c r="AF75" s="36"/>
      <c r="AG75" s="36"/>
      <c r="AH75" s="36"/>
      <c r="AI75" s="36"/>
      <c r="AJ75" s="36"/>
      <c r="AK75" s="116" t="s">
        <v>139</v>
      </c>
      <c r="AL75" s="36"/>
      <c r="AM75" s="36"/>
      <c r="AN75" s="36" t="s">
        <v>139</v>
      </c>
      <c r="AO75" s="36"/>
      <c r="AP75" s="36"/>
      <c r="AQ75" s="36" t="s">
        <v>139</v>
      </c>
      <c r="AR75" s="36"/>
      <c r="AS75" s="36"/>
      <c r="AT75" s="36"/>
      <c r="AU75" s="36"/>
      <c r="AV75" s="36"/>
      <c r="AW75" s="36"/>
      <c r="AX75" s="116"/>
      <c r="AY75" s="116" t="s">
        <v>139</v>
      </c>
      <c r="AZ75" s="116"/>
      <c r="BA75" s="36"/>
      <c r="BB75" s="36" t="s">
        <v>139</v>
      </c>
      <c r="BC75" s="116"/>
      <c r="BD75" s="116"/>
      <c r="BE75" s="116"/>
      <c r="BF75" s="116"/>
      <c r="BG75" s="116"/>
      <c r="BH75" s="116"/>
      <c r="BI75" s="116"/>
      <c r="BJ75" s="116" t="s">
        <v>139</v>
      </c>
      <c r="BK75" s="116" t="s">
        <v>139</v>
      </c>
      <c r="BL75" s="116"/>
      <c r="BM75" s="116"/>
      <c r="BN75" s="116"/>
      <c r="BO75" s="116"/>
      <c r="BP75" s="116">
        <f t="shared" si="16"/>
        <v>8</v>
      </c>
      <c r="BQ75" s="116">
        <f t="shared" si="17"/>
        <v>2</v>
      </c>
      <c r="BR75" s="116">
        <f t="shared" si="18"/>
        <v>3</v>
      </c>
      <c r="BS75" s="146">
        <f t="shared" si="19"/>
        <v>5</v>
      </c>
      <c r="BT75" s="73" t="s">
        <v>206</v>
      </c>
      <c r="BU75" s="73"/>
    </row>
    <row r="76" spans="1:73" x14ac:dyDescent="0.25">
      <c r="A76">
        <v>62</v>
      </c>
      <c r="B76" s="74">
        <v>46054.379317129627</v>
      </c>
      <c r="E76" s="7">
        <v>46054</v>
      </c>
      <c r="F76">
        <v>1272</v>
      </c>
      <c r="I76" s="10" t="s">
        <v>299</v>
      </c>
      <c r="J76" s="161">
        <v>46054</v>
      </c>
      <c r="K76" s="96">
        <f t="shared" si="15"/>
        <v>2</v>
      </c>
      <c r="L76" s="96">
        <v>76</v>
      </c>
      <c r="O76" s="7" t="s">
        <v>142</v>
      </c>
      <c r="R76" s="7">
        <f>MAX($L89:$L1208)+1</f>
        <v>148</v>
      </c>
      <c r="T76" t="s">
        <v>300</v>
      </c>
      <c r="X76" s="36" t="s">
        <v>139</v>
      </c>
      <c r="Y76" s="36" t="s">
        <v>139</v>
      </c>
      <c r="Z76" s="36"/>
      <c r="AA76" s="36" t="s">
        <v>139</v>
      </c>
      <c r="AB76" s="36" t="s">
        <v>139</v>
      </c>
      <c r="AC76" s="36"/>
      <c r="AD76" s="36" t="s">
        <v>139</v>
      </c>
      <c r="AE76" s="36"/>
      <c r="AF76" s="36"/>
      <c r="AG76" s="36" t="s">
        <v>139</v>
      </c>
      <c r="AH76" s="36"/>
      <c r="AI76" s="36"/>
      <c r="AJ76" s="36" t="s">
        <v>139</v>
      </c>
      <c r="AK76" s="116"/>
      <c r="AL76" s="36"/>
      <c r="AM76" s="36" t="s">
        <v>139</v>
      </c>
      <c r="AN76" s="36" t="s">
        <v>139</v>
      </c>
      <c r="AO76" s="36"/>
      <c r="AP76" s="36"/>
      <c r="AQ76" s="36"/>
      <c r="AR76" s="36"/>
      <c r="AS76" s="36"/>
      <c r="AT76" s="36"/>
      <c r="AU76" s="36"/>
      <c r="AV76" s="36"/>
      <c r="AW76" s="36" t="s">
        <v>139</v>
      </c>
      <c r="AX76" s="116"/>
      <c r="AY76" s="116"/>
      <c r="AZ76" s="116"/>
      <c r="BA76" s="36"/>
      <c r="BB76" s="36"/>
      <c r="BC76" s="116"/>
      <c r="BD76" s="116"/>
      <c r="BE76" s="116"/>
      <c r="BF76" s="116" t="s">
        <v>139</v>
      </c>
      <c r="BG76" s="116"/>
      <c r="BH76" s="116"/>
      <c r="BI76" s="116"/>
      <c r="BJ76" s="116" t="s">
        <v>139</v>
      </c>
      <c r="BK76" s="116" t="s">
        <v>139</v>
      </c>
      <c r="BL76" s="116" t="s">
        <v>139</v>
      </c>
      <c r="BM76" s="116"/>
      <c r="BN76" s="116"/>
      <c r="BO76" s="116"/>
      <c r="BP76" s="116">
        <f t="shared" si="16"/>
        <v>11</v>
      </c>
      <c r="BQ76" s="116">
        <f t="shared" si="17"/>
        <v>3</v>
      </c>
      <c r="BR76" s="116">
        <f t="shared" si="18"/>
        <v>5</v>
      </c>
      <c r="BS76" s="146">
        <f t="shared" si="19"/>
        <v>5</v>
      </c>
      <c r="BT76" s="73" t="s">
        <v>216</v>
      </c>
      <c r="BU76" s="73"/>
    </row>
    <row r="77" spans="1:73" x14ac:dyDescent="0.25">
      <c r="A77">
        <v>63</v>
      </c>
      <c r="B77" s="74">
        <v>46054.394224537034</v>
      </c>
      <c r="E77" s="7">
        <v>46054</v>
      </c>
      <c r="F77">
        <v>1273</v>
      </c>
      <c r="I77" s="10" t="s">
        <v>301</v>
      </c>
      <c r="J77" s="161">
        <v>46054</v>
      </c>
      <c r="K77" s="96">
        <f t="shared" si="15"/>
        <v>2</v>
      </c>
      <c r="L77" s="96">
        <v>77</v>
      </c>
      <c r="O77" s="7" t="s">
        <v>142</v>
      </c>
      <c r="R77" s="7">
        <f>MAX($L90:$L1209)+1</f>
        <v>148</v>
      </c>
      <c r="T77" t="s">
        <v>302</v>
      </c>
      <c r="X77" s="36" t="s">
        <v>139</v>
      </c>
      <c r="Y77" s="36" t="s">
        <v>139</v>
      </c>
      <c r="Z77" s="36"/>
      <c r="AA77" s="36" t="s">
        <v>139</v>
      </c>
      <c r="AB77" s="36" t="s">
        <v>139</v>
      </c>
      <c r="AC77" s="36" t="s">
        <v>139</v>
      </c>
      <c r="AD77" s="36" t="s">
        <v>139</v>
      </c>
      <c r="AE77" s="36"/>
      <c r="AF77" s="36"/>
      <c r="AG77" s="36"/>
      <c r="AH77" s="36"/>
      <c r="AI77" s="36"/>
      <c r="AJ77" s="36" t="s">
        <v>139</v>
      </c>
      <c r="AK77" s="116"/>
      <c r="AL77" s="36"/>
      <c r="AM77" s="36" t="s">
        <v>139</v>
      </c>
      <c r="AN77" s="36" t="s">
        <v>139</v>
      </c>
      <c r="AO77" s="36"/>
      <c r="AP77" s="36" t="s">
        <v>139</v>
      </c>
      <c r="AQ77" s="36"/>
      <c r="AR77" s="36"/>
      <c r="AS77" s="36"/>
      <c r="AT77" s="36"/>
      <c r="AU77" s="36" t="s">
        <v>139</v>
      </c>
      <c r="AV77" s="36"/>
      <c r="AW77" s="36" t="s">
        <v>139</v>
      </c>
      <c r="AX77" s="116"/>
      <c r="AY77" s="116"/>
      <c r="AZ77" s="116"/>
      <c r="BA77" s="36"/>
      <c r="BB77" s="36" t="s">
        <v>139</v>
      </c>
      <c r="BC77" s="116"/>
      <c r="BD77" s="116"/>
      <c r="BE77" s="116"/>
      <c r="BF77" s="116"/>
      <c r="BG77" s="116" t="s">
        <v>139</v>
      </c>
      <c r="BH77" s="116"/>
      <c r="BI77" s="116"/>
      <c r="BJ77" s="116" t="s">
        <v>139</v>
      </c>
      <c r="BK77" s="116"/>
      <c r="BL77" s="116" t="s">
        <v>139</v>
      </c>
      <c r="BM77" s="116" t="s">
        <v>139</v>
      </c>
      <c r="BN77" s="116"/>
      <c r="BO77" s="116"/>
      <c r="BP77" s="116">
        <f t="shared" si="16"/>
        <v>14</v>
      </c>
      <c r="BQ77" s="116">
        <f t="shared" si="17"/>
        <v>2</v>
      </c>
      <c r="BR77" s="116">
        <f t="shared" si="18"/>
        <v>6</v>
      </c>
      <c r="BS77" s="146">
        <f t="shared" si="19"/>
        <v>7</v>
      </c>
      <c r="BT77" s="73" t="s">
        <v>155</v>
      </c>
      <c r="BU77" s="73"/>
    </row>
    <row r="78" spans="1:73" x14ac:dyDescent="0.25">
      <c r="A78">
        <v>64</v>
      </c>
      <c r="B78" s="74">
        <v>46055.921064814815</v>
      </c>
      <c r="E78" s="7">
        <v>46056</v>
      </c>
      <c r="F78">
        <v>1274</v>
      </c>
      <c r="I78" s="10" t="s">
        <v>303</v>
      </c>
      <c r="J78" s="161">
        <v>46056</v>
      </c>
      <c r="K78" s="96">
        <f t="shared" si="15"/>
        <v>2</v>
      </c>
      <c r="L78" s="96">
        <v>78</v>
      </c>
      <c r="O78" s="7" t="s">
        <v>304</v>
      </c>
      <c r="R78" s="7">
        <f>MAX($L91:$L1210)+1</f>
        <v>148</v>
      </c>
      <c r="T78" t="s">
        <v>305</v>
      </c>
      <c r="X78" s="36"/>
      <c r="Y78" s="36"/>
      <c r="Z78" s="36"/>
      <c r="AA78" s="36" t="s">
        <v>139</v>
      </c>
      <c r="AB78" s="36"/>
      <c r="AC78" s="36" t="s">
        <v>139</v>
      </c>
      <c r="AD78" s="36"/>
      <c r="AE78" s="36"/>
      <c r="AF78" s="36"/>
      <c r="AG78" s="36"/>
      <c r="AH78" s="36" t="s">
        <v>139</v>
      </c>
      <c r="AI78" s="36"/>
      <c r="AJ78" s="36" t="s">
        <v>139</v>
      </c>
      <c r="AK78" s="116"/>
      <c r="AL78" s="36" t="s">
        <v>139</v>
      </c>
      <c r="AM78" s="36"/>
      <c r="AN78" s="36"/>
      <c r="AO78" s="36"/>
      <c r="AP78" s="36"/>
      <c r="AQ78" s="36"/>
      <c r="AR78" s="36"/>
      <c r="AS78" s="36"/>
      <c r="AT78" s="36" t="s">
        <v>139</v>
      </c>
      <c r="AU78" s="36"/>
      <c r="AV78" s="36"/>
      <c r="AW78" s="36" t="s">
        <v>139</v>
      </c>
      <c r="AX78" s="116"/>
      <c r="AY78" s="116"/>
      <c r="AZ78" s="116"/>
      <c r="BA78" s="36" t="s">
        <v>139</v>
      </c>
      <c r="BB78" s="36"/>
      <c r="BC78" s="116"/>
      <c r="BD78" s="116"/>
      <c r="BE78" s="116"/>
      <c r="BF78" s="116"/>
      <c r="BG78" s="116" t="s">
        <v>139</v>
      </c>
      <c r="BH78" s="116" t="s">
        <v>139</v>
      </c>
      <c r="BI78" s="116"/>
      <c r="BJ78" s="116"/>
      <c r="BK78" s="116"/>
      <c r="BL78" s="116"/>
      <c r="BM78" s="116"/>
      <c r="BN78" s="116"/>
      <c r="BO78" s="116"/>
      <c r="BP78" s="116">
        <f t="shared" si="16"/>
        <v>10</v>
      </c>
      <c r="BQ78" s="116">
        <f t="shared" si="17"/>
        <v>2</v>
      </c>
      <c r="BR78" s="116">
        <f t="shared" si="18"/>
        <v>2</v>
      </c>
      <c r="BS78" s="146">
        <f t="shared" si="19"/>
        <v>6</v>
      </c>
      <c r="BT78" s="73" t="s">
        <v>220</v>
      </c>
      <c r="BU78" s="73"/>
    </row>
    <row r="79" spans="1:73" x14ac:dyDescent="0.25">
      <c r="A79">
        <v>65</v>
      </c>
      <c r="B79" s="74">
        <v>46055.938333333332</v>
      </c>
      <c r="E79" s="7">
        <v>46056</v>
      </c>
      <c r="F79">
        <v>1275</v>
      </c>
      <c r="I79" s="10" t="s">
        <v>306</v>
      </c>
      <c r="J79" s="161">
        <v>46056</v>
      </c>
      <c r="K79" s="96">
        <f t="shared" ref="K79:K110" si="20">MONTH($J79)</f>
        <v>2</v>
      </c>
      <c r="L79" s="96">
        <v>79</v>
      </c>
      <c r="O79" s="7" t="s">
        <v>142</v>
      </c>
      <c r="R79" s="7">
        <f>MAX($L92:$L1211)+1</f>
        <v>148</v>
      </c>
      <c r="T79" t="s">
        <v>307</v>
      </c>
      <c r="X79" s="36"/>
      <c r="Y79" s="36"/>
      <c r="Z79" s="36"/>
      <c r="AA79" s="36" t="s">
        <v>139</v>
      </c>
      <c r="AB79" s="36"/>
      <c r="AC79" s="36" t="s">
        <v>139</v>
      </c>
      <c r="AD79" s="36"/>
      <c r="AE79" s="36" t="s">
        <v>139</v>
      </c>
      <c r="AF79" s="36"/>
      <c r="AG79" s="36"/>
      <c r="AH79" s="36" t="s">
        <v>139</v>
      </c>
      <c r="AI79" s="36" t="s">
        <v>139</v>
      </c>
      <c r="AJ79" s="36" t="s">
        <v>139</v>
      </c>
      <c r="AK79" s="116"/>
      <c r="AL79" s="36" t="s">
        <v>139</v>
      </c>
      <c r="AM79" s="36"/>
      <c r="AN79" s="36"/>
      <c r="AO79" s="36"/>
      <c r="AP79" s="36"/>
      <c r="AQ79" s="36"/>
      <c r="AR79" s="36"/>
      <c r="AS79" s="36"/>
      <c r="AT79" s="36" t="s">
        <v>139</v>
      </c>
      <c r="AU79" s="36"/>
      <c r="AV79" s="36"/>
      <c r="AW79" s="36" t="s">
        <v>139</v>
      </c>
      <c r="AX79" s="116"/>
      <c r="AY79" s="116" t="s">
        <v>139</v>
      </c>
      <c r="AZ79" s="116"/>
      <c r="BA79" s="36" t="s">
        <v>139</v>
      </c>
      <c r="BB79" s="36"/>
      <c r="BC79" s="116"/>
      <c r="BD79" s="116"/>
      <c r="BE79" s="116"/>
      <c r="BF79" s="116"/>
      <c r="BG79" s="116" t="s">
        <v>139</v>
      </c>
      <c r="BH79" s="116" t="s">
        <v>139</v>
      </c>
      <c r="BI79" s="116"/>
      <c r="BJ79" s="116"/>
      <c r="BK79" s="116"/>
      <c r="BL79" s="116"/>
      <c r="BM79" s="116"/>
      <c r="BN79" s="116"/>
      <c r="BO79" s="116"/>
      <c r="BP79" s="116">
        <f t="shared" si="16"/>
        <v>13</v>
      </c>
      <c r="BQ79" s="116">
        <f t="shared" si="17"/>
        <v>2</v>
      </c>
      <c r="BR79" s="116">
        <f t="shared" si="18"/>
        <v>3</v>
      </c>
      <c r="BS79" s="146">
        <f t="shared" si="19"/>
        <v>8</v>
      </c>
      <c r="BT79" s="73" t="s">
        <v>220</v>
      </c>
      <c r="BU79" s="73"/>
    </row>
    <row r="80" spans="1:73" x14ac:dyDescent="0.25">
      <c r="A80">
        <v>66</v>
      </c>
      <c r="B80" s="74">
        <v>46057.34847222222</v>
      </c>
      <c r="E80" s="7">
        <v>46057</v>
      </c>
      <c r="F80">
        <v>1276</v>
      </c>
      <c r="I80" s="10" t="s">
        <v>308</v>
      </c>
      <c r="J80" s="161">
        <v>46057</v>
      </c>
      <c r="K80" s="96">
        <f t="shared" si="20"/>
        <v>2</v>
      </c>
      <c r="L80" s="96">
        <v>80</v>
      </c>
      <c r="O80" s="7" t="s">
        <v>137</v>
      </c>
      <c r="R80" s="7">
        <f>MAX($L93:$L1212)+1</f>
        <v>148</v>
      </c>
      <c r="T80" t="s">
        <v>309</v>
      </c>
      <c r="X80" s="36"/>
      <c r="Y80" s="36"/>
      <c r="Z80" s="36" t="s">
        <v>139</v>
      </c>
      <c r="AA80" s="36" t="s">
        <v>139</v>
      </c>
      <c r="AB80" s="36" t="s">
        <v>139</v>
      </c>
      <c r="AC80" s="36"/>
      <c r="AD80" s="36"/>
      <c r="AE80" s="36" t="s">
        <v>139</v>
      </c>
      <c r="AF80" s="36"/>
      <c r="AG80" s="36"/>
      <c r="AH80" s="36"/>
      <c r="AI80" s="36" t="s">
        <v>139</v>
      </c>
      <c r="AJ80" s="36"/>
      <c r="AK80" s="116"/>
      <c r="AL80" s="36"/>
      <c r="AM80" s="36"/>
      <c r="AN80" s="36"/>
      <c r="AO80" s="36"/>
      <c r="AP80" s="36" t="s">
        <v>139</v>
      </c>
      <c r="AQ80" s="36"/>
      <c r="AR80" s="36"/>
      <c r="AS80" s="36"/>
      <c r="AT80" s="36" t="s">
        <v>139</v>
      </c>
      <c r="AU80" s="36"/>
      <c r="AV80" s="36" t="s">
        <v>139</v>
      </c>
      <c r="AW80" s="36" t="s">
        <v>139</v>
      </c>
      <c r="AX80" s="116"/>
      <c r="AY80" s="116"/>
      <c r="AZ80" s="116"/>
      <c r="BA80" s="36"/>
      <c r="BB80" s="36" t="s">
        <v>139</v>
      </c>
      <c r="BC80" s="116"/>
      <c r="BD80" s="116"/>
      <c r="BE80" s="116"/>
      <c r="BF80" s="116" t="s">
        <v>139</v>
      </c>
      <c r="BG80" s="116" t="s">
        <v>139</v>
      </c>
      <c r="BH80" s="116"/>
      <c r="BI80" s="116"/>
      <c r="BJ80" s="116" t="s">
        <v>139</v>
      </c>
      <c r="BK80" s="116"/>
      <c r="BL80" s="116" t="s">
        <v>139</v>
      </c>
      <c r="BM80" s="116"/>
      <c r="BN80" s="116"/>
      <c r="BO80" s="116"/>
      <c r="BP80" s="116">
        <f t="shared" si="16"/>
        <v>12</v>
      </c>
      <c r="BQ80" s="116">
        <f t="shared" si="17"/>
        <v>1</v>
      </c>
      <c r="BR80" s="116">
        <f t="shared" si="18"/>
        <v>4</v>
      </c>
      <c r="BS80" s="146">
        <f t="shared" si="19"/>
        <v>6</v>
      </c>
      <c r="BT80" s="73" t="s">
        <v>216</v>
      </c>
      <c r="BU80" s="73"/>
    </row>
    <row r="81" spans="1:73" x14ac:dyDescent="0.25">
      <c r="A81">
        <v>67</v>
      </c>
      <c r="B81" s="74">
        <v>46058.117696759262</v>
      </c>
      <c r="E81" s="7">
        <v>46058</v>
      </c>
      <c r="F81">
        <v>1277</v>
      </c>
      <c r="I81" s="10" t="s">
        <v>310</v>
      </c>
      <c r="J81" s="161">
        <v>46058</v>
      </c>
      <c r="K81" s="96">
        <f t="shared" si="20"/>
        <v>2</v>
      </c>
      <c r="L81" s="96">
        <v>81</v>
      </c>
      <c r="O81" s="7" t="s">
        <v>142</v>
      </c>
      <c r="R81" s="7">
        <f>MAX($L94:$L1213)+1</f>
        <v>148</v>
      </c>
      <c r="T81" t="s">
        <v>311</v>
      </c>
      <c r="X81" s="36" t="s">
        <v>139</v>
      </c>
      <c r="Y81" s="36"/>
      <c r="Z81" s="36"/>
      <c r="AA81" s="36" t="s">
        <v>139</v>
      </c>
      <c r="AB81" s="36"/>
      <c r="AC81" s="36"/>
      <c r="AD81" s="36"/>
      <c r="AE81" s="36"/>
      <c r="AF81" s="36"/>
      <c r="AG81" s="36"/>
      <c r="AH81" s="36" t="s">
        <v>139</v>
      </c>
      <c r="AI81" s="36"/>
      <c r="AJ81" s="36" t="s">
        <v>139</v>
      </c>
      <c r="AK81" s="116"/>
      <c r="AL81" s="36"/>
      <c r="AM81" s="36"/>
      <c r="AN81" s="36" t="s">
        <v>139</v>
      </c>
      <c r="AO81" s="36"/>
      <c r="AP81" s="36"/>
      <c r="AQ81" s="36"/>
      <c r="AR81" s="36"/>
      <c r="AS81" s="36"/>
      <c r="AT81" s="36"/>
      <c r="AU81" s="36"/>
      <c r="AV81" s="36" t="s">
        <v>139</v>
      </c>
      <c r="AW81" s="36"/>
      <c r="AX81" s="116"/>
      <c r="AY81" s="116"/>
      <c r="AZ81" s="116"/>
      <c r="BA81" s="36" t="s">
        <v>139</v>
      </c>
      <c r="BB81" s="36"/>
      <c r="BC81" s="116"/>
      <c r="BD81" s="116"/>
      <c r="BE81" s="116"/>
      <c r="BF81" s="116"/>
      <c r="BG81" s="116"/>
      <c r="BH81" s="116" t="s">
        <v>139</v>
      </c>
      <c r="BI81" s="116"/>
      <c r="BJ81" s="116" t="s">
        <v>139</v>
      </c>
      <c r="BK81" s="116" t="s">
        <v>139</v>
      </c>
      <c r="BL81" s="116"/>
      <c r="BM81" s="116" t="s">
        <v>139</v>
      </c>
      <c r="BN81" s="116"/>
      <c r="BO81" s="116"/>
      <c r="BP81" s="116">
        <f t="shared" si="16"/>
        <v>8</v>
      </c>
      <c r="BQ81" s="116">
        <f t="shared" si="17"/>
        <v>2</v>
      </c>
      <c r="BR81" s="116">
        <f t="shared" si="18"/>
        <v>2</v>
      </c>
      <c r="BS81" s="146">
        <f t="shared" si="19"/>
        <v>5</v>
      </c>
      <c r="BT81" s="73" t="s">
        <v>140</v>
      </c>
      <c r="BU81" s="73"/>
    </row>
    <row r="82" spans="1:73" x14ac:dyDescent="0.25">
      <c r="A82">
        <v>68</v>
      </c>
      <c r="B82" s="74">
        <v>46059.171458333331</v>
      </c>
      <c r="E82" s="7">
        <v>46051</v>
      </c>
      <c r="F82">
        <v>1278</v>
      </c>
      <c r="I82" s="10" t="s">
        <v>312</v>
      </c>
      <c r="J82" s="161">
        <v>46059</v>
      </c>
      <c r="K82" s="96">
        <f t="shared" si="20"/>
        <v>2</v>
      </c>
      <c r="L82" s="96">
        <v>82</v>
      </c>
      <c r="O82" s="7" t="s">
        <v>169</v>
      </c>
      <c r="R82" s="7">
        <f>MAX($L95:$L1214)+1</f>
        <v>148</v>
      </c>
      <c r="T82" t="s">
        <v>313</v>
      </c>
      <c r="X82" s="36" t="s">
        <v>139</v>
      </c>
      <c r="Y82" s="36" t="s">
        <v>139</v>
      </c>
      <c r="Z82" s="36"/>
      <c r="AA82" s="36"/>
      <c r="AB82" s="36"/>
      <c r="AC82" s="36"/>
      <c r="AD82" s="36"/>
      <c r="AE82" s="36"/>
      <c r="AF82" s="36"/>
      <c r="AG82" s="36"/>
      <c r="AH82" s="36" t="s">
        <v>139</v>
      </c>
      <c r="AI82" s="36"/>
      <c r="AJ82" s="36"/>
      <c r="AK82" s="116"/>
      <c r="AL82" s="36"/>
      <c r="AM82" s="36"/>
      <c r="AN82" s="36"/>
      <c r="AO82" s="36"/>
      <c r="AP82" s="36" t="s">
        <v>139</v>
      </c>
      <c r="AQ82" s="36" t="s">
        <v>139</v>
      </c>
      <c r="AR82" s="36"/>
      <c r="AS82" s="36" t="s">
        <v>139</v>
      </c>
      <c r="AT82" s="36"/>
      <c r="AU82" s="36"/>
      <c r="AV82" s="36"/>
      <c r="AW82" s="36" t="s">
        <v>139</v>
      </c>
      <c r="AX82" s="116"/>
      <c r="AY82" s="116" t="s">
        <v>139</v>
      </c>
      <c r="AZ82" s="116"/>
      <c r="BA82" s="36" t="s">
        <v>139</v>
      </c>
      <c r="BB82" s="36"/>
      <c r="BC82" s="116"/>
      <c r="BD82" s="116"/>
      <c r="BE82" s="116"/>
      <c r="BF82" s="116"/>
      <c r="BG82" s="116"/>
      <c r="BH82" s="116" t="s">
        <v>139</v>
      </c>
      <c r="BI82" s="116"/>
      <c r="BJ82" s="116" t="s">
        <v>139</v>
      </c>
      <c r="BK82" s="116" t="s">
        <v>139</v>
      </c>
      <c r="BL82" s="116" t="s">
        <v>139</v>
      </c>
      <c r="BM82" s="116"/>
      <c r="BN82" s="116"/>
      <c r="BO82" s="116"/>
      <c r="BP82" s="116">
        <f t="shared" si="16"/>
        <v>10</v>
      </c>
      <c r="BQ82" s="116">
        <f t="shared" si="17"/>
        <v>1</v>
      </c>
      <c r="BR82" s="116">
        <f t="shared" si="18"/>
        <v>2</v>
      </c>
      <c r="BS82" s="146">
        <f t="shared" si="19"/>
        <v>7</v>
      </c>
      <c r="BT82" s="73" t="s">
        <v>314</v>
      </c>
      <c r="BU82" s="73"/>
    </row>
    <row r="83" spans="1:73" x14ac:dyDescent="0.25">
      <c r="A83">
        <v>69</v>
      </c>
      <c r="B83" s="74">
        <v>46061.267210648148</v>
      </c>
      <c r="E83" s="7">
        <v>46058</v>
      </c>
      <c r="F83">
        <v>1279</v>
      </c>
      <c r="I83" s="10" t="s">
        <v>315</v>
      </c>
      <c r="J83" s="161">
        <v>46061</v>
      </c>
      <c r="K83" s="96">
        <f t="shared" si="20"/>
        <v>2</v>
      </c>
      <c r="L83" s="96">
        <v>83</v>
      </c>
      <c r="O83" s="7" t="s">
        <v>137</v>
      </c>
      <c r="R83" s="7">
        <f>MAX($L96:$L1215)+1</f>
        <v>148</v>
      </c>
      <c r="T83" t="s">
        <v>316</v>
      </c>
      <c r="X83" s="36" t="s">
        <v>139</v>
      </c>
      <c r="Y83" s="36" t="s">
        <v>139</v>
      </c>
      <c r="Z83" s="36" t="s">
        <v>139</v>
      </c>
      <c r="AA83" s="36" t="s">
        <v>139</v>
      </c>
      <c r="AB83" s="36"/>
      <c r="AC83" s="36"/>
      <c r="AD83" s="36"/>
      <c r="AE83" s="36"/>
      <c r="AF83" s="36"/>
      <c r="AG83" s="36"/>
      <c r="AH83" s="36"/>
      <c r="AI83" s="36"/>
      <c r="AJ83" s="36"/>
      <c r="AK83" s="116"/>
      <c r="AL83" s="36"/>
      <c r="AM83" s="36"/>
      <c r="AN83" s="36"/>
      <c r="AO83" s="36"/>
      <c r="AP83" s="36" t="s">
        <v>139</v>
      </c>
      <c r="AQ83" s="36"/>
      <c r="AR83" s="36"/>
      <c r="AS83" s="36"/>
      <c r="AT83" s="36" t="s">
        <v>139</v>
      </c>
      <c r="AU83" s="36" t="s">
        <v>139</v>
      </c>
      <c r="AV83" s="36" t="s">
        <v>139</v>
      </c>
      <c r="AW83" s="36" t="s">
        <v>139</v>
      </c>
      <c r="AX83" s="116"/>
      <c r="AY83" s="116"/>
      <c r="AZ83" s="116"/>
      <c r="BA83" s="36" t="s">
        <v>139</v>
      </c>
      <c r="BB83" s="36"/>
      <c r="BC83" s="116"/>
      <c r="BD83" s="116"/>
      <c r="BE83" s="116"/>
      <c r="BF83" s="116" t="s">
        <v>139</v>
      </c>
      <c r="BG83" s="116"/>
      <c r="BH83" s="116"/>
      <c r="BI83" s="116"/>
      <c r="BJ83" s="116" t="s">
        <v>139</v>
      </c>
      <c r="BK83" s="116" t="s">
        <v>139</v>
      </c>
      <c r="BL83" s="116" t="s">
        <v>139</v>
      </c>
      <c r="BM83" s="116" t="s">
        <v>139</v>
      </c>
      <c r="BN83" s="116"/>
      <c r="BO83" s="116"/>
      <c r="BP83" s="116">
        <f t="shared" si="16"/>
        <v>11</v>
      </c>
      <c r="BQ83" s="116">
        <f t="shared" si="17"/>
        <v>1</v>
      </c>
      <c r="BR83" s="116">
        <f t="shared" si="18"/>
        <v>4</v>
      </c>
      <c r="BS83" s="146">
        <f t="shared" si="19"/>
        <v>6</v>
      </c>
      <c r="BT83" s="73" t="s">
        <v>317</v>
      </c>
      <c r="BU83" s="73"/>
    </row>
    <row r="84" spans="1:73" x14ac:dyDescent="0.25">
      <c r="A84">
        <v>70</v>
      </c>
      <c r="B84" s="74">
        <v>46061.27621527778</v>
      </c>
      <c r="E84" s="7">
        <v>46051</v>
      </c>
      <c r="F84">
        <v>1280</v>
      </c>
      <c r="I84" s="10" t="s">
        <v>318</v>
      </c>
      <c r="J84" s="161">
        <v>46061</v>
      </c>
      <c r="K84" s="96">
        <f t="shared" si="20"/>
        <v>2</v>
      </c>
      <c r="L84" s="96">
        <v>84</v>
      </c>
      <c r="O84" s="7" t="s">
        <v>142</v>
      </c>
      <c r="R84" s="7">
        <f>MAX($L97:$L1216)+1</f>
        <v>148</v>
      </c>
      <c r="T84" t="s">
        <v>319</v>
      </c>
      <c r="X84" s="36" t="s">
        <v>139</v>
      </c>
      <c r="Y84" s="36" t="s">
        <v>139</v>
      </c>
      <c r="Z84" s="36" t="s">
        <v>139</v>
      </c>
      <c r="AA84" s="36" t="s">
        <v>139</v>
      </c>
      <c r="AB84" s="36"/>
      <c r="AC84" s="36" t="s">
        <v>139</v>
      </c>
      <c r="AD84" s="36"/>
      <c r="AE84" s="36"/>
      <c r="AF84" s="36"/>
      <c r="AG84" s="36"/>
      <c r="AH84" s="36"/>
      <c r="AI84" s="36"/>
      <c r="AJ84" s="36"/>
      <c r="AK84" s="116"/>
      <c r="AL84" s="36"/>
      <c r="AM84" s="36"/>
      <c r="AN84" s="36"/>
      <c r="AO84" s="36"/>
      <c r="AP84" s="36" t="s">
        <v>139</v>
      </c>
      <c r="AQ84" s="36"/>
      <c r="AR84" s="36"/>
      <c r="AS84" s="36"/>
      <c r="AT84" s="36" t="s">
        <v>139</v>
      </c>
      <c r="AU84" s="36" t="s">
        <v>139</v>
      </c>
      <c r="AV84" s="36" t="s">
        <v>139</v>
      </c>
      <c r="AW84" s="36" t="s">
        <v>139</v>
      </c>
      <c r="AX84" s="116"/>
      <c r="AY84" s="116"/>
      <c r="AZ84" s="116"/>
      <c r="BA84" s="36" t="s">
        <v>139</v>
      </c>
      <c r="BB84" s="36"/>
      <c r="BC84" s="116"/>
      <c r="BD84" s="116"/>
      <c r="BE84" s="116"/>
      <c r="BF84" s="116" t="s">
        <v>139</v>
      </c>
      <c r="BG84" s="116"/>
      <c r="BH84" s="116"/>
      <c r="BI84" s="116"/>
      <c r="BJ84" s="116" t="s">
        <v>139</v>
      </c>
      <c r="BK84" s="116" t="s">
        <v>139</v>
      </c>
      <c r="BL84" s="116" t="s">
        <v>139</v>
      </c>
      <c r="BM84" s="116" t="s">
        <v>139</v>
      </c>
      <c r="BN84" s="116"/>
      <c r="BO84" s="116"/>
      <c r="BP84" s="116">
        <f t="shared" si="16"/>
        <v>12</v>
      </c>
      <c r="BQ84" s="116">
        <f t="shared" si="17"/>
        <v>1</v>
      </c>
      <c r="BR84" s="116">
        <f t="shared" si="18"/>
        <v>5</v>
      </c>
      <c r="BS84" s="146">
        <f t="shared" si="19"/>
        <v>6</v>
      </c>
      <c r="BT84" s="73" t="s">
        <v>320</v>
      </c>
      <c r="BU84" s="73"/>
    </row>
    <row r="85" spans="1:73" x14ac:dyDescent="0.25">
      <c r="A85">
        <v>71</v>
      </c>
      <c r="B85" s="74">
        <v>46061.84951388889</v>
      </c>
      <c r="E85" s="7">
        <v>46062</v>
      </c>
      <c r="F85">
        <v>1281</v>
      </c>
      <c r="I85" s="10" t="s">
        <v>321</v>
      </c>
      <c r="J85" s="161">
        <v>46062</v>
      </c>
      <c r="K85" s="96">
        <f t="shared" si="20"/>
        <v>2</v>
      </c>
      <c r="L85" s="96">
        <v>85</v>
      </c>
      <c r="O85" s="7" t="s">
        <v>142</v>
      </c>
      <c r="R85" s="7">
        <f>MAX($L98:$L1217)+1</f>
        <v>148</v>
      </c>
      <c r="T85" t="s">
        <v>322</v>
      </c>
      <c r="X85" s="36"/>
      <c r="Y85" s="36" t="s">
        <v>139</v>
      </c>
      <c r="Z85" s="36"/>
      <c r="AA85" s="36" t="s">
        <v>139</v>
      </c>
      <c r="AB85" s="36" t="s">
        <v>139</v>
      </c>
      <c r="AC85" s="36" t="s">
        <v>139</v>
      </c>
      <c r="AD85" s="36"/>
      <c r="AE85" s="36"/>
      <c r="AF85" s="36"/>
      <c r="AG85" s="36"/>
      <c r="AH85" s="36" t="s">
        <v>139</v>
      </c>
      <c r="AI85" s="36"/>
      <c r="AJ85" s="36"/>
      <c r="AK85" s="116" t="s">
        <v>139</v>
      </c>
      <c r="AL85" s="36"/>
      <c r="AM85" s="36"/>
      <c r="AN85" s="36" t="s">
        <v>139</v>
      </c>
      <c r="AO85" s="36"/>
      <c r="AP85" s="36"/>
      <c r="AQ85" s="36"/>
      <c r="AR85" s="36"/>
      <c r="AS85" s="36"/>
      <c r="AT85" s="36"/>
      <c r="AU85" s="36"/>
      <c r="AV85" s="36"/>
      <c r="AW85" s="36" t="s">
        <v>139</v>
      </c>
      <c r="AX85" s="116"/>
      <c r="AY85" s="116"/>
      <c r="AZ85" s="116"/>
      <c r="BA85" s="36" t="s">
        <v>139</v>
      </c>
      <c r="BB85" s="36" t="s">
        <v>139</v>
      </c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 t="s">
        <v>139</v>
      </c>
      <c r="BN85" s="116"/>
      <c r="BO85" s="116"/>
      <c r="BP85" s="116">
        <f t="shared" si="16"/>
        <v>10</v>
      </c>
      <c r="BQ85" s="116">
        <f t="shared" si="17"/>
        <v>2</v>
      </c>
      <c r="BR85" s="116">
        <f t="shared" si="18"/>
        <v>4</v>
      </c>
      <c r="BS85" s="146">
        <f t="shared" si="19"/>
        <v>6</v>
      </c>
      <c r="BT85" s="73" t="s">
        <v>247</v>
      </c>
      <c r="BU85" s="73"/>
    </row>
    <row r="86" spans="1:73" x14ac:dyDescent="0.25">
      <c r="A86">
        <v>72</v>
      </c>
      <c r="B86" s="74">
        <v>46061.964375000003</v>
      </c>
      <c r="E86" s="7">
        <v>46062</v>
      </c>
      <c r="F86">
        <v>1282</v>
      </c>
      <c r="I86" s="10" t="s">
        <v>323</v>
      </c>
      <c r="J86" s="161">
        <v>46062</v>
      </c>
      <c r="K86" s="96">
        <f t="shared" si="20"/>
        <v>2</v>
      </c>
      <c r="L86" s="96">
        <v>86</v>
      </c>
      <c r="O86" s="7" t="s">
        <v>137</v>
      </c>
      <c r="R86" s="7">
        <f>MAX($L99:$L1218)+1</f>
        <v>148</v>
      </c>
      <c r="T86" t="s">
        <v>324</v>
      </c>
      <c r="X86" s="36"/>
      <c r="Y86" s="36"/>
      <c r="Z86" s="36"/>
      <c r="AA86" s="36"/>
      <c r="AB86" s="36"/>
      <c r="AC86" s="36" t="s">
        <v>139</v>
      </c>
      <c r="AD86" s="36" t="s">
        <v>139</v>
      </c>
      <c r="AE86" s="36"/>
      <c r="AF86" s="36" t="s">
        <v>139</v>
      </c>
      <c r="AG86" s="36"/>
      <c r="AH86" s="36" t="s">
        <v>139</v>
      </c>
      <c r="AI86" s="36"/>
      <c r="AJ86" s="36" t="s">
        <v>139</v>
      </c>
      <c r="AK86" s="116"/>
      <c r="AL86" s="36"/>
      <c r="AM86" s="36"/>
      <c r="AN86" s="36" t="s">
        <v>139</v>
      </c>
      <c r="AO86" s="36"/>
      <c r="AP86" s="36"/>
      <c r="AQ86" s="36"/>
      <c r="AR86" s="36"/>
      <c r="AS86" s="36"/>
      <c r="AT86" s="36"/>
      <c r="AU86" s="36"/>
      <c r="AV86" s="36"/>
      <c r="AW86" s="36"/>
      <c r="AX86" s="116"/>
      <c r="AY86" s="116"/>
      <c r="AZ86" s="116"/>
      <c r="BA86" s="36"/>
      <c r="BB86" s="36" t="s">
        <v>139</v>
      </c>
      <c r="BC86" s="116"/>
      <c r="BD86" s="116"/>
      <c r="BE86" s="116"/>
      <c r="BF86" s="116"/>
      <c r="BG86" s="116" t="s">
        <v>139</v>
      </c>
      <c r="BH86" s="116" t="s">
        <v>139</v>
      </c>
      <c r="BI86" s="116"/>
      <c r="BJ86" s="116"/>
      <c r="BK86" s="116"/>
      <c r="BL86" s="116"/>
      <c r="BM86" s="116" t="s">
        <v>139</v>
      </c>
      <c r="BN86" s="116"/>
      <c r="BO86" s="116"/>
      <c r="BP86" s="116">
        <f t="shared" si="16"/>
        <v>9</v>
      </c>
      <c r="BQ86" s="116">
        <f t="shared" si="17"/>
        <v>2</v>
      </c>
      <c r="BR86" s="116">
        <f t="shared" si="18"/>
        <v>2</v>
      </c>
      <c r="BS86" s="146">
        <f t="shared" si="19"/>
        <v>5</v>
      </c>
      <c r="BT86" s="73" t="s">
        <v>278</v>
      </c>
      <c r="BU86" s="73"/>
    </row>
    <row r="87" spans="1:73" x14ac:dyDescent="0.25">
      <c r="A87">
        <v>73</v>
      </c>
      <c r="B87" s="74">
        <v>46063.036354166667</v>
      </c>
      <c r="E87" s="7">
        <v>46063</v>
      </c>
      <c r="F87">
        <v>1283</v>
      </c>
      <c r="I87" s="10" t="s">
        <v>325</v>
      </c>
      <c r="J87" s="161">
        <v>46063</v>
      </c>
      <c r="K87" s="96">
        <f t="shared" si="20"/>
        <v>2</v>
      </c>
      <c r="L87" s="96">
        <v>87</v>
      </c>
      <c r="O87" s="7" t="s">
        <v>137</v>
      </c>
      <c r="R87" s="7">
        <f>MAX($L100:$L1219)+1</f>
        <v>148</v>
      </c>
      <c r="T87" t="s">
        <v>326</v>
      </c>
      <c r="X87" s="36"/>
      <c r="Y87" s="36" t="s">
        <v>139</v>
      </c>
      <c r="Z87" s="36"/>
      <c r="AA87" s="36"/>
      <c r="AB87" s="36" t="s">
        <v>139</v>
      </c>
      <c r="AC87" s="36"/>
      <c r="AD87" s="36"/>
      <c r="AE87" s="36"/>
      <c r="AF87" s="36"/>
      <c r="AG87" s="36"/>
      <c r="AH87" s="36" t="s">
        <v>139</v>
      </c>
      <c r="AI87" s="36"/>
      <c r="AJ87" s="36"/>
      <c r="AK87" s="116" t="s">
        <v>139</v>
      </c>
      <c r="AL87" s="36"/>
      <c r="AM87" s="36"/>
      <c r="AN87" s="36"/>
      <c r="AO87" s="36" t="s">
        <v>139</v>
      </c>
      <c r="AP87" s="36"/>
      <c r="AQ87" s="36"/>
      <c r="AR87" s="36"/>
      <c r="AS87" s="36"/>
      <c r="AT87" s="36" t="s">
        <v>139</v>
      </c>
      <c r="AU87" s="36"/>
      <c r="AV87" s="36"/>
      <c r="AW87" s="36" t="s">
        <v>139</v>
      </c>
      <c r="AX87" s="116"/>
      <c r="AY87" s="116"/>
      <c r="AZ87" s="116"/>
      <c r="BA87" s="36" t="s">
        <v>139</v>
      </c>
      <c r="BB87" s="36"/>
      <c r="BC87" s="116"/>
      <c r="BD87" s="116"/>
      <c r="BE87" s="116"/>
      <c r="BF87" s="116" t="s">
        <v>139</v>
      </c>
      <c r="BG87" s="116" t="s">
        <v>139</v>
      </c>
      <c r="BH87" s="116"/>
      <c r="BI87" s="116"/>
      <c r="BJ87" s="116"/>
      <c r="BK87" s="116"/>
      <c r="BL87" s="116"/>
      <c r="BM87" s="116"/>
      <c r="BN87" s="116"/>
      <c r="BO87" s="116"/>
      <c r="BP87" s="116">
        <f t="shared" si="16"/>
        <v>10</v>
      </c>
      <c r="BQ87" s="116">
        <f t="shared" si="17"/>
        <v>3</v>
      </c>
      <c r="BR87" s="116">
        <f t="shared" si="18"/>
        <v>2</v>
      </c>
      <c r="BS87" s="146">
        <f t="shared" si="19"/>
        <v>6</v>
      </c>
      <c r="BT87" s="73" t="s">
        <v>247</v>
      </c>
      <c r="BU87" s="73"/>
    </row>
    <row r="88" spans="1:73" x14ac:dyDescent="0.25">
      <c r="A88">
        <v>74</v>
      </c>
      <c r="B88" s="74">
        <v>46063.789803240739</v>
      </c>
      <c r="E88" s="7">
        <v>46063</v>
      </c>
      <c r="F88">
        <v>1284</v>
      </c>
      <c r="I88" s="10" t="s">
        <v>327</v>
      </c>
      <c r="J88" s="161">
        <v>46064</v>
      </c>
      <c r="K88" s="96">
        <f t="shared" si="20"/>
        <v>2</v>
      </c>
      <c r="L88" s="96">
        <v>88</v>
      </c>
      <c r="O88" s="7" t="s">
        <v>137</v>
      </c>
      <c r="R88" s="7">
        <f>MAX($L101:$L1220)+1</f>
        <v>148</v>
      </c>
      <c r="T88" t="s">
        <v>328</v>
      </c>
      <c r="X88" s="36"/>
      <c r="Y88" s="36" t="s">
        <v>139</v>
      </c>
      <c r="Z88" s="36"/>
      <c r="AA88" s="36"/>
      <c r="AB88" s="36" t="s">
        <v>139</v>
      </c>
      <c r="AC88" s="36"/>
      <c r="AD88" s="36"/>
      <c r="AE88" s="36"/>
      <c r="AF88" s="36"/>
      <c r="AG88" s="36"/>
      <c r="AH88" s="36"/>
      <c r="AI88" s="36"/>
      <c r="AJ88" s="36" t="s">
        <v>139</v>
      </c>
      <c r="AK88" s="116"/>
      <c r="AL88" s="36" t="s">
        <v>139</v>
      </c>
      <c r="AM88" s="36"/>
      <c r="AN88" s="36"/>
      <c r="AO88" s="36" t="s">
        <v>139</v>
      </c>
      <c r="AP88" s="36"/>
      <c r="AQ88" s="36"/>
      <c r="AR88" s="36"/>
      <c r="AS88" s="36"/>
      <c r="AT88" s="36"/>
      <c r="AU88" s="36"/>
      <c r="AV88" s="36"/>
      <c r="AW88" s="36" t="s">
        <v>139</v>
      </c>
      <c r="AX88" s="116"/>
      <c r="AY88" s="116"/>
      <c r="AZ88" s="116"/>
      <c r="BA88" s="36"/>
      <c r="BB88" s="36"/>
      <c r="BC88" s="116"/>
      <c r="BD88" s="116"/>
      <c r="BE88" s="116"/>
      <c r="BF88" s="116"/>
      <c r="BG88" s="116" t="s">
        <v>139</v>
      </c>
      <c r="BH88" s="116"/>
      <c r="BI88" s="116"/>
      <c r="BJ88" s="116"/>
      <c r="BK88" s="116"/>
      <c r="BL88" s="116"/>
      <c r="BM88" s="116" t="s">
        <v>139</v>
      </c>
      <c r="BN88" s="116"/>
      <c r="BO88" s="116"/>
      <c r="BP88" s="116">
        <f t="shared" si="16"/>
        <v>7</v>
      </c>
      <c r="BQ88" s="116">
        <f t="shared" si="17"/>
        <v>2</v>
      </c>
      <c r="BR88" s="116">
        <f t="shared" si="18"/>
        <v>2</v>
      </c>
      <c r="BS88" s="146">
        <f t="shared" si="19"/>
        <v>4</v>
      </c>
      <c r="BT88" s="73" t="s">
        <v>247</v>
      </c>
      <c r="BU88" s="73"/>
    </row>
    <row r="89" spans="1:73" x14ac:dyDescent="0.25">
      <c r="A89">
        <v>75</v>
      </c>
      <c r="B89" s="74">
        <v>46064.504050925927</v>
      </c>
      <c r="E89" s="7">
        <v>46065</v>
      </c>
      <c r="F89">
        <v>1285</v>
      </c>
      <c r="I89" s="10" t="s">
        <v>329</v>
      </c>
      <c r="J89" s="161">
        <v>46065</v>
      </c>
      <c r="K89" s="96">
        <f t="shared" si="20"/>
        <v>2</v>
      </c>
      <c r="L89" s="96">
        <v>89</v>
      </c>
      <c r="O89" s="7" t="s">
        <v>330</v>
      </c>
      <c r="R89" s="7">
        <f>MAX($L102:$L1221)+1</f>
        <v>148</v>
      </c>
      <c r="T89" t="s">
        <v>331</v>
      </c>
      <c r="X89" s="36" t="s">
        <v>139</v>
      </c>
      <c r="Y89" s="36" t="s">
        <v>139</v>
      </c>
      <c r="Z89" s="36"/>
      <c r="AA89" s="36"/>
      <c r="AB89" s="36" t="s">
        <v>139</v>
      </c>
      <c r="AC89" s="36"/>
      <c r="AD89" s="36"/>
      <c r="AE89" s="36"/>
      <c r="AF89" s="36"/>
      <c r="AG89" s="36"/>
      <c r="AH89" s="36" t="s">
        <v>139</v>
      </c>
      <c r="AI89" s="36"/>
      <c r="AJ89" s="36" t="s">
        <v>139</v>
      </c>
      <c r="AK89" s="116" t="s">
        <v>139</v>
      </c>
      <c r="AL89" s="36" t="s">
        <v>139</v>
      </c>
      <c r="AM89" s="36" t="s">
        <v>139</v>
      </c>
      <c r="AN89" s="36" t="s">
        <v>139</v>
      </c>
      <c r="AO89" s="36"/>
      <c r="AP89" s="36"/>
      <c r="AQ89" s="36"/>
      <c r="AR89" s="36"/>
      <c r="AS89" s="36"/>
      <c r="AT89" s="36"/>
      <c r="AU89" s="36" t="s">
        <v>139</v>
      </c>
      <c r="AV89" s="36"/>
      <c r="AW89" s="36" t="s">
        <v>139</v>
      </c>
      <c r="AX89" s="116"/>
      <c r="AY89" s="116"/>
      <c r="AZ89" s="116"/>
      <c r="BA89" s="36"/>
      <c r="BB89" s="36"/>
      <c r="BC89" s="116"/>
      <c r="BD89" s="116"/>
      <c r="BE89" s="116"/>
      <c r="BF89" s="116"/>
      <c r="BG89" s="116"/>
      <c r="BH89" s="116"/>
      <c r="BI89" s="116"/>
      <c r="BJ89" s="116" t="s">
        <v>139</v>
      </c>
      <c r="BK89" s="116"/>
      <c r="BL89" s="116" t="s">
        <v>139</v>
      </c>
      <c r="BM89" s="116" t="s">
        <v>139</v>
      </c>
      <c r="BN89" s="116"/>
      <c r="BO89" s="116"/>
      <c r="BP89" s="116">
        <f t="shared" si="16"/>
        <v>11</v>
      </c>
      <c r="BQ89" s="116">
        <f t="shared" si="17"/>
        <v>3</v>
      </c>
      <c r="BR89" s="116">
        <f t="shared" si="18"/>
        <v>3</v>
      </c>
      <c r="BS89" s="146">
        <f t="shared" si="19"/>
        <v>8</v>
      </c>
      <c r="BT89" s="73" t="s">
        <v>140</v>
      </c>
      <c r="BU89" s="73"/>
    </row>
    <row r="90" spans="1:73" x14ac:dyDescent="0.25">
      <c r="A90">
        <v>76</v>
      </c>
      <c r="B90" s="74">
        <v>46065.048414351855</v>
      </c>
      <c r="E90" s="7">
        <v>46065</v>
      </c>
      <c r="F90">
        <v>1286</v>
      </c>
      <c r="I90" s="10" t="s">
        <v>332</v>
      </c>
      <c r="J90" s="161">
        <v>46065</v>
      </c>
      <c r="K90" s="96">
        <f t="shared" si="20"/>
        <v>2</v>
      </c>
      <c r="L90" s="96">
        <v>90</v>
      </c>
      <c r="O90" s="7" t="s">
        <v>142</v>
      </c>
      <c r="R90" s="7">
        <f>MAX($L103:$L1222)+1</f>
        <v>148</v>
      </c>
      <c r="T90" t="s">
        <v>333</v>
      </c>
      <c r="X90" s="36"/>
      <c r="Y90" s="36" t="s">
        <v>139</v>
      </c>
      <c r="Z90" s="36"/>
      <c r="AA90" s="36"/>
      <c r="AB90" s="36"/>
      <c r="AC90" s="36" t="s">
        <v>139</v>
      </c>
      <c r="AD90" s="36"/>
      <c r="AE90" s="36"/>
      <c r="AF90" s="36"/>
      <c r="AG90" s="36"/>
      <c r="AH90" s="36" t="s">
        <v>139</v>
      </c>
      <c r="AI90" s="36"/>
      <c r="AJ90" s="36" t="s">
        <v>139</v>
      </c>
      <c r="AK90" s="116"/>
      <c r="AL90" s="36" t="s">
        <v>139</v>
      </c>
      <c r="AM90" s="36" t="s">
        <v>139</v>
      </c>
      <c r="AN90" s="36" t="s">
        <v>139</v>
      </c>
      <c r="AO90" s="36"/>
      <c r="AP90" s="36"/>
      <c r="AQ90" s="36"/>
      <c r="AR90" s="36"/>
      <c r="AS90" s="36"/>
      <c r="AT90" s="36"/>
      <c r="AU90" s="36"/>
      <c r="AV90" s="36"/>
      <c r="AW90" s="36"/>
      <c r="AX90" s="116" t="s">
        <v>139</v>
      </c>
      <c r="AY90" s="116"/>
      <c r="AZ90" s="116"/>
      <c r="BA90" s="36"/>
      <c r="BB90" s="36" t="s">
        <v>139</v>
      </c>
      <c r="BC90" s="116"/>
      <c r="BD90" s="116" t="s">
        <v>139</v>
      </c>
      <c r="BE90" s="116"/>
      <c r="BF90" s="116"/>
      <c r="BG90" s="116" t="s">
        <v>139</v>
      </c>
      <c r="BH90" s="116" t="s">
        <v>139</v>
      </c>
      <c r="BI90" s="116"/>
      <c r="BJ90" s="116"/>
      <c r="BK90" s="116"/>
      <c r="BL90" s="116"/>
      <c r="BM90" s="116" t="s">
        <v>139</v>
      </c>
      <c r="BN90" s="116"/>
      <c r="BO90" s="116"/>
      <c r="BP90" s="116">
        <f t="shared" si="16"/>
        <v>12</v>
      </c>
      <c r="BQ90" s="116">
        <f t="shared" si="17"/>
        <v>2</v>
      </c>
      <c r="BR90" s="116">
        <f t="shared" si="18"/>
        <v>2</v>
      </c>
      <c r="BS90" s="146">
        <f t="shared" si="19"/>
        <v>8</v>
      </c>
      <c r="BT90" s="73" t="s">
        <v>148</v>
      </c>
      <c r="BU90" s="73"/>
    </row>
    <row r="91" spans="1:73" x14ac:dyDescent="0.25">
      <c r="A91">
        <v>77</v>
      </c>
      <c r="B91" s="74">
        <v>46065.990358796298</v>
      </c>
      <c r="E91" s="7">
        <v>46066</v>
      </c>
      <c r="F91">
        <v>1287</v>
      </c>
      <c r="I91" s="10" t="s">
        <v>334</v>
      </c>
      <c r="J91" s="161">
        <v>46066</v>
      </c>
      <c r="K91" s="96">
        <f t="shared" si="20"/>
        <v>2</v>
      </c>
      <c r="L91" s="96">
        <v>91</v>
      </c>
      <c r="O91" s="7" t="s">
        <v>153</v>
      </c>
      <c r="R91" s="7">
        <f>MAX($L104:$L1223)+1</f>
        <v>148</v>
      </c>
      <c r="T91" t="s">
        <v>335</v>
      </c>
      <c r="X91" s="36"/>
      <c r="Y91" s="36"/>
      <c r="Z91" s="36"/>
      <c r="AA91" s="36"/>
      <c r="AB91" s="36" t="s">
        <v>139</v>
      </c>
      <c r="AC91" s="36" t="s">
        <v>139</v>
      </c>
      <c r="AD91" s="36" t="s">
        <v>139</v>
      </c>
      <c r="AE91" s="36"/>
      <c r="AF91" s="36"/>
      <c r="AG91" s="36"/>
      <c r="AH91" s="36" t="s">
        <v>139</v>
      </c>
      <c r="AI91" s="36"/>
      <c r="AJ91" s="36" t="s">
        <v>139</v>
      </c>
      <c r="AK91" s="116"/>
      <c r="AL91" s="36"/>
      <c r="AM91" s="36"/>
      <c r="AN91" s="36" t="s">
        <v>139</v>
      </c>
      <c r="AO91" s="36"/>
      <c r="AP91" s="36"/>
      <c r="AQ91" s="36"/>
      <c r="AR91" s="36"/>
      <c r="AS91" s="36" t="s">
        <v>139</v>
      </c>
      <c r="AT91" s="36"/>
      <c r="AU91" s="36" t="s">
        <v>139</v>
      </c>
      <c r="AV91" s="36"/>
      <c r="AW91" s="36"/>
      <c r="AX91" s="116" t="s">
        <v>139</v>
      </c>
      <c r="AY91" s="116"/>
      <c r="AZ91" s="116"/>
      <c r="BA91" s="36"/>
      <c r="BB91" s="36" t="s">
        <v>139</v>
      </c>
      <c r="BC91" s="116"/>
      <c r="BD91" s="116"/>
      <c r="BE91" s="116"/>
      <c r="BF91" s="116"/>
      <c r="BG91" s="116" t="s">
        <v>139</v>
      </c>
      <c r="BH91" s="116" t="s">
        <v>139</v>
      </c>
      <c r="BI91" s="116"/>
      <c r="BJ91" s="116"/>
      <c r="BK91" s="116"/>
      <c r="BL91" s="116"/>
      <c r="BM91" s="116" t="s">
        <v>139</v>
      </c>
      <c r="BN91" s="116"/>
      <c r="BO91" s="116"/>
      <c r="BP91" s="116">
        <f t="shared" si="16"/>
        <v>12</v>
      </c>
      <c r="BQ91" s="116">
        <f t="shared" si="17"/>
        <v>3</v>
      </c>
      <c r="BR91" s="116">
        <f t="shared" si="18"/>
        <v>3</v>
      </c>
      <c r="BS91" s="146">
        <f t="shared" si="19"/>
        <v>7</v>
      </c>
      <c r="BT91" s="73" t="s">
        <v>247</v>
      </c>
      <c r="BU91" s="73"/>
    </row>
    <row r="92" spans="1:73" x14ac:dyDescent="0.25">
      <c r="A92">
        <v>78</v>
      </c>
      <c r="B92" s="74">
        <v>46066.00341435185</v>
      </c>
      <c r="E92" s="7">
        <v>46066</v>
      </c>
      <c r="F92">
        <v>1288</v>
      </c>
      <c r="I92" s="10" t="s">
        <v>336</v>
      </c>
      <c r="J92" s="161">
        <v>46066</v>
      </c>
      <c r="K92" s="96">
        <f t="shared" si="20"/>
        <v>2</v>
      </c>
      <c r="L92" s="96">
        <v>92</v>
      </c>
      <c r="O92" s="7" t="s">
        <v>142</v>
      </c>
      <c r="R92" s="7">
        <f>MAX($L105:$L1224)+1</f>
        <v>148</v>
      </c>
      <c r="T92" t="s">
        <v>337</v>
      </c>
      <c r="X92" s="36"/>
      <c r="Y92" s="36"/>
      <c r="Z92" s="36"/>
      <c r="AA92" s="36"/>
      <c r="AB92" s="36" t="s">
        <v>139</v>
      </c>
      <c r="AC92" s="36" t="s">
        <v>139</v>
      </c>
      <c r="AD92" s="36" t="s">
        <v>139</v>
      </c>
      <c r="AE92" s="36"/>
      <c r="AF92" s="36"/>
      <c r="AG92" s="36"/>
      <c r="AH92" s="36" t="s">
        <v>139</v>
      </c>
      <c r="AI92" s="36"/>
      <c r="AJ92" s="36" t="s">
        <v>139</v>
      </c>
      <c r="AK92" s="116"/>
      <c r="AL92" s="36"/>
      <c r="AM92" s="36"/>
      <c r="AN92" s="36" t="s">
        <v>139</v>
      </c>
      <c r="AO92" s="36"/>
      <c r="AP92" s="36"/>
      <c r="AQ92" s="36"/>
      <c r="AR92" s="36"/>
      <c r="AS92" s="36" t="s">
        <v>139</v>
      </c>
      <c r="AT92" s="36"/>
      <c r="AU92" s="36" t="s">
        <v>139</v>
      </c>
      <c r="AV92" s="36"/>
      <c r="AW92" s="36"/>
      <c r="AX92" s="116" t="s">
        <v>139</v>
      </c>
      <c r="AY92" s="116"/>
      <c r="AZ92" s="116"/>
      <c r="BA92" s="36"/>
      <c r="BB92" s="36" t="s">
        <v>139</v>
      </c>
      <c r="BC92" s="116"/>
      <c r="BD92" s="116"/>
      <c r="BE92" s="116"/>
      <c r="BF92" s="116"/>
      <c r="BG92" s="116" t="s">
        <v>139</v>
      </c>
      <c r="BH92" s="116" t="s">
        <v>139</v>
      </c>
      <c r="BI92" s="116"/>
      <c r="BJ92" s="116"/>
      <c r="BK92" s="116"/>
      <c r="BL92" s="116"/>
      <c r="BM92" s="116" t="s">
        <v>139</v>
      </c>
      <c r="BN92" s="116"/>
      <c r="BO92" s="116"/>
      <c r="BP92" s="116">
        <f t="shared" si="16"/>
        <v>12</v>
      </c>
      <c r="BQ92" s="116">
        <f t="shared" si="17"/>
        <v>3</v>
      </c>
      <c r="BR92" s="116">
        <f t="shared" si="18"/>
        <v>3</v>
      </c>
      <c r="BS92" s="146">
        <f t="shared" si="19"/>
        <v>7</v>
      </c>
      <c r="BT92" s="73" t="s">
        <v>247</v>
      </c>
      <c r="BU92" s="73"/>
    </row>
    <row r="93" spans="1:73" x14ac:dyDescent="0.25">
      <c r="A93">
        <v>79</v>
      </c>
      <c r="B93" s="74">
        <v>46066.155729166669</v>
      </c>
      <c r="E93" s="7">
        <v>46065</v>
      </c>
      <c r="F93">
        <v>1289</v>
      </c>
      <c r="I93" s="10" t="s">
        <v>338</v>
      </c>
      <c r="J93" s="161">
        <v>46066</v>
      </c>
      <c r="K93" s="96">
        <f t="shared" si="20"/>
        <v>2</v>
      </c>
      <c r="L93" s="96">
        <v>93</v>
      </c>
      <c r="O93" s="7" t="s">
        <v>142</v>
      </c>
      <c r="R93" s="7">
        <f>MAX($L106:$L1225)+1</f>
        <v>148</v>
      </c>
      <c r="T93" t="s">
        <v>339</v>
      </c>
      <c r="X93" s="36" t="s">
        <v>139</v>
      </c>
      <c r="Y93" s="36"/>
      <c r="Z93" s="36"/>
      <c r="AA93" s="36"/>
      <c r="AB93" s="36" t="s">
        <v>139</v>
      </c>
      <c r="AC93" s="36"/>
      <c r="AD93" s="36" t="s">
        <v>139</v>
      </c>
      <c r="AE93" s="36"/>
      <c r="AF93" s="36"/>
      <c r="AG93" s="36"/>
      <c r="AH93" s="36" t="s">
        <v>139</v>
      </c>
      <c r="AI93" s="36"/>
      <c r="AJ93" s="36" t="s">
        <v>139</v>
      </c>
      <c r="AK93" s="116" t="s">
        <v>139</v>
      </c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 t="s">
        <v>139</v>
      </c>
      <c r="AX93" s="116" t="s">
        <v>139</v>
      </c>
      <c r="AY93" s="116" t="s">
        <v>139</v>
      </c>
      <c r="AZ93" s="116"/>
      <c r="BA93" s="36"/>
      <c r="BB93" s="36"/>
      <c r="BC93" s="116"/>
      <c r="BD93" s="116" t="s">
        <v>139</v>
      </c>
      <c r="BE93" s="116"/>
      <c r="BF93" s="116"/>
      <c r="BG93" s="116" t="s">
        <v>139</v>
      </c>
      <c r="BH93" s="116" t="s">
        <v>139</v>
      </c>
      <c r="BI93" s="116"/>
      <c r="BJ93" s="116" t="s">
        <v>139</v>
      </c>
      <c r="BK93" s="116" t="s">
        <v>139</v>
      </c>
      <c r="BL93" s="116"/>
      <c r="BM93" s="116" t="s">
        <v>139</v>
      </c>
      <c r="BN93" s="116"/>
      <c r="BO93" s="116"/>
      <c r="BP93" s="116">
        <f t="shared" si="16"/>
        <v>12</v>
      </c>
      <c r="BQ93" s="116">
        <f t="shared" si="17"/>
        <v>2</v>
      </c>
      <c r="BR93" s="116">
        <f t="shared" si="18"/>
        <v>3</v>
      </c>
      <c r="BS93" s="146">
        <f t="shared" si="19"/>
        <v>7</v>
      </c>
      <c r="BT93" s="73" t="s">
        <v>140</v>
      </c>
      <c r="BU93" s="73"/>
    </row>
    <row r="94" spans="1:73" x14ac:dyDescent="0.25">
      <c r="A94">
        <v>80</v>
      </c>
      <c r="B94" s="74">
        <v>46066.162476851852</v>
      </c>
      <c r="E94" s="7">
        <v>46066</v>
      </c>
      <c r="F94">
        <v>1290</v>
      </c>
      <c r="I94" s="10" t="s">
        <v>340</v>
      </c>
      <c r="J94" s="161">
        <v>46066</v>
      </c>
      <c r="K94" s="96">
        <f t="shared" si="20"/>
        <v>2</v>
      </c>
      <c r="L94" s="96">
        <v>94</v>
      </c>
      <c r="O94" s="7" t="s">
        <v>142</v>
      </c>
      <c r="R94" s="7">
        <f>MAX($L107:$L1226)+1</f>
        <v>148</v>
      </c>
      <c r="T94" t="s">
        <v>341</v>
      </c>
      <c r="X94" s="36" t="s">
        <v>139</v>
      </c>
      <c r="Y94" s="36"/>
      <c r="Z94" s="36"/>
      <c r="AA94" s="36"/>
      <c r="AB94" s="36" t="s">
        <v>139</v>
      </c>
      <c r="AC94" s="36"/>
      <c r="AD94" s="36" t="s">
        <v>139</v>
      </c>
      <c r="AE94" s="36"/>
      <c r="AF94" s="36"/>
      <c r="AG94" s="36"/>
      <c r="AH94" s="36" t="s">
        <v>139</v>
      </c>
      <c r="AI94" s="36"/>
      <c r="AJ94" s="36" t="s">
        <v>139</v>
      </c>
      <c r="AK94" s="116" t="s">
        <v>139</v>
      </c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 t="s">
        <v>139</v>
      </c>
      <c r="AX94" s="116" t="s">
        <v>139</v>
      </c>
      <c r="AY94" s="116" t="s">
        <v>139</v>
      </c>
      <c r="AZ94" s="116"/>
      <c r="BA94" s="36"/>
      <c r="BB94" s="36"/>
      <c r="BC94" s="116"/>
      <c r="BD94" s="116"/>
      <c r="BE94" s="116"/>
      <c r="BF94" s="116" t="s">
        <v>139</v>
      </c>
      <c r="BG94" s="116" t="s">
        <v>139</v>
      </c>
      <c r="BH94" s="116" t="s">
        <v>139</v>
      </c>
      <c r="BI94" s="116"/>
      <c r="BJ94" s="116" t="s">
        <v>139</v>
      </c>
      <c r="BK94" s="116" t="s">
        <v>139</v>
      </c>
      <c r="BL94" s="116"/>
      <c r="BM94" s="116" t="s">
        <v>139</v>
      </c>
      <c r="BN94" s="116"/>
      <c r="BO94" s="116"/>
      <c r="BP94" s="116">
        <f t="shared" si="16"/>
        <v>12</v>
      </c>
      <c r="BQ94" s="116">
        <f t="shared" si="17"/>
        <v>2</v>
      </c>
      <c r="BR94" s="116">
        <f t="shared" si="18"/>
        <v>3</v>
      </c>
      <c r="BS94" s="146">
        <f t="shared" si="19"/>
        <v>6</v>
      </c>
      <c r="BT94" s="73" t="s">
        <v>342</v>
      </c>
      <c r="BU94" s="73"/>
    </row>
    <row r="95" spans="1:73" x14ac:dyDescent="0.25">
      <c r="A95">
        <v>81</v>
      </c>
      <c r="B95" s="74">
        <v>46066.172361111108</v>
      </c>
      <c r="E95" s="7">
        <v>46066</v>
      </c>
      <c r="F95">
        <v>1291</v>
      </c>
      <c r="I95" s="10" t="s">
        <v>343</v>
      </c>
      <c r="J95" s="161">
        <v>46066</v>
      </c>
      <c r="K95" s="96">
        <f t="shared" si="20"/>
        <v>2</v>
      </c>
      <c r="L95" s="96">
        <v>95</v>
      </c>
      <c r="O95" s="7" t="s">
        <v>137</v>
      </c>
      <c r="R95" s="7">
        <f>MAX($L108:$L1227)+1</f>
        <v>148</v>
      </c>
      <c r="T95" t="s">
        <v>344</v>
      </c>
      <c r="X95" s="36" t="s">
        <v>139</v>
      </c>
      <c r="Y95" s="36"/>
      <c r="Z95" s="36"/>
      <c r="AA95" s="36"/>
      <c r="AB95" s="36" t="s">
        <v>139</v>
      </c>
      <c r="AC95" s="36"/>
      <c r="AD95" s="36" t="s">
        <v>139</v>
      </c>
      <c r="AE95" s="36"/>
      <c r="AF95" s="36"/>
      <c r="AG95" s="36"/>
      <c r="AH95" s="36" t="s">
        <v>139</v>
      </c>
      <c r="AI95" s="36"/>
      <c r="AJ95" s="36" t="s">
        <v>139</v>
      </c>
      <c r="AK95" s="116" t="s">
        <v>139</v>
      </c>
      <c r="AL95" s="36"/>
      <c r="AM95" s="36"/>
      <c r="AN95" s="36" t="s">
        <v>139</v>
      </c>
      <c r="AO95" s="36"/>
      <c r="AP95" s="36"/>
      <c r="AQ95" s="36"/>
      <c r="AR95" s="36"/>
      <c r="AS95" s="36"/>
      <c r="AT95" s="36"/>
      <c r="AU95" s="36"/>
      <c r="AV95" s="36"/>
      <c r="AW95" s="36" t="s">
        <v>139</v>
      </c>
      <c r="AX95" s="116"/>
      <c r="AY95" s="116" t="s">
        <v>139</v>
      </c>
      <c r="AZ95" s="116"/>
      <c r="BA95" s="36"/>
      <c r="BB95" s="36"/>
      <c r="BC95" s="116"/>
      <c r="BD95" s="116" t="s">
        <v>139</v>
      </c>
      <c r="BE95" s="116"/>
      <c r="BF95" s="116"/>
      <c r="BG95" s="116" t="s">
        <v>139</v>
      </c>
      <c r="BH95" s="116" t="s">
        <v>139</v>
      </c>
      <c r="BI95" s="116"/>
      <c r="BJ95" s="116" t="s">
        <v>139</v>
      </c>
      <c r="BK95" s="116" t="s">
        <v>139</v>
      </c>
      <c r="BL95" s="116"/>
      <c r="BM95" s="116" t="s">
        <v>139</v>
      </c>
      <c r="BN95" s="116"/>
      <c r="BO95" s="116"/>
      <c r="BP95" s="116">
        <f t="shared" si="16"/>
        <v>12</v>
      </c>
      <c r="BQ95" s="116">
        <f t="shared" si="17"/>
        <v>3</v>
      </c>
      <c r="BR95" s="116">
        <f t="shared" si="18"/>
        <v>3</v>
      </c>
      <c r="BS95" s="146">
        <f t="shared" si="19"/>
        <v>7</v>
      </c>
      <c r="BT95" s="73" t="s">
        <v>342</v>
      </c>
      <c r="BU95" s="73"/>
    </row>
    <row r="96" spans="1:73" x14ac:dyDescent="0.25">
      <c r="A96">
        <v>82</v>
      </c>
      <c r="B96" s="74">
        <v>46066.844502314816</v>
      </c>
      <c r="E96" s="7">
        <v>46067</v>
      </c>
      <c r="F96">
        <v>1292</v>
      </c>
      <c r="I96" s="10" t="s">
        <v>345</v>
      </c>
      <c r="J96" s="161">
        <v>46067</v>
      </c>
      <c r="K96" s="96">
        <f t="shared" si="20"/>
        <v>2</v>
      </c>
      <c r="L96" s="96">
        <v>96</v>
      </c>
      <c r="O96" s="7" t="s">
        <v>146</v>
      </c>
      <c r="R96" s="7">
        <f>MAX($L109:$L1228)+1</f>
        <v>148</v>
      </c>
      <c r="T96" t="s">
        <v>346</v>
      </c>
      <c r="X96" s="36" t="s">
        <v>139</v>
      </c>
      <c r="Y96" s="36"/>
      <c r="Z96" s="36"/>
      <c r="AA96" s="36"/>
      <c r="AB96" s="36" t="s">
        <v>139</v>
      </c>
      <c r="AC96" s="36"/>
      <c r="AD96" s="36"/>
      <c r="AE96" s="36"/>
      <c r="AF96" s="36"/>
      <c r="AG96" s="36"/>
      <c r="AH96" s="36" t="s">
        <v>139</v>
      </c>
      <c r="AI96" s="36"/>
      <c r="AJ96" s="36" t="s">
        <v>139</v>
      </c>
      <c r="AK96" s="116"/>
      <c r="AL96" s="36"/>
      <c r="AM96" s="36"/>
      <c r="AN96" s="36"/>
      <c r="AO96" s="36"/>
      <c r="AP96" s="36"/>
      <c r="AQ96" s="36"/>
      <c r="AR96" s="36"/>
      <c r="AS96" s="36" t="s">
        <v>139</v>
      </c>
      <c r="AT96" s="36"/>
      <c r="AU96" s="36"/>
      <c r="AV96" s="36"/>
      <c r="AW96" s="36" t="s">
        <v>139</v>
      </c>
      <c r="AX96" s="116"/>
      <c r="AY96" s="116" t="s">
        <v>139</v>
      </c>
      <c r="AZ96" s="116"/>
      <c r="BA96" s="36"/>
      <c r="BB96" s="36" t="s">
        <v>139</v>
      </c>
      <c r="BC96" s="116"/>
      <c r="BD96" s="116"/>
      <c r="BE96" s="116"/>
      <c r="BF96" s="116"/>
      <c r="BG96" s="116" t="s">
        <v>139</v>
      </c>
      <c r="BH96" s="116"/>
      <c r="BI96" s="116"/>
      <c r="BJ96" s="116"/>
      <c r="BK96" s="116" t="s">
        <v>139</v>
      </c>
      <c r="BL96" s="116"/>
      <c r="BM96" s="116"/>
      <c r="BN96" s="116"/>
      <c r="BO96" s="116"/>
      <c r="BP96" s="116">
        <f t="shared" si="16"/>
        <v>9</v>
      </c>
      <c r="BQ96" s="116">
        <f t="shared" si="17"/>
        <v>2</v>
      </c>
      <c r="BR96" s="116">
        <f t="shared" si="18"/>
        <v>2</v>
      </c>
      <c r="BS96" s="146">
        <f t="shared" si="19"/>
        <v>6</v>
      </c>
      <c r="BT96" s="73" t="s">
        <v>247</v>
      </c>
      <c r="BU96" s="73"/>
    </row>
    <row r="97" spans="1:73" x14ac:dyDescent="0.25">
      <c r="A97">
        <v>83</v>
      </c>
      <c r="B97" s="74">
        <v>46066.981307870374</v>
      </c>
      <c r="E97" s="7">
        <v>46066</v>
      </c>
      <c r="F97">
        <v>1293</v>
      </c>
      <c r="I97" s="10" t="s">
        <v>347</v>
      </c>
      <c r="J97" s="161">
        <v>46067</v>
      </c>
      <c r="K97" s="96">
        <f t="shared" si="20"/>
        <v>2</v>
      </c>
      <c r="L97" s="96">
        <v>97</v>
      </c>
      <c r="O97" s="7" t="s">
        <v>137</v>
      </c>
      <c r="R97" s="7">
        <f>MAX($L110:$L1229)+1</f>
        <v>148</v>
      </c>
      <c r="T97" t="s">
        <v>348</v>
      </c>
      <c r="X97" s="36" t="s">
        <v>139</v>
      </c>
      <c r="Y97" s="36" t="s">
        <v>139</v>
      </c>
      <c r="Z97" s="36"/>
      <c r="AA97" s="36"/>
      <c r="AB97" s="36" t="s">
        <v>139</v>
      </c>
      <c r="AC97" s="36"/>
      <c r="AD97" s="36" t="s">
        <v>139</v>
      </c>
      <c r="AE97" s="36"/>
      <c r="AF97" s="36"/>
      <c r="AG97" s="36" t="s">
        <v>139</v>
      </c>
      <c r="AH97" s="36"/>
      <c r="AI97" s="36"/>
      <c r="AJ97" s="36" t="s">
        <v>139</v>
      </c>
      <c r="AK97" s="116"/>
      <c r="AL97" s="36"/>
      <c r="AM97" s="36" t="s">
        <v>139</v>
      </c>
      <c r="AN97" s="36" t="s">
        <v>139</v>
      </c>
      <c r="AO97" s="36"/>
      <c r="AP97" s="36"/>
      <c r="AQ97" s="36"/>
      <c r="AR97" s="36"/>
      <c r="AS97" s="36" t="s">
        <v>139</v>
      </c>
      <c r="AT97" s="36"/>
      <c r="AU97" s="36"/>
      <c r="AV97" s="36"/>
      <c r="AW97" s="36"/>
      <c r="AX97" s="116"/>
      <c r="AY97" s="116" t="s">
        <v>139</v>
      </c>
      <c r="AZ97" s="116"/>
      <c r="BA97" s="36"/>
      <c r="BB97" s="36"/>
      <c r="BC97" s="116"/>
      <c r="BD97" s="116"/>
      <c r="BE97" s="116"/>
      <c r="BF97" s="116"/>
      <c r="BG97" s="116" t="s">
        <v>139</v>
      </c>
      <c r="BH97" s="116" t="s">
        <v>139</v>
      </c>
      <c r="BI97" s="116"/>
      <c r="BJ97" s="116"/>
      <c r="BK97" s="116" t="s">
        <v>139</v>
      </c>
      <c r="BL97" s="116"/>
      <c r="BM97" s="116"/>
      <c r="BN97" s="116"/>
      <c r="BO97" s="116"/>
      <c r="BP97" s="116">
        <f t="shared" si="16"/>
        <v>12</v>
      </c>
      <c r="BQ97" s="116">
        <f t="shared" si="17"/>
        <v>4</v>
      </c>
      <c r="BR97" s="116">
        <f t="shared" si="18"/>
        <v>4</v>
      </c>
      <c r="BS97" s="146">
        <f t="shared" si="19"/>
        <v>6</v>
      </c>
      <c r="BT97" s="73" t="s">
        <v>247</v>
      </c>
      <c r="BU97" s="73"/>
    </row>
    <row r="98" spans="1:73" x14ac:dyDescent="0.25">
      <c r="A98">
        <v>84</v>
      </c>
      <c r="B98" s="74">
        <v>46068.256608796299</v>
      </c>
      <c r="E98" s="7">
        <v>46068</v>
      </c>
      <c r="F98">
        <v>1294</v>
      </c>
      <c r="I98" s="10" t="s">
        <v>349</v>
      </c>
      <c r="J98" s="161">
        <v>46068</v>
      </c>
      <c r="K98" s="96">
        <f t="shared" si="20"/>
        <v>2</v>
      </c>
      <c r="L98" s="96">
        <v>98</v>
      </c>
      <c r="O98" s="7" t="s">
        <v>142</v>
      </c>
      <c r="R98" s="7">
        <f>MAX($L111:$L1230)+1</f>
        <v>148</v>
      </c>
      <c r="T98" t="s">
        <v>350</v>
      </c>
      <c r="X98" s="36"/>
      <c r="Y98" s="36" t="s">
        <v>139</v>
      </c>
      <c r="Z98" s="36" t="s">
        <v>139</v>
      </c>
      <c r="AA98" s="36"/>
      <c r="AB98" s="36"/>
      <c r="AC98" s="36" t="s">
        <v>139</v>
      </c>
      <c r="AD98" s="36"/>
      <c r="AE98" s="36" t="s">
        <v>139</v>
      </c>
      <c r="AF98" s="36"/>
      <c r="AG98" s="36" t="s">
        <v>139</v>
      </c>
      <c r="AH98" s="36"/>
      <c r="AI98" s="36" t="s">
        <v>139</v>
      </c>
      <c r="AJ98" s="36"/>
      <c r="AK98" s="11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 t="s">
        <v>139</v>
      </c>
      <c r="AX98" s="116"/>
      <c r="AY98" s="116"/>
      <c r="AZ98" s="116"/>
      <c r="BA98" s="36"/>
      <c r="BB98" s="36"/>
      <c r="BC98" s="116"/>
      <c r="BD98" s="116"/>
      <c r="BE98" s="116"/>
      <c r="BF98" s="116" t="s">
        <v>139</v>
      </c>
      <c r="BG98" s="116"/>
      <c r="BH98" s="116"/>
      <c r="BI98" s="116"/>
      <c r="BJ98" s="116" t="s">
        <v>139</v>
      </c>
      <c r="BK98" s="116"/>
      <c r="BL98" s="116"/>
      <c r="BM98" s="116" t="s">
        <v>139</v>
      </c>
      <c r="BN98" s="116"/>
      <c r="BO98" s="116"/>
      <c r="BP98" s="116">
        <f t="shared" ref="BP98:BP124" si="21">COUNTIF($X98:$BH98, "I")</f>
        <v>8</v>
      </c>
      <c r="BQ98" s="116">
        <f t="shared" ref="BQ98:BQ124" si="22">COUNTIFS($X98:$BH98, "I",$X$2:$BH$2, "DR" )</f>
        <v>1</v>
      </c>
      <c r="BR98" s="116">
        <f t="shared" ref="BR98:BR124" si="23">COUNTIFS($X98:$BH98, "I",$X$5:$BH$5, "OF" )</f>
        <v>4</v>
      </c>
      <c r="BS98" s="146">
        <f t="shared" ref="BS98:BS124" si="24">COUNTIFS($X98:$BH98, "I",$X$5:$BH$5, "FF" )</f>
        <v>3</v>
      </c>
      <c r="BT98" s="73" t="s">
        <v>140</v>
      </c>
      <c r="BU98" s="73"/>
    </row>
    <row r="99" spans="1:73" x14ac:dyDescent="0.25">
      <c r="A99">
        <v>85</v>
      </c>
      <c r="B99" s="74">
        <v>46070.362326388888</v>
      </c>
      <c r="E99" s="7">
        <v>46070</v>
      </c>
      <c r="F99">
        <v>1295</v>
      </c>
      <c r="I99" s="10" t="s">
        <v>351</v>
      </c>
      <c r="J99" s="161">
        <v>46070</v>
      </c>
      <c r="K99" s="96">
        <f t="shared" si="20"/>
        <v>2</v>
      </c>
      <c r="L99" s="96">
        <v>99</v>
      </c>
      <c r="O99" s="7" t="s">
        <v>142</v>
      </c>
      <c r="R99" s="7">
        <f>MAX($L112:$L1231)+1</f>
        <v>148</v>
      </c>
      <c r="T99" t="s">
        <v>352</v>
      </c>
      <c r="X99" s="36" t="s">
        <v>139</v>
      </c>
      <c r="Y99" s="36" t="s">
        <v>139</v>
      </c>
      <c r="Z99" s="36" t="s">
        <v>139</v>
      </c>
      <c r="AA99" s="36" t="s">
        <v>139</v>
      </c>
      <c r="AB99" s="36"/>
      <c r="AC99" s="36" t="s">
        <v>139</v>
      </c>
      <c r="AD99" s="36" t="s">
        <v>139</v>
      </c>
      <c r="AE99" s="36" t="s">
        <v>139</v>
      </c>
      <c r="AF99" s="36"/>
      <c r="AG99" s="36" t="s">
        <v>139</v>
      </c>
      <c r="AH99" s="36" t="s">
        <v>139</v>
      </c>
      <c r="AI99" s="36" t="s">
        <v>139</v>
      </c>
      <c r="AJ99" s="36" t="s">
        <v>139</v>
      </c>
      <c r="AK99" s="116"/>
      <c r="AL99" s="36"/>
      <c r="AM99" s="36" t="s">
        <v>139</v>
      </c>
      <c r="AN99" s="36"/>
      <c r="AO99" s="36"/>
      <c r="AP99" s="36"/>
      <c r="AQ99" s="36" t="s">
        <v>139</v>
      </c>
      <c r="AR99" s="36" t="s">
        <v>139</v>
      </c>
      <c r="AS99" s="36" t="s">
        <v>139</v>
      </c>
      <c r="AT99" s="36" t="s">
        <v>139</v>
      </c>
      <c r="AU99" s="36" t="s">
        <v>139</v>
      </c>
      <c r="AV99" s="36" t="s">
        <v>139</v>
      </c>
      <c r="AW99" s="36" t="s">
        <v>139</v>
      </c>
      <c r="AX99" s="116"/>
      <c r="AY99" s="116"/>
      <c r="AZ99" s="116"/>
      <c r="BA99" s="36" t="s">
        <v>139</v>
      </c>
      <c r="BB99" s="36" t="s">
        <v>139</v>
      </c>
      <c r="BC99" s="116" t="s">
        <v>139</v>
      </c>
      <c r="BD99" s="116"/>
      <c r="BE99" s="116" t="s">
        <v>139</v>
      </c>
      <c r="BF99" s="116" t="s">
        <v>139</v>
      </c>
      <c r="BG99" s="116" t="s">
        <v>139</v>
      </c>
      <c r="BH99" s="116" t="s">
        <v>139</v>
      </c>
      <c r="BI99" s="116"/>
      <c r="BJ99" s="116" t="s">
        <v>139</v>
      </c>
      <c r="BK99" s="116"/>
      <c r="BL99" s="116"/>
      <c r="BM99" s="116"/>
      <c r="BN99" s="116"/>
      <c r="BO99" s="116"/>
      <c r="BP99" s="116">
        <f t="shared" si="21"/>
        <v>26</v>
      </c>
      <c r="BQ99" s="116">
        <f t="shared" si="22"/>
        <v>4</v>
      </c>
      <c r="BR99" s="116">
        <f t="shared" si="23"/>
        <v>7</v>
      </c>
      <c r="BS99" s="146">
        <f t="shared" si="24"/>
        <v>16</v>
      </c>
      <c r="BT99" s="73" t="s">
        <v>234</v>
      </c>
      <c r="BU99" s="73"/>
    </row>
    <row r="100" spans="1:73" x14ac:dyDescent="0.25">
      <c r="A100">
        <v>86</v>
      </c>
      <c r="B100" s="74">
        <v>46071.055266203701</v>
      </c>
      <c r="E100" s="7">
        <v>46070</v>
      </c>
      <c r="F100">
        <v>1296</v>
      </c>
      <c r="I100" s="10" t="s">
        <v>353</v>
      </c>
      <c r="J100" s="161">
        <v>46071</v>
      </c>
      <c r="K100" s="96">
        <f t="shared" si="20"/>
        <v>2</v>
      </c>
      <c r="L100" s="96">
        <v>100</v>
      </c>
      <c r="O100" s="7" t="s">
        <v>354</v>
      </c>
      <c r="R100" s="7">
        <f>MAX($L113:$L1232)+1</f>
        <v>148</v>
      </c>
      <c r="T100" t="s">
        <v>355</v>
      </c>
      <c r="X100" s="36"/>
      <c r="Y100" s="36" t="s">
        <v>139</v>
      </c>
      <c r="Z100" s="36"/>
      <c r="AA100" s="36" t="s">
        <v>139</v>
      </c>
      <c r="AB100" s="36"/>
      <c r="AC100" s="36"/>
      <c r="AD100" s="36" t="s">
        <v>139</v>
      </c>
      <c r="AE100" s="36"/>
      <c r="AF100" s="36" t="s">
        <v>139</v>
      </c>
      <c r="AG100" s="36"/>
      <c r="AH100" s="36"/>
      <c r="AI100" s="36"/>
      <c r="AJ100" s="36" t="s">
        <v>139</v>
      </c>
      <c r="AK100" s="116"/>
      <c r="AL100" s="36"/>
      <c r="AM100" s="36"/>
      <c r="AN100" s="36" t="s">
        <v>139</v>
      </c>
      <c r="AO100" s="36" t="s">
        <v>139</v>
      </c>
      <c r="AP100" s="36"/>
      <c r="AQ100" s="36"/>
      <c r="AR100" s="36"/>
      <c r="AS100" s="36"/>
      <c r="AT100" s="36"/>
      <c r="AU100" s="36" t="s">
        <v>139</v>
      </c>
      <c r="AV100" s="36"/>
      <c r="AW100" s="36"/>
      <c r="AX100" s="116" t="s">
        <v>139</v>
      </c>
      <c r="AY100" s="116"/>
      <c r="AZ100" s="116"/>
      <c r="BA100" s="36"/>
      <c r="BB100" s="36"/>
      <c r="BC100" s="116"/>
      <c r="BD100" s="116"/>
      <c r="BE100" s="116"/>
      <c r="BF100" s="116"/>
      <c r="BG100" s="116"/>
      <c r="BH100" s="116" t="s">
        <v>139</v>
      </c>
      <c r="BI100" s="116"/>
      <c r="BJ100" s="116"/>
      <c r="BK100" s="116"/>
      <c r="BL100" s="116"/>
      <c r="BM100" s="116" t="s">
        <v>139</v>
      </c>
      <c r="BN100" s="116"/>
      <c r="BO100" s="116"/>
      <c r="BP100" s="116">
        <f t="shared" si="21"/>
        <v>10</v>
      </c>
      <c r="BQ100" s="116">
        <f t="shared" si="22"/>
        <v>3</v>
      </c>
      <c r="BR100" s="116">
        <f t="shared" si="23"/>
        <v>3</v>
      </c>
      <c r="BS100" s="146">
        <f t="shared" si="24"/>
        <v>6</v>
      </c>
      <c r="BT100" s="73" t="s">
        <v>225</v>
      </c>
      <c r="BU100" s="73"/>
    </row>
    <row r="101" spans="1:73" x14ac:dyDescent="0.25">
      <c r="A101">
        <v>87</v>
      </c>
      <c r="B101" s="74">
        <v>46071.057442129626</v>
      </c>
      <c r="E101" s="7">
        <v>46070</v>
      </c>
      <c r="F101">
        <v>1297</v>
      </c>
      <c r="I101" s="10" t="s">
        <v>356</v>
      </c>
      <c r="J101" s="161">
        <v>46071</v>
      </c>
      <c r="K101" s="96">
        <f t="shared" si="20"/>
        <v>2</v>
      </c>
      <c r="L101" s="96">
        <v>101</v>
      </c>
      <c r="O101" s="7" t="s">
        <v>137</v>
      </c>
      <c r="R101" s="7">
        <f>MAX($L114:$L1233)+1</f>
        <v>148</v>
      </c>
      <c r="T101" t="s">
        <v>357</v>
      </c>
      <c r="X101" s="36"/>
      <c r="Y101" s="36" t="s">
        <v>139</v>
      </c>
      <c r="Z101" s="36"/>
      <c r="AA101" s="36" t="s">
        <v>139</v>
      </c>
      <c r="AB101" s="36"/>
      <c r="AC101" s="36"/>
      <c r="AD101" s="36" t="s">
        <v>139</v>
      </c>
      <c r="AE101" s="36"/>
      <c r="AF101" s="36" t="s">
        <v>139</v>
      </c>
      <c r="AG101" s="36"/>
      <c r="AH101" s="36"/>
      <c r="AI101" s="36"/>
      <c r="AJ101" s="36" t="s">
        <v>139</v>
      </c>
      <c r="AK101" s="116"/>
      <c r="AL101" s="36"/>
      <c r="AM101" s="36"/>
      <c r="AN101" s="36" t="s">
        <v>139</v>
      </c>
      <c r="AO101" s="36" t="s">
        <v>139</v>
      </c>
      <c r="AP101" s="36"/>
      <c r="AQ101" s="36"/>
      <c r="AR101" s="36"/>
      <c r="AS101" s="36"/>
      <c r="AT101" s="36"/>
      <c r="AU101" s="36" t="s">
        <v>139</v>
      </c>
      <c r="AV101" s="36"/>
      <c r="AW101" s="36"/>
      <c r="AX101" s="116" t="s">
        <v>139</v>
      </c>
      <c r="AY101" s="116"/>
      <c r="AZ101" s="116"/>
      <c r="BA101" s="36"/>
      <c r="BB101" s="36"/>
      <c r="BC101" s="116"/>
      <c r="BD101" s="116"/>
      <c r="BE101" s="116"/>
      <c r="BF101" s="116"/>
      <c r="BG101" s="116"/>
      <c r="BH101" s="116" t="s">
        <v>139</v>
      </c>
      <c r="BI101" s="116"/>
      <c r="BJ101" s="116"/>
      <c r="BK101" s="116"/>
      <c r="BL101" s="116"/>
      <c r="BM101" s="116" t="s">
        <v>139</v>
      </c>
      <c r="BN101" s="116"/>
      <c r="BO101" s="116"/>
      <c r="BP101" s="116">
        <f t="shared" si="21"/>
        <v>10</v>
      </c>
      <c r="BQ101" s="116">
        <f t="shared" si="22"/>
        <v>3</v>
      </c>
      <c r="BR101" s="116">
        <f t="shared" si="23"/>
        <v>3</v>
      </c>
      <c r="BS101" s="146">
        <f t="shared" si="24"/>
        <v>6</v>
      </c>
      <c r="BT101" s="73" t="s">
        <v>225</v>
      </c>
      <c r="BU101" s="73"/>
    </row>
    <row r="102" spans="1:73" x14ac:dyDescent="0.25">
      <c r="A102">
        <v>88</v>
      </c>
      <c r="B102" s="74">
        <v>46071.060798611114</v>
      </c>
      <c r="E102" s="7">
        <v>46070</v>
      </c>
      <c r="F102">
        <v>1298</v>
      </c>
      <c r="I102" s="10" t="s">
        <v>353</v>
      </c>
      <c r="J102" s="161">
        <v>46071</v>
      </c>
      <c r="K102" s="96">
        <f t="shared" si="20"/>
        <v>2</v>
      </c>
      <c r="L102" s="96">
        <v>102</v>
      </c>
      <c r="O102" s="7" t="s">
        <v>137</v>
      </c>
      <c r="R102" s="7">
        <f>MAX($L115:$L1234)+1</f>
        <v>148</v>
      </c>
      <c r="T102" t="s">
        <v>358</v>
      </c>
      <c r="X102" s="36"/>
      <c r="Y102" s="36" t="s">
        <v>139</v>
      </c>
      <c r="Z102" s="36"/>
      <c r="AA102" s="36" t="s">
        <v>139</v>
      </c>
      <c r="AB102" s="36"/>
      <c r="AC102" s="36"/>
      <c r="AD102" s="36" t="s">
        <v>139</v>
      </c>
      <c r="AE102" s="36"/>
      <c r="AF102" s="36" t="s">
        <v>139</v>
      </c>
      <c r="AG102" s="36"/>
      <c r="AH102" s="36"/>
      <c r="AI102" s="36"/>
      <c r="AJ102" s="36" t="s">
        <v>139</v>
      </c>
      <c r="AK102" s="116"/>
      <c r="AL102" s="36"/>
      <c r="AM102" s="36"/>
      <c r="AN102" s="36" t="s">
        <v>139</v>
      </c>
      <c r="AO102" s="36" t="s">
        <v>139</v>
      </c>
      <c r="AP102" s="36"/>
      <c r="AQ102" s="36"/>
      <c r="AR102" s="36"/>
      <c r="AS102" s="36"/>
      <c r="AT102" s="36"/>
      <c r="AU102" s="36" t="s">
        <v>139</v>
      </c>
      <c r="AV102" s="36"/>
      <c r="AW102" s="36"/>
      <c r="AX102" s="116" t="s">
        <v>139</v>
      </c>
      <c r="AY102" s="116"/>
      <c r="AZ102" s="116"/>
      <c r="BA102" s="36"/>
      <c r="BB102" s="36"/>
      <c r="BC102" s="116"/>
      <c r="BD102" s="116"/>
      <c r="BE102" s="116"/>
      <c r="BF102" s="116"/>
      <c r="BG102" s="116"/>
      <c r="BH102" s="116" t="s">
        <v>139</v>
      </c>
      <c r="BI102" s="116"/>
      <c r="BJ102" s="116"/>
      <c r="BK102" s="116"/>
      <c r="BL102" s="116"/>
      <c r="BM102" s="116" t="s">
        <v>139</v>
      </c>
      <c r="BN102" s="116"/>
      <c r="BO102" s="116"/>
      <c r="BP102" s="116">
        <f t="shared" si="21"/>
        <v>10</v>
      </c>
      <c r="BQ102" s="116">
        <f t="shared" si="22"/>
        <v>3</v>
      </c>
      <c r="BR102" s="116">
        <f t="shared" si="23"/>
        <v>3</v>
      </c>
      <c r="BS102" s="146">
        <f t="shared" si="24"/>
        <v>6</v>
      </c>
      <c r="BT102" s="73" t="s">
        <v>225</v>
      </c>
      <c r="BU102" s="73"/>
    </row>
    <row r="103" spans="1:73" x14ac:dyDescent="0.25">
      <c r="A103">
        <v>89</v>
      </c>
      <c r="B103" s="74">
        <v>46071.44158564815</v>
      </c>
      <c r="E103" s="7">
        <v>46071</v>
      </c>
      <c r="F103">
        <v>1299</v>
      </c>
      <c r="I103" s="10" t="s">
        <v>359</v>
      </c>
      <c r="J103" s="161">
        <v>46071</v>
      </c>
      <c r="K103" s="96">
        <f t="shared" si="20"/>
        <v>2</v>
      </c>
      <c r="L103" s="96">
        <v>103</v>
      </c>
      <c r="O103" s="7" t="s">
        <v>142</v>
      </c>
      <c r="R103" s="7">
        <f>MAX($L116:$L1235)+1</f>
        <v>148</v>
      </c>
      <c r="T103" t="s">
        <v>360</v>
      </c>
      <c r="X103" s="36" t="s">
        <v>139</v>
      </c>
      <c r="Y103" s="36"/>
      <c r="Z103" s="36"/>
      <c r="AA103" s="36" t="s">
        <v>139</v>
      </c>
      <c r="AB103" s="36"/>
      <c r="AC103" s="36" t="s">
        <v>139</v>
      </c>
      <c r="AD103" s="36"/>
      <c r="AE103" s="36" t="s">
        <v>139</v>
      </c>
      <c r="AF103" s="36"/>
      <c r="AG103" s="36"/>
      <c r="AH103" s="36"/>
      <c r="AI103" s="36" t="s">
        <v>139</v>
      </c>
      <c r="AJ103" s="36"/>
      <c r="AK103" s="116"/>
      <c r="AL103" s="36"/>
      <c r="AM103" s="36" t="s">
        <v>139</v>
      </c>
      <c r="AN103" s="36" t="s">
        <v>139</v>
      </c>
      <c r="AO103" s="36"/>
      <c r="AP103" s="36"/>
      <c r="AQ103" s="36"/>
      <c r="AR103" s="36"/>
      <c r="AS103" s="36"/>
      <c r="AT103" s="36" t="s">
        <v>139</v>
      </c>
      <c r="AU103" s="36"/>
      <c r="AV103" s="36"/>
      <c r="AW103" s="36" t="s">
        <v>139</v>
      </c>
      <c r="AX103" s="116"/>
      <c r="AY103" s="116" t="s">
        <v>139</v>
      </c>
      <c r="AZ103" s="116"/>
      <c r="BA103" s="36" t="s">
        <v>139</v>
      </c>
      <c r="BB103" s="36"/>
      <c r="BC103" s="116"/>
      <c r="BD103" s="116"/>
      <c r="BE103" s="116"/>
      <c r="BF103" s="116"/>
      <c r="BG103" s="116"/>
      <c r="BH103" s="116"/>
      <c r="BI103" s="116"/>
      <c r="BJ103" s="116" t="s">
        <v>139</v>
      </c>
      <c r="BK103" s="116" t="s">
        <v>139</v>
      </c>
      <c r="BL103" s="116" t="s">
        <v>139</v>
      </c>
      <c r="BM103" s="116"/>
      <c r="BN103" s="116"/>
      <c r="BO103" s="116"/>
      <c r="BP103" s="116">
        <f t="shared" si="21"/>
        <v>11</v>
      </c>
      <c r="BQ103" s="116">
        <f t="shared" si="22"/>
        <v>2</v>
      </c>
      <c r="BR103" s="116">
        <f t="shared" si="23"/>
        <v>4</v>
      </c>
      <c r="BS103" s="146">
        <f t="shared" si="24"/>
        <v>7</v>
      </c>
      <c r="BT103" s="73" t="s">
        <v>200</v>
      </c>
      <c r="BU103" s="73"/>
    </row>
    <row r="104" spans="1:73" x14ac:dyDescent="0.25">
      <c r="A104">
        <v>90</v>
      </c>
      <c r="B104" s="74">
        <v>46072.100416666668</v>
      </c>
      <c r="E104" s="7">
        <v>46072</v>
      </c>
      <c r="F104">
        <v>1300</v>
      </c>
      <c r="I104" s="10" t="s">
        <v>361</v>
      </c>
      <c r="J104" s="161">
        <v>46072</v>
      </c>
      <c r="K104" s="96">
        <f t="shared" si="20"/>
        <v>2</v>
      </c>
      <c r="L104" s="96">
        <v>104</v>
      </c>
      <c r="O104" s="7" t="s">
        <v>137</v>
      </c>
      <c r="R104" s="7">
        <f>MAX($L117:$L1236)+1</f>
        <v>148</v>
      </c>
      <c r="T104" t="s">
        <v>362</v>
      </c>
      <c r="X104" s="36" t="s">
        <v>139</v>
      </c>
      <c r="Y104" s="36" t="s">
        <v>139</v>
      </c>
      <c r="Z104" s="36"/>
      <c r="AA104" s="36" t="s">
        <v>139</v>
      </c>
      <c r="AB104" s="36"/>
      <c r="AC104" s="36" t="s">
        <v>139</v>
      </c>
      <c r="AD104" s="36"/>
      <c r="AE104" s="36"/>
      <c r="AF104" s="36"/>
      <c r="AG104" s="36"/>
      <c r="AH104" s="36" t="s">
        <v>139</v>
      </c>
      <c r="AI104" s="36"/>
      <c r="AJ104" s="36" t="s">
        <v>139</v>
      </c>
      <c r="AK104" s="116"/>
      <c r="AL104" s="36"/>
      <c r="AM104" s="36"/>
      <c r="AN104" s="36"/>
      <c r="AO104" s="36" t="s">
        <v>139</v>
      </c>
      <c r="AP104" s="36"/>
      <c r="AQ104" s="36"/>
      <c r="AR104" s="36" t="s">
        <v>139</v>
      </c>
      <c r="AS104" s="36"/>
      <c r="AT104" s="36"/>
      <c r="AU104" s="36"/>
      <c r="AV104" s="36"/>
      <c r="AW104" s="36"/>
      <c r="AX104" s="116" t="s">
        <v>139</v>
      </c>
      <c r="AY104" s="116"/>
      <c r="AZ104" s="116"/>
      <c r="BA104" s="36"/>
      <c r="BB104" s="36" t="s">
        <v>139</v>
      </c>
      <c r="BC104" s="116"/>
      <c r="BD104" s="116"/>
      <c r="BE104" s="116"/>
      <c r="BF104" s="116"/>
      <c r="BG104" s="116"/>
      <c r="BH104" s="116" t="s">
        <v>139</v>
      </c>
      <c r="BI104" s="116"/>
      <c r="BJ104" s="116" t="s">
        <v>139</v>
      </c>
      <c r="BK104" s="116"/>
      <c r="BL104" s="116"/>
      <c r="BM104" s="116" t="s">
        <v>139</v>
      </c>
      <c r="BN104" s="116"/>
      <c r="BO104" s="116"/>
      <c r="BP104" s="116">
        <f t="shared" si="21"/>
        <v>11</v>
      </c>
      <c r="BQ104" s="116">
        <f t="shared" si="22"/>
        <v>2</v>
      </c>
      <c r="BR104" s="116">
        <f t="shared" si="23"/>
        <v>4</v>
      </c>
      <c r="BS104" s="146">
        <f t="shared" si="24"/>
        <v>6</v>
      </c>
      <c r="BT104" s="73" t="s">
        <v>363</v>
      </c>
      <c r="BU104" s="73"/>
    </row>
    <row r="105" spans="1:73" x14ac:dyDescent="0.25">
      <c r="A105">
        <v>91</v>
      </c>
      <c r="B105" s="74">
        <v>46072.148784722223</v>
      </c>
      <c r="E105" s="7">
        <v>46072</v>
      </c>
      <c r="F105">
        <v>1301</v>
      </c>
      <c r="I105" s="10" t="s">
        <v>364</v>
      </c>
      <c r="J105" s="161">
        <v>46072</v>
      </c>
      <c r="K105" s="96">
        <f t="shared" si="20"/>
        <v>2</v>
      </c>
      <c r="L105" s="96">
        <v>105</v>
      </c>
      <c r="O105" s="7" t="s">
        <v>142</v>
      </c>
      <c r="R105" s="7">
        <f>MAX($L118:$L1237)+1</f>
        <v>148</v>
      </c>
      <c r="T105" t="s">
        <v>365</v>
      </c>
      <c r="X105" s="36" t="s">
        <v>139</v>
      </c>
      <c r="Y105" s="36"/>
      <c r="Z105" s="36"/>
      <c r="AA105" s="36" t="s">
        <v>139</v>
      </c>
      <c r="AB105" s="36"/>
      <c r="AC105" s="36"/>
      <c r="AD105" s="36"/>
      <c r="AE105" s="36" t="s">
        <v>139</v>
      </c>
      <c r="AF105" s="36"/>
      <c r="AG105" s="36"/>
      <c r="AH105" s="36" t="s">
        <v>139</v>
      </c>
      <c r="AI105" s="36" t="s">
        <v>139</v>
      </c>
      <c r="AJ105" s="36"/>
      <c r="AK105" s="116"/>
      <c r="AL105" s="36"/>
      <c r="AM105" s="36" t="s">
        <v>139</v>
      </c>
      <c r="AN105" s="36"/>
      <c r="AO105" s="36"/>
      <c r="AP105" s="36"/>
      <c r="AQ105" s="36"/>
      <c r="AR105" s="36" t="s">
        <v>139</v>
      </c>
      <c r="AS105" s="36"/>
      <c r="AT105" s="36" t="s">
        <v>139</v>
      </c>
      <c r="AU105" s="36"/>
      <c r="AV105" s="36"/>
      <c r="AW105" s="36"/>
      <c r="AX105" s="116" t="s">
        <v>139</v>
      </c>
      <c r="AY105" s="116"/>
      <c r="AZ105" s="116"/>
      <c r="BA105" s="36"/>
      <c r="BB105" s="36" t="s">
        <v>139</v>
      </c>
      <c r="BC105" s="116"/>
      <c r="BD105" s="116"/>
      <c r="BE105" s="116"/>
      <c r="BF105" s="116" t="s">
        <v>139</v>
      </c>
      <c r="BG105" s="116"/>
      <c r="BH105" s="116"/>
      <c r="BI105" s="116"/>
      <c r="BJ105" s="116" t="s">
        <v>139</v>
      </c>
      <c r="BK105" s="116"/>
      <c r="BL105" s="116"/>
      <c r="BM105" s="116" t="s">
        <v>139</v>
      </c>
      <c r="BN105" s="116"/>
      <c r="BO105" s="116"/>
      <c r="BP105" s="116">
        <f t="shared" si="21"/>
        <v>11</v>
      </c>
      <c r="BQ105" s="116">
        <f t="shared" si="22"/>
        <v>1</v>
      </c>
      <c r="BR105" s="116">
        <f t="shared" si="23"/>
        <v>3</v>
      </c>
      <c r="BS105" s="146">
        <f t="shared" si="24"/>
        <v>7</v>
      </c>
      <c r="BT105" s="73" t="s">
        <v>144</v>
      </c>
      <c r="BU105" s="73"/>
    </row>
    <row r="106" spans="1:73" x14ac:dyDescent="0.25">
      <c r="A106">
        <v>92</v>
      </c>
      <c r="B106" s="74">
        <v>46072.829409722224</v>
      </c>
      <c r="E106" s="7">
        <v>46073</v>
      </c>
      <c r="F106">
        <v>1302</v>
      </c>
      <c r="I106" s="10" t="s">
        <v>366</v>
      </c>
      <c r="J106" s="161">
        <v>46073</v>
      </c>
      <c r="K106" s="96">
        <f t="shared" si="20"/>
        <v>2</v>
      </c>
      <c r="L106" s="96">
        <v>106</v>
      </c>
      <c r="O106" s="7" t="s">
        <v>137</v>
      </c>
      <c r="R106" s="7">
        <f>MAX($L119:$L1238)+1</f>
        <v>148</v>
      </c>
      <c r="T106" t="s">
        <v>367</v>
      </c>
      <c r="X106" s="36" t="s">
        <v>139</v>
      </c>
      <c r="Y106" s="36"/>
      <c r="Z106" s="36"/>
      <c r="AA106" s="36" t="s">
        <v>139</v>
      </c>
      <c r="AB106" s="36"/>
      <c r="AC106" s="36" t="s">
        <v>139</v>
      </c>
      <c r="AD106" s="36"/>
      <c r="AE106" s="36"/>
      <c r="AF106" s="36"/>
      <c r="AG106" s="36"/>
      <c r="AH106" s="36" t="s">
        <v>139</v>
      </c>
      <c r="AI106" s="36"/>
      <c r="AJ106" s="36" t="s">
        <v>139</v>
      </c>
      <c r="AK106" s="116"/>
      <c r="AL106" s="36"/>
      <c r="AM106" s="36" t="s">
        <v>139</v>
      </c>
      <c r="AN106" s="36" t="s">
        <v>139</v>
      </c>
      <c r="AO106" s="36"/>
      <c r="AP106" s="36"/>
      <c r="AQ106" s="36"/>
      <c r="AR106" s="36" t="s">
        <v>139</v>
      </c>
      <c r="AS106" s="36"/>
      <c r="AT106" s="36"/>
      <c r="AU106" s="36"/>
      <c r="AV106" s="36"/>
      <c r="AW106" s="36"/>
      <c r="AX106" s="116" t="s">
        <v>139</v>
      </c>
      <c r="AY106" s="116"/>
      <c r="AZ106" s="116"/>
      <c r="BA106" s="36"/>
      <c r="BB106" s="36" t="s">
        <v>139</v>
      </c>
      <c r="BC106" s="116"/>
      <c r="BD106" s="116"/>
      <c r="BE106" s="116"/>
      <c r="BF106" s="116" t="s">
        <v>139</v>
      </c>
      <c r="BG106" s="116"/>
      <c r="BH106" s="116" t="s">
        <v>139</v>
      </c>
      <c r="BI106" s="116"/>
      <c r="BJ106" s="116" t="s">
        <v>139</v>
      </c>
      <c r="BK106" s="116"/>
      <c r="BL106" s="116"/>
      <c r="BM106" s="116"/>
      <c r="BN106" s="116"/>
      <c r="BO106" s="116"/>
      <c r="BP106" s="116">
        <f t="shared" si="21"/>
        <v>12</v>
      </c>
      <c r="BQ106" s="116">
        <f t="shared" si="22"/>
        <v>2</v>
      </c>
      <c r="BR106" s="116">
        <f t="shared" si="23"/>
        <v>3</v>
      </c>
      <c r="BS106" s="146">
        <f t="shared" si="24"/>
        <v>7</v>
      </c>
      <c r="BT106" s="73" t="s">
        <v>144</v>
      </c>
      <c r="BU106" s="73"/>
    </row>
    <row r="107" spans="1:73" x14ac:dyDescent="0.25">
      <c r="A107">
        <v>93</v>
      </c>
      <c r="B107" s="74">
        <v>46072.995833333334</v>
      </c>
      <c r="E107" s="7">
        <v>46073</v>
      </c>
      <c r="F107">
        <v>1303</v>
      </c>
      <c r="I107" s="10" t="s">
        <v>368</v>
      </c>
      <c r="J107" s="161">
        <v>46073</v>
      </c>
      <c r="K107" s="96">
        <f t="shared" si="20"/>
        <v>2</v>
      </c>
      <c r="L107" s="96">
        <v>107</v>
      </c>
      <c r="O107" s="7" t="s">
        <v>137</v>
      </c>
      <c r="R107" s="7">
        <f>MAX($L120:$L1239)+1</f>
        <v>148</v>
      </c>
      <c r="T107" t="s">
        <v>369</v>
      </c>
      <c r="X107" s="36" t="s">
        <v>139</v>
      </c>
      <c r="Y107" s="36"/>
      <c r="Z107" s="36"/>
      <c r="AA107" s="36" t="s">
        <v>139</v>
      </c>
      <c r="AB107" s="36"/>
      <c r="AC107" s="36"/>
      <c r="AD107" s="36" t="s">
        <v>139</v>
      </c>
      <c r="AE107" s="36" t="s">
        <v>139</v>
      </c>
      <c r="AF107" s="36"/>
      <c r="AG107" s="36"/>
      <c r="AH107" s="36" t="s">
        <v>139</v>
      </c>
      <c r="AI107" s="36" t="s">
        <v>139</v>
      </c>
      <c r="AJ107" s="36" t="s">
        <v>139</v>
      </c>
      <c r="AK107" s="116"/>
      <c r="AL107" s="36"/>
      <c r="AM107" s="36"/>
      <c r="AN107" s="36" t="s">
        <v>139</v>
      </c>
      <c r="AO107" s="36"/>
      <c r="AP107" s="36"/>
      <c r="AQ107" s="36" t="s">
        <v>139</v>
      </c>
      <c r="AR107" s="36" t="s">
        <v>139</v>
      </c>
      <c r="AS107" s="36"/>
      <c r="AT107" s="36"/>
      <c r="AU107" s="36"/>
      <c r="AV107" s="36"/>
      <c r="AW107" s="36"/>
      <c r="AX107" s="116" t="s">
        <v>139</v>
      </c>
      <c r="AY107" s="116" t="s">
        <v>139</v>
      </c>
      <c r="AZ107" s="116"/>
      <c r="BA107" s="36"/>
      <c r="BB107" s="36"/>
      <c r="BC107" s="116"/>
      <c r="BD107" s="116"/>
      <c r="BE107" s="116"/>
      <c r="BF107" s="116"/>
      <c r="BG107" s="116"/>
      <c r="BH107" s="116" t="s">
        <v>139</v>
      </c>
      <c r="BI107" s="116"/>
      <c r="BJ107" s="116"/>
      <c r="BK107" s="116"/>
      <c r="BL107" s="116"/>
      <c r="BM107" s="116" t="s">
        <v>139</v>
      </c>
      <c r="BN107" s="116"/>
      <c r="BO107" s="116"/>
      <c r="BP107" s="116">
        <f t="shared" si="21"/>
        <v>13</v>
      </c>
      <c r="BQ107" s="116">
        <f t="shared" si="22"/>
        <v>2</v>
      </c>
      <c r="BR107" s="116">
        <f t="shared" si="23"/>
        <v>4</v>
      </c>
      <c r="BS107" s="146">
        <f t="shared" si="24"/>
        <v>8</v>
      </c>
      <c r="BT107" s="73" t="s">
        <v>370</v>
      </c>
      <c r="BU107" s="73"/>
    </row>
    <row r="108" spans="1:73" x14ac:dyDescent="0.25">
      <c r="A108">
        <v>94</v>
      </c>
      <c r="B108" s="74">
        <v>46074.366574074076</v>
      </c>
      <c r="E108" s="7">
        <v>46074</v>
      </c>
      <c r="F108">
        <v>1304</v>
      </c>
      <c r="I108" s="10" t="s">
        <v>371</v>
      </c>
      <c r="J108" s="161">
        <v>46074</v>
      </c>
      <c r="K108" s="96">
        <f t="shared" si="20"/>
        <v>2</v>
      </c>
      <c r="L108" s="96">
        <v>108</v>
      </c>
      <c r="O108" s="7" t="s">
        <v>169</v>
      </c>
      <c r="R108" s="7">
        <f>MAX($L121:$L1240)+1</f>
        <v>148</v>
      </c>
      <c r="T108" t="s">
        <v>372</v>
      </c>
      <c r="X108" s="36"/>
      <c r="Y108" s="36"/>
      <c r="Z108" s="36"/>
      <c r="AA108" s="36" t="s">
        <v>139</v>
      </c>
      <c r="AB108" s="36"/>
      <c r="AC108" s="36" t="s">
        <v>139</v>
      </c>
      <c r="AD108" s="36" t="s">
        <v>139</v>
      </c>
      <c r="AE108" s="36" t="s">
        <v>139</v>
      </c>
      <c r="AF108" s="36"/>
      <c r="AG108" s="36"/>
      <c r="AH108" s="36" t="s">
        <v>139</v>
      </c>
      <c r="AI108" s="36" t="s">
        <v>139</v>
      </c>
      <c r="AJ108" s="36"/>
      <c r="AK108" s="116"/>
      <c r="AL108" s="36"/>
      <c r="AM108" s="36" t="s">
        <v>139</v>
      </c>
      <c r="AN108" s="36"/>
      <c r="AO108" s="36"/>
      <c r="AP108" s="36"/>
      <c r="AQ108" s="36" t="s">
        <v>139</v>
      </c>
      <c r="AR108" s="36"/>
      <c r="AS108" s="36" t="s">
        <v>139</v>
      </c>
      <c r="AT108" s="36" t="s">
        <v>139</v>
      </c>
      <c r="AU108" s="36"/>
      <c r="AV108" s="36" t="s">
        <v>139</v>
      </c>
      <c r="AW108" s="36" t="s">
        <v>139</v>
      </c>
      <c r="AX108" s="116" t="s">
        <v>139</v>
      </c>
      <c r="AY108" s="116"/>
      <c r="AZ108" s="116"/>
      <c r="BA108" s="36"/>
      <c r="BB108" s="36"/>
      <c r="BC108" s="116"/>
      <c r="BD108" s="116"/>
      <c r="BE108" s="116"/>
      <c r="BF108" s="116"/>
      <c r="BG108" s="116" t="s">
        <v>139</v>
      </c>
      <c r="BH108" s="116"/>
      <c r="BI108" s="116"/>
      <c r="BJ108" s="116" t="s">
        <v>139</v>
      </c>
      <c r="BK108" s="116"/>
      <c r="BL108" s="116" t="s">
        <v>139</v>
      </c>
      <c r="BM108" s="116"/>
      <c r="BN108" s="116"/>
      <c r="BO108" s="116"/>
      <c r="BP108" s="116">
        <f t="shared" si="21"/>
        <v>14</v>
      </c>
      <c r="BQ108" s="116">
        <f t="shared" si="22"/>
        <v>2</v>
      </c>
      <c r="BR108" s="116">
        <f t="shared" si="23"/>
        <v>4</v>
      </c>
      <c r="BS108" s="146">
        <f t="shared" si="24"/>
        <v>9</v>
      </c>
      <c r="BT108" s="73" t="s">
        <v>373</v>
      </c>
      <c r="BU108" s="73"/>
    </row>
    <row r="109" spans="1:73" x14ac:dyDescent="0.25">
      <c r="A109">
        <v>95</v>
      </c>
      <c r="B109" s="74">
        <v>46075.032627314817</v>
      </c>
      <c r="E109" s="7">
        <v>46075</v>
      </c>
      <c r="F109">
        <v>1305</v>
      </c>
      <c r="I109" s="10" t="s">
        <v>374</v>
      </c>
      <c r="J109" s="161">
        <v>46075</v>
      </c>
      <c r="K109" s="96">
        <f t="shared" si="20"/>
        <v>2</v>
      </c>
      <c r="L109" s="96">
        <v>109</v>
      </c>
      <c r="O109" s="7" t="s">
        <v>169</v>
      </c>
      <c r="R109" s="7">
        <f>MAX($L122:$L1241)+1</f>
        <v>148</v>
      </c>
      <c r="T109" t="s">
        <v>375</v>
      </c>
      <c r="X109" s="36"/>
      <c r="Y109" s="36"/>
      <c r="Z109" s="36" t="s">
        <v>139</v>
      </c>
      <c r="AA109" s="36" t="s">
        <v>139</v>
      </c>
      <c r="AB109" s="36"/>
      <c r="AC109" s="36"/>
      <c r="AD109" s="36" t="s">
        <v>139</v>
      </c>
      <c r="AE109" s="36" t="s">
        <v>139</v>
      </c>
      <c r="AF109" s="36" t="s">
        <v>139</v>
      </c>
      <c r="AG109" s="36"/>
      <c r="AH109" s="36"/>
      <c r="AI109" s="36" t="s">
        <v>139</v>
      </c>
      <c r="AJ109" s="36" t="s">
        <v>139</v>
      </c>
      <c r="AK109" s="116"/>
      <c r="AL109" s="36"/>
      <c r="AM109" s="36"/>
      <c r="AN109" s="36" t="s">
        <v>139</v>
      </c>
      <c r="AO109" s="36"/>
      <c r="AP109" s="36"/>
      <c r="AQ109" s="36" t="s">
        <v>139</v>
      </c>
      <c r="AR109" s="36"/>
      <c r="AS109" s="36" t="s">
        <v>139</v>
      </c>
      <c r="AT109" s="36"/>
      <c r="AU109" s="36" t="s">
        <v>139</v>
      </c>
      <c r="AV109" s="36" t="s">
        <v>139</v>
      </c>
      <c r="AW109" s="36" t="s">
        <v>139</v>
      </c>
      <c r="AX109" s="116"/>
      <c r="AY109" s="116" t="s">
        <v>139</v>
      </c>
      <c r="AZ109" s="116"/>
      <c r="BA109" s="36" t="s">
        <v>139</v>
      </c>
      <c r="BB109" s="36"/>
      <c r="BC109" s="116"/>
      <c r="BD109" s="116"/>
      <c r="BE109" s="116"/>
      <c r="BF109" s="116"/>
      <c r="BG109" s="116"/>
      <c r="BH109" s="116" t="s">
        <v>139</v>
      </c>
      <c r="BI109" s="116"/>
      <c r="BJ109" s="116"/>
      <c r="BK109" s="116" t="s">
        <v>139</v>
      </c>
      <c r="BL109" s="116" t="s">
        <v>139</v>
      </c>
      <c r="BM109" s="116"/>
      <c r="BN109" s="116"/>
      <c r="BO109" s="116"/>
      <c r="BP109" s="116">
        <f t="shared" si="21"/>
        <v>16</v>
      </c>
      <c r="BQ109" s="116">
        <f t="shared" si="22"/>
        <v>3</v>
      </c>
      <c r="BR109" s="116">
        <f t="shared" si="23"/>
        <v>4</v>
      </c>
      <c r="BS109" s="146">
        <f t="shared" si="24"/>
        <v>11</v>
      </c>
      <c r="BT109" s="73" t="s">
        <v>197</v>
      </c>
      <c r="BU109" s="73"/>
    </row>
    <row r="110" spans="1:73" x14ac:dyDescent="0.25">
      <c r="A110">
        <v>96</v>
      </c>
      <c r="B110" s="74">
        <v>46075.244050925925</v>
      </c>
      <c r="E110" s="7">
        <v>46075</v>
      </c>
      <c r="F110">
        <v>1306</v>
      </c>
      <c r="I110" s="10" t="s">
        <v>376</v>
      </c>
      <c r="J110" s="161">
        <v>46075</v>
      </c>
      <c r="K110" s="96">
        <f t="shared" si="20"/>
        <v>2</v>
      </c>
      <c r="L110" s="96">
        <v>110</v>
      </c>
      <c r="O110" s="7" t="s">
        <v>146</v>
      </c>
      <c r="R110" s="7">
        <f>MAX($L123:$L1242)+1</f>
        <v>148</v>
      </c>
      <c r="T110" t="s">
        <v>377</v>
      </c>
      <c r="X110" s="36"/>
      <c r="Y110" s="36"/>
      <c r="Z110" s="36"/>
      <c r="AA110" s="36" t="s">
        <v>139</v>
      </c>
      <c r="AB110" s="36"/>
      <c r="AC110" s="36" t="s">
        <v>139</v>
      </c>
      <c r="AD110" s="36"/>
      <c r="AE110" s="36"/>
      <c r="AF110" s="36"/>
      <c r="AG110" s="36"/>
      <c r="AH110" s="36"/>
      <c r="AI110" s="36"/>
      <c r="AJ110" s="36" t="s">
        <v>139</v>
      </c>
      <c r="AK110" s="116"/>
      <c r="AL110" s="36"/>
      <c r="AM110" s="36"/>
      <c r="AN110" s="36" t="s">
        <v>139</v>
      </c>
      <c r="AO110" s="36"/>
      <c r="AP110" s="36"/>
      <c r="AQ110" s="36" t="s">
        <v>139</v>
      </c>
      <c r="AR110" s="36" t="s">
        <v>139</v>
      </c>
      <c r="AS110" s="36"/>
      <c r="AT110" s="36"/>
      <c r="AU110" s="36" t="s">
        <v>139</v>
      </c>
      <c r="AV110" s="36"/>
      <c r="AW110" s="36" t="s">
        <v>139</v>
      </c>
      <c r="AX110" s="116" t="s">
        <v>139</v>
      </c>
      <c r="AY110" s="116"/>
      <c r="AZ110" s="116"/>
      <c r="BA110" s="36"/>
      <c r="BB110" s="36"/>
      <c r="BC110" s="116"/>
      <c r="BD110" s="116"/>
      <c r="BE110" s="116"/>
      <c r="BF110" s="116"/>
      <c r="BG110" s="116" t="s">
        <v>139</v>
      </c>
      <c r="BH110" s="116" t="s">
        <v>139</v>
      </c>
      <c r="BI110" s="116"/>
      <c r="BJ110" s="116" t="s">
        <v>139</v>
      </c>
      <c r="BK110" s="116" t="s">
        <v>139</v>
      </c>
      <c r="BL110" s="116" t="s">
        <v>139</v>
      </c>
      <c r="BM110" s="116"/>
      <c r="BN110" s="116"/>
      <c r="BO110" s="116"/>
      <c r="BP110" s="116">
        <f t="shared" si="21"/>
        <v>11</v>
      </c>
      <c r="BQ110" s="116">
        <f t="shared" si="22"/>
        <v>2</v>
      </c>
      <c r="BR110" s="116">
        <f t="shared" si="23"/>
        <v>2</v>
      </c>
      <c r="BS110" s="146">
        <f t="shared" si="24"/>
        <v>7</v>
      </c>
      <c r="BT110" s="73" t="s">
        <v>363</v>
      </c>
      <c r="BU110" s="73"/>
    </row>
    <row r="111" spans="1:73" x14ac:dyDescent="0.25">
      <c r="A111">
        <v>97</v>
      </c>
      <c r="B111" s="74">
        <v>46075.245567129627</v>
      </c>
      <c r="E111" s="7">
        <v>46075</v>
      </c>
      <c r="F111">
        <v>1307</v>
      </c>
      <c r="I111" s="10" t="s">
        <v>378</v>
      </c>
      <c r="J111" s="161">
        <v>46075</v>
      </c>
      <c r="K111" s="96">
        <f t="shared" ref="K111:K123" si="25">MONTH($J111)</f>
        <v>2</v>
      </c>
      <c r="L111" s="96">
        <v>111</v>
      </c>
      <c r="O111" s="7" t="s">
        <v>379</v>
      </c>
      <c r="R111" s="7">
        <f>MAX($L124:$L1243)+1</f>
        <v>148</v>
      </c>
      <c r="T111" t="s">
        <v>380</v>
      </c>
      <c r="X111" s="36"/>
      <c r="Y111" s="36" t="s">
        <v>139</v>
      </c>
      <c r="Z111" s="36"/>
      <c r="AA111" s="36" t="s">
        <v>139</v>
      </c>
      <c r="AB111" s="36"/>
      <c r="AC111" s="36" t="s">
        <v>139</v>
      </c>
      <c r="AD111" s="36"/>
      <c r="AE111" s="36"/>
      <c r="AF111" s="36"/>
      <c r="AG111" s="36"/>
      <c r="AH111" s="36"/>
      <c r="AI111" s="36"/>
      <c r="AJ111" s="36" t="s">
        <v>139</v>
      </c>
      <c r="AK111" s="116"/>
      <c r="AL111" s="36"/>
      <c r="AM111" s="36"/>
      <c r="AN111" s="36" t="s">
        <v>139</v>
      </c>
      <c r="AO111" s="36"/>
      <c r="AP111" s="36"/>
      <c r="AQ111" s="36" t="s">
        <v>139</v>
      </c>
      <c r="AR111" s="36" t="s">
        <v>139</v>
      </c>
      <c r="AS111" s="36"/>
      <c r="AT111" s="36"/>
      <c r="AU111" s="36" t="s">
        <v>139</v>
      </c>
      <c r="AV111" s="36"/>
      <c r="AW111" s="36" t="s">
        <v>139</v>
      </c>
      <c r="AX111" s="116" t="s">
        <v>139</v>
      </c>
      <c r="AY111" s="116"/>
      <c r="AZ111" s="116"/>
      <c r="BA111" s="36"/>
      <c r="BB111" s="36"/>
      <c r="BC111" s="116"/>
      <c r="BD111" s="116"/>
      <c r="BE111" s="116"/>
      <c r="BF111" s="116"/>
      <c r="BG111" s="116" t="s">
        <v>139</v>
      </c>
      <c r="BH111" s="116" t="s">
        <v>139</v>
      </c>
      <c r="BI111" s="116"/>
      <c r="BJ111" s="116" t="s">
        <v>139</v>
      </c>
      <c r="BK111" s="116" t="s">
        <v>139</v>
      </c>
      <c r="BL111" s="116" t="s">
        <v>139</v>
      </c>
      <c r="BM111" s="116"/>
      <c r="BN111" s="116"/>
      <c r="BO111" s="116"/>
      <c r="BP111" s="116">
        <f t="shared" si="21"/>
        <v>12</v>
      </c>
      <c r="BQ111" s="116">
        <f t="shared" si="22"/>
        <v>2</v>
      </c>
      <c r="BR111" s="116">
        <f t="shared" si="23"/>
        <v>3</v>
      </c>
      <c r="BS111" s="146">
        <f t="shared" si="24"/>
        <v>7</v>
      </c>
      <c r="BT111" s="73" t="s">
        <v>197</v>
      </c>
      <c r="BU111" s="73"/>
    </row>
    <row r="112" spans="1:73" x14ac:dyDescent="0.25">
      <c r="A112">
        <v>98</v>
      </c>
      <c r="B112" s="74">
        <v>46076.084872685184</v>
      </c>
      <c r="E112" s="7">
        <v>46076</v>
      </c>
      <c r="F112">
        <v>1308</v>
      </c>
      <c r="I112" s="10" t="s">
        <v>381</v>
      </c>
      <c r="J112" s="161">
        <v>46076</v>
      </c>
      <c r="K112" s="96">
        <f t="shared" si="25"/>
        <v>2</v>
      </c>
      <c r="L112" s="96">
        <v>112</v>
      </c>
      <c r="O112" s="7" t="s">
        <v>169</v>
      </c>
      <c r="R112" s="7">
        <f>MAX($L125:$L1244)+1</f>
        <v>148</v>
      </c>
      <c r="T112" t="s">
        <v>382</v>
      </c>
      <c r="X112" s="36"/>
      <c r="Y112" s="36"/>
      <c r="Z112" s="36"/>
      <c r="AA112" s="36" t="s">
        <v>139</v>
      </c>
      <c r="AB112" s="36"/>
      <c r="AC112" s="36"/>
      <c r="AD112" s="36" t="s">
        <v>139</v>
      </c>
      <c r="AE112" s="36" t="s">
        <v>139</v>
      </c>
      <c r="AF112" s="36"/>
      <c r="AG112" s="36"/>
      <c r="AH112" s="36" t="s">
        <v>139</v>
      </c>
      <c r="AI112" s="36" t="s">
        <v>139</v>
      </c>
      <c r="AJ112" s="36"/>
      <c r="AK112" s="116"/>
      <c r="AL112" s="36"/>
      <c r="AM112" s="36"/>
      <c r="AN112" s="36" t="s">
        <v>139</v>
      </c>
      <c r="AO112" s="36"/>
      <c r="AP112" s="36"/>
      <c r="AQ112" s="36" t="s">
        <v>139</v>
      </c>
      <c r="AR112" s="36"/>
      <c r="AS112" s="36"/>
      <c r="AT112" s="36"/>
      <c r="AU112" s="36" t="s">
        <v>139</v>
      </c>
      <c r="AV112" s="36"/>
      <c r="AW112" s="36"/>
      <c r="AX112" s="116" t="s">
        <v>139</v>
      </c>
      <c r="AY112" s="116"/>
      <c r="AZ112" s="116"/>
      <c r="BA112" s="36" t="s">
        <v>139</v>
      </c>
      <c r="BB112" s="36"/>
      <c r="BC112" s="116"/>
      <c r="BD112" s="116"/>
      <c r="BE112" s="116"/>
      <c r="BF112" s="116"/>
      <c r="BG112" s="116" t="s">
        <v>139</v>
      </c>
      <c r="BH112" s="116" t="s">
        <v>139</v>
      </c>
      <c r="BI112" s="116"/>
      <c r="BJ112" s="116"/>
      <c r="BK112" s="116"/>
      <c r="BL112" s="116"/>
      <c r="BM112" s="116"/>
      <c r="BN112" s="116"/>
      <c r="BO112" s="116"/>
      <c r="BP112" s="116">
        <f t="shared" si="21"/>
        <v>12</v>
      </c>
      <c r="BQ112" s="116">
        <f t="shared" si="22"/>
        <v>1</v>
      </c>
      <c r="BR112" s="116">
        <f t="shared" si="23"/>
        <v>3</v>
      </c>
      <c r="BS112" s="146">
        <f t="shared" si="24"/>
        <v>7</v>
      </c>
      <c r="BT112" s="73" t="s">
        <v>373</v>
      </c>
      <c r="BU112" s="73"/>
    </row>
    <row r="113" spans="1:73" x14ac:dyDescent="0.25">
      <c r="A113">
        <v>99</v>
      </c>
      <c r="B113" s="74">
        <v>46076.180625000001</v>
      </c>
      <c r="E113" s="7">
        <v>46076</v>
      </c>
      <c r="F113">
        <v>1309</v>
      </c>
      <c r="I113" s="10" t="s">
        <v>383</v>
      </c>
      <c r="J113" s="161">
        <v>46076</v>
      </c>
      <c r="K113" s="96">
        <f t="shared" si="25"/>
        <v>2</v>
      </c>
      <c r="L113" s="96">
        <v>113</v>
      </c>
      <c r="O113" s="7" t="s">
        <v>169</v>
      </c>
      <c r="R113" s="7">
        <f>MAX($L126:$L1245)+1</f>
        <v>148</v>
      </c>
      <c r="T113" t="s">
        <v>384</v>
      </c>
      <c r="X113" s="36" t="s">
        <v>139</v>
      </c>
      <c r="Y113" s="36" t="s">
        <v>139</v>
      </c>
      <c r="Z113" s="36"/>
      <c r="AA113" s="36" t="s">
        <v>139</v>
      </c>
      <c r="AB113" s="36" t="s">
        <v>139</v>
      </c>
      <c r="AC113" s="36"/>
      <c r="AD113" s="36"/>
      <c r="AE113" s="36" t="s">
        <v>139</v>
      </c>
      <c r="AF113" s="36"/>
      <c r="AG113" s="36"/>
      <c r="AH113" s="36" t="s">
        <v>139</v>
      </c>
      <c r="AI113" s="36" t="s">
        <v>139</v>
      </c>
      <c r="AJ113" s="36" t="s">
        <v>139</v>
      </c>
      <c r="AK113" s="116"/>
      <c r="AL113" s="36"/>
      <c r="AM113" s="36"/>
      <c r="AN113" s="36" t="s">
        <v>139</v>
      </c>
      <c r="AO113" s="36"/>
      <c r="AP113" s="36"/>
      <c r="AQ113" s="36" t="s">
        <v>139</v>
      </c>
      <c r="AR113" s="36" t="s">
        <v>139</v>
      </c>
      <c r="AS113" s="36"/>
      <c r="AT113" s="36"/>
      <c r="AU113" s="36" t="s">
        <v>139</v>
      </c>
      <c r="AV113" s="36"/>
      <c r="AW113" s="36" t="s">
        <v>139</v>
      </c>
      <c r="AX113" s="116" t="s">
        <v>139</v>
      </c>
      <c r="AY113" s="116"/>
      <c r="AZ113" s="116"/>
      <c r="BA113" s="36" t="s">
        <v>139</v>
      </c>
      <c r="BB113" s="36" t="s">
        <v>139</v>
      </c>
      <c r="BC113" s="116" t="s">
        <v>139</v>
      </c>
      <c r="BD113" s="116"/>
      <c r="BE113" s="116"/>
      <c r="BF113" s="116" t="s">
        <v>139</v>
      </c>
      <c r="BG113" s="116"/>
      <c r="BH113" s="116"/>
      <c r="BI113" s="116"/>
      <c r="BJ113" s="116" t="s">
        <v>139</v>
      </c>
      <c r="BK113" s="116"/>
      <c r="BL113" s="116"/>
      <c r="BM113" s="116"/>
      <c r="BN113" s="116"/>
      <c r="BO113" s="116"/>
      <c r="BP113" s="116">
        <f t="shared" si="21"/>
        <v>18</v>
      </c>
      <c r="BQ113" s="116">
        <f t="shared" si="22"/>
        <v>2</v>
      </c>
      <c r="BR113" s="116">
        <f t="shared" si="23"/>
        <v>5</v>
      </c>
      <c r="BS113" s="146">
        <f t="shared" si="24"/>
        <v>12</v>
      </c>
      <c r="BT113" s="73" t="s">
        <v>247</v>
      </c>
      <c r="BU113" s="73"/>
    </row>
    <row r="114" spans="1:73" x14ac:dyDescent="0.25">
      <c r="A114">
        <v>100</v>
      </c>
      <c r="B114" s="74">
        <v>46079.869583333333</v>
      </c>
      <c r="E114" s="7">
        <v>46080</v>
      </c>
      <c r="F114">
        <v>1310</v>
      </c>
      <c r="I114" s="10" t="s">
        <v>385</v>
      </c>
      <c r="J114" s="161">
        <v>46080</v>
      </c>
      <c r="K114" s="96">
        <f t="shared" si="25"/>
        <v>2</v>
      </c>
      <c r="L114" s="96">
        <v>114</v>
      </c>
      <c r="O114" s="7" t="s">
        <v>386</v>
      </c>
      <c r="R114" s="7">
        <f>MAX($L127:$L1246)+1</f>
        <v>148</v>
      </c>
      <c r="T114" t="s">
        <v>387</v>
      </c>
      <c r="X114" s="36" t="s">
        <v>139</v>
      </c>
      <c r="Y114" s="36" t="s">
        <v>139</v>
      </c>
      <c r="Z114" s="36"/>
      <c r="AA114" s="36" t="s">
        <v>139</v>
      </c>
      <c r="AB114" s="36" t="s">
        <v>139</v>
      </c>
      <c r="AC114" s="36"/>
      <c r="AD114" s="36"/>
      <c r="AE114" s="36"/>
      <c r="AF114" s="36"/>
      <c r="AG114" s="36"/>
      <c r="AH114" s="36"/>
      <c r="AI114" s="36"/>
      <c r="AJ114" s="36" t="s">
        <v>139</v>
      </c>
      <c r="AK114" s="116"/>
      <c r="AL114" s="36" t="s">
        <v>139</v>
      </c>
      <c r="AM114" s="36"/>
      <c r="AN114" s="36"/>
      <c r="AO114" s="36"/>
      <c r="AP114" s="36"/>
      <c r="AQ114" s="36" t="s">
        <v>139</v>
      </c>
      <c r="AR114" s="36" t="s">
        <v>139</v>
      </c>
      <c r="AS114" s="36"/>
      <c r="AT114" s="36"/>
      <c r="AU114" s="36"/>
      <c r="AV114" s="36"/>
      <c r="AW114" s="36"/>
      <c r="AX114" s="116"/>
      <c r="AY114" s="116"/>
      <c r="AZ114" s="116"/>
      <c r="BA114" s="36"/>
      <c r="BB114" s="36"/>
      <c r="BC114" s="116"/>
      <c r="BD114" s="116"/>
      <c r="BE114" s="116"/>
      <c r="BF114" s="116" t="s">
        <v>139</v>
      </c>
      <c r="BG114" s="116"/>
      <c r="BH114" s="116" t="s">
        <v>139</v>
      </c>
      <c r="BI114" s="116"/>
      <c r="BJ114" s="116" t="s">
        <v>139</v>
      </c>
      <c r="BK114" s="116"/>
      <c r="BL114" s="116"/>
      <c r="BM114" s="116"/>
      <c r="BN114" s="116"/>
      <c r="BO114" s="116"/>
      <c r="BP114" s="116">
        <f t="shared" si="21"/>
        <v>10</v>
      </c>
      <c r="BQ114" s="116">
        <f t="shared" si="22"/>
        <v>1</v>
      </c>
      <c r="BR114" s="116">
        <f t="shared" si="23"/>
        <v>4</v>
      </c>
      <c r="BS114" s="146">
        <f t="shared" si="24"/>
        <v>4</v>
      </c>
      <c r="BT114" s="73" t="s">
        <v>388</v>
      </c>
      <c r="BU114" s="73"/>
    </row>
    <row r="115" spans="1:73" x14ac:dyDescent="0.25">
      <c r="A115">
        <v>101</v>
      </c>
      <c r="B115" s="74">
        <v>46079.888391203705</v>
      </c>
      <c r="E115" s="7">
        <v>46080</v>
      </c>
      <c r="F115">
        <v>1311</v>
      </c>
      <c r="I115" s="10" t="s">
        <v>389</v>
      </c>
      <c r="J115" s="161">
        <v>46080</v>
      </c>
      <c r="K115" s="96">
        <f t="shared" si="25"/>
        <v>2</v>
      </c>
      <c r="L115" s="96">
        <v>115</v>
      </c>
      <c r="O115" s="7" t="s">
        <v>390</v>
      </c>
      <c r="R115" s="7">
        <f>MAX($L128:$L1247)+1</f>
        <v>148</v>
      </c>
      <c r="T115" t="s">
        <v>391</v>
      </c>
      <c r="X115" s="36" t="s">
        <v>139</v>
      </c>
      <c r="Y115" s="36"/>
      <c r="Z115" s="36"/>
      <c r="AA115" s="36"/>
      <c r="AB115" s="36" t="s">
        <v>139</v>
      </c>
      <c r="AC115" s="36"/>
      <c r="AD115" s="36"/>
      <c r="AE115" s="36"/>
      <c r="AF115" s="36"/>
      <c r="AG115" s="36"/>
      <c r="AH115" s="36"/>
      <c r="AI115" s="36"/>
      <c r="AJ115" s="36" t="s">
        <v>139</v>
      </c>
      <c r="AK115" s="116"/>
      <c r="AL115" s="36" t="s">
        <v>139</v>
      </c>
      <c r="AM115" s="36"/>
      <c r="AN115" s="36"/>
      <c r="AO115" s="36"/>
      <c r="AP115" s="36"/>
      <c r="AQ115" s="36" t="s">
        <v>139</v>
      </c>
      <c r="AR115" s="36" t="s">
        <v>139</v>
      </c>
      <c r="AS115" s="36"/>
      <c r="AT115" s="36"/>
      <c r="AU115" s="36"/>
      <c r="AV115" s="36"/>
      <c r="AW115" s="36"/>
      <c r="AX115" s="116"/>
      <c r="AY115" s="116"/>
      <c r="AZ115" s="116"/>
      <c r="BA115" s="36"/>
      <c r="BB115" s="36"/>
      <c r="BC115" s="116"/>
      <c r="BD115" s="116"/>
      <c r="BE115" s="116"/>
      <c r="BF115" s="116" t="s">
        <v>139</v>
      </c>
      <c r="BG115" s="116"/>
      <c r="BH115" s="116" t="s">
        <v>139</v>
      </c>
      <c r="BI115" s="116"/>
      <c r="BJ115" s="116" t="s">
        <v>139</v>
      </c>
      <c r="BK115" s="116"/>
      <c r="BL115" s="116"/>
      <c r="BM115" s="116" t="s">
        <v>139</v>
      </c>
      <c r="BN115" s="116"/>
      <c r="BO115" s="116"/>
      <c r="BP115" s="116">
        <f t="shared" si="21"/>
        <v>8</v>
      </c>
      <c r="BQ115" s="116">
        <f t="shared" si="22"/>
        <v>1</v>
      </c>
      <c r="BR115" s="116">
        <f t="shared" si="23"/>
        <v>2</v>
      </c>
      <c r="BS115" s="146">
        <f t="shared" si="24"/>
        <v>4</v>
      </c>
      <c r="BT115" s="73" t="s">
        <v>247</v>
      </c>
      <c r="BU115" s="73"/>
    </row>
    <row r="116" spans="1:73" x14ac:dyDescent="0.25">
      <c r="A116">
        <v>102</v>
      </c>
      <c r="B116" s="74">
        <v>46079.978912037041</v>
      </c>
      <c r="E116" s="7">
        <v>46080</v>
      </c>
      <c r="F116">
        <v>1312</v>
      </c>
      <c r="I116" s="10" t="s">
        <v>392</v>
      </c>
      <c r="J116" s="161">
        <v>46080</v>
      </c>
      <c r="K116" s="96">
        <f t="shared" si="25"/>
        <v>2</v>
      </c>
      <c r="L116" s="96">
        <v>116</v>
      </c>
      <c r="O116" s="7" t="s">
        <v>137</v>
      </c>
      <c r="R116" s="7">
        <f>MAX($L129:$L1248)+1</f>
        <v>148</v>
      </c>
      <c r="T116" t="s">
        <v>393</v>
      </c>
      <c r="X116" s="36" t="s">
        <v>139</v>
      </c>
      <c r="Y116" s="36" t="s">
        <v>139</v>
      </c>
      <c r="Z116" s="36"/>
      <c r="AA116" s="36" t="s">
        <v>139</v>
      </c>
      <c r="AB116" s="36"/>
      <c r="AC116" s="36"/>
      <c r="AD116" s="36"/>
      <c r="AE116" s="36" t="s">
        <v>139</v>
      </c>
      <c r="AF116" s="36"/>
      <c r="AG116" s="36"/>
      <c r="AH116" s="36"/>
      <c r="AI116" s="36" t="s">
        <v>139</v>
      </c>
      <c r="AJ116" s="36" t="s">
        <v>139</v>
      </c>
      <c r="AK116" s="116"/>
      <c r="AL116" s="36" t="s">
        <v>139</v>
      </c>
      <c r="AM116" s="36"/>
      <c r="AN116" s="36"/>
      <c r="AO116" s="36"/>
      <c r="AP116" s="36"/>
      <c r="AQ116" s="36" t="s">
        <v>139</v>
      </c>
      <c r="AR116" s="36"/>
      <c r="AS116" s="36"/>
      <c r="AT116" s="36"/>
      <c r="AU116" s="36"/>
      <c r="AV116" s="36"/>
      <c r="AW116" s="36"/>
      <c r="AX116" s="116" t="s">
        <v>139</v>
      </c>
      <c r="AY116" s="116"/>
      <c r="AZ116" s="116"/>
      <c r="BA116" s="36"/>
      <c r="BB116" s="36"/>
      <c r="BC116" s="116"/>
      <c r="BD116" s="116"/>
      <c r="BE116" s="116"/>
      <c r="BF116" s="116"/>
      <c r="BG116" s="116"/>
      <c r="BH116" s="116" t="s">
        <v>139</v>
      </c>
      <c r="BI116" s="116"/>
      <c r="BJ116" s="116" t="s">
        <v>139</v>
      </c>
      <c r="BK116" s="116"/>
      <c r="BL116" s="116"/>
      <c r="BM116" s="116" t="s">
        <v>139</v>
      </c>
      <c r="BN116" s="116"/>
      <c r="BO116" s="116"/>
      <c r="BP116" s="116">
        <f t="shared" si="21"/>
        <v>10</v>
      </c>
      <c r="BQ116" s="116">
        <f t="shared" si="22"/>
        <v>1</v>
      </c>
      <c r="BR116" s="116">
        <f t="shared" si="23"/>
        <v>4</v>
      </c>
      <c r="BS116" s="146">
        <f t="shared" si="24"/>
        <v>5</v>
      </c>
      <c r="BT116" s="73" t="s">
        <v>140</v>
      </c>
      <c r="BU116" s="73"/>
    </row>
    <row r="117" spans="1:73" x14ac:dyDescent="0.25">
      <c r="A117">
        <v>103</v>
      </c>
      <c r="B117" s="74">
        <v>46079.979907407411</v>
      </c>
      <c r="E117" s="7">
        <v>46080</v>
      </c>
      <c r="F117">
        <v>1313</v>
      </c>
      <c r="I117" s="10" t="s">
        <v>394</v>
      </c>
      <c r="J117" s="161">
        <v>46080</v>
      </c>
      <c r="K117" s="96">
        <f t="shared" si="25"/>
        <v>2</v>
      </c>
      <c r="L117" s="96">
        <v>117</v>
      </c>
      <c r="O117" s="7" t="s">
        <v>137</v>
      </c>
      <c r="R117" s="7">
        <f>MAX($L130:$L1249)+1</f>
        <v>148</v>
      </c>
      <c r="T117" t="s">
        <v>395</v>
      </c>
      <c r="X117" s="36" t="s">
        <v>139</v>
      </c>
      <c r="Y117" s="36" t="s">
        <v>139</v>
      </c>
      <c r="Z117" s="36"/>
      <c r="AA117" s="36" t="s">
        <v>139</v>
      </c>
      <c r="AB117" s="36"/>
      <c r="AC117" s="36"/>
      <c r="AD117" s="36"/>
      <c r="AE117" s="36" t="s">
        <v>139</v>
      </c>
      <c r="AF117" s="36"/>
      <c r="AG117" s="36"/>
      <c r="AH117" s="36"/>
      <c r="AI117" s="36" t="s">
        <v>139</v>
      </c>
      <c r="AJ117" s="36" t="s">
        <v>139</v>
      </c>
      <c r="AK117" s="116"/>
      <c r="AL117" s="36" t="s">
        <v>139</v>
      </c>
      <c r="AM117" s="36"/>
      <c r="AN117" s="36"/>
      <c r="AO117" s="36"/>
      <c r="AP117" s="36"/>
      <c r="AQ117" s="36" t="s">
        <v>139</v>
      </c>
      <c r="AR117" s="36"/>
      <c r="AS117" s="36"/>
      <c r="AT117" s="36"/>
      <c r="AU117" s="36"/>
      <c r="AV117" s="36"/>
      <c r="AW117" s="36"/>
      <c r="AX117" s="116" t="s">
        <v>139</v>
      </c>
      <c r="AY117" s="116"/>
      <c r="AZ117" s="116"/>
      <c r="BA117" s="36"/>
      <c r="BB117" s="36"/>
      <c r="BC117" s="116"/>
      <c r="BD117" s="116"/>
      <c r="BE117" s="116"/>
      <c r="BF117" s="116"/>
      <c r="BG117" s="116"/>
      <c r="BH117" s="116" t="s">
        <v>139</v>
      </c>
      <c r="BI117" s="116"/>
      <c r="BJ117" s="116" t="s">
        <v>139</v>
      </c>
      <c r="BK117" s="116"/>
      <c r="BL117" s="116"/>
      <c r="BM117" s="116" t="s">
        <v>139</v>
      </c>
      <c r="BN117" s="116"/>
      <c r="BO117" s="116"/>
      <c r="BP117" s="116">
        <f t="shared" si="21"/>
        <v>10</v>
      </c>
      <c r="BQ117" s="116">
        <f t="shared" si="22"/>
        <v>1</v>
      </c>
      <c r="BR117" s="116">
        <f t="shared" si="23"/>
        <v>4</v>
      </c>
      <c r="BS117" s="146">
        <f t="shared" si="24"/>
        <v>5</v>
      </c>
      <c r="BT117" s="73" t="s">
        <v>140</v>
      </c>
      <c r="BU117" s="73"/>
    </row>
    <row r="118" spans="1:73" x14ac:dyDescent="0.25">
      <c r="A118">
        <v>104</v>
      </c>
      <c r="B118" s="74">
        <v>46080.155740740738</v>
      </c>
      <c r="E118" s="7">
        <v>46080</v>
      </c>
      <c r="F118">
        <v>1314</v>
      </c>
      <c r="I118" s="10" t="s">
        <v>396</v>
      </c>
      <c r="J118" s="161">
        <v>46080</v>
      </c>
      <c r="K118" s="96">
        <f t="shared" si="25"/>
        <v>2</v>
      </c>
      <c r="L118" s="96">
        <v>118</v>
      </c>
      <c r="O118" s="7" t="s">
        <v>137</v>
      </c>
      <c r="R118" s="7">
        <f>MAX($L131:$L1250)+1</f>
        <v>148</v>
      </c>
      <c r="T118" t="s">
        <v>397</v>
      </c>
      <c r="X118" s="36" t="s">
        <v>139</v>
      </c>
      <c r="Y118" s="36"/>
      <c r="Z118" s="36" t="s">
        <v>139</v>
      </c>
      <c r="AA118" s="36"/>
      <c r="AB118" s="36"/>
      <c r="AC118" s="36"/>
      <c r="AD118" s="36" t="s">
        <v>139</v>
      </c>
      <c r="AE118" s="36"/>
      <c r="AF118" s="36"/>
      <c r="AG118" s="36"/>
      <c r="AH118" s="36"/>
      <c r="AI118" s="36"/>
      <c r="AJ118" s="36" t="s">
        <v>139</v>
      </c>
      <c r="AK118" s="11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 t="s">
        <v>139</v>
      </c>
      <c r="AV118" s="36"/>
      <c r="AW118" s="36" t="s">
        <v>139</v>
      </c>
      <c r="AX118" s="116" t="s">
        <v>139</v>
      </c>
      <c r="AY118" s="116" t="s">
        <v>139</v>
      </c>
      <c r="AZ118" s="116"/>
      <c r="BA118" s="36"/>
      <c r="BB118" s="36"/>
      <c r="BC118" s="116"/>
      <c r="BD118" s="116"/>
      <c r="BE118" s="116"/>
      <c r="BF118" s="116"/>
      <c r="BG118" s="116"/>
      <c r="BH118" s="116"/>
      <c r="BI118" s="116"/>
      <c r="BJ118" s="116" t="s">
        <v>139</v>
      </c>
      <c r="BK118" s="116"/>
      <c r="BL118" s="116"/>
      <c r="BM118" s="116" t="s">
        <v>139</v>
      </c>
      <c r="BN118" s="116" t="s">
        <v>139</v>
      </c>
      <c r="BO118" s="116"/>
      <c r="BP118" s="116">
        <f t="shared" si="21"/>
        <v>8</v>
      </c>
      <c r="BQ118" s="116">
        <f t="shared" si="22"/>
        <v>1</v>
      </c>
      <c r="BR118" s="116">
        <f t="shared" si="23"/>
        <v>3</v>
      </c>
      <c r="BS118" s="146">
        <f t="shared" si="24"/>
        <v>5</v>
      </c>
      <c r="BT118" s="73" t="s">
        <v>140</v>
      </c>
      <c r="BU118" s="73"/>
    </row>
    <row r="119" spans="1:73" x14ac:dyDescent="0.25">
      <c r="A119">
        <v>105</v>
      </c>
      <c r="B119" s="74">
        <v>46082.022743055553</v>
      </c>
      <c r="E119" s="7">
        <v>46082</v>
      </c>
      <c r="F119">
        <v>1315</v>
      </c>
      <c r="I119" s="10" t="s">
        <v>398</v>
      </c>
      <c r="J119" s="161">
        <v>46082</v>
      </c>
      <c r="K119" s="96">
        <f t="shared" si="25"/>
        <v>3</v>
      </c>
      <c r="L119" s="96">
        <v>119</v>
      </c>
      <c r="O119" s="7" t="s">
        <v>146</v>
      </c>
      <c r="R119" s="7">
        <f>MAX($L132:$L1251)+1</f>
        <v>148</v>
      </c>
      <c r="T119" t="s">
        <v>399</v>
      </c>
      <c r="X119" s="36" t="s">
        <v>139</v>
      </c>
      <c r="Y119" s="36"/>
      <c r="Z119" s="36" t="s">
        <v>139</v>
      </c>
      <c r="AA119" s="36"/>
      <c r="AB119" s="36"/>
      <c r="AC119" s="36"/>
      <c r="AD119" s="36" t="s">
        <v>139</v>
      </c>
      <c r="AE119" s="36"/>
      <c r="AF119" s="36"/>
      <c r="AG119" s="36"/>
      <c r="AH119" s="36"/>
      <c r="AI119" s="36"/>
      <c r="AJ119" s="36"/>
      <c r="AK119" s="116"/>
      <c r="AL119" s="36"/>
      <c r="AM119" s="36"/>
      <c r="AN119" s="36" t="s">
        <v>139</v>
      </c>
      <c r="AO119" s="36"/>
      <c r="AP119" s="36"/>
      <c r="AQ119" s="36"/>
      <c r="AR119" s="36"/>
      <c r="AS119" s="36" t="s">
        <v>139</v>
      </c>
      <c r="AT119" s="36"/>
      <c r="AU119" s="36"/>
      <c r="AV119" s="36" t="s">
        <v>139</v>
      </c>
      <c r="AW119" s="36" t="s">
        <v>139</v>
      </c>
      <c r="AX119" s="116"/>
      <c r="AY119" s="116" t="s">
        <v>139</v>
      </c>
      <c r="AZ119" s="116"/>
      <c r="BA119" s="36"/>
      <c r="BB119" s="36"/>
      <c r="BC119" s="116"/>
      <c r="BD119" s="116"/>
      <c r="BE119" s="116"/>
      <c r="BF119" s="116"/>
      <c r="BG119" s="116" t="s">
        <v>139</v>
      </c>
      <c r="BH119" s="116"/>
      <c r="BI119" s="116"/>
      <c r="BJ119" s="116"/>
      <c r="BK119" s="116" t="s">
        <v>139</v>
      </c>
      <c r="BL119" s="116" t="s">
        <v>139</v>
      </c>
      <c r="BM119" s="116" t="s">
        <v>139</v>
      </c>
      <c r="BN119" s="116"/>
      <c r="BO119" s="116"/>
      <c r="BP119" s="116">
        <f t="shared" si="21"/>
        <v>9</v>
      </c>
      <c r="BQ119" s="116">
        <f t="shared" si="22"/>
        <v>2</v>
      </c>
      <c r="BR119" s="116">
        <f t="shared" si="23"/>
        <v>3</v>
      </c>
      <c r="BS119" s="146">
        <f t="shared" si="24"/>
        <v>5</v>
      </c>
      <c r="BT119" s="73" t="s">
        <v>197</v>
      </c>
      <c r="BU119" s="73"/>
    </row>
    <row r="120" spans="1:73" x14ac:dyDescent="0.25">
      <c r="A120">
        <v>106</v>
      </c>
      <c r="B120" s="74">
        <v>46082.850648148145</v>
      </c>
      <c r="E120" s="7">
        <v>46083</v>
      </c>
      <c r="F120">
        <v>1316</v>
      </c>
      <c r="I120" s="10" t="s">
        <v>400</v>
      </c>
      <c r="J120" s="161">
        <v>46083</v>
      </c>
      <c r="K120" s="96">
        <f t="shared" si="25"/>
        <v>3</v>
      </c>
      <c r="L120" s="96">
        <v>120</v>
      </c>
      <c r="O120" s="7" t="s">
        <v>146</v>
      </c>
      <c r="R120" s="7">
        <f>MAX($L133:$L1252)+1</f>
        <v>148</v>
      </c>
      <c r="T120" t="s">
        <v>401</v>
      </c>
      <c r="X120" s="36"/>
      <c r="Y120" s="36" t="s">
        <v>139</v>
      </c>
      <c r="Z120" s="36"/>
      <c r="AA120" s="36"/>
      <c r="AB120" s="36" t="s">
        <v>139</v>
      </c>
      <c r="AC120" s="36"/>
      <c r="AD120" s="36"/>
      <c r="AE120" s="36"/>
      <c r="AF120" s="36"/>
      <c r="AG120" s="36"/>
      <c r="AH120" s="36"/>
      <c r="AI120" s="36"/>
      <c r="AJ120" s="36" t="s">
        <v>139</v>
      </c>
      <c r="AK120" s="116" t="s">
        <v>139</v>
      </c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116"/>
      <c r="AY120" s="116"/>
      <c r="AZ120" s="116"/>
      <c r="BA120" s="36"/>
      <c r="BB120" s="36"/>
      <c r="BC120" s="116"/>
      <c r="BD120" s="116"/>
      <c r="BE120" s="116"/>
      <c r="BF120" s="116"/>
      <c r="BG120" s="116"/>
      <c r="BH120" s="116" t="s">
        <v>139</v>
      </c>
      <c r="BI120" s="116"/>
      <c r="BJ120" s="116" t="s">
        <v>139</v>
      </c>
      <c r="BK120" s="116"/>
      <c r="BL120" s="116" t="s">
        <v>139</v>
      </c>
      <c r="BM120" s="116" t="s">
        <v>139</v>
      </c>
      <c r="BN120" s="116"/>
      <c r="BO120" s="116"/>
      <c r="BP120" s="116">
        <f t="shared" si="21"/>
        <v>5</v>
      </c>
      <c r="BQ120" s="116">
        <f t="shared" si="22"/>
        <v>2</v>
      </c>
      <c r="BR120" s="116">
        <f t="shared" si="23"/>
        <v>2</v>
      </c>
      <c r="BS120" s="146">
        <f t="shared" si="24"/>
        <v>2</v>
      </c>
      <c r="BT120" s="73" t="s">
        <v>247</v>
      </c>
      <c r="BU120" s="73"/>
    </row>
    <row r="121" spans="1:73" x14ac:dyDescent="0.25">
      <c r="A121">
        <v>107</v>
      </c>
      <c r="B121" s="74">
        <v>46082.852337962962</v>
      </c>
      <c r="E121" s="7">
        <v>46083</v>
      </c>
      <c r="F121">
        <v>1317</v>
      </c>
      <c r="I121" s="10" t="s">
        <v>402</v>
      </c>
      <c r="J121" s="161">
        <v>46083</v>
      </c>
      <c r="K121" s="96">
        <f t="shared" si="25"/>
        <v>3</v>
      </c>
      <c r="L121" s="96">
        <v>121</v>
      </c>
      <c r="O121" s="7" t="s">
        <v>403</v>
      </c>
      <c r="R121" s="7">
        <f>MAX($L134:$L1253)+1</f>
        <v>148</v>
      </c>
      <c r="T121" t="s">
        <v>404</v>
      </c>
      <c r="X121" s="36"/>
      <c r="Y121" s="36" t="s">
        <v>139</v>
      </c>
      <c r="Z121" s="36"/>
      <c r="AA121" s="36"/>
      <c r="AB121" s="36" t="s">
        <v>139</v>
      </c>
      <c r="AC121" s="36"/>
      <c r="AD121" s="36"/>
      <c r="AE121" s="36"/>
      <c r="AF121" s="36"/>
      <c r="AG121" s="36"/>
      <c r="AH121" s="36"/>
      <c r="AI121" s="36"/>
      <c r="AJ121" s="36" t="s">
        <v>139</v>
      </c>
      <c r="AK121" s="116" t="s">
        <v>139</v>
      </c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116"/>
      <c r="AY121" s="116"/>
      <c r="AZ121" s="116"/>
      <c r="BA121" s="36"/>
      <c r="BB121" s="36"/>
      <c r="BC121" s="116"/>
      <c r="BD121" s="116"/>
      <c r="BE121" s="116"/>
      <c r="BF121" s="116"/>
      <c r="BG121" s="116"/>
      <c r="BH121" s="116" t="s">
        <v>139</v>
      </c>
      <c r="BI121" s="116"/>
      <c r="BJ121" s="116" t="s">
        <v>139</v>
      </c>
      <c r="BK121" s="116"/>
      <c r="BL121" s="116" t="s">
        <v>139</v>
      </c>
      <c r="BM121" s="116" t="s">
        <v>139</v>
      </c>
      <c r="BN121" s="116"/>
      <c r="BO121" s="116"/>
      <c r="BP121" s="116">
        <f t="shared" si="21"/>
        <v>5</v>
      </c>
      <c r="BQ121" s="116">
        <f t="shared" si="22"/>
        <v>2</v>
      </c>
      <c r="BR121" s="116">
        <f t="shared" si="23"/>
        <v>2</v>
      </c>
      <c r="BS121" s="146">
        <f t="shared" si="24"/>
        <v>2</v>
      </c>
      <c r="BT121" s="73" t="s">
        <v>247</v>
      </c>
      <c r="BU121" s="73"/>
    </row>
    <row r="122" spans="1:73" x14ac:dyDescent="0.25">
      <c r="A122">
        <v>108</v>
      </c>
      <c r="B122" s="74">
        <v>46082.900625000002</v>
      </c>
      <c r="E122" s="7">
        <v>46083</v>
      </c>
      <c r="F122">
        <v>1318</v>
      </c>
      <c r="I122" s="10" t="s">
        <v>405</v>
      </c>
      <c r="J122" s="161">
        <v>46083</v>
      </c>
      <c r="K122" s="96">
        <f t="shared" si="25"/>
        <v>3</v>
      </c>
      <c r="L122" s="96">
        <v>122</v>
      </c>
      <c r="O122" s="7" t="s">
        <v>137</v>
      </c>
      <c r="R122" s="7">
        <f>MAX($L135:$L1254)+1</f>
        <v>148</v>
      </c>
      <c r="T122" t="s">
        <v>406</v>
      </c>
      <c r="X122" s="36"/>
      <c r="Y122" s="36" t="s">
        <v>139</v>
      </c>
      <c r="Z122" s="36"/>
      <c r="AA122" s="36" t="s">
        <v>139</v>
      </c>
      <c r="AB122" s="36" t="s">
        <v>139</v>
      </c>
      <c r="AC122" s="36"/>
      <c r="AD122" s="36"/>
      <c r="AE122" s="36"/>
      <c r="AF122" s="36"/>
      <c r="AG122" s="36"/>
      <c r="AH122" s="36" t="s">
        <v>139</v>
      </c>
      <c r="AI122" s="36"/>
      <c r="AJ122" s="36" t="s">
        <v>139</v>
      </c>
      <c r="AK122" s="116" t="s">
        <v>139</v>
      </c>
      <c r="AL122" s="36"/>
      <c r="AM122" s="36"/>
      <c r="AN122" s="36" t="s">
        <v>139</v>
      </c>
      <c r="AO122" s="36"/>
      <c r="AP122" s="36"/>
      <c r="AQ122" s="36"/>
      <c r="AR122" s="36"/>
      <c r="AS122" s="36"/>
      <c r="AT122" s="36" t="s">
        <v>139</v>
      </c>
      <c r="AU122" s="36"/>
      <c r="AV122" s="36"/>
      <c r="AW122" s="36" t="s">
        <v>139</v>
      </c>
      <c r="AX122" s="116"/>
      <c r="AY122" s="116"/>
      <c r="AZ122" s="116"/>
      <c r="BA122" s="36"/>
      <c r="BB122" s="36"/>
      <c r="BC122" s="116"/>
      <c r="BD122" s="116"/>
      <c r="BE122" s="116"/>
      <c r="BF122" s="116"/>
      <c r="BG122" s="116" t="s">
        <v>139</v>
      </c>
      <c r="BH122" s="116" t="s">
        <v>139</v>
      </c>
      <c r="BI122" s="116"/>
      <c r="BJ122" s="116" t="s">
        <v>139</v>
      </c>
      <c r="BK122" s="116"/>
      <c r="BL122" s="116" t="s">
        <v>139</v>
      </c>
      <c r="BM122" s="116" t="s">
        <v>139</v>
      </c>
      <c r="BN122" s="116"/>
      <c r="BO122" s="116"/>
      <c r="BP122" s="116">
        <f t="shared" si="21"/>
        <v>11</v>
      </c>
      <c r="BQ122" s="116">
        <f t="shared" si="22"/>
        <v>4</v>
      </c>
      <c r="BR122" s="116">
        <f t="shared" si="23"/>
        <v>3</v>
      </c>
      <c r="BS122" s="146">
        <f t="shared" si="24"/>
        <v>6</v>
      </c>
      <c r="BT122" s="73" t="s">
        <v>140</v>
      </c>
      <c r="BU122" s="73"/>
    </row>
    <row r="123" spans="1:73" x14ac:dyDescent="0.25">
      <c r="A123">
        <v>109</v>
      </c>
      <c r="B123" s="74">
        <v>46082.928101851852</v>
      </c>
      <c r="E123" s="7">
        <v>46083</v>
      </c>
      <c r="F123">
        <v>1319</v>
      </c>
      <c r="I123" s="10" t="s">
        <v>407</v>
      </c>
      <c r="J123" s="161">
        <v>46083</v>
      </c>
      <c r="K123" s="96">
        <f t="shared" si="25"/>
        <v>3</v>
      </c>
      <c r="L123" s="96">
        <v>123</v>
      </c>
      <c r="O123" s="7" t="s">
        <v>408</v>
      </c>
      <c r="R123" s="7">
        <f>MAX($L136:$L1255)+1</f>
        <v>148</v>
      </c>
      <c r="T123" t="s">
        <v>409</v>
      </c>
      <c r="X123" s="36"/>
      <c r="Y123" s="36" t="s">
        <v>139</v>
      </c>
      <c r="Z123" s="36"/>
      <c r="AA123" s="36"/>
      <c r="AB123" s="36" t="s">
        <v>139</v>
      </c>
      <c r="AC123" s="36"/>
      <c r="AD123" s="36" t="s">
        <v>139</v>
      </c>
      <c r="AE123" s="36"/>
      <c r="AF123" s="36"/>
      <c r="AG123" s="36"/>
      <c r="AH123" s="36" t="s">
        <v>139</v>
      </c>
      <c r="AI123" s="36"/>
      <c r="AJ123" s="36" t="s">
        <v>139</v>
      </c>
      <c r="AK123" s="116" t="s">
        <v>139</v>
      </c>
      <c r="AL123" s="36"/>
      <c r="AM123" s="36"/>
      <c r="AN123" s="36" t="s">
        <v>139</v>
      </c>
      <c r="AO123" s="36"/>
      <c r="AP123" s="36"/>
      <c r="AQ123" s="36"/>
      <c r="AR123" s="36"/>
      <c r="AS123" s="36"/>
      <c r="AT123" s="36"/>
      <c r="AU123" s="36"/>
      <c r="AV123" s="36"/>
      <c r="AW123" s="36"/>
      <c r="AX123" s="116"/>
      <c r="AY123" s="116"/>
      <c r="AZ123" s="116"/>
      <c r="BA123" s="36"/>
      <c r="BB123" s="36"/>
      <c r="BC123" s="116"/>
      <c r="BD123" s="116"/>
      <c r="BE123" s="116"/>
      <c r="BF123" s="116"/>
      <c r="BG123" s="116"/>
      <c r="BH123" s="116" t="s">
        <v>139</v>
      </c>
      <c r="BI123" s="116"/>
      <c r="BJ123" s="116" t="s">
        <v>139</v>
      </c>
      <c r="BK123" s="116"/>
      <c r="BL123" s="116" t="s">
        <v>139</v>
      </c>
      <c r="BM123" s="116" t="s">
        <v>139</v>
      </c>
      <c r="BN123" s="116"/>
      <c r="BO123" s="116"/>
      <c r="BP123" s="116">
        <f t="shared" si="21"/>
        <v>8</v>
      </c>
      <c r="BQ123" s="116">
        <f t="shared" si="22"/>
        <v>3</v>
      </c>
      <c r="BR123" s="116">
        <f t="shared" si="23"/>
        <v>3</v>
      </c>
      <c r="BS123" s="146">
        <f t="shared" si="24"/>
        <v>4</v>
      </c>
      <c r="BT123" s="73" t="s">
        <v>247</v>
      </c>
      <c r="BU123" s="73"/>
    </row>
    <row r="124" spans="1:73" x14ac:dyDescent="0.25">
      <c r="A124">
        <v>110</v>
      </c>
      <c r="B124" s="74">
        <v>46083.148136574076</v>
      </c>
      <c r="E124" s="7">
        <v>46083</v>
      </c>
      <c r="F124">
        <v>1320</v>
      </c>
      <c r="I124" s="10" t="s">
        <v>410</v>
      </c>
      <c r="J124" s="161">
        <v>46083</v>
      </c>
      <c r="K124" s="96">
        <f t="shared" ref="K124:K143" si="26">MONTH($J124)</f>
        <v>3</v>
      </c>
      <c r="L124" s="96">
        <v>124</v>
      </c>
      <c r="O124" s="7" t="s">
        <v>169</v>
      </c>
      <c r="R124" s="7">
        <f>MAX($L137:$L1256)+1</f>
        <v>148</v>
      </c>
      <c r="T124" t="s">
        <v>411</v>
      </c>
      <c r="X124" s="36" t="s">
        <v>139</v>
      </c>
      <c r="Y124" s="36" t="s">
        <v>139</v>
      </c>
      <c r="Z124" s="36"/>
      <c r="AA124" s="36" t="s">
        <v>139</v>
      </c>
      <c r="AB124" s="36"/>
      <c r="AC124" s="36"/>
      <c r="AD124" s="36"/>
      <c r="AE124" s="36" t="s">
        <v>139</v>
      </c>
      <c r="AF124" s="36"/>
      <c r="AG124" s="36"/>
      <c r="AH124" s="36" t="s">
        <v>139</v>
      </c>
      <c r="AI124" s="36" t="s">
        <v>139</v>
      </c>
      <c r="AJ124" s="36" t="s">
        <v>139</v>
      </c>
      <c r="AK124" s="116"/>
      <c r="AL124" s="116"/>
      <c r="AM124" s="36"/>
      <c r="AN124" s="36" t="s">
        <v>139</v>
      </c>
      <c r="AO124" s="36"/>
      <c r="AP124" s="36"/>
      <c r="AQ124" s="36" t="s">
        <v>139</v>
      </c>
      <c r="AR124" s="36" t="s">
        <v>139</v>
      </c>
      <c r="AS124" s="36"/>
      <c r="AT124" s="36"/>
      <c r="AU124" s="36"/>
      <c r="AV124" s="36"/>
      <c r="AW124" s="36" t="s">
        <v>139</v>
      </c>
      <c r="AX124" s="116"/>
      <c r="AY124" s="116" t="s">
        <v>139</v>
      </c>
      <c r="AZ124" s="116"/>
      <c r="BA124" s="36" t="s">
        <v>139</v>
      </c>
      <c r="BB124" s="36"/>
      <c r="BC124" s="116" t="s">
        <v>139</v>
      </c>
      <c r="BD124" s="116"/>
      <c r="BE124" s="116" t="s">
        <v>139</v>
      </c>
      <c r="BF124" s="116" t="s">
        <v>139</v>
      </c>
      <c r="BG124" s="116" t="s">
        <v>139</v>
      </c>
      <c r="BH124" s="116" t="s">
        <v>139</v>
      </c>
      <c r="BI124" s="116"/>
      <c r="BJ124" s="116" t="s">
        <v>139</v>
      </c>
      <c r="BK124" s="116"/>
      <c r="BL124" s="116" t="s">
        <v>139</v>
      </c>
      <c r="BM124" s="116" t="s">
        <v>139</v>
      </c>
      <c r="BN124" s="116"/>
      <c r="BO124" s="116"/>
      <c r="BP124" s="116">
        <f t="shared" si="21"/>
        <v>18</v>
      </c>
      <c r="BQ124" s="116">
        <f t="shared" si="22"/>
        <v>2</v>
      </c>
      <c r="BR124" s="116">
        <f t="shared" si="23"/>
        <v>4</v>
      </c>
      <c r="BS124" s="146">
        <f t="shared" si="24"/>
        <v>11</v>
      </c>
      <c r="BT124" s="73" t="s">
        <v>234</v>
      </c>
      <c r="BU124" s="73"/>
    </row>
    <row r="125" spans="1:73" x14ac:dyDescent="0.25">
      <c r="A125">
        <v>111</v>
      </c>
      <c r="B125" s="74">
        <v>46085.12290509259</v>
      </c>
      <c r="E125" s="7">
        <v>46085</v>
      </c>
      <c r="F125">
        <v>1321</v>
      </c>
      <c r="I125" s="10" t="s">
        <v>412</v>
      </c>
      <c r="J125" s="161">
        <v>46085</v>
      </c>
      <c r="K125" s="96">
        <f t="shared" si="26"/>
        <v>3</v>
      </c>
      <c r="L125" s="96">
        <v>125</v>
      </c>
      <c r="O125" s="7" t="s">
        <v>169</v>
      </c>
      <c r="R125" s="7">
        <f>MAX($L138:$L1257)+1</f>
        <v>148</v>
      </c>
      <c r="T125" t="s">
        <v>413</v>
      </c>
      <c r="X125" s="36"/>
      <c r="Y125" s="36"/>
      <c r="Z125" s="36"/>
      <c r="AA125" s="36" t="s">
        <v>139</v>
      </c>
      <c r="AB125" s="36"/>
      <c r="AC125" s="36"/>
      <c r="AD125" s="36"/>
      <c r="AE125" s="36"/>
      <c r="AF125" s="36"/>
      <c r="AG125" s="36"/>
      <c r="AH125" s="36" t="s">
        <v>139</v>
      </c>
      <c r="AI125" s="36"/>
      <c r="AJ125" s="36" t="s">
        <v>139</v>
      </c>
      <c r="AK125" s="116"/>
      <c r="AL125" s="116"/>
      <c r="AM125" s="36"/>
      <c r="AN125" s="36" t="s">
        <v>139</v>
      </c>
      <c r="AO125" s="36"/>
      <c r="AP125" s="36"/>
      <c r="AQ125" s="36"/>
      <c r="AR125" s="36"/>
      <c r="AS125" s="36"/>
      <c r="AT125" s="36"/>
      <c r="AU125" s="36"/>
      <c r="AV125" s="36"/>
      <c r="AW125" s="36" t="s">
        <v>139</v>
      </c>
      <c r="AX125" s="116" t="s">
        <v>139</v>
      </c>
      <c r="AY125" s="116"/>
      <c r="AZ125" s="116"/>
      <c r="BA125" s="36"/>
      <c r="BB125" s="36" t="s">
        <v>139</v>
      </c>
      <c r="BC125" s="116"/>
      <c r="BD125" s="116"/>
      <c r="BE125" s="116"/>
      <c r="BF125" s="116"/>
      <c r="BG125" s="116"/>
      <c r="BH125" s="116" t="s">
        <v>139</v>
      </c>
      <c r="BI125" s="116"/>
      <c r="BJ125" s="116" t="s">
        <v>139</v>
      </c>
      <c r="BK125" s="116"/>
      <c r="BL125" s="116"/>
      <c r="BM125" s="116" t="s">
        <v>139</v>
      </c>
      <c r="BN125" s="116"/>
      <c r="BO125" s="116"/>
      <c r="BP125" s="116">
        <f t="shared" ref="BP125:BP131" si="27">COUNTIF($X125:$BH125, "I")</f>
        <v>8</v>
      </c>
      <c r="BQ125" s="116">
        <f t="shared" ref="BQ125:BQ131" si="28">COUNTIFS($X125:$BH125, "I",$X$2:$BH$2, "DR" )</f>
        <v>2</v>
      </c>
      <c r="BR125" s="116">
        <f t="shared" ref="BR125:BR131" si="29">COUNTIFS($X125:$BH125, "I",$X$5:$BH$5, "OF" )</f>
        <v>1</v>
      </c>
      <c r="BS125" s="146">
        <f t="shared" ref="BS125:BS131" si="30">COUNTIFS($X125:$BH125, "I",$X$5:$BH$5, "FF" )</f>
        <v>6</v>
      </c>
      <c r="BT125" s="73" t="s">
        <v>197</v>
      </c>
      <c r="BU125" s="73"/>
    </row>
    <row r="126" spans="1:73" x14ac:dyDescent="0.25">
      <c r="A126">
        <v>112</v>
      </c>
      <c r="B126" s="74">
        <v>46086.279432870368</v>
      </c>
      <c r="E126" s="7">
        <v>46086</v>
      </c>
      <c r="F126">
        <v>1322</v>
      </c>
      <c r="I126" s="10" t="s">
        <v>414</v>
      </c>
      <c r="J126" s="161">
        <v>46086</v>
      </c>
      <c r="K126" s="96">
        <f t="shared" si="26"/>
        <v>3</v>
      </c>
      <c r="L126" s="96">
        <v>126</v>
      </c>
      <c r="O126" s="7" t="s">
        <v>169</v>
      </c>
      <c r="R126" s="7">
        <f>MAX($L139:$L1258)+1</f>
        <v>148</v>
      </c>
      <c r="T126" t="s">
        <v>415</v>
      </c>
      <c r="X126" s="36"/>
      <c r="Y126" s="36" t="s">
        <v>139</v>
      </c>
      <c r="Z126" s="36"/>
      <c r="AA126" s="36" t="s">
        <v>139</v>
      </c>
      <c r="AB126" s="36" t="s">
        <v>139</v>
      </c>
      <c r="AC126" s="36"/>
      <c r="AD126" s="36" t="s">
        <v>139</v>
      </c>
      <c r="AE126" s="36" t="s">
        <v>139</v>
      </c>
      <c r="AF126" s="36" t="s">
        <v>139</v>
      </c>
      <c r="AG126" s="36"/>
      <c r="AH126" s="36" t="s">
        <v>139</v>
      </c>
      <c r="AI126" s="36" t="s">
        <v>139</v>
      </c>
      <c r="AJ126" s="36"/>
      <c r="AK126" s="116"/>
      <c r="AL126" s="116"/>
      <c r="AM126" s="36" t="s">
        <v>139</v>
      </c>
      <c r="AN126" s="36" t="s">
        <v>139</v>
      </c>
      <c r="AO126" s="36" t="s">
        <v>139</v>
      </c>
      <c r="AP126" s="36"/>
      <c r="AQ126" s="36"/>
      <c r="AR126" s="36"/>
      <c r="AS126" s="36"/>
      <c r="AT126" s="36" t="s">
        <v>139</v>
      </c>
      <c r="AU126" s="36" t="s">
        <v>139</v>
      </c>
      <c r="AV126" s="36"/>
      <c r="AW126" s="36" t="s">
        <v>139</v>
      </c>
      <c r="AX126" s="116" t="s">
        <v>139</v>
      </c>
      <c r="AY126" s="116" t="s">
        <v>139</v>
      </c>
      <c r="AZ126" s="116"/>
      <c r="BA126" s="36" t="s">
        <v>139</v>
      </c>
      <c r="BB126" s="36" t="s">
        <v>139</v>
      </c>
      <c r="BC126" s="116"/>
      <c r="BD126" s="116"/>
      <c r="BE126" s="116"/>
      <c r="BF126" s="116"/>
      <c r="BG126" s="116"/>
      <c r="BH126" s="116" t="s">
        <v>139</v>
      </c>
      <c r="BI126" s="116"/>
      <c r="BJ126" s="116" t="s">
        <v>139</v>
      </c>
      <c r="BK126" s="116"/>
      <c r="BL126" s="116"/>
      <c r="BM126" s="116" t="s">
        <v>139</v>
      </c>
      <c r="BN126" s="116"/>
      <c r="BO126" s="116"/>
      <c r="BP126" s="116">
        <f t="shared" si="27"/>
        <v>19</v>
      </c>
      <c r="BQ126" s="116">
        <f t="shared" si="28"/>
        <v>3</v>
      </c>
      <c r="BR126" s="116">
        <f t="shared" si="29"/>
        <v>5</v>
      </c>
      <c r="BS126" s="146">
        <f t="shared" si="30"/>
        <v>13</v>
      </c>
      <c r="BT126" s="73" t="s">
        <v>247</v>
      </c>
      <c r="BU126" s="73"/>
    </row>
    <row r="127" spans="1:73" x14ac:dyDescent="0.25">
      <c r="A127">
        <v>113</v>
      </c>
      <c r="B127" s="74">
        <v>46087.083622685182</v>
      </c>
      <c r="E127" s="7">
        <v>46087</v>
      </c>
      <c r="F127">
        <v>1323</v>
      </c>
      <c r="I127" s="10" t="s">
        <v>416</v>
      </c>
      <c r="J127" s="161">
        <v>46087</v>
      </c>
      <c r="K127" s="96">
        <f t="shared" si="26"/>
        <v>3</v>
      </c>
      <c r="L127" s="96">
        <v>127</v>
      </c>
      <c r="O127" s="7" t="s">
        <v>417</v>
      </c>
      <c r="R127" s="7">
        <f>MAX($L140:$L1259)+1</f>
        <v>148</v>
      </c>
      <c r="T127" t="s">
        <v>418</v>
      </c>
      <c r="X127" s="36"/>
      <c r="Y127" s="36"/>
      <c r="Z127" s="36"/>
      <c r="AA127" s="36" t="s">
        <v>139</v>
      </c>
      <c r="AB127" s="36" t="s">
        <v>139</v>
      </c>
      <c r="AC127" s="36"/>
      <c r="AD127" s="36" t="s">
        <v>139</v>
      </c>
      <c r="AE127" s="36"/>
      <c r="AF127" s="36" t="s">
        <v>139</v>
      </c>
      <c r="AG127" s="36" t="s">
        <v>139</v>
      </c>
      <c r="AH127" s="36"/>
      <c r="AI127" s="36"/>
      <c r="AJ127" s="36" t="s">
        <v>139</v>
      </c>
      <c r="AK127" s="116" t="s">
        <v>139</v>
      </c>
      <c r="AL127" s="116"/>
      <c r="AM127" s="36"/>
      <c r="AN127" s="36"/>
      <c r="AO127" s="36" t="s">
        <v>139</v>
      </c>
      <c r="AP127" s="36"/>
      <c r="AQ127" s="36"/>
      <c r="AR127" s="36"/>
      <c r="AS127" s="36"/>
      <c r="AT127" s="36"/>
      <c r="AU127" s="36" t="s">
        <v>139</v>
      </c>
      <c r="AV127" s="36"/>
      <c r="AW127" s="36"/>
      <c r="AX127" s="116" t="s">
        <v>139</v>
      </c>
      <c r="AY127" s="116" t="s">
        <v>139</v>
      </c>
      <c r="AZ127" s="116"/>
      <c r="BA127" s="36"/>
      <c r="BB127" s="36" t="s">
        <v>139</v>
      </c>
      <c r="BC127" s="116"/>
      <c r="BD127" s="116"/>
      <c r="BE127" s="116"/>
      <c r="BF127" s="116"/>
      <c r="BG127" s="116"/>
      <c r="BH127" s="116" t="s">
        <v>139</v>
      </c>
      <c r="BI127" s="116"/>
      <c r="BJ127" s="116"/>
      <c r="BK127" s="116"/>
      <c r="BL127" s="116" t="s">
        <v>139</v>
      </c>
      <c r="BM127" s="116" t="s">
        <v>139</v>
      </c>
      <c r="BN127" s="116"/>
      <c r="BO127" s="116"/>
      <c r="BP127" s="116">
        <f t="shared" si="27"/>
        <v>13</v>
      </c>
      <c r="BQ127" s="116">
        <f t="shared" si="28"/>
        <v>4</v>
      </c>
      <c r="BR127" s="116">
        <f t="shared" si="29"/>
        <v>3</v>
      </c>
      <c r="BS127" s="146">
        <f t="shared" si="30"/>
        <v>9</v>
      </c>
      <c r="BT127" s="73" t="s">
        <v>155</v>
      </c>
      <c r="BU127" s="73"/>
    </row>
    <row r="128" spans="1:73" x14ac:dyDescent="0.25">
      <c r="A128">
        <v>114</v>
      </c>
      <c r="B128" s="74">
        <v>46087.23636574074</v>
      </c>
      <c r="E128" s="7">
        <v>46087</v>
      </c>
      <c r="F128">
        <v>1324</v>
      </c>
      <c r="I128" s="10" t="s">
        <v>419</v>
      </c>
      <c r="J128" s="161">
        <v>46087</v>
      </c>
      <c r="K128" s="96">
        <f t="shared" si="26"/>
        <v>3</v>
      </c>
      <c r="L128" s="96">
        <v>128</v>
      </c>
      <c r="O128" s="7" t="s">
        <v>137</v>
      </c>
      <c r="R128" s="7">
        <f>MAX($L141:$L1260)+1</f>
        <v>148</v>
      </c>
      <c r="T128" t="s">
        <v>420</v>
      </c>
      <c r="X128" s="36"/>
      <c r="Y128" s="36"/>
      <c r="Z128" s="36"/>
      <c r="AA128" s="36" t="s">
        <v>139</v>
      </c>
      <c r="AB128" s="36" t="s">
        <v>139</v>
      </c>
      <c r="AC128" s="36"/>
      <c r="AD128" s="36" t="s">
        <v>139</v>
      </c>
      <c r="AE128" s="36" t="s">
        <v>139</v>
      </c>
      <c r="AF128" s="36" t="s">
        <v>139</v>
      </c>
      <c r="AG128" s="36"/>
      <c r="AH128" s="36"/>
      <c r="AI128" s="36" t="s">
        <v>139</v>
      </c>
      <c r="AJ128" s="36" t="s">
        <v>139</v>
      </c>
      <c r="AK128" s="116" t="s">
        <v>139</v>
      </c>
      <c r="AL128" s="116"/>
      <c r="AM128" s="36"/>
      <c r="AN128" s="36"/>
      <c r="AO128" s="36"/>
      <c r="AP128" s="36"/>
      <c r="AQ128" s="36" t="s">
        <v>139</v>
      </c>
      <c r="AR128" s="36"/>
      <c r="AS128" s="36"/>
      <c r="AT128" s="36"/>
      <c r="AU128" s="36"/>
      <c r="AV128" s="36"/>
      <c r="AW128" s="36" t="s">
        <v>139</v>
      </c>
      <c r="AX128" s="116"/>
      <c r="AY128" s="116"/>
      <c r="AZ128" s="116"/>
      <c r="BA128" s="36"/>
      <c r="BB128" s="36"/>
      <c r="BC128" s="116" t="s">
        <v>139</v>
      </c>
      <c r="BD128" s="116"/>
      <c r="BE128" s="116"/>
      <c r="BF128" s="116"/>
      <c r="BG128" s="116"/>
      <c r="BH128" s="116"/>
      <c r="BI128" s="116"/>
      <c r="BJ128" s="116" t="s">
        <v>139</v>
      </c>
      <c r="BK128" s="116"/>
      <c r="BL128" s="116"/>
      <c r="BM128" s="116"/>
      <c r="BN128" s="116" t="s">
        <v>139</v>
      </c>
      <c r="BO128" s="116"/>
      <c r="BP128" s="116">
        <f t="shared" si="27"/>
        <v>11</v>
      </c>
      <c r="BQ128" s="116">
        <f t="shared" si="28"/>
        <v>2</v>
      </c>
      <c r="BR128" s="116">
        <f t="shared" si="29"/>
        <v>4</v>
      </c>
      <c r="BS128" s="146">
        <f t="shared" si="30"/>
        <v>7</v>
      </c>
      <c r="BT128" s="73" t="s">
        <v>247</v>
      </c>
      <c r="BU128" s="73"/>
    </row>
    <row r="129" spans="1:73" x14ac:dyDescent="0.25">
      <c r="A129">
        <v>115</v>
      </c>
      <c r="B129" s="74">
        <v>46088.291712962964</v>
      </c>
      <c r="E129" s="7">
        <v>46088</v>
      </c>
      <c r="F129">
        <v>1325</v>
      </c>
      <c r="I129" s="10" t="s">
        <v>421</v>
      </c>
      <c r="J129" s="161">
        <v>46088</v>
      </c>
      <c r="K129" s="96">
        <f t="shared" si="26"/>
        <v>3</v>
      </c>
      <c r="L129" s="96">
        <v>129</v>
      </c>
      <c r="O129" s="7" t="s">
        <v>153</v>
      </c>
      <c r="R129" s="7">
        <f t="shared" ref="R129:R141" si="31">MAX($L148:$L1261)+1</f>
        <v>1</v>
      </c>
      <c r="T129" t="s">
        <v>422</v>
      </c>
      <c r="X129" s="36"/>
      <c r="Y129" s="36"/>
      <c r="Z129" s="36"/>
      <c r="AA129" s="36" t="s">
        <v>139</v>
      </c>
      <c r="AB129" s="36"/>
      <c r="AC129" s="36" t="s">
        <v>139</v>
      </c>
      <c r="AD129" s="36"/>
      <c r="AE129" s="36" t="s">
        <v>139</v>
      </c>
      <c r="AF129" s="36"/>
      <c r="AG129" s="36"/>
      <c r="AH129" s="36"/>
      <c r="AI129" s="36" t="s">
        <v>139</v>
      </c>
      <c r="AJ129" s="36"/>
      <c r="AK129" s="116"/>
      <c r="AL129" s="116"/>
      <c r="AM129" s="36" t="s">
        <v>139</v>
      </c>
      <c r="AN129" s="36" t="s">
        <v>139</v>
      </c>
      <c r="AO129" s="36"/>
      <c r="AP129" s="36"/>
      <c r="AQ129" s="36" t="s">
        <v>139</v>
      </c>
      <c r="AR129" s="36"/>
      <c r="AS129" s="36"/>
      <c r="AT129" s="36" t="s">
        <v>139</v>
      </c>
      <c r="AU129" s="36"/>
      <c r="AV129" s="36"/>
      <c r="AW129" s="36"/>
      <c r="AX129" s="116"/>
      <c r="AY129" s="116"/>
      <c r="AZ129" s="116"/>
      <c r="BA129" s="36" t="s">
        <v>139</v>
      </c>
      <c r="BB129" s="36"/>
      <c r="BC129" s="116" t="s">
        <v>139</v>
      </c>
      <c r="BD129" s="116"/>
      <c r="BE129" s="116" t="s">
        <v>139</v>
      </c>
      <c r="BF129" s="116"/>
      <c r="BG129" s="116" t="s">
        <v>139</v>
      </c>
      <c r="BH129" s="116"/>
      <c r="BI129" s="116"/>
      <c r="BJ129" s="116" t="s">
        <v>139</v>
      </c>
      <c r="BK129" s="116"/>
      <c r="BL129" s="116"/>
      <c r="BM129" s="116"/>
      <c r="BN129" s="116" t="s">
        <v>139</v>
      </c>
      <c r="BO129" s="116"/>
      <c r="BP129" s="116">
        <f t="shared" si="27"/>
        <v>12</v>
      </c>
      <c r="BQ129" s="116">
        <f t="shared" si="28"/>
        <v>2</v>
      </c>
      <c r="BR129" s="116">
        <f t="shared" si="29"/>
        <v>3</v>
      </c>
      <c r="BS129" s="146">
        <f t="shared" si="30"/>
        <v>8</v>
      </c>
      <c r="BT129" s="73" t="s">
        <v>155</v>
      </c>
      <c r="BU129" s="73"/>
    </row>
    <row r="130" spans="1:73" x14ac:dyDescent="0.25">
      <c r="A130">
        <v>116</v>
      </c>
      <c r="B130" s="74">
        <v>46088.819675925923</v>
      </c>
      <c r="E130" s="7">
        <v>46089</v>
      </c>
      <c r="F130">
        <v>1326</v>
      </c>
      <c r="I130" s="10" t="s">
        <v>423</v>
      </c>
      <c r="J130" s="161">
        <v>46089</v>
      </c>
      <c r="K130" s="96">
        <f t="shared" si="26"/>
        <v>3</v>
      </c>
      <c r="L130" s="96">
        <v>130</v>
      </c>
      <c r="O130" s="7" t="s">
        <v>424</v>
      </c>
      <c r="R130" s="7">
        <f t="shared" si="31"/>
        <v>1</v>
      </c>
      <c r="T130" t="s">
        <v>425</v>
      </c>
      <c r="X130" s="36" t="s">
        <v>139</v>
      </c>
      <c r="Y130" s="36"/>
      <c r="Z130" s="36"/>
      <c r="AA130" s="36" t="s">
        <v>139</v>
      </c>
      <c r="AB130" s="36"/>
      <c r="AC130" s="36"/>
      <c r="AD130" s="36"/>
      <c r="AE130" s="36" t="s">
        <v>139</v>
      </c>
      <c r="AF130" s="36"/>
      <c r="AG130" s="36"/>
      <c r="AH130" s="36" t="s">
        <v>139</v>
      </c>
      <c r="AI130" s="36" t="s">
        <v>139</v>
      </c>
      <c r="AJ130" s="36" t="s">
        <v>139</v>
      </c>
      <c r="AK130" s="116"/>
      <c r="AL130" s="116"/>
      <c r="AM130" s="36" t="s">
        <v>139</v>
      </c>
      <c r="AN130" s="36" t="s">
        <v>139</v>
      </c>
      <c r="AO130" s="36"/>
      <c r="AP130" s="36"/>
      <c r="AQ130" s="36" t="s">
        <v>139</v>
      </c>
      <c r="AR130" s="36"/>
      <c r="AS130" s="36"/>
      <c r="AT130" s="36"/>
      <c r="AU130" s="36"/>
      <c r="AV130" s="36"/>
      <c r="AW130" s="36" t="s">
        <v>139</v>
      </c>
      <c r="AX130" s="116"/>
      <c r="AY130" s="116" t="s">
        <v>139</v>
      </c>
      <c r="AZ130" s="116"/>
      <c r="BA130" s="36"/>
      <c r="BB130" s="36"/>
      <c r="BC130" s="116" t="s">
        <v>139</v>
      </c>
      <c r="BD130" s="116"/>
      <c r="BE130" s="116" t="s">
        <v>139</v>
      </c>
      <c r="BF130" s="116"/>
      <c r="BG130" s="116"/>
      <c r="BH130" s="116" t="s">
        <v>139</v>
      </c>
      <c r="BI130" s="116"/>
      <c r="BJ130" s="116" t="s">
        <v>139</v>
      </c>
      <c r="BK130" s="116"/>
      <c r="BL130" s="116"/>
      <c r="BM130" s="116"/>
      <c r="BN130" s="116"/>
      <c r="BO130" s="116"/>
      <c r="BP130" s="116">
        <f t="shared" si="27"/>
        <v>14</v>
      </c>
      <c r="BQ130" s="116">
        <f t="shared" si="28"/>
        <v>2</v>
      </c>
      <c r="BR130" s="116">
        <f t="shared" si="29"/>
        <v>3</v>
      </c>
      <c r="BS130" s="146">
        <f t="shared" si="30"/>
        <v>10</v>
      </c>
      <c r="BT130" s="73" t="s">
        <v>197</v>
      </c>
      <c r="BU130" s="73"/>
    </row>
    <row r="131" spans="1:73" x14ac:dyDescent="0.25">
      <c r="A131">
        <v>117</v>
      </c>
      <c r="B131" s="74">
        <v>46088.850648148145</v>
      </c>
      <c r="E131" s="7">
        <v>46089</v>
      </c>
      <c r="F131">
        <v>1327</v>
      </c>
      <c r="I131" s="10" t="s">
        <v>426</v>
      </c>
      <c r="J131" s="161">
        <v>46089</v>
      </c>
      <c r="K131" s="96">
        <f t="shared" si="26"/>
        <v>3</v>
      </c>
      <c r="L131" s="96">
        <v>131</v>
      </c>
      <c r="O131" s="7" t="s">
        <v>427</v>
      </c>
      <c r="R131" s="7">
        <f t="shared" si="31"/>
        <v>1</v>
      </c>
      <c r="T131" t="s">
        <v>428</v>
      </c>
      <c r="X131" s="36" t="s">
        <v>139</v>
      </c>
      <c r="Y131" s="36"/>
      <c r="Z131" s="36"/>
      <c r="AA131" s="36" t="s">
        <v>139</v>
      </c>
      <c r="AB131" s="36"/>
      <c r="AC131" s="36"/>
      <c r="AD131" s="36"/>
      <c r="AE131" s="36" t="s">
        <v>139</v>
      </c>
      <c r="AF131" s="36"/>
      <c r="AG131" s="36"/>
      <c r="AH131" s="36" t="s">
        <v>139</v>
      </c>
      <c r="AI131" s="36" t="s">
        <v>139</v>
      </c>
      <c r="AJ131" s="36" t="s">
        <v>139</v>
      </c>
      <c r="AK131" s="116"/>
      <c r="AL131" s="116"/>
      <c r="AM131" s="36" t="s">
        <v>139</v>
      </c>
      <c r="AN131" s="36" t="s">
        <v>139</v>
      </c>
      <c r="AO131" s="36"/>
      <c r="AP131" s="36"/>
      <c r="AQ131" s="36" t="s">
        <v>139</v>
      </c>
      <c r="AR131" s="36"/>
      <c r="AS131" s="36"/>
      <c r="AT131" s="36"/>
      <c r="AU131" s="36"/>
      <c r="AV131" s="36"/>
      <c r="AW131" s="36" t="s">
        <v>139</v>
      </c>
      <c r="AX131" s="116"/>
      <c r="AY131" s="116" t="s">
        <v>139</v>
      </c>
      <c r="AZ131" s="116"/>
      <c r="BA131" s="36"/>
      <c r="BB131" s="36"/>
      <c r="BC131" s="116" t="s">
        <v>139</v>
      </c>
      <c r="BD131" s="116"/>
      <c r="BE131" s="116" t="s">
        <v>139</v>
      </c>
      <c r="BF131" s="116"/>
      <c r="BG131" s="116"/>
      <c r="BH131" s="116" t="s">
        <v>139</v>
      </c>
      <c r="BI131" s="116"/>
      <c r="BJ131" s="116" t="s">
        <v>139</v>
      </c>
      <c r="BK131" s="116"/>
      <c r="BL131" s="116"/>
      <c r="BM131" s="116"/>
      <c r="BN131" s="116"/>
      <c r="BO131" s="116"/>
      <c r="BP131" s="116">
        <f t="shared" si="27"/>
        <v>14</v>
      </c>
      <c r="BQ131" s="116">
        <f t="shared" si="28"/>
        <v>2</v>
      </c>
      <c r="BR131" s="116">
        <f t="shared" si="29"/>
        <v>3</v>
      </c>
      <c r="BS131" s="146">
        <f t="shared" si="30"/>
        <v>10</v>
      </c>
      <c r="BT131" s="73" t="s">
        <v>197</v>
      </c>
      <c r="BU131" s="73"/>
    </row>
    <row r="132" spans="1:73" x14ac:dyDescent="0.25">
      <c r="A132">
        <v>118</v>
      </c>
      <c r="B132" s="74">
        <v>46089.47519675926</v>
      </c>
      <c r="E132" s="7">
        <v>46090</v>
      </c>
      <c r="F132">
        <v>1328</v>
      </c>
      <c r="I132" s="10" t="s">
        <v>429</v>
      </c>
      <c r="J132" s="161">
        <v>46090</v>
      </c>
      <c r="K132" s="96">
        <f t="shared" si="26"/>
        <v>3</v>
      </c>
      <c r="L132" s="96">
        <v>132</v>
      </c>
      <c r="O132" s="7" t="s">
        <v>146</v>
      </c>
      <c r="R132" s="7">
        <f t="shared" si="31"/>
        <v>1</v>
      </c>
      <c r="T132" t="s">
        <v>430</v>
      </c>
      <c r="X132" s="36"/>
      <c r="Y132" s="36" t="s">
        <v>139</v>
      </c>
      <c r="Z132" s="36"/>
      <c r="AA132" s="36"/>
      <c r="AB132" s="36" t="s">
        <v>139</v>
      </c>
      <c r="AC132" s="36"/>
      <c r="AD132" s="36"/>
      <c r="AE132" s="36"/>
      <c r="AF132" s="36"/>
      <c r="AG132" s="36"/>
      <c r="AH132" s="36" t="s">
        <v>139</v>
      </c>
      <c r="AI132" s="36"/>
      <c r="AJ132" s="36"/>
      <c r="AK132" s="116" t="s">
        <v>139</v>
      </c>
      <c r="AL132" s="116"/>
      <c r="AM132" s="36"/>
      <c r="AN132" s="36"/>
      <c r="AO132" s="36"/>
      <c r="AP132" s="36"/>
      <c r="AQ132" s="36" t="s">
        <v>139</v>
      </c>
      <c r="AR132" s="36"/>
      <c r="AS132" s="36"/>
      <c r="AT132" s="36"/>
      <c r="AU132" s="36"/>
      <c r="AV132" s="36"/>
      <c r="AW132" s="36"/>
      <c r="AX132" s="116" t="s">
        <v>139</v>
      </c>
      <c r="AY132" s="116"/>
      <c r="AZ132" s="116"/>
      <c r="BA132" s="36"/>
      <c r="BB132" s="36"/>
      <c r="BC132" s="116"/>
      <c r="BD132" s="116"/>
      <c r="BE132" s="116"/>
      <c r="BF132" s="116"/>
      <c r="BG132" s="116"/>
      <c r="BH132" s="116" t="s">
        <v>139</v>
      </c>
      <c r="BI132" s="116"/>
      <c r="BJ132" s="116" t="s">
        <v>139</v>
      </c>
      <c r="BK132" s="116"/>
      <c r="BL132" s="116"/>
      <c r="BM132" s="116" t="s">
        <v>139</v>
      </c>
      <c r="BN132" s="116"/>
      <c r="BO132" s="116"/>
      <c r="BP132" s="116">
        <f t="shared" ref="BP132:BP140" si="32">COUNTIF($X132:$BH132, "I")</f>
        <v>7</v>
      </c>
      <c r="BQ132" s="116">
        <f t="shared" ref="BQ132:BQ140" si="33">COUNTIFS($X132:$BH132, "I",$X$2:$BH$2, "DR" )</f>
        <v>1</v>
      </c>
      <c r="BR132" s="116">
        <f t="shared" ref="BR132:BR140" si="34">COUNTIFS($X132:$BH132, "I",$X$5:$BH$5, "OF" )</f>
        <v>2</v>
      </c>
      <c r="BS132" s="146">
        <f t="shared" ref="BS132:BS140" si="35">COUNTIFS($X132:$BH132, "I",$X$5:$BH$5, "FF" )</f>
        <v>4</v>
      </c>
      <c r="BT132" s="73" t="s">
        <v>140</v>
      </c>
      <c r="BU132" s="73"/>
    </row>
    <row r="133" spans="1:73" x14ac:dyDescent="0.25">
      <c r="A133">
        <v>119</v>
      </c>
      <c r="B133" s="74">
        <v>46089.791828703703</v>
      </c>
      <c r="E133" s="7">
        <v>46090</v>
      </c>
      <c r="F133">
        <v>1329</v>
      </c>
      <c r="I133" s="10" t="s">
        <v>431</v>
      </c>
      <c r="J133" s="161">
        <v>46090</v>
      </c>
      <c r="K133" s="96">
        <f t="shared" si="26"/>
        <v>3</v>
      </c>
      <c r="L133" s="96">
        <v>133</v>
      </c>
      <c r="O133" s="7" t="s">
        <v>142</v>
      </c>
      <c r="R133" s="7">
        <f t="shared" si="31"/>
        <v>1</v>
      </c>
      <c r="T133" t="s">
        <v>432</v>
      </c>
      <c r="X133" s="36"/>
      <c r="Y133" s="36" t="s">
        <v>139</v>
      </c>
      <c r="Z133" s="36" t="s">
        <v>139</v>
      </c>
      <c r="AA133" s="36"/>
      <c r="AB133" s="36" t="s">
        <v>139</v>
      </c>
      <c r="AC133" s="36"/>
      <c r="AD133" s="36"/>
      <c r="AE133" s="36"/>
      <c r="AF133" s="36"/>
      <c r="AG133" s="36"/>
      <c r="AH133" s="36" t="s">
        <v>139</v>
      </c>
      <c r="AI133" s="36"/>
      <c r="AJ133" s="36"/>
      <c r="AK133" s="116" t="s">
        <v>139</v>
      </c>
      <c r="AL133" s="116"/>
      <c r="AM133" s="36"/>
      <c r="AN133" s="36" t="s">
        <v>139</v>
      </c>
      <c r="AO133" s="36"/>
      <c r="AP133" s="36"/>
      <c r="AQ133" s="36"/>
      <c r="AR133" s="36"/>
      <c r="AS133" s="36"/>
      <c r="AT133" s="36"/>
      <c r="AU133" s="36" t="s">
        <v>139</v>
      </c>
      <c r="AV133" s="36"/>
      <c r="AW133" s="36" t="s">
        <v>139</v>
      </c>
      <c r="AX133" s="116" t="s">
        <v>139</v>
      </c>
      <c r="AY133" s="116" t="s">
        <v>139</v>
      </c>
      <c r="AZ133" s="116"/>
      <c r="BA133" s="36"/>
      <c r="BB133" s="3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 t="s">
        <v>139</v>
      </c>
      <c r="BN133" s="116" t="s">
        <v>139</v>
      </c>
      <c r="BO133" s="116"/>
      <c r="BP133" s="116">
        <f t="shared" si="32"/>
        <v>10</v>
      </c>
      <c r="BQ133" s="116">
        <f t="shared" si="33"/>
        <v>2</v>
      </c>
      <c r="BR133" s="116">
        <f t="shared" si="34"/>
        <v>3</v>
      </c>
      <c r="BS133" s="146">
        <f t="shared" si="35"/>
        <v>7</v>
      </c>
      <c r="BT133" s="73" t="s">
        <v>206</v>
      </c>
      <c r="BU133" s="73"/>
    </row>
    <row r="134" spans="1:73" x14ac:dyDescent="0.25">
      <c r="A134">
        <v>120</v>
      </c>
      <c r="B134" s="74">
        <v>46090.05773148148</v>
      </c>
      <c r="E134" s="7">
        <v>46090</v>
      </c>
      <c r="F134">
        <v>1330</v>
      </c>
      <c r="I134" s="10" t="s">
        <v>433</v>
      </c>
      <c r="J134" s="161">
        <v>46090</v>
      </c>
      <c r="K134" s="96">
        <f t="shared" si="26"/>
        <v>3</v>
      </c>
      <c r="L134" s="96">
        <v>134</v>
      </c>
      <c r="O134" s="7" t="s">
        <v>142</v>
      </c>
      <c r="R134" s="7">
        <f t="shared" si="31"/>
        <v>1</v>
      </c>
      <c r="T134" t="s">
        <v>434</v>
      </c>
      <c r="X134" s="36"/>
      <c r="Y134" s="36" t="s">
        <v>139</v>
      </c>
      <c r="Z134" s="36"/>
      <c r="AA134" s="36" t="s">
        <v>139</v>
      </c>
      <c r="AB134" s="36" t="s">
        <v>139</v>
      </c>
      <c r="AC134" s="36"/>
      <c r="AD134" s="36" t="s">
        <v>139</v>
      </c>
      <c r="AE134" s="36" t="s">
        <v>139</v>
      </c>
      <c r="AF134" s="36"/>
      <c r="AG134" s="36"/>
      <c r="AH134" s="36" t="s">
        <v>139</v>
      </c>
      <c r="AI134" s="36" t="s">
        <v>139</v>
      </c>
      <c r="AJ134" s="36" t="s">
        <v>139</v>
      </c>
      <c r="AK134" s="116" t="s">
        <v>139</v>
      </c>
      <c r="AL134" s="116"/>
      <c r="AM134" s="36" t="s">
        <v>139</v>
      </c>
      <c r="AN134" s="36" t="s">
        <v>139</v>
      </c>
      <c r="AO134" s="36" t="s">
        <v>139</v>
      </c>
      <c r="AP134" s="36"/>
      <c r="AQ134" s="36"/>
      <c r="AR134" s="36"/>
      <c r="AS134" s="36"/>
      <c r="AT134" s="36"/>
      <c r="AU134" s="36" t="s">
        <v>139</v>
      </c>
      <c r="AV134" s="36"/>
      <c r="AW134" s="36" t="s">
        <v>139</v>
      </c>
      <c r="AX134" s="116" t="s">
        <v>139</v>
      </c>
      <c r="AY134" s="116"/>
      <c r="AZ134" s="116"/>
      <c r="BA134" s="36"/>
      <c r="BB134" s="36"/>
      <c r="BC134" s="116"/>
      <c r="BD134" s="116"/>
      <c r="BE134" s="116"/>
      <c r="BF134" s="116"/>
      <c r="BG134" s="116"/>
      <c r="BH134" s="116"/>
      <c r="BI134" s="116"/>
      <c r="BJ134" s="116" t="s">
        <v>139</v>
      </c>
      <c r="BK134" s="116"/>
      <c r="BL134" s="116"/>
      <c r="BM134" s="116"/>
      <c r="BN134" s="116"/>
      <c r="BO134" s="116"/>
      <c r="BP134" s="116">
        <f t="shared" si="32"/>
        <v>15</v>
      </c>
      <c r="BQ134" s="116">
        <f t="shared" si="33"/>
        <v>4</v>
      </c>
      <c r="BR134" s="116">
        <f t="shared" si="34"/>
        <v>5</v>
      </c>
      <c r="BS134" s="146">
        <f t="shared" si="35"/>
        <v>10</v>
      </c>
      <c r="BT134" s="73" t="s">
        <v>247</v>
      </c>
      <c r="BU134" s="73"/>
    </row>
    <row r="135" spans="1:73" x14ac:dyDescent="0.25">
      <c r="A135">
        <v>121</v>
      </c>
      <c r="B135" s="74">
        <v>46090.643854166665</v>
      </c>
      <c r="E135" s="7">
        <v>46091</v>
      </c>
      <c r="F135">
        <v>1331</v>
      </c>
      <c r="I135" s="10" t="s">
        <v>435</v>
      </c>
      <c r="J135" s="161">
        <v>46091</v>
      </c>
      <c r="K135" s="96">
        <f t="shared" si="26"/>
        <v>3</v>
      </c>
      <c r="L135" s="96">
        <v>135</v>
      </c>
      <c r="O135" s="7" t="s">
        <v>169</v>
      </c>
      <c r="R135" s="7">
        <f t="shared" si="31"/>
        <v>1</v>
      </c>
      <c r="T135" t="s">
        <v>436</v>
      </c>
      <c r="X135" s="36"/>
      <c r="Y135" s="36" t="s">
        <v>139</v>
      </c>
      <c r="Z135" s="36"/>
      <c r="AA135" s="36"/>
      <c r="AB135" s="36" t="s">
        <v>139</v>
      </c>
      <c r="AC135" s="36"/>
      <c r="AD135" s="36"/>
      <c r="AE135" s="36"/>
      <c r="AF135" s="36"/>
      <c r="AG135" s="36"/>
      <c r="AH135" s="36" t="s">
        <v>139</v>
      </c>
      <c r="AI135" s="36"/>
      <c r="AJ135" s="36"/>
      <c r="AK135" s="116"/>
      <c r="AL135" s="116"/>
      <c r="AM135" s="36" t="s">
        <v>139</v>
      </c>
      <c r="AN135" s="36"/>
      <c r="AO135" s="36"/>
      <c r="AP135" s="36"/>
      <c r="AQ135" s="36"/>
      <c r="AR135" s="36"/>
      <c r="AS135" s="36"/>
      <c r="AT135" s="36" t="s">
        <v>139</v>
      </c>
      <c r="AU135" s="36"/>
      <c r="AV135" s="36"/>
      <c r="AW135" s="36"/>
      <c r="AX135" s="116" t="s">
        <v>139</v>
      </c>
      <c r="AY135" s="116"/>
      <c r="AZ135" s="116"/>
      <c r="BA135" s="36"/>
      <c r="BB135" s="36"/>
      <c r="BC135" s="116"/>
      <c r="BD135" s="116"/>
      <c r="BE135" s="116"/>
      <c r="BF135" s="116"/>
      <c r="BG135" s="116" t="s">
        <v>139</v>
      </c>
      <c r="BH135" s="116"/>
      <c r="BI135" s="116"/>
      <c r="BJ135" s="116" t="s">
        <v>139</v>
      </c>
      <c r="BK135" s="116" t="s">
        <v>139</v>
      </c>
      <c r="BL135" s="116"/>
      <c r="BM135" s="116"/>
      <c r="BN135" s="116" t="s">
        <v>139</v>
      </c>
      <c r="BO135" s="116"/>
      <c r="BP135" s="116">
        <f t="shared" si="32"/>
        <v>7</v>
      </c>
      <c r="BQ135" s="116">
        <f t="shared" si="33"/>
        <v>1</v>
      </c>
      <c r="BR135" s="116">
        <f t="shared" si="34"/>
        <v>2</v>
      </c>
      <c r="BS135" s="146">
        <f t="shared" si="35"/>
        <v>4</v>
      </c>
      <c r="BT135" s="73" t="s">
        <v>220</v>
      </c>
      <c r="BU135" s="73"/>
    </row>
    <row r="136" spans="1:73" x14ac:dyDescent="0.25">
      <c r="A136">
        <v>122</v>
      </c>
      <c r="B136" s="74">
        <v>46090.828969907408</v>
      </c>
      <c r="E136" s="7">
        <v>46091</v>
      </c>
      <c r="F136">
        <v>1332</v>
      </c>
      <c r="I136" s="10" t="s">
        <v>437</v>
      </c>
      <c r="J136" s="161">
        <v>46091</v>
      </c>
      <c r="K136" s="96">
        <f t="shared" si="26"/>
        <v>3</v>
      </c>
      <c r="L136" s="96">
        <v>136</v>
      </c>
      <c r="O136" s="7" t="s">
        <v>146</v>
      </c>
      <c r="R136" s="7">
        <f t="shared" si="31"/>
        <v>1</v>
      </c>
      <c r="T136" t="s">
        <v>438</v>
      </c>
      <c r="X136" s="36"/>
      <c r="Y136" s="36" t="s">
        <v>139</v>
      </c>
      <c r="Z136" s="36"/>
      <c r="AA136" s="36" t="s">
        <v>139</v>
      </c>
      <c r="AB136" s="36" t="s">
        <v>139</v>
      </c>
      <c r="AC136" s="36"/>
      <c r="AD136" s="36"/>
      <c r="AE136" s="36"/>
      <c r="AF136" s="36"/>
      <c r="AG136" s="36"/>
      <c r="AH136" s="36" t="s">
        <v>139</v>
      </c>
      <c r="AI136" s="36"/>
      <c r="AJ136" s="36" t="s">
        <v>139</v>
      </c>
      <c r="AK136" s="116"/>
      <c r="AL136" s="11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116" t="s">
        <v>139</v>
      </c>
      <c r="AY136" s="116"/>
      <c r="AZ136" s="116"/>
      <c r="BA136" s="36"/>
      <c r="BB136" s="36"/>
      <c r="BC136" s="116"/>
      <c r="BD136" s="116" t="s">
        <v>139</v>
      </c>
      <c r="BE136" s="116"/>
      <c r="BF136" s="116"/>
      <c r="BG136" s="116"/>
      <c r="BH136" s="116"/>
      <c r="BI136" s="116"/>
      <c r="BJ136" s="116" t="s">
        <v>139</v>
      </c>
      <c r="BK136" s="116"/>
      <c r="BL136" s="116"/>
      <c r="BM136" s="116"/>
      <c r="BN136" s="116"/>
      <c r="BO136" s="116"/>
      <c r="BP136" s="116">
        <f t="shared" si="32"/>
        <v>7</v>
      </c>
      <c r="BQ136" s="116">
        <f t="shared" si="33"/>
        <v>1</v>
      </c>
      <c r="BR136" s="116">
        <f t="shared" si="34"/>
        <v>3</v>
      </c>
      <c r="BS136" s="146">
        <f t="shared" si="35"/>
        <v>4</v>
      </c>
      <c r="BT136" s="73" t="s">
        <v>363</v>
      </c>
      <c r="BU136" s="73"/>
    </row>
    <row r="137" spans="1:73" x14ac:dyDescent="0.25">
      <c r="A137">
        <v>123</v>
      </c>
      <c r="B137" s="74">
        <v>46091.326284722221</v>
      </c>
      <c r="E137" s="7">
        <v>46091</v>
      </c>
      <c r="F137">
        <v>1333</v>
      </c>
      <c r="I137" s="10" t="s">
        <v>439</v>
      </c>
      <c r="J137" s="161">
        <v>46091</v>
      </c>
      <c r="K137" s="96">
        <f t="shared" si="26"/>
        <v>3</v>
      </c>
      <c r="L137" s="96">
        <v>137</v>
      </c>
      <c r="O137" s="7" t="s">
        <v>440</v>
      </c>
      <c r="R137" s="7">
        <f t="shared" si="31"/>
        <v>1</v>
      </c>
      <c r="T137" t="s">
        <v>441</v>
      </c>
      <c r="X137" s="36"/>
      <c r="Y137" s="36" t="s">
        <v>139</v>
      </c>
      <c r="Z137" s="36" t="s">
        <v>139</v>
      </c>
      <c r="AA137" s="36" t="s">
        <v>139</v>
      </c>
      <c r="AB137" s="36"/>
      <c r="AC137" s="36" t="s">
        <v>139</v>
      </c>
      <c r="AD137" s="36"/>
      <c r="AE137" s="36"/>
      <c r="AF137" s="36"/>
      <c r="AG137" s="36"/>
      <c r="AH137" s="36"/>
      <c r="AI137" s="36"/>
      <c r="AJ137" s="36" t="s">
        <v>139</v>
      </c>
      <c r="AK137" s="116"/>
      <c r="AL137" s="116"/>
      <c r="AM137" s="36"/>
      <c r="AN137" s="36" t="s">
        <v>139</v>
      </c>
      <c r="AO137" s="36"/>
      <c r="AP137" s="36"/>
      <c r="AQ137" s="36"/>
      <c r="AR137" s="36"/>
      <c r="AS137" s="36"/>
      <c r="AT137" s="36" t="s">
        <v>139</v>
      </c>
      <c r="AU137" s="36"/>
      <c r="AV137" s="36"/>
      <c r="AW137" s="36" t="s">
        <v>139</v>
      </c>
      <c r="AX137" s="116"/>
      <c r="AY137" s="116"/>
      <c r="AZ137" s="116"/>
      <c r="BA137" s="36" t="s">
        <v>139</v>
      </c>
      <c r="BB137" s="36"/>
      <c r="BC137" s="116" t="s">
        <v>139</v>
      </c>
      <c r="BD137" s="116"/>
      <c r="BE137" s="116"/>
      <c r="BF137" s="116" t="s">
        <v>139</v>
      </c>
      <c r="BG137" s="116" t="s">
        <v>139</v>
      </c>
      <c r="BH137" s="116"/>
      <c r="BI137" s="116"/>
      <c r="BJ137" s="116" t="s">
        <v>139</v>
      </c>
      <c r="BK137" s="116"/>
      <c r="BL137" s="116"/>
      <c r="BM137" s="116"/>
      <c r="BN137" s="116"/>
      <c r="BO137" s="116"/>
      <c r="BP137" s="116">
        <f t="shared" si="32"/>
        <v>12</v>
      </c>
      <c r="BQ137" s="116">
        <f t="shared" si="33"/>
        <v>3</v>
      </c>
      <c r="BR137" s="116">
        <f t="shared" si="34"/>
        <v>4</v>
      </c>
      <c r="BS137" s="146">
        <f t="shared" si="35"/>
        <v>6</v>
      </c>
      <c r="BT137" s="73" t="s">
        <v>151</v>
      </c>
      <c r="BU137" s="73"/>
    </row>
    <row r="138" spans="1:73" x14ac:dyDescent="0.25">
      <c r="A138">
        <v>124</v>
      </c>
      <c r="B138" s="74">
        <v>46092.122499999998</v>
      </c>
      <c r="E138" s="7">
        <v>46092</v>
      </c>
      <c r="F138">
        <v>1334</v>
      </c>
      <c r="I138" s="10" t="s">
        <v>442</v>
      </c>
      <c r="J138" s="161">
        <v>46092</v>
      </c>
      <c r="K138" s="96">
        <f t="shared" si="26"/>
        <v>3</v>
      </c>
      <c r="L138" s="96">
        <v>138</v>
      </c>
      <c r="O138" s="7" t="s">
        <v>169</v>
      </c>
      <c r="R138" s="7">
        <f t="shared" si="31"/>
        <v>1</v>
      </c>
      <c r="T138" t="s">
        <v>443</v>
      </c>
      <c r="X138" s="36"/>
      <c r="Y138" s="36" t="s">
        <v>139</v>
      </c>
      <c r="Z138" s="36"/>
      <c r="AA138" s="36" t="s">
        <v>139</v>
      </c>
      <c r="AB138" s="36"/>
      <c r="AC138" s="36"/>
      <c r="AD138" s="36"/>
      <c r="AE138" s="36"/>
      <c r="AF138" s="36"/>
      <c r="AG138" s="36"/>
      <c r="AH138" s="36" t="s">
        <v>139</v>
      </c>
      <c r="AI138" s="36"/>
      <c r="AJ138" s="36" t="s">
        <v>139</v>
      </c>
      <c r="AK138" s="116"/>
      <c r="AL138" s="116"/>
      <c r="AM138" s="36"/>
      <c r="AN138" s="36"/>
      <c r="AO138" s="36"/>
      <c r="AP138" s="36"/>
      <c r="AQ138" s="36"/>
      <c r="AR138" s="36"/>
      <c r="AS138" s="36"/>
      <c r="AT138" s="36" t="s">
        <v>139</v>
      </c>
      <c r="AU138" s="36"/>
      <c r="AV138" s="36"/>
      <c r="AW138" s="36" t="s">
        <v>139</v>
      </c>
      <c r="AX138" s="116"/>
      <c r="AY138" s="116"/>
      <c r="AZ138" s="116"/>
      <c r="BA138" s="36" t="s">
        <v>139</v>
      </c>
      <c r="BB138" s="36"/>
      <c r="BC138" s="116"/>
      <c r="BD138" s="116" t="s">
        <v>139</v>
      </c>
      <c r="BE138" s="116"/>
      <c r="BF138" s="116" t="s">
        <v>139</v>
      </c>
      <c r="BG138" s="116"/>
      <c r="BH138" s="116" t="s">
        <v>139</v>
      </c>
      <c r="BI138" s="116"/>
      <c r="BJ138" s="116"/>
      <c r="BK138" s="116"/>
      <c r="BL138" s="116"/>
      <c r="BM138" s="116" t="s">
        <v>139</v>
      </c>
      <c r="BN138" s="116"/>
      <c r="BO138" s="116"/>
      <c r="BP138" s="116">
        <f t="shared" si="32"/>
        <v>10</v>
      </c>
      <c r="BQ138" s="116">
        <f t="shared" si="33"/>
        <v>2</v>
      </c>
      <c r="BR138" s="116">
        <f t="shared" si="34"/>
        <v>2</v>
      </c>
      <c r="BS138" s="146">
        <f t="shared" si="35"/>
        <v>6</v>
      </c>
      <c r="BT138" s="73" t="s">
        <v>197</v>
      </c>
      <c r="BU138" s="73"/>
    </row>
    <row r="139" spans="1:73" x14ac:dyDescent="0.25">
      <c r="A139">
        <v>125</v>
      </c>
      <c r="B139" s="74">
        <v>46092.317488425928</v>
      </c>
      <c r="E139" s="7">
        <v>46092</v>
      </c>
      <c r="F139">
        <v>1335</v>
      </c>
      <c r="I139" s="10" t="s">
        <v>444</v>
      </c>
      <c r="J139" s="161">
        <v>46092</v>
      </c>
      <c r="K139" s="96">
        <f t="shared" si="26"/>
        <v>3</v>
      </c>
      <c r="L139" s="96">
        <v>139</v>
      </c>
      <c r="O139" s="7" t="s">
        <v>142</v>
      </c>
      <c r="R139" s="7">
        <f t="shared" si="31"/>
        <v>1</v>
      </c>
      <c r="T139" t="s">
        <v>445</v>
      </c>
      <c r="X139" s="36"/>
      <c r="Y139" s="36" t="s">
        <v>139</v>
      </c>
      <c r="Z139" s="36" t="s">
        <v>139</v>
      </c>
      <c r="AA139" s="36" t="s">
        <v>139</v>
      </c>
      <c r="AB139" s="36" t="s">
        <v>139</v>
      </c>
      <c r="AC139" s="36" t="s">
        <v>139</v>
      </c>
      <c r="AD139" s="36" t="s">
        <v>139</v>
      </c>
      <c r="AE139" s="36"/>
      <c r="AF139" s="36"/>
      <c r="AG139" s="36"/>
      <c r="AH139" s="36" t="s">
        <v>139</v>
      </c>
      <c r="AI139" s="36"/>
      <c r="AJ139" s="36"/>
      <c r="AK139" s="116" t="s">
        <v>139</v>
      </c>
      <c r="AL139" s="116"/>
      <c r="AM139" s="36" t="s">
        <v>139</v>
      </c>
      <c r="AN139" s="36" t="s">
        <v>139</v>
      </c>
      <c r="AO139" s="36"/>
      <c r="AP139" s="36"/>
      <c r="AQ139" s="36"/>
      <c r="AR139" s="36"/>
      <c r="AS139" s="36"/>
      <c r="AT139" s="36" t="s">
        <v>139</v>
      </c>
      <c r="AU139" s="36" t="s">
        <v>139</v>
      </c>
      <c r="AV139" s="36"/>
      <c r="AW139" s="36" t="s">
        <v>139</v>
      </c>
      <c r="AX139" s="116" t="s">
        <v>139</v>
      </c>
      <c r="AY139" s="116"/>
      <c r="AZ139" s="116"/>
      <c r="BA139" s="36" t="s">
        <v>139</v>
      </c>
      <c r="BB139" s="36" t="s">
        <v>139</v>
      </c>
      <c r="BC139" s="116" t="s">
        <v>139</v>
      </c>
      <c r="BD139" s="116"/>
      <c r="BE139" s="116"/>
      <c r="BF139" s="116" t="s">
        <v>139</v>
      </c>
      <c r="BG139" s="116"/>
      <c r="BH139" s="116" t="s">
        <v>139</v>
      </c>
      <c r="BI139" s="116"/>
      <c r="BJ139" s="116" t="s">
        <v>139</v>
      </c>
      <c r="BK139" s="116"/>
      <c r="BL139" s="116"/>
      <c r="BM139" s="116"/>
      <c r="BN139" s="116"/>
      <c r="BO139" s="116"/>
      <c r="BP139" s="116">
        <f t="shared" si="32"/>
        <v>19</v>
      </c>
      <c r="BQ139" s="116">
        <f t="shared" si="33"/>
        <v>3</v>
      </c>
      <c r="BR139" s="116">
        <f t="shared" si="34"/>
        <v>6</v>
      </c>
      <c r="BS139" s="146">
        <f t="shared" si="35"/>
        <v>11</v>
      </c>
      <c r="BT139" s="73" t="s">
        <v>216</v>
      </c>
      <c r="BU139" s="73"/>
    </row>
    <row r="140" spans="1:73" x14ac:dyDescent="0.25">
      <c r="A140">
        <v>126</v>
      </c>
      <c r="B140" s="74">
        <v>46092.648668981485</v>
      </c>
      <c r="E140" s="7">
        <v>46092</v>
      </c>
      <c r="F140">
        <v>1336</v>
      </c>
      <c r="I140" s="10" t="s">
        <v>446</v>
      </c>
      <c r="J140" s="161">
        <v>46093</v>
      </c>
      <c r="K140" s="96">
        <f t="shared" si="26"/>
        <v>3</v>
      </c>
      <c r="L140" s="96">
        <v>140</v>
      </c>
      <c r="O140" s="7" t="s">
        <v>146</v>
      </c>
      <c r="R140" s="7">
        <f t="shared" si="31"/>
        <v>1</v>
      </c>
      <c r="T140" t="s">
        <v>447</v>
      </c>
      <c r="X140" s="36"/>
      <c r="Y140" s="36"/>
      <c r="Z140" s="36" t="s">
        <v>139</v>
      </c>
      <c r="AA140" s="36"/>
      <c r="AB140" s="36"/>
      <c r="AC140" s="36" t="s">
        <v>139</v>
      </c>
      <c r="AD140" s="36"/>
      <c r="AE140" s="36"/>
      <c r="AF140" s="36"/>
      <c r="AG140" s="36"/>
      <c r="AH140" s="36" t="s">
        <v>139</v>
      </c>
      <c r="AI140" s="36"/>
      <c r="AJ140" s="36"/>
      <c r="AK140" s="116" t="s">
        <v>139</v>
      </c>
      <c r="AL140" s="116"/>
      <c r="AM140" s="36" t="s">
        <v>139</v>
      </c>
      <c r="AN140" s="36" t="s">
        <v>139</v>
      </c>
      <c r="AO140" s="36"/>
      <c r="AP140" s="36"/>
      <c r="AQ140" s="36"/>
      <c r="AR140" s="36"/>
      <c r="AS140" s="36"/>
      <c r="AT140" s="36"/>
      <c r="AU140" s="36"/>
      <c r="AV140" s="36"/>
      <c r="AW140" s="36" t="s">
        <v>139</v>
      </c>
      <c r="AX140" s="116"/>
      <c r="AY140" s="116"/>
      <c r="AZ140" s="116"/>
      <c r="BA140" s="36"/>
      <c r="BB140" s="36"/>
      <c r="BC140" s="116"/>
      <c r="BD140" s="116"/>
      <c r="BE140" s="116"/>
      <c r="BF140" s="116"/>
      <c r="BG140" s="116"/>
      <c r="BH140" s="116" t="s">
        <v>139</v>
      </c>
      <c r="BI140" s="116"/>
      <c r="BJ140" s="116" t="s">
        <v>139</v>
      </c>
      <c r="BK140" s="116"/>
      <c r="BL140" s="116"/>
      <c r="BM140" s="116"/>
      <c r="BN140" s="116"/>
      <c r="BO140" s="116" t="s">
        <v>139</v>
      </c>
      <c r="BP140" s="116">
        <f t="shared" si="32"/>
        <v>8</v>
      </c>
      <c r="BQ140" s="116">
        <f t="shared" si="33"/>
        <v>2</v>
      </c>
      <c r="BR140" s="116">
        <f t="shared" si="34"/>
        <v>2</v>
      </c>
      <c r="BS140" s="146">
        <f t="shared" si="35"/>
        <v>5</v>
      </c>
      <c r="BT140" s="73" t="s">
        <v>448</v>
      </c>
      <c r="BU140" s="73"/>
    </row>
    <row r="141" spans="1:73" x14ac:dyDescent="0.25">
      <c r="A141">
        <v>127</v>
      </c>
      <c r="B141" s="74">
        <v>46092.971006944441</v>
      </c>
      <c r="E141" s="7">
        <v>46093</v>
      </c>
      <c r="F141">
        <v>1337</v>
      </c>
      <c r="I141" s="10" t="s">
        <v>449</v>
      </c>
      <c r="J141" s="161">
        <v>46093</v>
      </c>
      <c r="K141" s="96">
        <f t="shared" si="26"/>
        <v>3</v>
      </c>
      <c r="L141" s="96">
        <v>141</v>
      </c>
      <c r="O141" s="7" t="s">
        <v>169</v>
      </c>
      <c r="R141" s="7">
        <f t="shared" si="31"/>
        <v>1</v>
      </c>
      <c r="T141" t="s">
        <v>450</v>
      </c>
      <c r="X141" s="36"/>
      <c r="Y141" s="36" t="s">
        <v>139</v>
      </c>
      <c r="Z141" s="36"/>
      <c r="AA141" s="36" t="s">
        <v>139</v>
      </c>
      <c r="AB141" s="36" t="s">
        <v>139</v>
      </c>
      <c r="AC141" s="36"/>
      <c r="AD141" s="36"/>
      <c r="AE141" s="36"/>
      <c r="AF141" s="36" t="s">
        <v>139</v>
      </c>
      <c r="AG141" s="36"/>
      <c r="AH141" s="36"/>
      <c r="AI141" s="36"/>
      <c r="AJ141" s="36" t="s">
        <v>139</v>
      </c>
      <c r="AK141" s="116"/>
      <c r="AL141" s="116"/>
      <c r="AM141" s="36"/>
      <c r="AN141" s="36" t="s">
        <v>139</v>
      </c>
      <c r="AO141" s="36" t="s">
        <v>139</v>
      </c>
      <c r="AP141" s="36"/>
      <c r="AQ141" s="36"/>
      <c r="AR141" s="36"/>
      <c r="AS141" s="36"/>
      <c r="AT141" s="36" t="s">
        <v>139</v>
      </c>
      <c r="AU141" s="36"/>
      <c r="AV141" s="36"/>
      <c r="AW141" s="36"/>
      <c r="AX141" s="116"/>
      <c r="AY141" s="116"/>
      <c r="AZ141" s="116"/>
      <c r="BA141" s="36" t="s">
        <v>139</v>
      </c>
      <c r="BB141" s="36"/>
      <c r="BC141" s="116"/>
      <c r="BD141" s="116"/>
      <c r="BE141" s="116"/>
      <c r="BF141" s="116"/>
      <c r="BG141" s="116"/>
      <c r="BH141" s="116" t="s">
        <v>139</v>
      </c>
      <c r="BI141" s="116"/>
      <c r="BJ141" s="116"/>
      <c r="BK141" s="116"/>
      <c r="BL141" s="116"/>
      <c r="BM141" s="116" t="s">
        <v>139</v>
      </c>
      <c r="BN141" s="116"/>
      <c r="BO141" s="116"/>
      <c r="BP141" s="116">
        <f t="shared" ref="BP141:BP146" si="36">COUNTIF($X141:$BH141, "I")</f>
        <v>10</v>
      </c>
      <c r="BQ141" s="116">
        <f t="shared" ref="BQ141:BQ146" si="37">COUNTIFS($X141:$BH141, "I",$X$2:$BH$2, "DR" )</f>
        <v>4</v>
      </c>
      <c r="BR141" s="116">
        <f t="shared" ref="BR141:BR146" si="38">COUNTIFS($X141:$BH141, "I",$X$5:$BH$5, "OF" )</f>
        <v>3</v>
      </c>
      <c r="BS141" s="146">
        <f t="shared" ref="BS141:BS146" si="39">COUNTIFS($X141:$BH141, "I",$X$5:$BH$5, "FF" )</f>
        <v>6</v>
      </c>
      <c r="BT141" s="73" t="s">
        <v>155</v>
      </c>
      <c r="BU141" s="73"/>
    </row>
    <row r="142" spans="1:73" x14ac:dyDescent="0.25">
      <c r="A142">
        <v>128</v>
      </c>
      <c r="B142" s="74">
        <v>46093.192893518521</v>
      </c>
      <c r="E142" s="7">
        <v>46093</v>
      </c>
      <c r="F142">
        <v>1338</v>
      </c>
      <c r="I142" s="10" t="s">
        <v>451</v>
      </c>
      <c r="J142" s="161">
        <v>46093</v>
      </c>
      <c r="K142" s="96">
        <f t="shared" si="26"/>
        <v>3</v>
      </c>
      <c r="L142" s="96">
        <v>142</v>
      </c>
      <c r="O142" s="7" t="s">
        <v>146</v>
      </c>
      <c r="R142" s="99">
        <f>MAX($L160:$L1274)+1</f>
        <v>1</v>
      </c>
      <c r="T142" t="s">
        <v>452</v>
      </c>
      <c r="X142" s="36"/>
      <c r="Y142" s="36"/>
      <c r="Z142" s="36"/>
      <c r="AA142" s="36" t="s">
        <v>139</v>
      </c>
      <c r="AB142" s="36" t="s">
        <v>139</v>
      </c>
      <c r="AC142" s="36"/>
      <c r="AD142" s="36"/>
      <c r="AE142" s="36"/>
      <c r="AF142" s="36"/>
      <c r="AG142" s="36"/>
      <c r="AH142" s="36"/>
      <c r="AI142" s="36"/>
      <c r="AJ142" s="36"/>
      <c r="AK142" s="116"/>
      <c r="AL142" s="116"/>
      <c r="AM142" s="36"/>
      <c r="AN142" s="36" t="s">
        <v>139</v>
      </c>
      <c r="AO142" s="36" t="s">
        <v>139</v>
      </c>
      <c r="AP142" s="36"/>
      <c r="AQ142" s="36"/>
      <c r="AR142" s="36"/>
      <c r="AS142" s="36"/>
      <c r="AT142" s="36" t="s">
        <v>139</v>
      </c>
      <c r="AU142" s="36"/>
      <c r="AV142" s="36"/>
      <c r="AW142" s="36" t="s">
        <v>139</v>
      </c>
      <c r="AX142" s="116"/>
      <c r="AY142" s="116" t="s">
        <v>139</v>
      </c>
      <c r="AZ142" s="116"/>
      <c r="BA142" s="36" t="s">
        <v>139</v>
      </c>
      <c r="BB142" s="36"/>
      <c r="BC142" s="116"/>
      <c r="BD142" s="116"/>
      <c r="BE142" s="116"/>
      <c r="BF142" s="116" t="s">
        <v>139</v>
      </c>
      <c r="BG142" s="116"/>
      <c r="BH142" s="116"/>
      <c r="BI142" s="116"/>
      <c r="BJ142" s="116"/>
      <c r="BK142" s="116" t="s">
        <v>139</v>
      </c>
      <c r="BL142" s="116"/>
      <c r="BM142" s="116" t="s">
        <v>139</v>
      </c>
      <c r="BN142" s="116"/>
      <c r="BO142" s="116"/>
      <c r="BP142" s="116">
        <f t="shared" si="36"/>
        <v>9</v>
      </c>
      <c r="BQ142" s="116">
        <f t="shared" si="37"/>
        <v>3</v>
      </c>
      <c r="BR142" s="116">
        <f t="shared" si="38"/>
        <v>2</v>
      </c>
      <c r="BS142" s="146">
        <f t="shared" si="39"/>
        <v>6</v>
      </c>
      <c r="BT142" s="73" t="s">
        <v>151</v>
      </c>
      <c r="BU142" s="73"/>
    </row>
    <row r="143" spans="1:73" x14ac:dyDescent="0.25">
      <c r="A143">
        <v>129</v>
      </c>
      <c r="B143" s="74">
        <v>46093.35696759259</v>
      </c>
      <c r="E143" s="7">
        <v>46093</v>
      </c>
      <c r="F143">
        <v>1339</v>
      </c>
      <c r="I143" s="10" t="s">
        <v>453</v>
      </c>
      <c r="J143" s="161">
        <v>46093</v>
      </c>
      <c r="K143" s="96">
        <f t="shared" si="26"/>
        <v>3</v>
      </c>
      <c r="L143" s="96">
        <v>143</v>
      </c>
      <c r="O143" s="7" t="s">
        <v>146</v>
      </c>
      <c r="R143" s="99">
        <f>MAX($L160:$L1275)+1</f>
        <v>1</v>
      </c>
      <c r="T143" t="s">
        <v>454</v>
      </c>
      <c r="X143" s="36"/>
      <c r="Y143" s="36"/>
      <c r="Z143" s="36" t="s">
        <v>139</v>
      </c>
      <c r="AA143" s="36" t="s">
        <v>139</v>
      </c>
      <c r="AB143" s="36"/>
      <c r="AC143" s="36"/>
      <c r="AD143" s="36" t="s">
        <v>139</v>
      </c>
      <c r="AE143" s="36"/>
      <c r="AF143" s="36"/>
      <c r="AG143" s="36"/>
      <c r="AH143" s="36"/>
      <c r="AI143" s="36"/>
      <c r="AJ143" s="36"/>
      <c r="AK143" s="116"/>
      <c r="AL143" s="116"/>
      <c r="AM143" s="36"/>
      <c r="AN143" s="36" t="s">
        <v>139</v>
      </c>
      <c r="AO143" s="36"/>
      <c r="AP143" s="36"/>
      <c r="AQ143" s="36"/>
      <c r="AR143" s="36"/>
      <c r="AS143" s="36" t="s">
        <v>139</v>
      </c>
      <c r="AT143" s="36" t="s">
        <v>139</v>
      </c>
      <c r="AU143" s="36"/>
      <c r="AV143" s="36"/>
      <c r="AW143" s="36" t="s">
        <v>139</v>
      </c>
      <c r="AX143" s="116"/>
      <c r="AY143" s="116" t="s">
        <v>139</v>
      </c>
      <c r="AZ143" s="116"/>
      <c r="BA143" s="36" t="s">
        <v>139</v>
      </c>
      <c r="BB143" s="36"/>
      <c r="BC143" s="116" t="s">
        <v>139</v>
      </c>
      <c r="BD143" s="116"/>
      <c r="BE143" s="116"/>
      <c r="BF143" s="116"/>
      <c r="BG143" s="116"/>
      <c r="BH143" s="116"/>
      <c r="BI143" s="116"/>
      <c r="BJ143" s="116" t="s">
        <v>139</v>
      </c>
      <c r="BK143" s="116" t="s">
        <v>139</v>
      </c>
      <c r="BL143" s="116"/>
      <c r="BM143" s="116" t="s">
        <v>139</v>
      </c>
      <c r="BN143" s="116"/>
      <c r="BO143" s="116"/>
      <c r="BP143" s="116">
        <f t="shared" si="36"/>
        <v>10</v>
      </c>
      <c r="BQ143" s="116">
        <f t="shared" si="37"/>
        <v>3</v>
      </c>
      <c r="BR143" s="116">
        <f t="shared" si="38"/>
        <v>3</v>
      </c>
      <c r="BS143" s="146">
        <f t="shared" si="39"/>
        <v>7</v>
      </c>
      <c r="BT143" s="73" t="s">
        <v>234</v>
      </c>
      <c r="BU143" s="73"/>
    </row>
    <row r="144" spans="1:73" x14ac:dyDescent="0.25">
      <c r="A144">
        <v>130</v>
      </c>
      <c r="B144" s="74">
        <v>46094.095358796294</v>
      </c>
      <c r="E144" s="7">
        <v>46094</v>
      </c>
      <c r="F144">
        <v>1340</v>
      </c>
      <c r="I144" s="10" t="s">
        <v>455</v>
      </c>
      <c r="J144" s="161">
        <v>46094</v>
      </c>
      <c r="K144" s="96">
        <f>MONTH($J144)</f>
        <v>3</v>
      </c>
      <c r="L144" s="96">
        <v>144</v>
      </c>
      <c r="O144" s="7" t="s">
        <v>169</v>
      </c>
      <c r="R144" s="99">
        <f>MAX($L160:$L1276)+1</f>
        <v>1</v>
      </c>
      <c r="T144" t="s">
        <v>456</v>
      </c>
      <c r="X144" s="36" t="s">
        <v>139</v>
      </c>
      <c r="Y144" s="36" t="s">
        <v>139</v>
      </c>
      <c r="Z144" s="36"/>
      <c r="AA144" s="36" t="s">
        <v>139</v>
      </c>
      <c r="AB144" s="36"/>
      <c r="AC144" s="36"/>
      <c r="AD144" s="36" t="s">
        <v>139</v>
      </c>
      <c r="AE144" s="36"/>
      <c r="AF144" s="36"/>
      <c r="AG144" s="36"/>
      <c r="AH144" s="36" t="s">
        <v>139</v>
      </c>
      <c r="AI144" s="36"/>
      <c r="AJ144" s="36" t="s">
        <v>139</v>
      </c>
      <c r="AK144" s="116"/>
      <c r="AL144" s="116"/>
      <c r="AM144" s="36"/>
      <c r="AN144" s="36" t="s">
        <v>139</v>
      </c>
      <c r="AO144" s="36"/>
      <c r="AP144" s="36"/>
      <c r="AQ144" s="36"/>
      <c r="AR144" s="36"/>
      <c r="AS144" s="36"/>
      <c r="AT144" s="36"/>
      <c r="AU144" s="36"/>
      <c r="AV144" s="36"/>
      <c r="AW144" s="36" t="s">
        <v>139</v>
      </c>
      <c r="AX144" s="116"/>
      <c r="AY144" s="116" t="s">
        <v>139</v>
      </c>
      <c r="AZ144" s="116"/>
      <c r="BA144" s="36" t="s">
        <v>139</v>
      </c>
      <c r="BB144" s="36" t="s">
        <v>139</v>
      </c>
      <c r="BC144" s="116"/>
      <c r="BD144" s="116"/>
      <c r="BE144" s="116"/>
      <c r="BF144" s="116"/>
      <c r="BG144" s="116" t="s">
        <v>139</v>
      </c>
      <c r="BH144" s="116"/>
      <c r="BI144" s="116"/>
      <c r="BJ144" s="116" t="s">
        <v>139</v>
      </c>
      <c r="BK144" s="116"/>
      <c r="BL144" s="116"/>
      <c r="BM144" s="116" t="s">
        <v>139</v>
      </c>
      <c r="BN144" s="116"/>
      <c r="BO144" s="116"/>
      <c r="BP144" s="116">
        <f t="shared" si="36"/>
        <v>12</v>
      </c>
      <c r="BQ144" s="116">
        <f t="shared" si="37"/>
        <v>2</v>
      </c>
      <c r="BR144" s="116">
        <f t="shared" si="38"/>
        <v>4</v>
      </c>
      <c r="BS144" s="146">
        <f t="shared" si="39"/>
        <v>7</v>
      </c>
      <c r="BT144" s="73" t="s">
        <v>155</v>
      </c>
      <c r="BU144" s="73"/>
    </row>
    <row r="145" spans="1:73" x14ac:dyDescent="0.25">
      <c r="A145">
        <v>131</v>
      </c>
      <c r="B145" s="74">
        <v>46094.125405092593</v>
      </c>
      <c r="E145" s="7">
        <v>46094</v>
      </c>
      <c r="F145">
        <v>1341</v>
      </c>
      <c r="I145" s="10" t="s">
        <v>457</v>
      </c>
      <c r="J145" s="161">
        <v>46094</v>
      </c>
      <c r="K145" s="96">
        <f>MONTH($J145)</f>
        <v>3</v>
      </c>
      <c r="L145" s="96">
        <v>145</v>
      </c>
      <c r="O145" s="7" t="s">
        <v>142</v>
      </c>
      <c r="R145" s="99">
        <f>MAX($L160:$L1277)+1</f>
        <v>1</v>
      </c>
      <c r="T145" t="s">
        <v>458</v>
      </c>
      <c r="X145" s="36" t="s">
        <v>139</v>
      </c>
      <c r="Y145" s="36" t="s">
        <v>139</v>
      </c>
      <c r="Z145" s="36"/>
      <c r="AA145" s="36" t="s">
        <v>139</v>
      </c>
      <c r="AB145" s="36"/>
      <c r="AC145" s="36"/>
      <c r="AD145" s="36" t="s">
        <v>139</v>
      </c>
      <c r="AE145" s="36"/>
      <c r="AF145" s="36"/>
      <c r="AG145" s="36"/>
      <c r="AH145" s="36" t="s">
        <v>139</v>
      </c>
      <c r="AI145" s="36"/>
      <c r="AJ145" s="36" t="s">
        <v>139</v>
      </c>
      <c r="AK145" s="116"/>
      <c r="AL145" s="116"/>
      <c r="AM145" s="36"/>
      <c r="AN145" s="36" t="s">
        <v>139</v>
      </c>
      <c r="AO145" s="36"/>
      <c r="AP145" s="36"/>
      <c r="AQ145" s="36"/>
      <c r="AR145" s="36"/>
      <c r="AS145" s="36" t="s">
        <v>139</v>
      </c>
      <c r="AT145" s="36" t="s">
        <v>139</v>
      </c>
      <c r="AU145" s="36"/>
      <c r="AV145" s="36"/>
      <c r="AW145" s="36"/>
      <c r="AX145" s="116"/>
      <c r="AY145" s="116" t="s">
        <v>139</v>
      </c>
      <c r="AZ145" s="116"/>
      <c r="BA145" s="36"/>
      <c r="BB145" s="36" t="s">
        <v>139</v>
      </c>
      <c r="BC145" s="116"/>
      <c r="BD145" s="116"/>
      <c r="BE145" s="116"/>
      <c r="BF145" s="116"/>
      <c r="BG145" s="116" t="s">
        <v>139</v>
      </c>
      <c r="BH145" s="116" t="s">
        <v>139</v>
      </c>
      <c r="BI145" s="116"/>
      <c r="BJ145" s="116" t="s">
        <v>139</v>
      </c>
      <c r="BK145" s="116" t="s">
        <v>139</v>
      </c>
      <c r="BL145" s="116"/>
      <c r="BM145" s="116"/>
      <c r="BN145" s="116"/>
      <c r="BO145" s="116"/>
      <c r="BP145" s="116">
        <f t="shared" si="36"/>
        <v>13</v>
      </c>
      <c r="BQ145" s="116">
        <f t="shared" si="37"/>
        <v>4</v>
      </c>
      <c r="BR145" s="116">
        <f t="shared" si="38"/>
        <v>4</v>
      </c>
      <c r="BS145" s="146">
        <f t="shared" si="39"/>
        <v>7</v>
      </c>
      <c r="BT145" s="73" t="s">
        <v>151</v>
      </c>
      <c r="BU145" s="73"/>
    </row>
    <row r="146" spans="1:73" x14ac:dyDescent="0.25">
      <c r="A146" s="166">
        <v>132</v>
      </c>
      <c r="B146" s="167">
        <v>46094.175358796296</v>
      </c>
      <c r="C146" s="168"/>
      <c r="E146" s="169">
        <v>46094</v>
      </c>
      <c r="F146" s="170">
        <v>1342</v>
      </c>
      <c r="I146" s="171" t="s">
        <v>459</v>
      </c>
      <c r="J146" s="172">
        <v>46094</v>
      </c>
      <c r="K146" s="96">
        <f>MONTH($J146)</f>
        <v>3</v>
      </c>
      <c r="L146" s="96">
        <v>146</v>
      </c>
      <c r="M146" s="173"/>
      <c r="O146" s="173" t="s">
        <v>137</v>
      </c>
      <c r="P146" s="173"/>
      <c r="R146" s="174">
        <f>MAX($L160:$L1278)+1</f>
        <v>1</v>
      </c>
      <c r="T146" s="170" t="s">
        <v>460</v>
      </c>
      <c r="U146" s="170"/>
      <c r="V146" s="170"/>
      <c r="W146" s="170"/>
      <c r="X146" s="175" t="s">
        <v>139</v>
      </c>
      <c r="Y146" s="175"/>
      <c r="Z146" s="175"/>
      <c r="AA146" s="175" t="s">
        <v>139</v>
      </c>
      <c r="AB146" s="175" t="s">
        <v>139</v>
      </c>
      <c r="AC146" s="175"/>
      <c r="AD146" s="36" t="s">
        <v>139</v>
      </c>
      <c r="AE146" s="36"/>
      <c r="AF146" s="175"/>
      <c r="AG146" s="175"/>
      <c r="AH146" s="175"/>
      <c r="AI146" s="175"/>
      <c r="AJ146" s="175" t="s">
        <v>139</v>
      </c>
      <c r="AK146" s="116"/>
      <c r="AL146" s="116"/>
      <c r="AM146" s="175"/>
      <c r="AN146" s="175" t="s">
        <v>139</v>
      </c>
      <c r="AO146" s="175"/>
      <c r="AP146" s="175"/>
      <c r="AQ146" s="175"/>
      <c r="AR146" s="175"/>
      <c r="AS146" s="175"/>
      <c r="AT146" s="175" t="s">
        <v>139</v>
      </c>
      <c r="AU146" s="175"/>
      <c r="AV146" s="36"/>
      <c r="AW146" s="36"/>
      <c r="AX146" s="116"/>
      <c r="AY146" s="116"/>
      <c r="AZ146" s="116"/>
      <c r="BA146" s="175"/>
      <c r="BB146" s="175" t="s">
        <v>139</v>
      </c>
      <c r="BC146" s="176"/>
      <c r="BD146" s="176"/>
      <c r="BE146" s="116"/>
      <c r="BF146" s="176"/>
      <c r="BG146" s="176" t="s">
        <v>139</v>
      </c>
      <c r="BH146" s="176" t="s">
        <v>139</v>
      </c>
      <c r="BI146" s="116"/>
      <c r="BJ146" s="116" t="s">
        <v>139</v>
      </c>
      <c r="BK146" s="116" t="s">
        <v>139</v>
      </c>
      <c r="BL146" s="116"/>
      <c r="BM146" s="116"/>
      <c r="BN146" s="116"/>
      <c r="BO146" s="116"/>
      <c r="BP146" s="177">
        <f t="shared" si="36"/>
        <v>10</v>
      </c>
      <c r="BQ146" s="177">
        <f t="shared" si="37"/>
        <v>3</v>
      </c>
      <c r="BR146" s="177">
        <f t="shared" si="38"/>
        <v>4</v>
      </c>
      <c r="BS146" s="146">
        <f t="shared" si="39"/>
        <v>4</v>
      </c>
      <c r="BT146" s="178" t="s">
        <v>247</v>
      </c>
      <c r="BU146" s="178"/>
    </row>
    <row r="147" spans="1:73" x14ac:dyDescent="0.25">
      <c r="A147" s="166">
        <v>133</v>
      </c>
      <c r="B147" s="167">
        <v>46094.870451388888</v>
      </c>
      <c r="C147" s="168"/>
      <c r="E147" s="169">
        <v>46095</v>
      </c>
      <c r="F147" s="170">
        <v>1343</v>
      </c>
      <c r="I147" s="171" t="s">
        <v>627</v>
      </c>
      <c r="J147" s="172">
        <v>46095</v>
      </c>
      <c r="K147" s="96">
        <f>MONTH($J147)</f>
        <v>3</v>
      </c>
      <c r="L147" s="96">
        <v>147</v>
      </c>
      <c r="M147" s="173"/>
      <c r="O147" s="173" t="s">
        <v>137</v>
      </c>
      <c r="P147" s="173"/>
      <c r="R147" s="174">
        <f>MAX($L160:$L1279)+1</f>
        <v>1</v>
      </c>
      <c r="T147" s="170" t="s">
        <v>628</v>
      </c>
      <c r="U147" s="170"/>
      <c r="V147" s="170"/>
      <c r="W147" s="170"/>
      <c r="X147" s="175" t="s">
        <v>139</v>
      </c>
      <c r="Y147" s="175"/>
      <c r="Z147" s="175"/>
      <c r="AA147" s="175"/>
      <c r="AB147" s="175"/>
      <c r="AC147" s="175"/>
      <c r="AD147" s="36" t="s">
        <v>139</v>
      </c>
      <c r="AE147" s="36"/>
      <c r="AF147" s="175"/>
      <c r="AG147" s="175" t="s">
        <v>139</v>
      </c>
      <c r="AH147" s="175"/>
      <c r="AI147" s="175"/>
      <c r="AJ147" s="175" t="s">
        <v>139</v>
      </c>
      <c r="AK147" s="116" t="s">
        <v>139</v>
      </c>
      <c r="AL147" s="116"/>
      <c r="AM147" s="175" t="s">
        <v>139</v>
      </c>
      <c r="AN147" s="175"/>
      <c r="AO147" s="175"/>
      <c r="AP147" s="175" t="s">
        <v>139</v>
      </c>
      <c r="AQ147" s="175"/>
      <c r="AR147" s="175"/>
      <c r="AS147" s="175" t="s">
        <v>139</v>
      </c>
      <c r="AT147" s="175"/>
      <c r="AU147" s="175"/>
      <c r="AV147" s="36" t="s">
        <v>139</v>
      </c>
      <c r="AW147" s="36" t="s">
        <v>139</v>
      </c>
      <c r="AX147" s="116" t="s">
        <v>139</v>
      </c>
      <c r="AY147" s="116"/>
      <c r="AZ147" s="116"/>
      <c r="BA147" s="175"/>
      <c r="BB147" s="175"/>
      <c r="BC147" s="176"/>
      <c r="BD147" s="176"/>
      <c r="BE147" s="116"/>
      <c r="BF147" s="176"/>
      <c r="BG147" s="176" t="s">
        <v>139</v>
      </c>
      <c r="BH147" s="176" t="s">
        <v>139</v>
      </c>
      <c r="BI147" s="116"/>
      <c r="BJ147" s="116" t="s">
        <v>139</v>
      </c>
      <c r="BK147" s="116" t="s">
        <v>139</v>
      </c>
      <c r="BL147" s="116" t="s">
        <v>139</v>
      </c>
      <c r="BM147" s="116"/>
      <c r="BN147" s="116"/>
      <c r="BO147" s="116"/>
      <c r="BP147" s="177">
        <f>COUNTIF($X147:$BH147, "I")</f>
        <v>13</v>
      </c>
      <c r="BQ147" s="177">
        <f>COUNTIFS($X147:$BH147, "I",$X$2:$BH$2, "DR" )</f>
        <v>4</v>
      </c>
      <c r="BR147" s="177">
        <f>COUNTIFS($X147:$BH147, "I",$X$5:$BH$5, "OF" )</f>
        <v>2</v>
      </c>
      <c r="BS147" s="146">
        <f>COUNTIFS($X147:$BH147, "I",$X$5:$BH$5, "FF" )</f>
        <v>9</v>
      </c>
      <c r="BT147" s="178" t="s">
        <v>200</v>
      </c>
      <c r="BU147" s="178"/>
    </row>
  </sheetData>
  <phoneticPr fontId="5" type="noConversion"/>
  <conditionalFormatting sqref="BT15:BT147 A2:W147">
    <cfRule type="beginsWith" dxfId="72" priority="22" operator="beginsWith" text="Muster">
      <formula>LEFT(A2,LEN("Muster"))="Muster"</formula>
    </cfRule>
  </conditionalFormatting>
  <conditionalFormatting sqref="X12:BE12">
    <cfRule type="cellIs" dxfId="71" priority="1" stopIfTrue="1" operator="greaterThanOrEqual">
      <formula>0.195</formula>
    </cfRule>
    <cfRule type="cellIs" dxfId="70" priority="2" stopIfTrue="1" operator="greaterThanOrEqual">
      <formula>0.145</formula>
    </cfRule>
    <cfRule type="cellIs" dxfId="69" priority="3" stopIfTrue="1" operator="lessThanOrEqual">
      <formula>0.1</formula>
    </cfRule>
    <cfRule type="cellIs" dxfId="68" priority="4" stopIfTrue="1" operator="greaterThanOrEqual">
      <formula>0.09</formula>
    </cfRule>
  </conditionalFormatting>
  <conditionalFormatting sqref="X15:BO847">
    <cfRule type="expression" dxfId="67" priority="11">
      <formula>_xlfn.IFS(X15 ="I", X$2 = "RC")</formula>
    </cfRule>
    <cfRule type="expression" dxfId="66" priority="12">
      <formula>_xlfn.IFS(X15 ="I", X$2 = "DR*")</formula>
    </cfRule>
    <cfRule type="expression" dxfId="65" priority="13">
      <formula>_xlfn.IFS(X15 ="I", X$2 = "DR")</formula>
    </cfRule>
    <cfRule type="expression" dxfId="64" priority="14">
      <formula>_xlfn.IFS(X15 ="I", X$2 = "OF")</formula>
    </cfRule>
    <cfRule type="containsText" dxfId="63" priority="19" operator="containsText" text="I">
      <formula>NOT(ISERROR(SEARCH("I",X15)))</formula>
    </cfRule>
  </conditionalFormatting>
  <conditionalFormatting sqref="BP1:BP1048576">
    <cfRule type="cellIs" dxfId="62" priority="6" operator="lessThan">
      <formula>8</formula>
    </cfRule>
  </conditionalFormatting>
  <conditionalFormatting sqref="BR1:BR1048576">
    <cfRule type="cellIs" dxfId="61" priority="7" operator="lessThan">
      <formula>2</formula>
    </cfRule>
  </conditionalFormatting>
  <conditionalFormatting sqref="BS1:BS1048576">
    <cfRule type="cellIs" dxfId="60" priority="5" operator="lessThan">
      <formula>3</formula>
    </cfRule>
    <cfRule type="cellIs" dxfId="59" priority="8" operator="lessThan">
      <formula>6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CDC-4567-41F6-B24C-0D353698DCBF}">
  <dimension ref="A1:BD24"/>
  <sheetViews>
    <sheetView zoomScaleNormal="100" workbookViewId="0">
      <pane ySplit="14" topLeftCell="A15" activePane="bottomLeft" state="frozen"/>
      <selection pane="bottomLeft" activeCell="AL15" sqref="AL15"/>
    </sheetView>
  </sheetViews>
  <sheetFormatPr defaultRowHeight="15" x14ac:dyDescent="0.25"/>
  <cols>
    <col min="1" max="1" width="3.5703125" customWidth="1"/>
    <col min="2" max="2" width="8.140625" hidden="1" customWidth="1"/>
    <col min="3" max="3" width="18" hidden="1" customWidth="1"/>
    <col min="4" max="4" width="16.42578125" style="7" customWidth="1"/>
    <col min="5" max="5" width="11.5703125" style="98" customWidth="1"/>
    <col min="6" max="6" width="1.28515625" style="99" customWidth="1"/>
    <col min="7" max="7" width="7.140625" style="99" bestFit="1" customWidth="1"/>
    <col min="8" max="8" width="15.5703125" style="7" customWidth="1"/>
    <col min="9" max="9" width="25.42578125" customWidth="1"/>
    <col min="10" max="15" width="3.7109375" bestFit="1" customWidth="1"/>
    <col min="16" max="17" width="3.7109375" customWidth="1"/>
    <col min="18" max="22" width="3.7109375" bestFit="1" customWidth="1"/>
    <col min="23" max="24" width="3.7109375" customWidth="1"/>
    <col min="25" max="33" width="3.7109375" bestFit="1" customWidth="1"/>
    <col min="34" max="38" width="3.7109375" customWidth="1"/>
    <col min="39" max="42" width="3.7109375" bestFit="1" customWidth="1"/>
    <col min="43" max="43" width="3.7109375" customWidth="1"/>
    <col min="44" max="46" width="3.7109375" bestFit="1" customWidth="1"/>
    <col min="47" max="55" width="3.7109375" customWidth="1"/>
    <col min="56" max="56" width="15.140625" bestFit="1" customWidth="1"/>
  </cols>
  <sheetData>
    <row r="1" spans="1:56" ht="135" x14ac:dyDescent="0.25">
      <c r="A1" s="78" t="s">
        <v>461</v>
      </c>
      <c r="B1" t="s">
        <v>70</v>
      </c>
      <c r="C1" t="s">
        <v>78</v>
      </c>
      <c r="D1" s="7" t="s">
        <v>80</v>
      </c>
      <c r="E1" s="98" t="s">
        <v>5</v>
      </c>
      <c r="F1" s="99" t="s">
        <v>85</v>
      </c>
      <c r="G1" s="99" t="s">
        <v>462</v>
      </c>
      <c r="H1" s="7" t="s">
        <v>463</v>
      </c>
      <c r="I1" t="s">
        <v>94</v>
      </c>
      <c r="J1" s="129" t="s">
        <v>21</v>
      </c>
      <c r="K1" s="129" t="s">
        <v>23</v>
      </c>
      <c r="L1" s="129" t="s">
        <v>24</v>
      </c>
      <c r="M1" s="129" t="s">
        <v>25</v>
      </c>
      <c r="N1" s="129" t="s">
        <v>26</v>
      </c>
      <c r="O1" s="129" t="s">
        <v>27</v>
      </c>
      <c r="P1" s="129" t="s">
        <v>28</v>
      </c>
      <c r="Q1" s="129" t="s">
        <v>29</v>
      </c>
      <c r="R1" s="129" t="s">
        <v>30</v>
      </c>
      <c r="S1" s="129" t="s">
        <v>32</v>
      </c>
      <c r="T1" s="129" t="s">
        <v>34</v>
      </c>
      <c r="U1" s="129" t="s">
        <v>35</v>
      </c>
      <c r="V1" s="129" t="s">
        <v>36</v>
      </c>
      <c r="W1" s="129" t="s">
        <v>37</v>
      </c>
      <c r="X1" s="129" t="s">
        <v>38</v>
      </c>
      <c r="Y1" s="129" t="s">
        <v>39</v>
      </c>
      <c r="Z1" s="129" t="s">
        <v>40</v>
      </c>
      <c r="AA1" s="129" t="s">
        <v>41</v>
      </c>
      <c r="AB1" s="129" t="s">
        <v>42</v>
      </c>
      <c r="AC1" s="129" t="s">
        <v>43</v>
      </c>
      <c r="AD1" s="129" t="s">
        <v>44</v>
      </c>
      <c r="AE1" s="129" t="s">
        <v>45</v>
      </c>
      <c r="AF1" s="129" t="s">
        <v>46</v>
      </c>
      <c r="AG1" s="129" t="s">
        <v>47</v>
      </c>
      <c r="AH1" s="129" t="s">
        <v>48</v>
      </c>
      <c r="AI1" s="129" t="s">
        <v>49</v>
      </c>
      <c r="AJ1" s="129" t="s">
        <v>50</v>
      </c>
      <c r="AK1" s="129" t="s">
        <v>51</v>
      </c>
      <c r="AL1" s="129" t="s">
        <v>626</v>
      </c>
      <c r="AM1" s="129" t="s">
        <v>52</v>
      </c>
      <c r="AN1" s="129" t="s">
        <v>53</v>
      </c>
      <c r="AO1" s="129" t="s">
        <v>54</v>
      </c>
      <c r="AP1" s="129" t="s">
        <v>56</v>
      </c>
      <c r="AQ1" s="129" t="s">
        <v>57</v>
      </c>
      <c r="AR1" s="129" t="s">
        <v>59</v>
      </c>
      <c r="AS1" s="129" t="s">
        <v>60</v>
      </c>
      <c r="AT1" s="129" t="s">
        <v>61</v>
      </c>
      <c r="AU1" s="129" t="s">
        <v>62</v>
      </c>
      <c r="AV1" s="129" t="s">
        <v>63</v>
      </c>
      <c r="AW1" s="129" t="s">
        <v>64</v>
      </c>
      <c r="AX1" s="129" t="s">
        <v>65</v>
      </c>
      <c r="AY1" s="129" t="s">
        <v>66</v>
      </c>
      <c r="AZ1" s="129" t="s">
        <v>67</v>
      </c>
      <c r="BA1" s="129" t="s">
        <v>68</v>
      </c>
      <c r="BB1" s="129" t="s">
        <v>464</v>
      </c>
      <c r="BC1" s="129" t="s">
        <v>465</v>
      </c>
      <c r="BD1" t="s">
        <v>102</v>
      </c>
    </row>
    <row r="2" spans="1:56" ht="30.75" hidden="1" customHeight="1" x14ac:dyDescent="0.4">
      <c r="A2" s="100" t="s">
        <v>466</v>
      </c>
      <c r="C2" s="38"/>
      <c r="D2" s="101">
        <f>MAX(A15:A1008)</f>
        <v>10</v>
      </c>
      <c r="E2" s="98">
        <f ca="1">TODAY()</f>
        <v>46095</v>
      </c>
      <c r="F2" s="99" t="s">
        <v>467</v>
      </c>
      <c r="G2" s="99">
        <f>D2+1</f>
        <v>11</v>
      </c>
      <c r="H2" s="7" t="s">
        <v>468</v>
      </c>
      <c r="I2" s="99">
        <f>MAX($G$3:$G$1008)+1</f>
        <v>25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>
        <f t="shared" ref="BB2:BB14" si="0">COUNTIF($J2:$AX2,"I")</f>
        <v>0</v>
      </c>
      <c r="BC2" s="10">
        <f t="shared" ref="BC2:BC15" si="1">COUNTIF($J2:$AT2,"L")</f>
        <v>0</v>
      </c>
    </row>
    <row r="3" spans="1:56" hidden="1" x14ac:dyDescent="0.25">
      <c r="A3" s="97"/>
      <c r="C3" s="38"/>
      <c r="D3" s="7" t="s">
        <v>109</v>
      </c>
      <c r="E3">
        <f>COUNTIF($F$15:$F$1158, "1")</f>
        <v>4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>
        <f t="shared" si="0"/>
        <v>0</v>
      </c>
      <c r="BC3" s="10">
        <f t="shared" si="1"/>
        <v>0</v>
      </c>
    </row>
    <row r="4" spans="1:56" hidden="1" x14ac:dyDescent="0.25">
      <c r="A4" s="97"/>
      <c r="C4" s="38"/>
      <c r="D4" s="7" t="s">
        <v>113</v>
      </c>
      <c r="E4">
        <f>COUNTIF($F$15:$F$1158, "2")</f>
        <v>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>
        <f t="shared" si="0"/>
        <v>0</v>
      </c>
      <c r="BC4" s="10">
        <f t="shared" si="1"/>
        <v>0</v>
      </c>
    </row>
    <row r="5" spans="1:56" hidden="1" x14ac:dyDescent="0.25">
      <c r="A5" s="97"/>
      <c r="C5" s="38"/>
      <c r="D5" s="7" t="s">
        <v>18</v>
      </c>
      <c r="E5">
        <f>COUNTIF($F$15:$F$1158, "3")</f>
        <v>2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>
        <f t="shared" si="0"/>
        <v>0</v>
      </c>
      <c r="BC5" s="10">
        <f t="shared" si="1"/>
        <v>0</v>
      </c>
    </row>
    <row r="6" spans="1:56" hidden="1" x14ac:dyDescent="0.25">
      <c r="A6" s="97"/>
      <c r="C6" s="38"/>
      <c r="D6" s="7" t="s">
        <v>19</v>
      </c>
      <c r="E6">
        <f>COUNTIF($F$15:$F$1158, "4")</f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>
        <f t="shared" si="0"/>
        <v>0</v>
      </c>
      <c r="BC6" s="10">
        <f t="shared" si="1"/>
        <v>0</v>
      </c>
    </row>
    <row r="7" spans="1:56" hidden="1" x14ac:dyDescent="0.25">
      <c r="A7" s="97"/>
      <c r="C7" s="38"/>
      <c r="D7" s="7" t="s">
        <v>6</v>
      </c>
      <c r="E7">
        <f>COUNTIF($F$15:$F$1158, "5")</f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>
        <f t="shared" si="0"/>
        <v>0</v>
      </c>
      <c r="BC7" s="10">
        <f t="shared" si="1"/>
        <v>0</v>
      </c>
    </row>
    <row r="8" spans="1:56" hidden="1" x14ac:dyDescent="0.25">
      <c r="A8" s="97"/>
      <c r="C8" s="38"/>
      <c r="D8" s="7" t="s">
        <v>7</v>
      </c>
      <c r="E8">
        <f>COUNTIF($F$15:$F$1158, "6")</f>
        <v>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>
        <f t="shared" si="0"/>
        <v>0</v>
      </c>
      <c r="BC8" s="10">
        <f t="shared" si="1"/>
        <v>0</v>
      </c>
    </row>
    <row r="9" spans="1:56" hidden="1" x14ac:dyDescent="0.25">
      <c r="A9" s="97"/>
      <c r="C9" s="38"/>
      <c r="D9" s="7" t="s">
        <v>8</v>
      </c>
      <c r="E9">
        <f>COUNTIF($F$15:$F$1158, "7")</f>
        <v>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>
        <f t="shared" si="0"/>
        <v>0</v>
      </c>
      <c r="BC9" s="10">
        <f t="shared" si="1"/>
        <v>0</v>
      </c>
    </row>
    <row r="10" spans="1:56" hidden="1" x14ac:dyDescent="0.25">
      <c r="A10" s="97"/>
      <c r="C10" s="38"/>
      <c r="D10" s="7" t="s">
        <v>9</v>
      </c>
      <c r="E10">
        <f>COUNTIF($F$15:$F$1158, "8")</f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>
        <f t="shared" si="0"/>
        <v>0</v>
      </c>
      <c r="BC10" s="10">
        <f t="shared" si="1"/>
        <v>0</v>
      </c>
    </row>
    <row r="11" spans="1:56" hidden="1" x14ac:dyDescent="0.25">
      <c r="A11" s="97"/>
      <c r="C11" s="38"/>
      <c r="D11" s="7" t="s">
        <v>10</v>
      </c>
      <c r="E11">
        <f>COUNTIF($F$15:$F$1158, "9")</f>
        <v>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>
        <f t="shared" si="0"/>
        <v>0</v>
      </c>
      <c r="BC11" s="10">
        <f t="shared" si="1"/>
        <v>0</v>
      </c>
    </row>
    <row r="12" spans="1:56" hidden="1" x14ac:dyDescent="0.25">
      <c r="A12" s="97"/>
      <c r="C12" s="38"/>
      <c r="D12" s="7" t="s">
        <v>11</v>
      </c>
      <c r="E12">
        <f>COUNTIF($F$15:$F$1158, "10")</f>
        <v>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>
        <f t="shared" si="0"/>
        <v>0</v>
      </c>
      <c r="BC12" s="10">
        <f t="shared" si="1"/>
        <v>0</v>
      </c>
    </row>
    <row r="13" spans="1:56" hidden="1" x14ac:dyDescent="0.25">
      <c r="A13" s="97"/>
      <c r="C13" s="38"/>
      <c r="D13" s="7" t="s">
        <v>12</v>
      </c>
      <c r="E13">
        <f>COUNTIF($F$15:$F$1158, "11")</f>
        <v>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>
        <f t="shared" si="0"/>
        <v>0</v>
      </c>
      <c r="BC13" s="10">
        <f t="shared" si="1"/>
        <v>0</v>
      </c>
    </row>
    <row r="14" spans="1:56" hidden="1" x14ac:dyDescent="0.25">
      <c r="A14" s="97"/>
      <c r="C14" s="38"/>
      <c r="D14" s="7" t="s">
        <v>13</v>
      </c>
      <c r="E14">
        <f>COUNTIF($F$15:$F$1158, "12")</f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>
        <f t="shared" si="0"/>
        <v>0</v>
      </c>
      <c r="BC14" s="10">
        <f t="shared" si="1"/>
        <v>0</v>
      </c>
    </row>
    <row r="15" spans="1:56" x14ac:dyDescent="0.25">
      <c r="A15" s="10">
        <v>1</v>
      </c>
      <c r="B15">
        <v>2056</v>
      </c>
      <c r="C15" s="38">
        <v>45670.251481481479</v>
      </c>
      <c r="D15" s="7">
        <v>45670</v>
      </c>
      <c r="E15" s="98">
        <f t="shared" ref="E15" si="2">$D15</f>
        <v>45670</v>
      </c>
      <c r="F15" s="99">
        <f t="shared" ref="F15" si="3">MONTH($E15)</f>
        <v>1</v>
      </c>
      <c r="G15" s="99">
        <v>15</v>
      </c>
      <c r="H15" s="7" t="s">
        <v>469</v>
      </c>
      <c r="I15" t="s">
        <v>470</v>
      </c>
      <c r="J15" s="10" t="s">
        <v>139</v>
      </c>
      <c r="K15" s="10" t="s">
        <v>139</v>
      </c>
      <c r="L15" s="10" t="s">
        <v>139</v>
      </c>
      <c r="M15" s="10" t="s">
        <v>471</v>
      </c>
      <c r="N15" s="10" t="s">
        <v>139</v>
      </c>
      <c r="O15" s="10" t="s">
        <v>139</v>
      </c>
      <c r="P15" s="10" t="s">
        <v>139</v>
      </c>
      <c r="Q15" s="10" t="s">
        <v>139</v>
      </c>
      <c r="R15" s="10" t="s">
        <v>139</v>
      </c>
      <c r="S15" s="10" t="s">
        <v>139</v>
      </c>
      <c r="T15" s="10" t="s">
        <v>139</v>
      </c>
      <c r="U15" s="10" t="s">
        <v>139</v>
      </c>
      <c r="V15" s="10" t="s">
        <v>139</v>
      </c>
      <c r="W15" s="10" t="s">
        <v>139</v>
      </c>
      <c r="X15" s="10" t="s">
        <v>471</v>
      </c>
      <c r="Y15" s="10" t="s">
        <v>139</v>
      </c>
      <c r="Z15" s="10" t="s">
        <v>139</v>
      </c>
      <c r="AA15" s="10" t="s">
        <v>472</v>
      </c>
      <c r="AB15" s="10" t="s">
        <v>139</v>
      </c>
      <c r="AC15" s="10" t="s">
        <v>139</v>
      </c>
      <c r="AD15" s="10" t="s">
        <v>139</v>
      </c>
      <c r="AE15" s="10" t="s">
        <v>139</v>
      </c>
      <c r="AF15" s="10" t="s">
        <v>139</v>
      </c>
      <c r="AG15" s="10" t="s">
        <v>139</v>
      </c>
      <c r="AH15" s="10" t="s">
        <v>472</v>
      </c>
      <c r="AI15" s="10" t="s">
        <v>139</v>
      </c>
      <c r="AJ15" s="10" t="s">
        <v>471</v>
      </c>
      <c r="AK15" s="10" t="s">
        <v>471</v>
      </c>
      <c r="AL15" s="10"/>
      <c r="AM15" s="10" t="s">
        <v>471</v>
      </c>
      <c r="AN15" s="10" t="s">
        <v>139</v>
      </c>
      <c r="AO15" s="10" t="s">
        <v>139</v>
      </c>
      <c r="AP15" s="10" t="s">
        <v>139</v>
      </c>
      <c r="AQ15" s="10" t="s">
        <v>139</v>
      </c>
      <c r="AR15" s="10" t="s">
        <v>139</v>
      </c>
      <c r="AS15" s="10" t="s">
        <v>472</v>
      </c>
      <c r="AT15" s="10" t="s">
        <v>471</v>
      </c>
      <c r="AU15" s="10" t="s">
        <v>471</v>
      </c>
      <c r="AV15" s="10" t="s">
        <v>472</v>
      </c>
      <c r="AW15" s="10" t="s">
        <v>472</v>
      </c>
      <c r="AX15" s="10"/>
      <c r="AY15" s="10"/>
      <c r="AZ15" s="10"/>
      <c r="BA15" s="165"/>
      <c r="BB15" s="76">
        <f t="shared" ref="BB15:BB22" si="4">COUNTIF($J15:$AZ15,"I")</f>
        <v>27</v>
      </c>
      <c r="BC15" s="76">
        <f t="shared" si="1"/>
        <v>6</v>
      </c>
      <c r="BD15" t="s">
        <v>473</v>
      </c>
    </row>
    <row r="16" spans="1:56" x14ac:dyDescent="0.25">
      <c r="A16" s="10">
        <v>2</v>
      </c>
      <c r="B16">
        <v>2107</v>
      </c>
      <c r="C16" s="38">
        <v>46034.253645833334</v>
      </c>
      <c r="D16" s="7">
        <v>46034</v>
      </c>
      <c r="E16" s="98">
        <v>46034</v>
      </c>
      <c r="F16" s="99">
        <f t="shared" ref="F16:F21" si="5">MONTH($E16)</f>
        <v>1</v>
      </c>
      <c r="G16" s="99">
        <v>16</v>
      </c>
      <c r="H16" s="7" t="s">
        <v>469</v>
      </c>
      <c r="I16" t="s">
        <v>470</v>
      </c>
      <c r="J16" s="10" t="s">
        <v>139</v>
      </c>
      <c r="K16" s="10" t="s">
        <v>139</v>
      </c>
      <c r="L16" s="10" t="s">
        <v>471</v>
      </c>
      <c r="M16" s="10" t="s">
        <v>139</v>
      </c>
      <c r="N16" s="10" t="s">
        <v>471</v>
      </c>
      <c r="O16" s="10" t="s">
        <v>139</v>
      </c>
      <c r="P16" s="10" t="s">
        <v>471</v>
      </c>
      <c r="Q16" s="10" t="s">
        <v>471</v>
      </c>
      <c r="R16" s="10" t="s">
        <v>139</v>
      </c>
      <c r="S16" s="10" t="s">
        <v>139</v>
      </c>
      <c r="T16" s="10" t="s">
        <v>471</v>
      </c>
      <c r="U16" s="10" t="s">
        <v>471</v>
      </c>
      <c r="V16" s="10" t="s">
        <v>139</v>
      </c>
      <c r="W16" s="10" t="s">
        <v>471</v>
      </c>
      <c r="X16" s="10" t="s">
        <v>471</v>
      </c>
      <c r="Y16" s="10" t="s">
        <v>139</v>
      </c>
      <c r="Z16" s="10" t="s">
        <v>471</v>
      </c>
      <c r="AA16" s="10" t="s">
        <v>471</v>
      </c>
      <c r="AB16" s="10" t="s">
        <v>139</v>
      </c>
      <c r="AC16" s="10" t="s">
        <v>471</v>
      </c>
      <c r="AD16" s="10" t="s">
        <v>471</v>
      </c>
      <c r="AE16" s="10" t="s">
        <v>139</v>
      </c>
      <c r="AF16" s="10" t="s">
        <v>471</v>
      </c>
      <c r="AG16" s="10" t="s">
        <v>471</v>
      </c>
      <c r="AH16" s="10" t="s">
        <v>139</v>
      </c>
      <c r="AI16" s="10" t="s">
        <v>139</v>
      </c>
      <c r="AJ16" s="10" t="s">
        <v>471</v>
      </c>
      <c r="AK16" s="10" t="s">
        <v>471</v>
      </c>
      <c r="AL16" s="10"/>
      <c r="AM16" s="10" t="s">
        <v>471</v>
      </c>
      <c r="AN16" s="10" t="s">
        <v>139</v>
      </c>
      <c r="AO16" s="10" t="s">
        <v>139</v>
      </c>
      <c r="AP16" s="10" t="s">
        <v>139</v>
      </c>
      <c r="AQ16" s="10" t="s">
        <v>139</v>
      </c>
      <c r="AR16" s="10" t="s">
        <v>471</v>
      </c>
      <c r="AS16" s="10" t="s">
        <v>139</v>
      </c>
      <c r="AT16" s="10" t="s">
        <v>139</v>
      </c>
      <c r="AU16" s="10" t="s">
        <v>471</v>
      </c>
      <c r="AV16" s="10" t="s">
        <v>139</v>
      </c>
      <c r="AW16" s="10" t="s">
        <v>139</v>
      </c>
      <c r="AX16" s="10" t="s">
        <v>139</v>
      </c>
      <c r="AY16" s="10" t="s">
        <v>139</v>
      </c>
      <c r="AZ16" s="10" t="s">
        <v>471</v>
      </c>
      <c r="BA16" s="165"/>
      <c r="BB16" s="76">
        <f t="shared" si="4"/>
        <v>22</v>
      </c>
      <c r="BC16" s="76">
        <f t="shared" ref="BC16:BC21" si="6">COUNTIF($J16:$AT16,"L")</f>
        <v>18</v>
      </c>
      <c r="BD16" t="s">
        <v>144</v>
      </c>
    </row>
    <row r="17" spans="1:56" x14ac:dyDescent="0.25">
      <c r="A17" s="10">
        <v>3</v>
      </c>
      <c r="B17">
        <v>2108</v>
      </c>
      <c r="C17" s="38">
        <v>46041.249768518515</v>
      </c>
      <c r="D17" s="7">
        <v>46041</v>
      </c>
      <c r="E17" s="98">
        <v>46041</v>
      </c>
      <c r="F17" s="99">
        <f t="shared" si="5"/>
        <v>1</v>
      </c>
      <c r="G17" s="99">
        <v>17</v>
      </c>
      <c r="H17" s="7" t="s">
        <v>469</v>
      </c>
      <c r="I17" t="s">
        <v>470</v>
      </c>
      <c r="J17" s="10" t="s">
        <v>139</v>
      </c>
      <c r="K17" s="10" t="s">
        <v>139</v>
      </c>
      <c r="L17" s="10" t="s">
        <v>139</v>
      </c>
      <c r="M17" s="10" t="s">
        <v>139</v>
      </c>
      <c r="N17" s="10" t="s">
        <v>139</v>
      </c>
      <c r="O17" s="10" t="s">
        <v>471</v>
      </c>
      <c r="P17" s="10" t="s">
        <v>139</v>
      </c>
      <c r="Q17" s="10" t="s">
        <v>139</v>
      </c>
      <c r="R17" s="10" t="s">
        <v>471</v>
      </c>
      <c r="S17" s="10" t="s">
        <v>471</v>
      </c>
      <c r="T17" s="10" t="s">
        <v>139</v>
      </c>
      <c r="U17" s="10" t="s">
        <v>139</v>
      </c>
      <c r="V17" s="10" t="s">
        <v>139</v>
      </c>
      <c r="W17" s="10" t="s">
        <v>471</v>
      </c>
      <c r="X17" s="10" t="s">
        <v>139</v>
      </c>
      <c r="Y17" s="10" t="s">
        <v>471</v>
      </c>
      <c r="Z17" s="10" t="s">
        <v>471</v>
      </c>
      <c r="AA17" s="10" t="s">
        <v>139</v>
      </c>
      <c r="AB17" s="10" t="s">
        <v>139</v>
      </c>
      <c r="AC17" s="10" t="s">
        <v>139</v>
      </c>
      <c r="AD17" s="10" t="s">
        <v>471</v>
      </c>
      <c r="AE17" s="10" t="s">
        <v>139</v>
      </c>
      <c r="AF17" s="10" t="s">
        <v>139</v>
      </c>
      <c r="AG17" s="10" t="s">
        <v>139</v>
      </c>
      <c r="AH17" s="10" t="s">
        <v>471</v>
      </c>
      <c r="AI17" s="10" t="s">
        <v>472</v>
      </c>
      <c r="AJ17" s="10" t="s">
        <v>471</v>
      </c>
      <c r="AK17" s="10" t="s">
        <v>139</v>
      </c>
      <c r="AL17" s="10"/>
      <c r="AM17" s="10" t="s">
        <v>471</v>
      </c>
      <c r="AN17" s="10" t="s">
        <v>139</v>
      </c>
      <c r="AO17" s="10" t="s">
        <v>139</v>
      </c>
      <c r="AP17" s="10" t="s">
        <v>471</v>
      </c>
      <c r="AQ17" s="10" t="s">
        <v>471</v>
      </c>
      <c r="AR17" s="10" t="s">
        <v>139</v>
      </c>
      <c r="AS17" s="10" t="s">
        <v>139</v>
      </c>
      <c r="AT17" s="10" t="s">
        <v>471</v>
      </c>
      <c r="AU17" s="10" t="s">
        <v>471</v>
      </c>
      <c r="AV17" s="10" t="s">
        <v>139</v>
      </c>
      <c r="AW17" s="10" t="s">
        <v>139</v>
      </c>
      <c r="AX17" s="10" t="s">
        <v>471</v>
      </c>
      <c r="AY17" s="10" t="s">
        <v>139</v>
      </c>
      <c r="AZ17" s="10" t="s">
        <v>139</v>
      </c>
      <c r="BA17" s="165"/>
      <c r="BB17" s="76">
        <f t="shared" si="4"/>
        <v>26</v>
      </c>
      <c r="BC17" s="76">
        <f t="shared" si="6"/>
        <v>13</v>
      </c>
      <c r="BD17" t="s">
        <v>151</v>
      </c>
    </row>
    <row r="18" spans="1:56" x14ac:dyDescent="0.25">
      <c r="A18" s="10">
        <v>4</v>
      </c>
      <c r="B18">
        <v>2109</v>
      </c>
      <c r="C18" s="38">
        <v>46049.25136574074</v>
      </c>
      <c r="D18" s="7">
        <v>46049</v>
      </c>
      <c r="E18" s="98">
        <v>46049</v>
      </c>
      <c r="F18" s="99">
        <f t="shared" si="5"/>
        <v>1</v>
      </c>
      <c r="G18" s="99">
        <v>18</v>
      </c>
      <c r="H18" s="7" t="s">
        <v>469</v>
      </c>
      <c r="I18" t="s">
        <v>470</v>
      </c>
      <c r="J18" s="10" t="s">
        <v>139</v>
      </c>
      <c r="K18" s="10" t="s">
        <v>139</v>
      </c>
      <c r="L18" s="10" t="s">
        <v>139</v>
      </c>
      <c r="M18" s="10" t="s">
        <v>139</v>
      </c>
      <c r="N18" s="10" t="s">
        <v>139</v>
      </c>
      <c r="O18" s="10" t="s">
        <v>139</v>
      </c>
      <c r="P18" s="10" t="s">
        <v>139</v>
      </c>
      <c r="Q18" s="10" t="s">
        <v>139</v>
      </c>
      <c r="R18" s="10" t="s">
        <v>139</v>
      </c>
      <c r="S18" s="10" t="s">
        <v>139</v>
      </c>
      <c r="T18" s="10" t="s">
        <v>139</v>
      </c>
      <c r="U18" s="10" t="s">
        <v>139</v>
      </c>
      <c r="V18" s="10" t="s">
        <v>139</v>
      </c>
      <c r="W18" s="10" t="s">
        <v>471</v>
      </c>
      <c r="X18" s="10" t="s">
        <v>471</v>
      </c>
      <c r="Y18" s="10" t="s">
        <v>139</v>
      </c>
      <c r="Z18" s="10" t="s">
        <v>471</v>
      </c>
      <c r="AA18" s="10" t="s">
        <v>139</v>
      </c>
      <c r="AB18" s="10" t="s">
        <v>139</v>
      </c>
      <c r="AC18" s="10" t="s">
        <v>472</v>
      </c>
      <c r="AD18" s="10" t="s">
        <v>471</v>
      </c>
      <c r="AE18" s="10" t="s">
        <v>139</v>
      </c>
      <c r="AF18" s="10" t="s">
        <v>471</v>
      </c>
      <c r="AG18" s="10" t="s">
        <v>139</v>
      </c>
      <c r="AH18" s="10" t="s">
        <v>139</v>
      </c>
      <c r="AI18" s="10" t="s">
        <v>139</v>
      </c>
      <c r="AJ18" s="10" t="s">
        <v>471</v>
      </c>
      <c r="AK18" s="10" t="s">
        <v>139</v>
      </c>
      <c r="AL18" s="10"/>
      <c r="AM18" s="10" t="s">
        <v>471</v>
      </c>
      <c r="AN18" s="10" t="s">
        <v>471</v>
      </c>
      <c r="AO18" s="10" t="s">
        <v>471</v>
      </c>
      <c r="AP18" s="10" t="s">
        <v>472</v>
      </c>
      <c r="AQ18" s="10" t="s">
        <v>471</v>
      </c>
      <c r="AR18" s="10" t="s">
        <v>139</v>
      </c>
      <c r="AS18" s="10" t="s">
        <v>139</v>
      </c>
      <c r="AT18" s="10" t="s">
        <v>139</v>
      </c>
      <c r="AU18" s="10" t="s">
        <v>471</v>
      </c>
      <c r="AV18" s="10" t="s">
        <v>139</v>
      </c>
      <c r="AW18" s="10" t="s">
        <v>139</v>
      </c>
      <c r="AX18" s="10" t="s">
        <v>139</v>
      </c>
      <c r="AY18" s="10" t="s">
        <v>139</v>
      </c>
      <c r="AZ18" s="10" t="s">
        <v>139</v>
      </c>
      <c r="BA18" s="165"/>
      <c r="BB18" s="76">
        <f t="shared" si="4"/>
        <v>29</v>
      </c>
      <c r="BC18" s="76">
        <f t="shared" si="6"/>
        <v>10</v>
      </c>
      <c r="BD18" t="s">
        <v>148</v>
      </c>
    </row>
    <row r="19" spans="1:56" x14ac:dyDescent="0.25">
      <c r="A19" s="10">
        <v>5</v>
      </c>
      <c r="B19">
        <v>2110</v>
      </c>
      <c r="C19" s="38">
        <v>46055.257685185185</v>
      </c>
      <c r="D19" s="7">
        <v>46055</v>
      </c>
      <c r="E19" s="98">
        <v>46055</v>
      </c>
      <c r="F19" s="99">
        <f t="shared" si="5"/>
        <v>2</v>
      </c>
      <c r="G19" s="99">
        <v>19</v>
      </c>
      <c r="H19" s="7" t="s">
        <v>474</v>
      </c>
      <c r="I19" t="s">
        <v>470</v>
      </c>
      <c r="J19" s="10" t="s">
        <v>139</v>
      </c>
      <c r="K19" s="10" t="s">
        <v>139</v>
      </c>
      <c r="L19" s="10" t="s">
        <v>139</v>
      </c>
      <c r="M19" s="10" t="s">
        <v>139</v>
      </c>
      <c r="N19" s="10" t="s">
        <v>139</v>
      </c>
      <c r="O19" s="10" t="s">
        <v>139</v>
      </c>
      <c r="P19" s="10" t="s">
        <v>139</v>
      </c>
      <c r="Q19" s="10" t="s">
        <v>471</v>
      </c>
      <c r="R19" s="10" t="s">
        <v>471</v>
      </c>
      <c r="S19" s="10" t="s">
        <v>471</v>
      </c>
      <c r="T19" s="10" t="s">
        <v>139</v>
      </c>
      <c r="U19" s="10" t="s">
        <v>471</v>
      </c>
      <c r="V19" s="10" t="s">
        <v>139</v>
      </c>
      <c r="W19" s="10" t="s">
        <v>139</v>
      </c>
      <c r="X19" s="10" t="s">
        <v>139</v>
      </c>
      <c r="Y19" s="10" t="s">
        <v>139</v>
      </c>
      <c r="Z19" s="10" t="s">
        <v>471</v>
      </c>
      <c r="AA19" s="10" t="s">
        <v>471</v>
      </c>
      <c r="AB19" s="10" t="s">
        <v>139</v>
      </c>
      <c r="AC19" s="10" t="s">
        <v>139</v>
      </c>
      <c r="AD19" s="10" t="s">
        <v>471</v>
      </c>
      <c r="AE19" s="10" t="s">
        <v>139</v>
      </c>
      <c r="AF19" s="10" t="s">
        <v>139</v>
      </c>
      <c r="AG19" s="10" t="s">
        <v>139</v>
      </c>
      <c r="AH19" s="10" t="s">
        <v>139</v>
      </c>
      <c r="AI19" s="10" t="s">
        <v>139</v>
      </c>
      <c r="AJ19" s="10" t="s">
        <v>471</v>
      </c>
      <c r="AK19" s="10" t="s">
        <v>471</v>
      </c>
      <c r="AL19" s="10"/>
      <c r="AM19" s="10" t="s">
        <v>139</v>
      </c>
      <c r="AN19" s="10" t="s">
        <v>471</v>
      </c>
      <c r="AO19" s="10" t="s">
        <v>471</v>
      </c>
      <c r="AP19" s="10" t="s">
        <v>139</v>
      </c>
      <c r="AQ19" s="10" t="s">
        <v>471</v>
      </c>
      <c r="AR19" s="10" t="s">
        <v>139</v>
      </c>
      <c r="AS19" s="10" t="s">
        <v>139</v>
      </c>
      <c r="AT19" s="10" t="s">
        <v>139</v>
      </c>
      <c r="AU19" s="10" t="s">
        <v>471</v>
      </c>
      <c r="AV19" s="10" t="s">
        <v>471</v>
      </c>
      <c r="AW19" s="10" t="s">
        <v>139</v>
      </c>
      <c r="AX19" s="10" t="s">
        <v>139</v>
      </c>
      <c r="AY19" s="10" t="s">
        <v>139</v>
      </c>
      <c r="AZ19" s="10" t="s">
        <v>139</v>
      </c>
      <c r="BA19" s="165"/>
      <c r="BB19" s="76">
        <f t="shared" si="4"/>
        <v>28</v>
      </c>
      <c r="BC19" s="76">
        <f t="shared" si="6"/>
        <v>12</v>
      </c>
      <c r="BD19" t="s">
        <v>151</v>
      </c>
    </row>
    <row r="20" spans="1:56" x14ac:dyDescent="0.25">
      <c r="A20" s="10">
        <v>6</v>
      </c>
      <c r="B20">
        <v>2111</v>
      </c>
      <c r="C20" s="38">
        <v>46062.250775462962</v>
      </c>
      <c r="D20" s="7">
        <v>46062</v>
      </c>
      <c r="E20" s="98">
        <v>46062</v>
      </c>
      <c r="F20" s="99">
        <f t="shared" si="5"/>
        <v>2</v>
      </c>
      <c r="G20" s="99">
        <v>20</v>
      </c>
      <c r="H20" s="7" t="s">
        <v>469</v>
      </c>
      <c r="I20" t="s">
        <v>470</v>
      </c>
      <c r="J20" s="10" t="s">
        <v>139</v>
      </c>
      <c r="K20" s="10" t="s">
        <v>139</v>
      </c>
      <c r="L20" s="10" t="s">
        <v>139</v>
      </c>
      <c r="M20" s="10" t="s">
        <v>139</v>
      </c>
      <c r="N20" s="10" t="s">
        <v>471</v>
      </c>
      <c r="O20" s="10" t="s">
        <v>139</v>
      </c>
      <c r="P20" s="10" t="s">
        <v>471</v>
      </c>
      <c r="Q20" s="10" t="s">
        <v>471</v>
      </c>
      <c r="R20" s="10" t="s">
        <v>139</v>
      </c>
      <c r="S20" s="10" t="s">
        <v>139</v>
      </c>
      <c r="T20" s="10" t="s">
        <v>139</v>
      </c>
      <c r="U20" s="10" t="s">
        <v>471</v>
      </c>
      <c r="V20" s="10" t="s">
        <v>139</v>
      </c>
      <c r="W20" s="10" t="s">
        <v>471</v>
      </c>
      <c r="X20" s="10" t="s">
        <v>471</v>
      </c>
      <c r="Y20" s="10" t="s">
        <v>139</v>
      </c>
      <c r="Z20" s="10" t="s">
        <v>471</v>
      </c>
      <c r="AA20" s="10" t="s">
        <v>139</v>
      </c>
      <c r="AB20" s="10" t="s">
        <v>139</v>
      </c>
      <c r="AC20" s="10" t="s">
        <v>139</v>
      </c>
      <c r="AD20" s="10" t="s">
        <v>471</v>
      </c>
      <c r="AE20" s="10" t="s">
        <v>472</v>
      </c>
      <c r="AF20" s="10" t="s">
        <v>139</v>
      </c>
      <c r="AG20" s="10" t="s">
        <v>139</v>
      </c>
      <c r="AH20" s="10" t="s">
        <v>139</v>
      </c>
      <c r="AI20" s="10" t="s">
        <v>139</v>
      </c>
      <c r="AJ20" s="10" t="s">
        <v>471</v>
      </c>
      <c r="AK20" s="10" t="s">
        <v>139</v>
      </c>
      <c r="AL20" s="10"/>
      <c r="AM20" s="10" t="s">
        <v>471</v>
      </c>
      <c r="AN20" s="10" t="s">
        <v>139</v>
      </c>
      <c r="AO20" s="10" t="s">
        <v>139</v>
      </c>
      <c r="AP20" s="10" t="s">
        <v>472</v>
      </c>
      <c r="AQ20" s="10" t="s">
        <v>139</v>
      </c>
      <c r="AR20" s="10" t="s">
        <v>139</v>
      </c>
      <c r="AS20" s="10" t="s">
        <v>139</v>
      </c>
      <c r="AT20" s="10" t="s">
        <v>472</v>
      </c>
      <c r="AU20" s="10" t="s">
        <v>471</v>
      </c>
      <c r="AV20" s="10" t="s">
        <v>139</v>
      </c>
      <c r="AW20" s="10" t="s">
        <v>471</v>
      </c>
      <c r="AX20" s="10" t="s">
        <v>139</v>
      </c>
      <c r="AY20" s="10" t="s">
        <v>139</v>
      </c>
      <c r="AZ20" s="10" t="s">
        <v>139</v>
      </c>
      <c r="BA20" s="10" t="s">
        <v>472</v>
      </c>
      <c r="BB20" s="76">
        <f t="shared" si="4"/>
        <v>27</v>
      </c>
      <c r="BC20" s="76">
        <f t="shared" si="6"/>
        <v>10</v>
      </c>
      <c r="BD20" t="s">
        <v>151</v>
      </c>
    </row>
    <row r="21" spans="1:56" x14ac:dyDescent="0.25">
      <c r="A21" s="10">
        <v>7</v>
      </c>
      <c r="B21">
        <v>2112</v>
      </c>
      <c r="C21" s="38">
        <v>46069.250821759262</v>
      </c>
      <c r="D21" s="7">
        <v>46069</v>
      </c>
      <c r="E21" s="98">
        <v>46069</v>
      </c>
      <c r="F21" s="99">
        <f t="shared" si="5"/>
        <v>2</v>
      </c>
      <c r="G21" s="99">
        <v>21</v>
      </c>
      <c r="H21" s="7" t="s">
        <v>469</v>
      </c>
      <c r="I21" t="s">
        <v>470</v>
      </c>
      <c r="J21" s="10" t="s">
        <v>139</v>
      </c>
      <c r="K21" s="10" t="s">
        <v>139</v>
      </c>
      <c r="L21" s="10" t="s">
        <v>139</v>
      </c>
      <c r="M21" s="10" t="s">
        <v>139</v>
      </c>
      <c r="N21" s="10" t="s">
        <v>471</v>
      </c>
      <c r="O21" s="10" t="s">
        <v>139</v>
      </c>
      <c r="P21" s="10" t="s">
        <v>139</v>
      </c>
      <c r="Q21" s="10" t="s">
        <v>139</v>
      </c>
      <c r="R21" s="10" t="s">
        <v>139</v>
      </c>
      <c r="S21" s="10" t="s">
        <v>139</v>
      </c>
      <c r="T21" s="10" t="s">
        <v>139</v>
      </c>
      <c r="U21" s="10" t="s">
        <v>139</v>
      </c>
      <c r="V21" s="10" t="s">
        <v>139</v>
      </c>
      <c r="W21" s="10" t="s">
        <v>471</v>
      </c>
      <c r="X21" s="10" t="s">
        <v>139</v>
      </c>
      <c r="Y21" s="10" t="s">
        <v>471</v>
      </c>
      <c r="Z21" s="10" t="s">
        <v>139</v>
      </c>
      <c r="AA21" s="10" t="s">
        <v>471</v>
      </c>
      <c r="AB21" s="10" t="s">
        <v>471</v>
      </c>
      <c r="AC21" s="10" t="s">
        <v>139</v>
      </c>
      <c r="AD21" s="10" t="s">
        <v>139</v>
      </c>
      <c r="AE21" s="10" t="s">
        <v>139</v>
      </c>
      <c r="AF21" s="10" t="s">
        <v>139</v>
      </c>
      <c r="AG21" s="10" t="s">
        <v>139</v>
      </c>
      <c r="AH21" s="10" t="s">
        <v>139</v>
      </c>
      <c r="AI21" s="10" t="s">
        <v>139</v>
      </c>
      <c r="AJ21" s="10" t="s">
        <v>471</v>
      </c>
      <c r="AK21" s="10" t="s">
        <v>471</v>
      </c>
      <c r="AL21" s="10"/>
      <c r="AM21" s="10" t="s">
        <v>472</v>
      </c>
      <c r="AN21" s="10" t="s">
        <v>139</v>
      </c>
      <c r="AO21" s="10" t="s">
        <v>139</v>
      </c>
      <c r="AP21" s="10" t="s">
        <v>471</v>
      </c>
      <c r="AQ21" s="10" t="s">
        <v>139</v>
      </c>
      <c r="AR21" s="10" t="s">
        <v>139</v>
      </c>
      <c r="AS21" s="10" t="s">
        <v>139</v>
      </c>
      <c r="AT21" s="10" t="s">
        <v>139</v>
      </c>
      <c r="AU21" s="10" t="s">
        <v>471</v>
      </c>
      <c r="AV21" s="10" t="s">
        <v>139</v>
      </c>
      <c r="AW21" s="10" t="s">
        <v>139</v>
      </c>
      <c r="AX21" s="10" t="s">
        <v>139</v>
      </c>
      <c r="AY21" s="10" t="s">
        <v>139</v>
      </c>
      <c r="AZ21" s="10" t="s">
        <v>139</v>
      </c>
      <c r="BA21" s="10" t="s">
        <v>472</v>
      </c>
      <c r="BB21" s="76">
        <f t="shared" si="4"/>
        <v>32</v>
      </c>
      <c r="BC21" s="76">
        <f t="shared" si="6"/>
        <v>8</v>
      </c>
      <c r="BD21" t="s">
        <v>151</v>
      </c>
    </row>
    <row r="22" spans="1:56" x14ac:dyDescent="0.25">
      <c r="A22" s="10">
        <v>8</v>
      </c>
      <c r="B22">
        <v>2113</v>
      </c>
      <c r="C22" s="38">
        <v>46076.251759259256</v>
      </c>
      <c r="D22" s="7">
        <v>46076</v>
      </c>
      <c r="E22" s="98">
        <v>46076</v>
      </c>
      <c r="F22" s="99">
        <f>MONTH($E22)</f>
        <v>2</v>
      </c>
      <c r="G22" s="99">
        <v>22</v>
      </c>
      <c r="H22" s="7" t="s">
        <v>469</v>
      </c>
      <c r="I22" t="s">
        <v>470</v>
      </c>
      <c r="J22" s="10" t="s">
        <v>139</v>
      </c>
      <c r="K22" s="10" t="s">
        <v>139</v>
      </c>
      <c r="L22" s="10" t="s">
        <v>139</v>
      </c>
      <c r="M22" s="10" t="s">
        <v>139</v>
      </c>
      <c r="N22" s="10" t="s">
        <v>139</v>
      </c>
      <c r="O22" s="10" t="s">
        <v>139</v>
      </c>
      <c r="P22" s="10" t="s">
        <v>139</v>
      </c>
      <c r="Q22" s="10" t="s">
        <v>139</v>
      </c>
      <c r="R22" s="10" t="s">
        <v>471</v>
      </c>
      <c r="S22" s="10" t="s">
        <v>471</v>
      </c>
      <c r="T22" s="10" t="s">
        <v>139</v>
      </c>
      <c r="U22" s="10" t="s">
        <v>139</v>
      </c>
      <c r="V22" s="10" t="s">
        <v>139</v>
      </c>
      <c r="W22" s="10" t="s">
        <v>471</v>
      </c>
      <c r="X22" s="10" t="s">
        <v>471</v>
      </c>
      <c r="Y22" s="10" t="s">
        <v>471</v>
      </c>
      <c r="Z22" s="10" t="s">
        <v>139</v>
      </c>
      <c r="AA22" s="10" t="s">
        <v>471</v>
      </c>
      <c r="AB22" s="10" t="s">
        <v>139</v>
      </c>
      <c r="AC22" s="10" t="s">
        <v>139</v>
      </c>
      <c r="AD22" s="10" t="s">
        <v>139</v>
      </c>
      <c r="AE22" s="10" t="s">
        <v>139</v>
      </c>
      <c r="AF22" s="10" t="s">
        <v>471</v>
      </c>
      <c r="AG22" s="10" t="s">
        <v>139</v>
      </c>
      <c r="AH22" s="10" t="s">
        <v>471</v>
      </c>
      <c r="AI22" s="10" t="s">
        <v>139</v>
      </c>
      <c r="AJ22" s="10" t="s">
        <v>139</v>
      </c>
      <c r="AK22" s="10" t="s">
        <v>471</v>
      </c>
      <c r="AL22" s="10"/>
      <c r="AM22" s="10" t="s">
        <v>139</v>
      </c>
      <c r="AN22" s="10" t="s">
        <v>471</v>
      </c>
      <c r="AO22" s="10" t="s">
        <v>139</v>
      </c>
      <c r="AP22" s="10" t="s">
        <v>471</v>
      </c>
      <c r="AQ22" s="10" t="s">
        <v>139</v>
      </c>
      <c r="AR22" s="10" t="s">
        <v>472</v>
      </c>
      <c r="AS22" s="10" t="s">
        <v>139</v>
      </c>
      <c r="AT22" s="10" t="s">
        <v>139</v>
      </c>
      <c r="AU22" s="10" t="s">
        <v>471</v>
      </c>
      <c r="AV22" s="10" t="s">
        <v>139</v>
      </c>
      <c r="AW22" s="10" t="s">
        <v>471</v>
      </c>
      <c r="AX22" s="10" t="s">
        <v>139</v>
      </c>
      <c r="AY22" s="10" t="s">
        <v>139</v>
      </c>
      <c r="AZ22" s="10" t="s">
        <v>471</v>
      </c>
      <c r="BA22" s="10" t="s">
        <v>472</v>
      </c>
      <c r="BB22" s="76">
        <f t="shared" si="4"/>
        <v>27</v>
      </c>
      <c r="BC22" s="76">
        <f>COUNTIF($J22:$AT22,"L")</f>
        <v>11</v>
      </c>
      <c r="BD22" t="s">
        <v>240</v>
      </c>
    </row>
    <row r="23" spans="1:56" x14ac:dyDescent="0.25">
      <c r="A23" s="10">
        <v>9</v>
      </c>
      <c r="B23">
        <v>2114</v>
      </c>
      <c r="C23" s="38">
        <v>46083.251192129632</v>
      </c>
      <c r="D23" s="7">
        <v>46083</v>
      </c>
      <c r="E23" s="98">
        <v>46083</v>
      </c>
      <c r="F23" s="99">
        <f>MONTH($E23)</f>
        <v>3</v>
      </c>
      <c r="G23" s="99">
        <v>23</v>
      </c>
      <c r="H23" s="7" t="s">
        <v>469</v>
      </c>
      <c r="I23" t="s">
        <v>470</v>
      </c>
      <c r="J23" s="10" t="s">
        <v>139</v>
      </c>
      <c r="K23" s="10" t="s">
        <v>139</v>
      </c>
      <c r="L23" s="10" t="s">
        <v>139</v>
      </c>
      <c r="M23" s="10" t="s">
        <v>139</v>
      </c>
      <c r="N23" s="10" t="s">
        <v>471</v>
      </c>
      <c r="O23" s="10" t="s">
        <v>139</v>
      </c>
      <c r="P23" s="10" t="s">
        <v>139</v>
      </c>
      <c r="Q23" s="10" t="s">
        <v>139</v>
      </c>
      <c r="R23" s="10" t="s">
        <v>139</v>
      </c>
      <c r="S23" s="10" t="s">
        <v>471</v>
      </c>
      <c r="T23" s="10" t="s">
        <v>139</v>
      </c>
      <c r="U23" s="10" t="s">
        <v>139</v>
      </c>
      <c r="V23" s="10" t="s">
        <v>139</v>
      </c>
      <c r="W23" s="10" t="s">
        <v>471</v>
      </c>
      <c r="X23" s="10" t="s">
        <v>471</v>
      </c>
      <c r="Y23" s="10" t="s">
        <v>139</v>
      </c>
      <c r="Z23" s="10" t="s">
        <v>139</v>
      </c>
      <c r="AA23" s="10" t="s">
        <v>139</v>
      </c>
      <c r="AB23" s="10" t="s">
        <v>139</v>
      </c>
      <c r="AC23" s="10" t="s">
        <v>139</v>
      </c>
      <c r="AD23" s="10" t="s">
        <v>139</v>
      </c>
      <c r="AE23" s="10" t="s">
        <v>139</v>
      </c>
      <c r="AF23" s="10" t="s">
        <v>139</v>
      </c>
      <c r="AG23" s="10" t="s">
        <v>471</v>
      </c>
      <c r="AH23" s="10" t="s">
        <v>139</v>
      </c>
      <c r="AI23" s="10" t="s">
        <v>139</v>
      </c>
      <c r="AJ23" s="10" t="s">
        <v>139</v>
      </c>
      <c r="AK23" s="10" t="s">
        <v>139</v>
      </c>
      <c r="AL23" s="10"/>
      <c r="AM23" s="10" t="s">
        <v>139</v>
      </c>
      <c r="AN23" s="10" t="s">
        <v>139</v>
      </c>
      <c r="AO23" s="10" t="s">
        <v>139</v>
      </c>
      <c r="AP23" s="10" t="s">
        <v>471</v>
      </c>
      <c r="AQ23" s="10" t="s">
        <v>139</v>
      </c>
      <c r="AR23" s="10" t="s">
        <v>139</v>
      </c>
      <c r="AS23" s="10" t="s">
        <v>139</v>
      </c>
      <c r="AT23" s="10" t="s">
        <v>139</v>
      </c>
      <c r="AU23" s="10" t="s">
        <v>471</v>
      </c>
      <c r="AV23" s="10" t="s">
        <v>139</v>
      </c>
      <c r="AW23" s="10" t="s">
        <v>471</v>
      </c>
      <c r="AX23" s="10" t="s">
        <v>139</v>
      </c>
      <c r="AY23" s="10" t="s">
        <v>139</v>
      </c>
      <c r="AZ23" s="10" t="s">
        <v>139</v>
      </c>
      <c r="BA23" s="10" t="s">
        <v>471</v>
      </c>
      <c r="BB23" s="76">
        <f>COUNTIF($J23:$AX23,"I")</f>
        <v>32</v>
      </c>
      <c r="BC23" s="76">
        <f>COUNTIF($J23:$AT23,"L")</f>
        <v>6</v>
      </c>
      <c r="BD23" t="s">
        <v>151</v>
      </c>
    </row>
    <row r="24" spans="1:56" x14ac:dyDescent="0.25">
      <c r="A24" s="10">
        <v>10</v>
      </c>
      <c r="B24">
        <v>2115</v>
      </c>
      <c r="C24" s="38">
        <v>46090.249722222223</v>
      </c>
      <c r="D24" s="7">
        <v>46090</v>
      </c>
      <c r="E24" s="98">
        <v>46090</v>
      </c>
      <c r="F24" s="99">
        <f>MONTH($E24)</f>
        <v>3</v>
      </c>
      <c r="G24" s="99">
        <v>24</v>
      </c>
      <c r="H24" s="7" t="s">
        <v>469</v>
      </c>
      <c r="I24" t="s">
        <v>470</v>
      </c>
      <c r="J24" s="10" t="s">
        <v>139</v>
      </c>
      <c r="K24" s="10" t="s">
        <v>139</v>
      </c>
      <c r="L24" s="10" t="s">
        <v>139</v>
      </c>
      <c r="M24" s="10" t="s">
        <v>139</v>
      </c>
      <c r="N24" s="10" t="s">
        <v>139</v>
      </c>
      <c r="O24" s="10" t="s">
        <v>471</v>
      </c>
      <c r="P24" s="10" t="s">
        <v>139</v>
      </c>
      <c r="Q24" s="10" t="s">
        <v>139</v>
      </c>
      <c r="R24" s="10" t="s">
        <v>471</v>
      </c>
      <c r="S24" s="10" t="s">
        <v>139</v>
      </c>
      <c r="T24" s="10" t="s">
        <v>139</v>
      </c>
      <c r="U24" s="10" t="s">
        <v>139</v>
      </c>
      <c r="V24" s="10" t="s">
        <v>139</v>
      </c>
      <c r="W24" s="10" t="s">
        <v>139</v>
      </c>
      <c r="X24" s="10" t="s">
        <v>471</v>
      </c>
      <c r="Y24" s="10" t="s">
        <v>139</v>
      </c>
      <c r="Z24" s="10" t="s">
        <v>471</v>
      </c>
      <c r="AA24" s="10" t="s">
        <v>139</v>
      </c>
      <c r="AB24" s="10" t="s">
        <v>471</v>
      </c>
      <c r="AC24" s="10" t="s">
        <v>139</v>
      </c>
      <c r="AD24" s="10" t="s">
        <v>139</v>
      </c>
      <c r="AE24" s="10" t="s">
        <v>139</v>
      </c>
      <c r="AF24" s="10" t="s">
        <v>139</v>
      </c>
      <c r="AG24" s="10" t="s">
        <v>471</v>
      </c>
      <c r="AH24" s="10" t="s">
        <v>139</v>
      </c>
      <c r="AI24" s="10" t="s">
        <v>139</v>
      </c>
      <c r="AJ24" s="10" t="s">
        <v>139</v>
      </c>
      <c r="AK24" s="10" t="s">
        <v>139</v>
      </c>
      <c r="AL24" s="10"/>
      <c r="AM24" s="10" t="s">
        <v>471</v>
      </c>
      <c r="AN24" s="10" t="s">
        <v>139</v>
      </c>
      <c r="AO24" s="10" t="s">
        <v>139</v>
      </c>
      <c r="AP24" s="10" t="s">
        <v>471</v>
      </c>
      <c r="AQ24" s="10" t="s">
        <v>139</v>
      </c>
      <c r="AR24" s="10" t="s">
        <v>139</v>
      </c>
      <c r="AS24" s="10" t="s">
        <v>139</v>
      </c>
      <c r="AT24" s="10" t="s">
        <v>139</v>
      </c>
      <c r="AU24" s="10" t="s">
        <v>471</v>
      </c>
      <c r="AV24" s="10" t="s">
        <v>139</v>
      </c>
      <c r="AW24" s="10" t="s">
        <v>139</v>
      </c>
      <c r="AX24" s="10" t="s">
        <v>471</v>
      </c>
      <c r="AY24" s="10" t="s">
        <v>139</v>
      </c>
      <c r="AZ24" s="10" t="s">
        <v>139</v>
      </c>
      <c r="BA24" s="10" t="s">
        <v>472</v>
      </c>
      <c r="BB24" s="76">
        <f>COUNTIF($J24:$AX24,"I")</f>
        <v>30</v>
      </c>
      <c r="BC24" s="76">
        <f>COUNTIF($J24:$AT24,"L")</f>
        <v>8</v>
      </c>
      <c r="BD24" t="s">
        <v>151</v>
      </c>
    </row>
  </sheetData>
  <conditionalFormatting sqref="J15:BA24">
    <cfRule type="containsText" dxfId="58" priority="1" operator="containsText" text="L">
      <formula>NOT(ISERROR(SEARCH("L",J15)))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8790-DB40-4391-AE4C-314C7DED030D}">
  <dimension ref="A1:BA1021"/>
  <sheetViews>
    <sheetView tabSelected="1" zoomScaleNormal="100" workbookViewId="0">
      <pane ySplit="2" topLeftCell="A127" activePane="bottomLeft" state="frozen"/>
      <selection activeCell="E1" sqref="E1"/>
      <selection pane="bottomLeft" activeCell="H150" sqref="H150"/>
    </sheetView>
  </sheetViews>
  <sheetFormatPr defaultRowHeight="15" x14ac:dyDescent="0.25"/>
  <cols>
    <col min="1" max="1" width="3.7109375" customWidth="1"/>
    <col min="2" max="2" width="5.28515625" customWidth="1"/>
    <col min="3" max="3" width="4.28515625" customWidth="1"/>
    <col min="4" max="4" width="11.42578125" bestFit="1" customWidth="1"/>
    <col min="5" max="5" width="35.7109375" customWidth="1"/>
    <col min="6" max="6" width="14.42578125" customWidth="1"/>
    <col min="7" max="7" width="4.140625" style="1" customWidth="1"/>
    <col min="8" max="32" width="3.7109375" style="1" customWidth="1"/>
    <col min="33" max="34" width="4.140625" style="1" customWidth="1"/>
    <col min="35" max="42" width="3.7109375" style="1" customWidth="1"/>
    <col min="43" max="50" width="3.7109375" style="115" customWidth="1"/>
    <col min="51" max="51" width="4.28515625" style="118" customWidth="1"/>
    <col min="52" max="52" width="0" style="3" hidden="1" customWidth="1"/>
    <col min="53" max="53" width="3.5703125" style="118" customWidth="1"/>
  </cols>
  <sheetData>
    <row r="1" spans="1:53" ht="159.75" customHeight="1" x14ac:dyDescent="0.25">
      <c r="A1" s="1" t="s">
        <v>76</v>
      </c>
      <c r="B1" s="1" t="s">
        <v>475</v>
      </c>
      <c r="C1" s="1" t="s">
        <v>476</v>
      </c>
      <c r="D1" s="68" t="s">
        <v>80</v>
      </c>
      <c r="E1" s="68" t="s">
        <v>477</v>
      </c>
      <c r="F1" s="68" t="s">
        <v>84</v>
      </c>
      <c r="G1" s="119" t="s">
        <v>21</v>
      </c>
      <c r="H1" s="119" t="s">
        <v>23</v>
      </c>
      <c r="I1" s="119" t="s">
        <v>24</v>
      </c>
      <c r="J1" s="119" t="s">
        <v>25</v>
      </c>
      <c r="K1" s="119" t="s">
        <v>27</v>
      </c>
      <c r="L1" s="119" t="s">
        <v>26</v>
      </c>
      <c r="M1" s="119" t="s">
        <v>29</v>
      </c>
      <c r="N1" s="119" t="s">
        <v>28</v>
      </c>
      <c r="O1" s="119" t="s">
        <v>37</v>
      </c>
      <c r="P1" s="119" t="s">
        <v>36</v>
      </c>
      <c r="Q1" s="119" t="s">
        <v>35</v>
      </c>
      <c r="R1" s="119" t="s">
        <v>32</v>
      </c>
      <c r="S1" s="119" t="s">
        <v>38</v>
      </c>
      <c r="T1" s="119" t="s">
        <v>30</v>
      </c>
      <c r="U1" s="119" t="s">
        <v>34</v>
      </c>
      <c r="V1" s="119" t="s">
        <v>45</v>
      </c>
      <c r="W1" s="119" t="s">
        <v>44</v>
      </c>
      <c r="X1" s="119" t="s">
        <v>40</v>
      </c>
      <c r="Y1" s="119" t="s">
        <v>43</v>
      </c>
      <c r="Z1" s="119" t="s">
        <v>50</v>
      </c>
      <c r="AA1" s="119" t="s">
        <v>626</v>
      </c>
      <c r="AB1" s="119" t="s">
        <v>49</v>
      </c>
      <c r="AC1" s="119" t="s">
        <v>47</v>
      </c>
      <c r="AD1" s="119" t="s">
        <v>39</v>
      </c>
      <c r="AE1" s="119" t="s">
        <v>51</v>
      </c>
      <c r="AF1" s="119" t="s">
        <v>46</v>
      </c>
      <c r="AG1" s="119" t="s">
        <v>42</v>
      </c>
      <c r="AH1" s="119" t="s">
        <v>48</v>
      </c>
      <c r="AI1" s="119" t="s">
        <v>41</v>
      </c>
      <c r="AJ1" s="119" t="s">
        <v>53</v>
      </c>
      <c r="AK1" s="119" t="s">
        <v>60</v>
      </c>
      <c r="AL1" s="119" t="s">
        <v>54</v>
      </c>
      <c r="AM1" s="119" t="s">
        <v>52</v>
      </c>
      <c r="AN1" s="119" t="s">
        <v>57</v>
      </c>
      <c r="AO1" s="119" t="s">
        <v>61</v>
      </c>
      <c r="AP1" s="119" t="s">
        <v>59</v>
      </c>
      <c r="AQ1" s="120" t="s">
        <v>56</v>
      </c>
      <c r="AR1" s="120" t="s">
        <v>64</v>
      </c>
      <c r="AS1" s="120" t="s">
        <v>65</v>
      </c>
      <c r="AT1" s="120" t="s">
        <v>62</v>
      </c>
      <c r="AU1" s="120" t="s">
        <v>63</v>
      </c>
      <c r="AV1" s="120" t="s">
        <v>66</v>
      </c>
      <c r="AW1" s="120" t="s">
        <v>67</v>
      </c>
      <c r="AX1" s="120" t="s">
        <v>68</v>
      </c>
      <c r="AY1" s="120" t="s">
        <v>98</v>
      </c>
      <c r="AZ1" s="3" t="s">
        <v>103</v>
      </c>
      <c r="BA1" s="126" t="s">
        <v>478</v>
      </c>
    </row>
    <row r="2" spans="1:53" x14ac:dyDescent="0.25">
      <c r="B2" s="68">
        <f>MAX(A3:A100109)</f>
        <v>133</v>
      </c>
      <c r="C2" s="68">
        <v>2</v>
      </c>
      <c r="D2" s="75"/>
      <c r="E2" s="75" t="s">
        <v>104</v>
      </c>
      <c r="F2" s="76">
        <f>(B2+1)</f>
        <v>134</v>
      </c>
      <c r="G2" s="36">
        <f>MAX($C$3:$C$1105)+1</f>
        <v>146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116"/>
      <c r="AD2" s="36"/>
      <c r="AE2" s="116"/>
      <c r="AF2" s="36"/>
      <c r="AG2" s="36"/>
      <c r="AH2" s="116"/>
      <c r="AI2" s="36"/>
      <c r="AJ2" s="36"/>
      <c r="AK2" s="116"/>
      <c r="AL2" s="36"/>
      <c r="AM2" s="36"/>
      <c r="AN2" s="3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8">
        <f t="shared" ref="AY2:AY33" si="0">COUNTIF($F2:$AX2, "I")</f>
        <v>0</v>
      </c>
      <c r="AZ2" s="118"/>
    </row>
    <row r="3" spans="1:53" x14ac:dyDescent="0.25">
      <c r="A3">
        <v>1</v>
      </c>
      <c r="B3">
        <v>1211</v>
      </c>
      <c r="C3">
        <v>4</v>
      </c>
      <c r="D3" s="7">
        <v>46023</v>
      </c>
      <c r="E3" s="7" t="s">
        <v>138</v>
      </c>
      <c r="F3" s="10" t="s">
        <v>136</v>
      </c>
      <c r="G3" s="36" t="s">
        <v>139</v>
      </c>
      <c r="H3" s="36"/>
      <c r="I3" s="36"/>
      <c r="J3" s="36" t="s">
        <v>139</v>
      </c>
      <c r="K3" s="36"/>
      <c r="L3" s="36"/>
      <c r="M3" s="36"/>
      <c r="N3" s="36" t="s">
        <v>139</v>
      </c>
      <c r="O3" s="116"/>
      <c r="P3" s="36"/>
      <c r="Q3" s="36"/>
      <c r="R3" s="36"/>
      <c r="S3" s="36"/>
      <c r="T3" s="36"/>
      <c r="U3" s="36" t="s">
        <v>139</v>
      </c>
      <c r="V3" s="36"/>
      <c r="W3" s="36"/>
      <c r="X3" s="36" t="s">
        <v>139</v>
      </c>
      <c r="Y3" s="36"/>
      <c r="Z3" s="36"/>
      <c r="AA3" s="36"/>
      <c r="AB3" s="36"/>
      <c r="AC3" s="116"/>
      <c r="AD3" s="36"/>
      <c r="AE3" s="116"/>
      <c r="AF3" s="36"/>
      <c r="AG3" s="36" t="s">
        <v>139</v>
      </c>
      <c r="AH3" s="116"/>
      <c r="AI3" s="36" t="s">
        <v>139</v>
      </c>
      <c r="AJ3" s="36" t="s">
        <v>139</v>
      </c>
      <c r="AK3" s="116"/>
      <c r="AL3" s="36"/>
      <c r="AM3" s="36"/>
      <c r="AN3" s="36"/>
      <c r="AO3" s="116" t="s">
        <v>139</v>
      </c>
      <c r="AP3" s="116"/>
      <c r="AQ3" s="116"/>
      <c r="AR3" s="116"/>
      <c r="AS3" s="116"/>
      <c r="AT3" s="116"/>
      <c r="AU3" s="116" t="s">
        <v>139</v>
      </c>
      <c r="AV3" s="116"/>
      <c r="AW3" s="116"/>
      <c r="AX3" s="116"/>
      <c r="AY3" s="118">
        <f t="shared" si="0"/>
        <v>10</v>
      </c>
      <c r="AZ3" s="118"/>
      <c r="BA3" s="118" t="s">
        <v>479</v>
      </c>
    </row>
    <row r="4" spans="1:53" x14ac:dyDescent="0.25">
      <c r="A4">
        <v>2</v>
      </c>
      <c r="B4">
        <v>1212</v>
      </c>
      <c r="C4">
        <v>5</v>
      </c>
      <c r="D4" s="7">
        <v>46023</v>
      </c>
      <c r="E4" s="7" t="s">
        <v>143</v>
      </c>
      <c r="F4" s="10" t="s">
        <v>141</v>
      </c>
      <c r="G4" s="36" t="s">
        <v>139</v>
      </c>
      <c r="H4" s="36"/>
      <c r="I4" s="36"/>
      <c r="J4" s="36" t="s">
        <v>139</v>
      </c>
      <c r="K4" s="36"/>
      <c r="L4" s="36"/>
      <c r="M4" s="36" t="s">
        <v>139</v>
      </c>
      <c r="N4" s="36" t="s">
        <v>139</v>
      </c>
      <c r="O4" s="116"/>
      <c r="P4" s="36"/>
      <c r="Q4" s="36" t="s">
        <v>139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 t="s">
        <v>139</v>
      </c>
      <c r="AC4" s="116"/>
      <c r="AD4" s="36"/>
      <c r="AE4" s="116"/>
      <c r="AF4" s="36" t="s">
        <v>139</v>
      </c>
      <c r="AG4" s="36" t="s">
        <v>139</v>
      </c>
      <c r="AH4" s="116" t="s">
        <v>139</v>
      </c>
      <c r="AI4" s="36"/>
      <c r="AJ4" s="36" t="s">
        <v>139</v>
      </c>
      <c r="AK4" s="116"/>
      <c r="AL4" s="36"/>
      <c r="AM4" s="36"/>
      <c r="AN4" s="36"/>
      <c r="AO4" s="116"/>
      <c r="AP4" s="116"/>
      <c r="AQ4" s="116"/>
      <c r="AR4" s="116"/>
      <c r="AS4" s="116"/>
      <c r="AT4" s="116"/>
      <c r="AU4" s="116" t="s">
        <v>139</v>
      </c>
      <c r="AV4" s="116"/>
      <c r="AW4" s="116"/>
      <c r="AX4" s="116"/>
      <c r="AY4" s="118">
        <f t="shared" si="0"/>
        <v>11</v>
      </c>
      <c r="AZ4" s="118"/>
      <c r="BA4" s="118" t="s">
        <v>480</v>
      </c>
    </row>
    <row r="5" spans="1:53" x14ac:dyDescent="0.25">
      <c r="A5">
        <v>3</v>
      </c>
      <c r="B5">
        <v>1213</v>
      </c>
      <c r="C5">
        <v>6</v>
      </c>
      <c r="D5" s="7">
        <v>46024</v>
      </c>
      <c r="E5" s="7" t="s">
        <v>147</v>
      </c>
      <c r="F5" s="10" t="s">
        <v>145</v>
      </c>
      <c r="G5" s="36"/>
      <c r="H5" s="36" t="s">
        <v>139</v>
      </c>
      <c r="I5" s="36"/>
      <c r="J5" s="36" t="s">
        <v>139</v>
      </c>
      <c r="K5" s="36"/>
      <c r="L5" s="36"/>
      <c r="M5" s="36"/>
      <c r="N5" s="36"/>
      <c r="O5" s="116"/>
      <c r="P5" s="36"/>
      <c r="Q5" s="36"/>
      <c r="R5" s="36"/>
      <c r="S5" s="36"/>
      <c r="T5" s="36"/>
      <c r="U5" s="36" t="s">
        <v>139</v>
      </c>
      <c r="V5" s="36"/>
      <c r="W5" s="36"/>
      <c r="X5" s="36"/>
      <c r="Y5" s="36" t="s">
        <v>139</v>
      </c>
      <c r="Z5" s="36"/>
      <c r="AA5" s="36"/>
      <c r="AB5" s="36"/>
      <c r="AC5" s="116"/>
      <c r="AD5" s="36"/>
      <c r="AE5" s="116"/>
      <c r="AF5" s="36"/>
      <c r="AG5" s="36"/>
      <c r="AH5" s="116" t="s">
        <v>139</v>
      </c>
      <c r="AI5" s="36"/>
      <c r="AJ5" s="36"/>
      <c r="AK5" s="116" t="s">
        <v>139</v>
      </c>
      <c r="AL5" s="36"/>
      <c r="AM5" s="36"/>
      <c r="AN5" s="36"/>
      <c r="AO5" s="116" t="s">
        <v>139</v>
      </c>
      <c r="AP5" s="116"/>
      <c r="AQ5" s="116"/>
      <c r="AR5" s="116"/>
      <c r="AS5" s="116"/>
      <c r="AT5" s="116"/>
      <c r="AU5" s="116" t="s">
        <v>139</v>
      </c>
      <c r="AV5" s="116"/>
      <c r="AW5" s="116"/>
      <c r="AX5" s="116"/>
      <c r="AY5" s="118">
        <f t="shared" si="0"/>
        <v>8</v>
      </c>
      <c r="AZ5" s="118"/>
      <c r="BA5" s="118" t="s">
        <v>479</v>
      </c>
    </row>
    <row r="6" spans="1:53" x14ac:dyDescent="0.25">
      <c r="A6">
        <v>4</v>
      </c>
      <c r="B6">
        <v>1214</v>
      </c>
      <c r="C6">
        <v>7</v>
      </c>
      <c r="D6" s="7">
        <v>46024</v>
      </c>
      <c r="E6" s="7" t="s">
        <v>150</v>
      </c>
      <c r="F6" s="10" t="s">
        <v>149</v>
      </c>
      <c r="G6" s="36" t="s">
        <v>139</v>
      </c>
      <c r="H6" s="36" t="s">
        <v>139</v>
      </c>
      <c r="I6" s="36"/>
      <c r="J6" s="36" t="s">
        <v>139</v>
      </c>
      <c r="K6" s="36"/>
      <c r="L6" s="36"/>
      <c r="M6" s="36"/>
      <c r="N6" s="36"/>
      <c r="O6" s="116"/>
      <c r="P6" s="36"/>
      <c r="Q6" s="36"/>
      <c r="R6" s="36"/>
      <c r="S6" s="36"/>
      <c r="T6" s="36"/>
      <c r="U6" s="36"/>
      <c r="V6" s="36" t="s">
        <v>139</v>
      </c>
      <c r="W6" s="36"/>
      <c r="X6" s="36"/>
      <c r="Y6" s="36"/>
      <c r="Z6" s="36"/>
      <c r="AA6" s="36"/>
      <c r="AB6" s="36"/>
      <c r="AC6" s="116"/>
      <c r="AD6" s="36"/>
      <c r="AE6" s="116"/>
      <c r="AF6" s="36" t="s">
        <v>139</v>
      </c>
      <c r="AG6" s="36" t="s">
        <v>139</v>
      </c>
      <c r="AH6" s="116" t="s">
        <v>139</v>
      </c>
      <c r="AI6" s="36"/>
      <c r="AJ6" s="36"/>
      <c r="AK6" s="116" t="s">
        <v>139</v>
      </c>
      <c r="AL6" s="36"/>
      <c r="AM6" s="36" t="s">
        <v>139</v>
      </c>
      <c r="AN6" s="36"/>
      <c r="AO6" s="116"/>
      <c r="AP6" s="116"/>
      <c r="AQ6" s="116"/>
      <c r="AR6" s="116"/>
      <c r="AS6" s="116" t="s">
        <v>139</v>
      </c>
      <c r="AT6" s="116"/>
      <c r="AU6" s="116" t="s">
        <v>139</v>
      </c>
      <c r="AV6" s="116"/>
      <c r="AW6" s="116"/>
      <c r="AX6" s="116"/>
      <c r="AY6" s="118">
        <f t="shared" si="0"/>
        <v>11</v>
      </c>
      <c r="AZ6" s="118"/>
      <c r="BA6" s="118" t="s">
        <v>479</v>
      </c>
    </row>
    <row r="7" spans="1:53" x14ac:dyDescent="0.25">
      <c r="A7">
        <v>5</v>
      </c>
      <c r="B7">
        <v>1215</v>
      </c>
      <c r="C7">
        <v>8</v>
      </c>
      <c r="D7" s="7">
        <v>46024</v>
      </c>
      <c r="E7" s="7" t="s">
        <v>154</v>
      </c>
      <c r="F7" s="10" t="s">
        <v>152</v>
      </c>
      <c r="G7" s="36" t="s">
        <v>139</v>
      </c>
      <c r="H7" s="36" t="s">
        <v>139</v>
      </c>
      <c r="I7" s="36"/>
      <c r="J7" s="36" t="s">
        <v>139</v>
      </c>
      <c r="K7" s="36"/>
      <c r="L7" s="36" t="s">
        <v>139</v>
      </c>
      <c r="M7" s="36" t="s">
        <v>139</v>
      </c>
      <c r="N7" s="36" t="s">
        <v>139</v>
      </c>
      <c r="O7" s="116"/>
      <c r="P7" s="36"/>
      <c r="Q7" s="36" t="s">
        <v>139</v>
      </c>
      <c r="R7" s="36" t="s">
        <v>139</v>
      </c>
      <c r="S7" s="36"/>
      <c r="T7" s="36"/>
      <c r="U7" s="36"/>
      <c r="V7" s="36" t="s">
        <v>139</v>
      </c>
      <c r="W7" s="36"/>
      <c r="X7" s="36"/>
      <c r="Y7" s="36"/>
      <c r="Z7" s="36"/>
      <c r="AA7" s="36"/>
      <c r="AB7" s="36" t="s">
        <v>139</v>
      </c>
      <c r="AC7" s="116"/>
      <c r="AD7" s="36"/>
      <c r="AE7" s="116"/>
      <c r="AF7" s="36" t="s">
        <v>139</v>
      </c>
      <c r="AG7" s="36"/>
      <c r="AH7" s="116"/>
      <c r="AI7" s="36"/>
      <c r="AJ7" s="36"/>
      <c r="AK7" s="116" t="s">
        <v>139</v>
      </c>
      <c r="AL7" s="36"/>
      <c r="AM7" s="36"/>
      <c r="AN7" s="36"/>
      <c r="AO7" s="116"/>
      <c r="AP7" s="116"/>
      <c r="AQ7" s="116"/>
      <c r="AR7" s="116"/>
      <c r="AS7" s="116"/>
      <c r="AT7" s="116"/>
      <c r="AU7" s="116" t="s">
        <v>139</v>
      </c>
      <c r="AV7" s="116"/>
      <c r="AW7" s="116"/>
      <c r="AX7" s="116"/>
      <c r="AY7" s="118">
        <f t="shared" si="0"/>
        <v>13</v>
      </c>
      <c r="AZ7" s="118"/>
      <c r="BA7" s="118" t="s">
        <v>479</v>
      </c>
    </row>
    <row r="8" spans="1:53" x14ac:dyDescent="0.25">
      <c r="A8">
        <v>6</v>
      </c>
      <c r="B8">
        <v>1216</v>
      </c>
      <c r="C8">
        <v>9</v>
      </c>
      <c r="D8" s="7">
        <v>46027</v>
      </c>
      <c r="E8" s="7" t="s">
        <v>157</v>
      </c>
      <c r="F8" s="10" t="s">
        <v>156</v>
      </c>
      <c r="G8" s="36"/>
      <c r="H8" s="36"/>
      <c r="I8" s="36"/>
      <c r="J8" s="36" t="s">
        <v>139</v>
      </c>
      <c r="K8" s="36"/>
      <c r="L8" s="36" t="s">
        <v>139</v>
      </c>
      <c r="M8" s="36"/>
      <c r="N8" s="36"/>
      <c r="O8" s="116" t="s">
        <v>139</v>
      </c>
      <c r="P8" s="36"/>
      <c r="Q8" s="36"/>
      <c r="R8" s="36"/>
      <c r="S8" s="36"/>
      <c r="T8" s="36"/>
      <c r="U8" s="36" t="s">
        <v>139</v>
      </c>
      <c r="V8" s="36"/>
      <c r="W8" s="36"/>
      <c r="X8" s="36"/>
      <c r="Y8" s="36"/>
      <c r="Z8" s="36"/>
      <c r="AA8" s="36"/>
      <c r="AB8" s="36"/>
      <c r="AC8" s="116" t="s">
        <v>139</v>
      </c>
      <c r="AD8" s="36"/>
      <c r="AE8" s="116"/>
      <c r="AF8" s="36"/>
      <c r="AG8" s="36" t="s">
        <v>139</v>
      </c>
      <c r="AH8" s="116"/>
      <c r="AI8" s="36"/>
      <c r="AJ8" s="36"/>
      <c r="AK8" s="116" t="s">
        <v>139</v>
      </c>
      <c r="AL8" s="36" t="s">
        <v>139</v>
      </c>
      <c r="AM8" s="36"/>
      <c r="AN8" s="36"/>
      <c r="AO8" s="116"/>
      <c r="AP8" s="116"/>
      <c r="AQ8" s="116"/>
      <c r="AR8" s="116"/>
      <c r="AS8" s="116"/>
      <c r="AT8" s="116"/>
      <c r="AU8" s="116" t="s">
        <v>139</v>
      </c>
      <c r="AV8" s="116"/>
      <c r="AW8" s="116"/>
      <c r="AX8" s="116"/>
      <c r="AY8" s="118">
        <f t="shared" si="0"/>
        <v>9</v>
      </c>
      <c r="AZ8" s="118"/>
      <c r="BA8" s="118" t="s">
        <v>479</v>
      </c>
    </row>
    <row r="9" spans="1:53" x14ac:dyDescent="0.25">
      <c r="A9">
        <v>7</v>
      </c>
      <c r="B9">
        <v>1217</v>
      </c>
      <c r="C9">
        <v>10</v>
      </c>
      <c r="D9" s="7">
        <v>46027</v>
      </c>
      <c r="E9" s="7" t="s">
        <v>159</v>
      </c>
      <c r="F9" s="10" t="s">
        <v>158</v>
      </c>
      <c r="G9" s="36"/>
      <c r="H9" s="36"/>
      <c r="I9" s="36"/>
      <c r="J9" s="36" t="s">
        <v>139</v>
      </c>
      <c r="K9" s="36"/>
      <c r="L9" s="36" t="s">
        <v>139</v>
      </c>
      <c r="M9" s="36"/>
      <c r="N9" s="36"/>
      <c r="O9" s="116" t="s">
        <v>139</v>
      </c>
      <c r="P9" s="36"/>
      <c r="Q9" s="36"/>
      <c r="R9" s="36"/>
      <c r="S9" s="36"/>
      <c r="T9" s="36"/>
      <c r="U9" s="36" t="s">
        <v>139</v>
      </c>
      <c r="V9" s="36"/>
      <c r="W9" s="36"/>
      <c r="X9" s="36"/>
      <c r="Y9" s="36"/>
      <c r="Z9" s="36"/>
      <c r="AA9" s="36"/>
      <c r="AB9" s="36"/>
      <c r="AC9" s="116"/>
      <c r="AD9" s="36"/>
      <c r="AE9" s="116"/>
      <c r="AF9" s="36"/>
      <c r="AG9" s="36" t="s">
        <v>139</v>
      </c>
      <c r="AH9" s="116"/>
      <c r="AI9" s="36"/>
      <c r="AJ9" s="36"/>
      <c r="AK9" s="116" t="s">
        <v>139</v>
      </c>
      <c r="AL9" s="36"/>
      <c r="AM9" s="36"/>
      <c r="AN9" s="36"/>
      <c r="AO9" s="116"/>
      <c r="AP9" s="116"/>
      <c r="AQ9" s="116"/>
      <c r="AR9" s="116" t="s">
        <v>139</v>
      </c>
      <c r="AS9" s="116"/>
      <c r="AT9" s="116"/>
      <c r="AU9" s="116" t="s">
        <v>139</v>
      </c>
      <c r="AV9" s="116"/>
      <c r="AW9" s="116"/>
      <c r="AX9" s="116"/>
      <c r="AY9" s="118">
        <f t="shared" si="0"/>
        <v>8</v>
      </c>
      <c r="AZ9" s="118"/>
      <c r="BA9" s="118" t="s">
        <v>479</v>
      </c>
    </row>
    <row r="10" spans="1:53" x14ac:dyDescent="0.25">
      <c r="A10">
        <v>8</v>
      </c>
      <c r="B10">
        <v>1218</v>
      </c>
      <c r="C10">
        <v>11</v>
      </c>
      <c r="D10" s="7">
        <v>46028</v>
      </c>
      <c r="E10" s="7" t="s">
        <v>162</v>
      </c>
      <c r="F10" s="10" t="s">
        <v>160</v>
      </c>
      <c r="G10" s="36"/>
      <c r="H10" s="36"/>
      <c r="I10" s="36"/>
      <c r="J10" s="36" t="s">
        <v>139</v>
      </c>
      <c r="K10" s="36"/>
      <c r="L10" s="36"/>
      <c r="M10" s="36"/>
      <c r="N10" s="36"/>
      <c r="O10" s="11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 t="s">
        <v>139</v>
      </c>
      <c r="AC10" s="116" t="s">
        <v>139</v>
      </c>
      <c r="AD10" s="36"/>
      <c r="AE10" s="116" t="s">
        <v>139</v>
      </c>
      <c r="AF10" s="36"/>
      <c r="AG10" s="36"/>
      <c r="AH10" s="116"/>
      <c r="AI10" s="36"/>
      <c r="AJ10" s="36"/>
      <c r="AK10" s="116" t="s">
        <v>139</v>
      </c>
      <c r="AL10" s="36" t="s">
        <v>139</v>
      </c>
      <c r="AM10" s="36"/>
      <c r="AN10" s="36"/>
      <c r="AO10" s="116" t="s">
        <v>139</v>
      </c>
      <c r="AP10" s="116"/>
      <c r="AQ10" s="116" t="s">
        <v>139</v>
      </c>
      <c r="AR10" s="116"/>
      <c r="AS10" s="116"/>
      <c r="AT10" s="116"/>
      <c r="AU10" s="116" t="s">
        <v>139</v>
      </c>
      <c r="AV10" s="116"/>
      <c r="AW10" s="116"/>
      <c r="AX10" s="116"/>
      <c r="AY10" s="118">
        <f t="shared" si="0"/>
        <v>9</v>
      </c>
      <c r="AZ10" s="118"/>
      <c r="BA10" s="118" t="s">
        <v>479</v>
      </c>
    </row>
    <row r="11" spans="1:53" x14ac:dyDescent="0.25">
      <c r="A11">
        <v>9</v>
      </c>
      <c r="B11">
        <v>1219</v>
      </c>
      <c r="C11">
        <v>12</v>
      </c>
      <c r="D11" s="7">
        <v>46028</v>
      </c>
      <c r="E11" s="7" t="s">
        <v>165</v>
      </c>
      <c r="F11" s="10" t="s">
        <v>164</v>
      </c>
      <c r="G11" s="36" t="s">
        <v>139</v>
      </c>
      <c r="H11" s="36"/>
      <c r="I11" s="36"/>
      <c r="J11" s="36" t="s">
        <v>139</v>
      </c>
      <c r="K11" s="36"/>
      <c r="L11" s="36"/>
      <c r="M11" s="36" t="s">
        <v>139</v>
      </c>
      <c r="N11" s="36" t="s">
        <v>139</v>
      </c>
      <c r="O11" s="116"/>
      <c r="P11" s="36"/>
      <c r="Q11" s="36" t="s">
        <v>139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 t="s">
        <v>139</v>
      </c>
      <c r="AC11" s="116" t="s">
        <v>139</v>
      </c>
      <c r="AD11" s="36"/>
      <c r="AE11" s="116" t="s">
        <v>139</v>
      </c>
      <c r="AF11" s="36"/>
      <c r="AG11" s="36"/>
      <c r="AH11" s="116"/>
      <c r="AI11" s="36" t="s">
        <v>139</v>
      </c>
      <c r="AJ11" s="36"/>
      <c r="AK11" s="116" t="s">
        <v>139</v>
      </c>
      <c r="AL11" s="36" t="s">
        <v>139</v>
      </c>
      <c r="AM11" s="36" t="s">
        <v>139</v>
      </c>
      <c r="AN11" s="36"/>
      <c r="AO11" s="116"/>
      <c r="AP11" s="116"/>
      <c r="AQ11" s="116"/>
      <c r="AR11" s="116"/>
      <c r="AS11" s="116"/>
      <c r="AT11" s="116"/>
      <c r="AU11" s="116" t="s">
        <v>139</v>
      </c>
      <c r="AV11" s="116"/>
      <c r="AW11" s="116"/>
      <c r="AX11" s="116"/>
      <c r="AY11" s="118">
        <f t="shared" si="0"/>
        <v>13</v>
      </c>
      <c r="AZ11" s="118"/>
      <c r="BA11" s="118" t="s">
        <v>479</v>
      </c>
    </row>
    <row r="12" spans="1:53" x14ac:dyDescent="0.25">
      <c r="A12">
        <v>10</v>
      </c>
      <c r="B12">
        <v>1220</v>
      </c>
      <c r="C12">
        <v>13</v>
      </c>
      <c r="D12" s="7">
        <v>46029</v>
      </c>
      <c r="E12" s="7" t="s">
        <v>167</v>
      </c>
      <c r="F12" s="10" t="s">
        <v>166</v>
      </c>
      <c r="G12" s="36"/>
      <c r="H12" s="36"/>
      <c r="I12" s="36"/>
      <c r="J12" s="36" t="s">
        <v>139</v>
      </c>
      <c r="K12" s="36"/>
      <c r="L12" s="36" t="s">
        <v>139</v>
      </c>
      <c r="M12" s="36"/>
      <c r="N12" s="36"/>
      <c r="O12" s="116"/>
      <c r="P12" s="36"/>
      <c r="Q12" s="36"/>
      <c r="R12" s="36"/>
      <c r="S12" s="36"/>
      <c r="T12" s="36"/>
      <c r="U12" s="36" t="s">
        <v>139</v>
      </c>
      <c r="V12" s="36"/>
      <c r="W12" s="36"/>
      <c r="X12" s="36"/>
      <c r="Y12" s="36"/>
      <c r="Z12" s="36"/>
      <c r="AA12" s="36"/>
      <c r="AB12" s="36"/>
      <c r="AC12" s="116"/>
      <c r="AD12" s="36"/>
      <c r="AE12" s="116" t="s">
        <v>139</v>
      </c>
      <c r="AF12" s="36"/>
      <c r="AG12" s="36"/>
      <c r="AH12" s="116"/>
      <c r="AI12" s="36"/>
      <c r="AJ12" s="36"/>
      <c r="AK12" s="116" t="s">
        <v>139</v>
      </c>
      <c r="AL12" s="36" t="s">
        <v>139</v>
      </c>
      <c r="AM12" s="36" t="s">
        <v>139</v>
      </c>
      <c r="AN12" s="36"/>
      <c r="AO12" s="116" t="s">
        <v>139</v>
      </c>
      <c r="AP12" s="116"/>
      <c r="AQ12" s="116"/>
      <c r="AR12" s="116"/>
      <c r="AS12" s="116"/>
      <c r="AT12" s="116"/>
      <c r="AU12" s="116" t="s">
        <v>139</v>
      </c>
      <c r="AV12" s="116"/>
      <c r="AW12" s="116"/>
      <c r="AX12" s="116"/>
      <c r="AY12" s="118">
        <f t="shared" si="0"/>
        <v>9</v>
      </c>
      <c r="AZ12" s="118"/>
      <c r="BA12" s="118" t="s">
        <v>479</v>
      </c>
    </row>
    <row r="13" spans="1:53" x14ac:dyDescent="0.25">
      <c r="A13">
        <v>11</v>
      </c>
      <c r="B13">
        <v>1221</v>
      </c>
      <c r="C13">
        <v>14</v>
      </c>
      <c r="D13" s="7">
        <v>46028</v>
      </c>
      <c r="E13" s="7" t="s">
        <v>170</v>
      </c>
      <c r="F13" s="10" t="s">
        <v>168</v>
      </c>
      <c r="G13" s="36" t="s">
        <v>139</v>
      </c>
      <c r="H13" s="36" t="s">
        <v>139</v>
      </c>
      <c r="I13" s="36"/>
      <c r="J13" s="36" t="s">
        <v>139</v>
      </c>
      <c r="K13" s="36"/>
      <c r="L13" s="36" t="s">
        <v>139</v>
      </c>
      <c r="M13" s="36"/>
      <c r="N13" s="36" t="s">
        <v>139</v>
      </c>
      <c r="O13" s="116"/>
      <c r="P13" s="36" t="s">
        <v>139</v>
      </c>
      <c r="Q13" s="36"/>
      <c r="R13" s="36"/>
      <c r="S13" s="36"/>
      <c r="T13" s="36"/>
      <c r="U13" s="36" t="s">
        <v>139</v>
      </c>
      <c r="V13" s="36"/>
      <c r="W13" s="36"/>
      <c r="X13" s="36"/>
      <c r="Y13" s="36" t="s">
        <v>139</v>
      </c>
      <c r="Z13" s="36"/>
      <c r="AA13" s="36"/>
      <c r="AB13" s="36"/>
      <c r="AC13" s="116"/>
      <c r="AD13" s="36"/>
      <c r="AE13" s="116"/>
      <c r="AF13" s="36"/>
      <c r="AG13" s="36"/>
      <c r="AH13" s="116" t="s">
        <v>139</v>
      </c>
      <c r="AI13" s="36"/>
      <c r="AJ13" s="36"/>
      <c r="AK13" s="116"/>
      <c r="AL13" s="36" t="s">
        <v>139</v>
      </c>
      <c r="AM13" s="36"/>
      <c r="AN13" s="36" t="s">
        <v>139</v>
      </c>
      <c r="AO13" s="116"/>
      <c r="AP13" s="116"/>
      <c r="AQ13" s="116"/>
      <c r="AR13" s="116" t="s">
        <v>139</v>
      </c>
      <c r="AS13" s="116"/>
      <c r="AT13" s="116"/>
      <c r="AU13" s="116"/>
      <c r="AV13" s="116"/>
      <c r="AW13" s="116"/>
      <c r="AX13" s="116"/>
      <c r="AY13" s="118">
        <f t="shared" si="0"/>
        <v>12</v>
      </c>
      <c r="AZ13" s="118"/>
      <c r="BA13" s="118" t="s">
        <v>479</v>
      </c>
    </row>
    <row r="14" spans="1:53" x14ac:dyDescent="0.25">
      <c r="A14">
        <v>12</v>
      </c>
      <c r="B14">
        <v>1222</v>
      </c>
      <c r="C14">
        <v>15</v>
      </c>
      <c r="D14" s="7">
        <v>46028</v>
      </c>
      <c r="E14" s="7" t="s">
        <v>173</v>
      </c>
      <c r="F14" s="10" t="s">
        <v>172</v>
      </c>
      <c r="G14" s="36"/>
      <c r="H14" s="36" t="s">
        <v>139</v>
      </c>
      <c r="I14" s="36"/>
      <c r="J14" s="36" t="s">
        <v>139</v>
      </c>
      <c r="K14" s="36"/>
      <c r="L14" s="36" t="s">
        <v>139</v>
      </c>
      <c r="M14" s="36"/>
      <c r="N14" s="36" t="s">
        <v>139</v>
      </c>
      <c r="O14" s="116"/>
      <c r="P14" s="36"/>
      <c r="Q14" s="36"/>
      <c r="R14" s="36"/>
      <c r="S14" s="36"/>
      <c r="T14" s="36"/>
      <c r="U14" s="36" t="s">
        <v>139</v>
      </c>
      <c r="V14" s="36" t="s">
        <v>139</v>
      </c>
      <c r="W14" s="36"/>
      <c r="X14" s="36"/>
      <c r="Y14" s="36"/>
      <c r="Z14" s="36"/>
      <c r="AA14" s="36"/>
      <c r="AB14" s="36"/>
      <c r="AC14" s="116"/>
      <c r="AD14" s="36"/>
      <c r="AE14" s="116"/>
      <c r="AF14" s="36"/>
      <c r="AG14" s="36" t="s">
        <v>139</v>
      </c>
      <c r="AH14" s="116"/>
      <c r="AI14" s="36"/>
      <c r="AJ14" s="36"/>
      <c r="AK14" s="116"/>
      <c r="AL14" s="36" t="s">
        <v>139</v>
      </c>
      <c r="AM14" s="36" t="s">
        <v>139</v>
      </c>
      <c r="AN14" s="3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8">
        <f t="shared" si="0"/>
        <v>9</v>
      </c>
      <c r="AZ14" s="118"/>
      <c r="BA14" s="118" t="s">
        <v>479</v>
      </c>
    </row>
    <row r="15" spans="1:53" x14ac:dyDescent="0.25">
      <c r="A15">
        <v>13</v>
      </c>
      <c r="B15">
        <v>1223</v>
      </c>
      <c r="C15">
        <v>16</v>
      </c>
      <c r="D15" s="7">
        <v>46028</v>
      </c>
      <c r="E15" s="7" t="s">
        <v>175</v>
      </c>
      <c r="F15" s="10" t="s">
        <v>174</v>
      </c>
      <c r="G15" s="36"/>
      <c r="H15" s="36" t="s">
        <v>139</v>
      </c>
      <c r="I15" s="36"/>
      <c r="J15" s="36" t="s">
        <v>139</v>
      </c>
      <c r="K15" s="36"/>
      <c r="L15" s="36"/>
      <c r="M15" s="36" t="s">
        <v>139</v>
      </c>
      <c r="N15" s="36" t="s">
        <v>139</v>
      </c>
      <c r="O15" s="116"/>
      <c r="P15" s="36"/>
      <c r="Q15" s="36" t="s">
        <v>139</v>
      </c>
      <c r="R15" s="36"/>
      <c r="S15" s="36"/>
      <c r="T15" s="36"/>
      <c r="U15" s="36" t="s">
        <v>139</v>
      </c>
      <c r="V15" s="36"/>
      <c r="W15" s="36"/>
      <c r="X15" s="36"/>
      <c r="Y15" s="36" t="s">
        <v>139</v>
      </c>
      <c r="Z15" s="36"/>
      <c r="AA15" s="36"/>
      <c r="AB15" s="36"/>
      <c r="AC15" s="116"/>
      <c r="AD15" s="36"/>
      <c r="AE15" s="116"/>
      <c r="AF15" s="36"/>
      <c r="AG15" s="36" t="s">
        <v>139</v>
      </c>
      <c r="AH15" s="116" t="s">
        <v>139</v>
      </c>
      <c r="AI15" s="36"/>
      <c r="AJ15" s="36" t="s">
        <v>139</v>
      </c>
      <c r="AK15" s="116"/>
      <c r="AL15" s="36" t="s">
        <v>139</v>
      </c>
      <c r="AM15" s="36" t="s">
        <v>139</v>
      </c>
      <c r="AN15" s="36" t="s">
        <v>139</v>
      </c>
      <c r="AO15" s="116"/>
      <c r="AP15" s="116"/>
      <c r="AQ15" s="116"/>
      <c r="AR15" s="116" t="s">
        <v>139</v>
      </c>
      <c r="AS15" s="116"/>
      <c r="AT15" s="116"/>
      <c r="AU15" s="116"/>
      <c r="AV15" s="116"/>
      <c r="AW15" s="116"/>
      <c r="AX15" s="116"/>
      <c r="AY15" s="118">
        <f t="shared" si="0"/>
        <v>14</v>
      </c>
      <c r="AZ15" s="118"/>
      <c r="BA15" s="118" t="s">
        <v>479</v>
      </c>
    </row>
    <row r="16" spans="1:53" x14ac:dyDescent="0.25">
      <c r="A16">
        <v>14</v>
      </c>
      <c r="B16">
        <v>1224</v>
      </c>
      <c r="C16">
        <v>17</v>
      </c>
      <c r="D16" s="7">
        <v>46031</v>
      </c>
      <c r="E16" s="7" t="s">
        <v>178</v>
      </c>
      <c r="F16" s="10" t="s">
        <v>177</v>
      </c>
      <c r="G16" s="36" t="s">
        <v>139</v>
      </c>
      <c r="H16" s="36" t="s">
        <v>139</v>
      </c>
      <c r="I16" s="36"/>
      <c r="J16" s="36"/>
      <c r="K16" s="36"/>
      <c r="L16" s="36"/>
      <c r="M16" s="36"/>
      <c r="N16" s="36" t="s">
        <v>139</v>
      </c>
      <c r="O16" s="116"/>
      <c r="P16" s="36"/>
      <c r="Q16" s="36"/>
      <c r="R16" s="36"/>
      <c r="S16" s="36"/>
      <c r="T16" s="36"/>
      <c r="U16" s="36" t="s">
        <v>139</v>
      </c>
      <c r="V16" s="36" t="s">
        <v>139</v>
      </c>
      <c r="W16" s="36"/>
      <c r="X16" s="36"/>
      <c r="Y16" s="36" t="s">
        <v>139</v>
      </c>
      <c r="Z16" s="36"/>
      <c r="AA16" s="36"/>
      <c r="AB16" s="36"/>
      <c r="AC16" s="116"/>
      <c r="AD16" s="36"/>
      <c r="AE16" s="116"/>
      <c r="AF16" s="36"/>
      <c r="AG16" s="36" t="s">
        <v>139</v>
      </c>
      <c r="AH16" s="116"/>
      <c r="AI16" s="36"/>
      <c r="AJ16" s="36"/>
      <c r="AK16" s="116"/>
      <c r="AL16" s="36" t="s">
        <v>139</v>
      </c>
      <c r="AM16" s="36"/>
      <c r="AN16" s="36"/>
      <c r="AO16" s="116" t="s">
        <v>139</v>
      </c>
      <c r="AP16" s="116"/>
      <c r="AQ16" s="116"/>
      <c r="AR16" s="116" t="s">
        <v>139</v>
      </c>
      <c r="AS16" s="116" t="s">
        <v>139</v>
      </c>
      <c r="AT16" s="116"/>
      <c r="AU16" s="116" t="s">
        <v>139</v>
      </c>
      <c r="AV16" s="116"/>
      <c r="AW16" s="116"/>
      <c r="AX16" s="116"/>
      <c r="AY16" s="118">
        <f t="shared" si="0"/>
        <v>12</v>
      </c>
      <c r="AZ16" s="118"/>
      <c r="BA16" s="118" t="s">
        <v>479</v>
      </c>
    </row>
    <row r="17" spans="1:53" x14ac:dyDescent="0.25">
      <c r="A17">
        <v>15</v>
      </c>
      <c r="B17">
        <v>1225</v>
      </c>
      <c r="C17">
        <v>18</v>
      </c>
      <c r="D17" s="7">
        <v>46031</v>
      </c>
      <c r="E17" s="7" t="s">
        <v>180</v>
      </c>
      <c r="F17" s="10">
        <v>4374428</v>
      </c>
      <c r="G17" s="36" t="s">
        <v>139</v>
      </c>
      <c r="H17" s="36"/>
      <c r="I17" s="36"/>
      <c r="J17" s="36"/>
      <c r="K17" s="36"/>
      <c r="L17" s="36"/>
      <c r="M17" s="36"/>
      <c r="N17" s="36" t="s">
        <v>139</v>
      </c>
      <c r="O17" s="116"/>
      <c r="P17" s="36"/>
      <c r="Q17" s="36"/>
      <c r="R17" s="36"/>
      <c r="S17" s="36"/>
      <c r="T17" s="36"/>
      <c r="U17" s="36" t="s">
        <v>139</v>
      </c>
      <c r="V17" s="36" t="s">
        <v>139</v>
      </c>
      <c r="W17" s="36"/>
      <c r="X17" s="36"/>
      <c r="Y17" s="36" t="s">
        <v>139</v>
      </c>
      <c r="Z17" s="36"/>
      <c r="AA17" s="36"/>
      <c r="AB17" s="36"/>
      <c r="AC17" s="116"/>
      <c r="AD17" s="36"/>
      <c r="AE17" s="116"/>
      <c r="AF17" s="36"/>
      <c r="AG17" s="36" t="s">
        <v>139</v>
      </c>
      <c r="AH17" s="116"/>
      <c r="AI17" s="36"/>
      <c r="AJ17" s="36"/>
      <c r="AK17" s="116"/>
      <c r="AL17" s="36" t="s">
        <v>139</v>
      </c>
      <c r="AM17" s="36"/>
      <c r="AN17" s="36"/>
      <c r="AO17" s="116" t="s">
        <v>139</v>
      </c>
      <c r="AP17" s="116"/>
      <c r="AQ17" s="116"/>
      <c r="AR17" s="116" t="s">
        <v>139</v>
      </c>
      <c r="AS17" s="116" t="s">
        <v>139</v>
      </c>
      <c r="AT17" s="116"/>
      <c r="AU17" s="116" t="s">
        <v>139</v>
      </c>
      <c r="AV17" s="116"/>
      <c r="AW17" s="116"/>
      <c r="AX17" s="116"/>
      <c r="AY17" s="118">
        <f t="shared" si="0"/>
        <v>11</v>
      </c>
      <c r="AZ17" s="118"/>
      <c r="BA17" s="118" t="s">
        <v>479</v>
      </c>
    </row>
    <row r="18" spans="1:53" x14ac:dyDescent="0.25">
      <c r="A18">
        <v>16</v>
      </c>
      <c r="B18">
        <v>1226</v>
      </c>
      <c r="C18">
        <v>19</v>
      </c>
      <c r="D18" s="7">
        <v>46031</v>
      </c>
      <c r="E18" s="7" t="s">
        <v>182</v>
      </c>
      <c r="F18" s="10" t="s">
        <v>181</v>
      </c>
      <c r="G18" s="36"/>
      <c r="H18" s="36" t="s">
        <v>139</v>
      </c>
      <c r="I18" s="36"/>
      <c r="J18" s="36" t="s">
        <v>139</v>
      </c>
      <c r="K18" s="36"/>
      <c r="L18" s="36"/>
      <c r="M18" s="36"/>
      <c r="N18" s="36"/>
      <c r="O18" s="116"/>
      <c r="P18" s="36" t="s">
        <v>139</v>
      </c>
      <c r="Q18" s="36"/>
      <c r="R18" s="36"/>
      <c r="S18" s="36"/>
      <c r="T18" s="36"/>
      <c r="U18" s="36" t="s">
        <v>139</v>
      </c>
      <c r="V18" s="36"/>
      <c r="W18" s="36"/>
      <c r="X18" s="36"/>
      <c r="Y18" s="36" t="s">
        <v>139</v>
      </c>
      <c r="Z18" s="36"/>
      <c r="AA18" s="36"/>
      <c r="AB18" s="36"/>
      <c r="AC18" s="116"/>
      <c r="AD18" s="36" t="s">
        <v>139</v>
      </c>
      <c r="AE18" s="116" t="s">
        <v>139</v>
      </c>
      <c r="AF18" s="36"/>
      <c r="AG18" s="36" t="s">
        <v>139</v>
      </c>
      <c r="AH18" s="116"/>
      <c r="AI18" s="36"/>
      <c r="AJ18" s="36"/>
      <c r="AK18" s="116"/>
      <c r="AL18" s="36" t="s">
        <v>139</v>
      </c>
      <c r="AM18" s="36"/>
      <c r="AN18" s="36"/>
      <c r="AO18" s="116"/>
      <c r="AP18" s="116"/>
      <c r="AQ18" s="116"/>
      <c r="AR18" s="116"/>
      <c r="AS18" s="116"/>
      <c r="AT18" s="116"/>
      <c r="AU18" s="116" t="s">
        <v>139</v>
      </c>
      <c r="AV18" s="116"/>
      <c r="AW18" s="116"/>
      <c r="AX18" s="116"/>
      <c r="AY18" s="118">
        <f t="shared" si="0"/>
        <v>10</v>
      </c>
      <c r="AZ18" s="118"/>
      <c r="BA18" s="118" t="s">
        <v>479</v>
      </c>
    </row>
    <row r="19" spans="1:53" x14ac:dyDescent="0.25">
      <c r="A19">
        <v>17</v>
      </c>
      <c r="B19">
        <v>1227</v>
      </c>
      <c r="C19">
        <v>20</v>
      </c>
      <c r="D19" s="7">
        <v>46031</v>
      </c>
      <c r="E19" s="7" t="s">
        <v>184</v>
      </c>
      <c r="F19" s="10" t="s">
        <v>183</v>
      </c>
      <c r="G19" s="36" t="s">
        <v>139</v>
      </c>
      <c r="H19" s="36" t="s">
        <v>139</v>
      </c>
      <c r="I19" s="36"/>
      <c r="J19" s="36" t="s">
        <v>139</v>
      </c>
      <c r="K19" s="36"/>
      <c r="L19" s="36"/>
      <c r="M19" s="36"/>
      <c r="N19" s="36"/>
      <c r="O19" s="116"/>
      <c r="P19" s="36" t="s">
        <v>139</v>
      </c>
      <c r="Q19" s="36"/>
      <c r="R19" s="36"/>
      <c r="S19" s="36"/>
      <c r="T19" s="36"/>
      <c r="U19" s="36" t="s">
        <v>139</v>
      </c>
      <c r="V19" s="36"/>
      <c r="W19" s="36"/>
      <c r="X19" s="36"/>
      <c r="Y19" s="36" t="s">
        <v>139</v>
      </c>
      <c r="Z19" s="36"/>
      <c r="AA19" s="36"/>
      <c r="AB19" s="36"/>
      <c r="AC19" s="116"/>
      <c r="AD19" s="36" t="s">
        <v>139</v>
      </c>
      <c r="AE19" s="116" t="s">
        <v>139</v>
      </c>
      <c r="AF19" s="36"/>
      <c r="AG19" s="36" t="s">
        <v>139</v>
      </c>
      <c r="AH19" s="116"/>
      <c r="AI19" s="36"/>
      <c r="AJ19" s="36"/>
      <c r="AK19" s="116"/>
      <c r="AL19" s="36" t="s">
        <v>139</v>
      </c>
      <c r="AM19" s="36"/>
      <c r="AN19" s="36"/>
      <c r="AO19" s="116"/>
      <c r="AP19" s="116"/>
      <c r="AQ19" s="116"/>
      <c r="AR19" s="116"/>
      <c r="AS19" s="116"/>
      <c r="AT19" s="116"/>
      <c r="AU19" s="116" t="s">
        <v>139</v>
      </c>
      <c r="AV19" s="116"/>
      <c r="AW19" s="116"/>
      <c r="AX19" s="116"/>
      <c r="AY19" s="118">
        <f t="shared" si="0"/>
        <v>11</v>
      </c>
      <c r="AZ19" s="118"/>
      <c r="BA19" s="118" t="s">
        <v>479</v>
      </c>
    </row>
    <row r="20" spans="1:53" x14ac:dyDescent="0.25">
      <c r="A20">
        <v>18</v>
      </c>
      <c r="B20">
        <v>1228</v>
      </c>
      <c r="C20">
        <v>21</v>
      </c>
      <c r="D20" s="7">
        <v>46032</v>
      </c>
      <c r="E20" s="7" t="s">
        <v>186</v>
      </c>
      <c r="F20" s="10" t="s">
        <v>185</v>
      </c>
      <c r="G20" s="36" t="s">
        <v>139</v>
      </c>
      <c r="H20" s="36"/>
      <c r="I20" s="36" t="s">
        <v>139</v>
      </c>
      <c r="J20" s="36" t="s">
        <v>139</v>
      </c>
      <c r="K20" s="36"/>
      <c r="L20" s="36"/>
      <c r="M20" s="36" t="s">
        <v>139</v>
      </c>
      <c r="N20" s="36"/>
      <c r="O20" s="116"/>
      <c r="P20" s="36" t="s">
        <v>139</v>
      </c>
      <c r="Q20" s="36" t="s">
        <v>139</v>
      </c>
      <c r="R20" s="36"/>
      <c r="S20" s="36"/>
      <c r="T20" s="36"/>
      <c r="U20" s="36" t="s">
        <v>139</v>
      </c>
      <c r="V20" s="36" t="s">
        <v>139</v>
      </c>
      <c r="W20" s="36"/>
      <c r="X20" s="36"/>
      <c r="Y20" s="36" t="s">
        <v>139</v>
      </c>
      <c r="Z20" s="36"/>
      <c r="AA20" s="36"/>
      <c r="AB20" s="36"/>
      <c r="AC20" s="116"/>
      <c r="AD20" s="36"/>
      <c r="AE20" s="116" t="s">
        <v>139</v>
      </c>
      <c r="AF20" s="36"/>
      <c r="AG20" s="36"/>
      <c r="AH20" s="116"/>
      <c r="AI20" s="36" t="s">
        <v>139</v>
      </c>
      <c r="AJ20" s="36"/>
      <c r="AK20" s="116"/>
      <c r="AL20" s="36" t="s">
        <v>139</v>
      </c>
      <c r="AM20" s="36"/>
      <c r="AN20" s="3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8">
        <f t="shared" si="0"/>
        <v>12</v>
      </c>
      <c r="AZ20" s="118"/>
      <c r="BA20" s="118" t="s">
        <v>479</v>
      </c>
    </row>
    <row r="21" spans="1:53" x14ac:dyDescent="0.25">
      <c r="A21">
        <v>19</v>
      </c>
      <c r="B21">
        <v>1229</v>
      </c>
      <c r="C21">
        <v>22</v>
      </c>
      <c r="D21" s="7">
        <v>46032</v>
      </c>
      <c r="E21" s="7" t="s">
        <v>189</v>
      </c>
      <c r="F21" s="10" t="s">
        <v>188</v>
      </c>
      <c r="G21" s="36" t="s">
        <v>139</v>
      </c>
      <c r="H21" s="36"/>
      <c r="I21" s="36" t="s">
        <v>139</v>
      </c>
      <c r="J21" s="36" t="s">
        <v>139</v>
      </c>
      <c r="K21" s="36"/>
      <c r="L21" s="36"/>
      <c r="M21" s="36" t="s">
        <v>139</v>
      </c>
      <c r="N21" s="36"/>
      <c r="O21" s="116"/>
      <c r="P21" s="36" t="s">
        <v>139</v>
      </c>
      <c r="Q21" s="36" t="s">
        <v>139</v>
      </c>
      <c r="R21" s="36"/>
      <c r="S21" s="36"/>
      <c r="T21" s="36"/>
      <c r="U21" s="36" t="s">
        <v>139</v>
      </c>
      <c r="V21" s="36" t="s">
        <v>139</v>
      </c>
      <c r="W21" s="36"/>
      <c r="X21" s="36"/>
      <c r="Y21" s="36" t="s">
        <v>139</v>
      </c>
      <c r="Z21" s="36"/>
      <c r="AA21" s="36"/>
      <c r="AB21" s="36"/>
      <c r="AC21" s="116"/>
      <c r="AD21" s="36"/>
      <c r="AE21" s="116" t="s">
        <v>139</v>
      </c>
      <c r="AF21" s="36"/>
      <c r="AG21" s="36"/>
      <c r="AH21" s="116"/>
      <c r="AI21" s="36" t="s">
        <v>139</v>
      </c>
      <c r="AJ21" s="36"/>
      <c r="AK21" s="116"/>
      <c r="AL21" s="36" t="s">
        <v>139</v>
      </c>
      <c r="AM21" s="36"/>
      <c r="AN21" s="3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8">
        <f t="shared" si="0"/>
        <v>12</v>
      </c>
      <c r="AZ21" s="118"/>
      <c r="BA21" s="118" t="s">
        <v>481</v>
      </c>
    </row>
    <row r="22" spans="1:53" x14ac:dyDescent="0.25">
      <c r="A22">
        <v>20</v>
      </c>
      <c r="B22">
        <v>1230</v>
      </c>
      <c r="C22">
        <v>23</v>
      </c>
      <c r="D22" s="7">
        <v>46033</v>
      </c>
      <c r="E22" s="7" t="s">
        <v>191</v>
      </c>
      <c r="F22" s="10" t="s">
        <v>190</v>
      </c>
      <c r="G22" s="36"/>
      <c r="H22" s="36"/>
      <c r="I22" s="36" t="s">
        <v>139</v>
      </c>
      <c r="J22" s="36" t="s">
        <v>139</v>
      </c>
      <c r="K22" s="36"/>
      <c r="L22" s="36"/>
      <c r="M22" s="36"/>
      <c r="N22" s="36"/>
      <c r="O22" s="116"/>
      <c r="P22" s="36"/>
      <c r="Q22" s="36"/>
      <c r="R22" s="36"/>
      <c r="S22" s="36"/>
      <c r="T22" s="36"/>
      <c r="U22" s="36" t="s">
        <v>139</v>
      </c>
      <c r="V22" s="36"/>
      <c r="W22" s="36"/>
      <c r="X22" s="36"/>
      <c r="Y22" s="36"/>
      <c r="Z22" s="36"/>
      <c r="AA22" s="36"/>
      <c r="AB22" s="36"/>
      <c r="AC22" s="116"/>
      <c r="AD22" s="36"/>
      <c r="AE22" s="116"/>
      <c r="AF22" s="36"/>
      <c r="AG22" s="36"/>
      <c r="AH22" s="116"/>
      <c r="AI22" s="36"/>
      <c r="AJ22" s="36"/>
      <c r="AK22" s="116"/>
      <c r="AL22" s="36"/>
      <c r="AM22" s="36"/>
      <c r="AN22" s="36"/>
      <c r="AO22" s="116"/>
      <c r="AP22" s="116" t="s">
        <v>139</v>
      </c>
      <c r="AQ22" s="116"/>
      <c r="AR22" s="116"/>
      <c r="AS22" s="116" t="s">
        <v>139</v>
      </c>
      <c r="AT22" s="116"/>
      <c r="AU22" s="116"/>
      <c r="AV22" s="116"/>
      <c r="AW22" s="116"/>
      <c r="AX22" s="116"/>
      <c r="AY22" s="118">
        <f t="shared" si="0"/>
        <v>5</v>
      </c>
      <c r="AZ22" s="118"/>
      <c r="BA22" s="118" t="s">
        <v>481</v>
      </c>
    </row>
    <row r="23" spans="1:53" x14ac:dyDescent="0.25">
      <c r="A23">
        <v>21</v>
      </c>
      <c r="B23">
        <v>1231</v>
      </c>
      <c r="C23">
        <v>24</v>
      </c>
      <c r="D23" s="7">
        <v>46033</v>
      </c>
      <c r="E23" s="7" t="s">
        <v>193</v>
      </c>
      <c r="F23" s="10" t="s">
        <v>192</v>
      </c>
      <c r="G23" s="36" t="s">
        <v>139</v>
      </c>
      <c r="H23" s="36" t="s">
        <v>139</v>
      </c>
      <c r="I23" s="36" t="s">
        <v>139</v>
      </c>
      <c r="J23" s="36" t="s">
        <v>139</v>
      </c>
      <c r="K23" s="36"/>
      <c r="L23" s="36"/>
      <c r="M23" s="36" t="s">
        <v>139</v>
      </c>
      <c r="N23" s="36"/>
      <c r="O23" s="116"/>
      <c r="P23" s="36" t="s">
        <v>139</v>
      </c>
      <c r="Q23" s="36" t="s">
        <v>139</v>
      </c>
      <c r="R23" s="36"/>
      <c r="S23" s="36"/>
      <c r="T23" s="36"/>
      <c r="U23" s="36" t="s">
        <v>139</v>
      </c>
      <c r="V23" s="36"/>
      <c r="W23" s="36"/>
      <c r="X23" s="36"/>
      <c r="Y23" s="36" t="s">
        <v>139</v>
      </c>
      <c r="Z23" s="36"/>
      <c r="AA23" s="36"/>
      <c r="AB23" s="36"/>
      <c r="AC23" s="116"/>
      <c r="AD23" s="36" t="s">
        <v>139</v>
      </c>
      <c r="AE23" s="116"/>
      <c r="AF23" s="36" t="s">
        <v>139</v>
      </c>
      <c r="AG23" s="36"/>
      <c r="AH23" s="116" t="s">
        <v>139</v>
      </c>
      <c r="AI23" s="36" t="s">
        <v>139</v>
      </c>
      <c r="AJ23" s="36"/>
      <c r="AK23" s="116"/>
      <c r="AL23" s="36"/>
      <c r="AM23" s="36"/>
      <c r="AN23" s="36"/>
      <c r="AO23" s="116"/>
      <c r="AP23" s="116"/>
      <c r="AQ23" s="116"/>
      <c r="AR23" s="116" t="s">
        <v>139</v>
      </c>
      <c r="AS23" s="116" t="s">
        <v>139</v>
      </c>
      <c r="AT23" s="116"/>
      <c r="AU23" s="116" t="s">
        <v>139</v>
      </c>
      <c r="AV23" s="116"/>
      <c r="AW23" s="116"/>
      <c r="AX23" s="116"/>
      <c r="AY23" s="118">
        <f t="shared" si="0"/>
        <v>16</v>
      </c>
      <c r="AZ23" s="118"/>
      <c r="BA23" s="118" t="s">
        <v>479</v>
      </c>
    </row>
    <row r="24" spans="1:53" x14ac:dyDescent="0.25">
      <c r="A24" t="s">
        <v>58</v>
      </c>
      <c r="B24" t="s">
        <v>58</v>
      </c>
      <c r="C24">
        <v>25</v>
      </c>
      <c r="D24" s="7">
        <v>46034</v>
      </c>
      <c r="E24" s="7" t="s">
        <v>469</v>
      </c>
      <c r="F24" s="10" t="s">
        <v>470</v>
      </c>
      <c r="G24" s="36" t="s">
        <v>139</v>
      </c>
      <c r="H24" s="36" t="s">
        <v>139</v>
      </c>
      <c r="I24" s="36" t="s">
        <v>471</v>
      </c>
      <c r="J24" s="36" t="s">
        <v>139</v>
      </c>
      <c r="K24" s="36" t="s">
        <v>139</v>
      </c>
      <c r="L24" s="36" t="s">
        <v>471</v>
      </c>
      <c r="M24" s="36" t="s">
        <v>471</v>
      </c>
      <c r="N24" s="36" t="s">
        <v>471</v>
      </c>
      <c r="O24" s="116" t="s">
        <v>471</v>
      </c>
      <c r="P24" s="36" t="s">
        <v>139</v>
      </c>
      <c r="Q24" s="36" t="s">
        <v>471</v>
      </c>
      <c r="R24" s="36" t="s">
        <v>139</v>
      </c>
      <c r="S24" s="36" t="s">
        <v>471</v>
      </c>
      <c r="T24" s="36" t="s">
        <v>139</v>
      </c>
      <c r="U24" s="36" t="s">
        <v>471</v>
      </c>
      <c r="V24" s="36" t="s">
        <v>139</v>
      </c>
      <c r="W24" s="36" t="s">
        <v>471</v>
      </c>
      <c r="X24" s="36" t="s">
        <v>471</v>
      </c>
      <c r="Y24" s="36" t="s">
        <v>471</v>
      </c>
      <c r="Z24" s="36" t="s">
        <v>471</v>
      </c>
      <c r="AA24" s="36"/>
      <c r="AB24" s="36" t="s">
        <v>139</v>
      </c>
      <c r="AC24" s="116" t="s">
        <v>471</v>
      </c>
      <c r="AD24" s="36" t="s">
        <v>139</v>
      </c>
      <c r="AE24" s="116" t="s">
        <v>471</v>
      </c>
      <c r="AF24" s="36" t="s">
        <v>471</v>
      </c>
      <c r="AG24" s="36" t="s">
        <v>139</v>
      </c>
      <c r="AH24" s="116" t="s">
        <v>139</v>
      </c>
      <c r="AI24" s="36" t="s">
        <v>471</v>
      </c>
      <c r="AJ24" s="36" t="s">
        <v>139</v>
      </c>
      <c r="AK24" s="116" t="s">
        <v>139</v>
      </c>
      <c r="AL24" s="36" t="s">
        <v>139</v>
      </c>
      <c r="AM24" s="36" t="s">
        <v>471</v>
      </c>
      <c r="AN24" s="36" t="s">
        <v>139</v>
      </c>
      <c r="AO24" s="116" t="s">
        <v>139</v>
      </c>
      <c r="AP24" s="116" t="s">
        <v>471</v>
      </c>
      <c r="AQ24" s="116" t="s">
        <v>139</v>
      </c>
      <c r="AR24" s="116" t="s">
        <v>139</v>
      </c>
      <c r="AS24" s="116" t="s">
        <v>139</v>
      </c>
      <c r="AT24" s="116" t="s">
        <v>471</v>
      </c>
      <c r="AU24" s="116" t="s">
        <v>139</v>
      </c>
      <c r="AV24" s="116" t="s">
        <v>139</v>
      </c>
      <c r="AW24" s="116" t="s">
        <v>471</v>
      </c>
      <c r="AX24" s="116"/>
      <c r="AY24" s="118">
        <f t="shared" si="0"/>
        <v>22</v>
      </c>
      <c r="AZ24" s="118"/>
      <c r="BA24" s="118" t="s">
        <v>479</v>
      </c>
    </row>
    <row r="25" spans="1:53" x14ac:dyDescent="0.25">
      <c r="A25">
        <v>22</v>
      </c>
      <c r="B25">
        <v>1232</v>
      </c>
      <c r="C25">
        <v>26</v>
      </c>
      <c r="D25" s="7">
        <v>46034</v>
      </c>
      <c r="E25" s="7" t="s">
        <v>196</v>
      </c>
      <c r="F25" s="10" t="s">
        <v>195</v>
      </c>
      <c r="G25" s="36" t="s">
        <v>139</v>
      </c>
      <c r="H25" s="36" t="s">
        <v>139</v>
      </c>
      <c r="I25" s="36"/>
      <c r="J25" s="36" t="s">
        <v>139</v>
      </c>
      <c r="K25" s="36" t="s">
        <v>139</v>
      </c>
      <c r="L25" s="36"/>
      <c r="M25" s="36" t="s">
        <v>139</v>
      </c>
      <c r="N25" s="36"/>
      <c r="O25" s="116"/>
      <c r="P25" s="36" t="s">
        <v>139</v>
      </c>
      <c r="Q25" s="36" t="s">
        <v>139</v>
      </c>
      <c r="R25" s="36" t="s">
        <v>139</v>
      </c>
      <c r="S25" s="36"/>
      <c r="T25" s="36" t="s">
        <v>139</v>
      </c>
      <c r="U25" s="36"/>
      <c r="V25" s="36"/>
      <c r="W25" s="36"/>
      <c r="X25" s="36"/>
      <c r="Y25" s="36"/>
      <c r="Z25" s="36"/>
      <c r="AA25" s="36"/>
      <c r="AB25" s="36" t="s">
        <v>139</v>
      </c>
      <c r="AC25" s="116"/>
      <c r="AD25" s="36" t="s">
        <v>139</v>
      </c>
      <c r="AE25" s="116"/>
      <c r="AF25" s="36"/>
      <c r="AG25" s="36" t="s">
        <v>139</v>
      </c>
      <c r="AH25" s="116" t="s">
        <v>139</v>
      </c>
      <c r="AI25" s="36"/>
      <c r="AJ25" s="36" t="s">
        <v>139</v>
      </c>
      <c r="AK25" s="116" t="s">
        <v>139</v>
      </c>
      <c r="AL25" s="36" t="s">
        <v>139</v>
      </c>
      <c r="AM25" s="36"/>
      <c r="AN25" s="36" t="s">
        <v>139</v>
      </c>
      <c r="AO25" s="116" t="s">
        <v>139</v>
      </c>
      <c r="AP25" s="116"/>
      <c r="AQ25" s="116" t="s">
        <v>139</v>
      </c>
      <c r="AR25" s="116" t="s">
        <v>139</v>
      </c>
      <c r="AS25" s="116" t="s">
        <v>139</v>
      </c>
      <c r="AT25" s="116"/>
      <c r="AU25" s="116" t="s">
        <v>139</v>
      </c>
      <c r="AV25" s="116"/>
      <c r="AW25" s="116"/>
      <c r="AX25" s="116"/>
      <c r="AY25" s="118">
        <f t="shared" si="0"/>
        <v>22</v>
      </c>
      <c r="AZ25" s="118"/>
      <c r="BA25" s="118" t="s">
        <v>479</v>
      </c>
    </row>
    <row r="26" spans="1:53" x14ac:dyDescent="0.25">
      <c r="A26">
        <v>23</v>
      </c>
      <c r="B26">
        <v>1233</v>
      </c>
      <c r="C26">
        <v>27</v>
      </c>
      <c r="D26" s="7">
        <v>46035</v>
      </c>
      <c r="E26" s="7" t="s">
        <v>199</v>
      </c>
      <c r="F26" s="10" t="s">
        <v>198</v>
      </c>
      <c r="G26" s="36" t="s">
        <v>139</v>
      </c>
      <c r="H26" s="36" t="s">
        <v>139</v>
      </c>
      <c r="I26" s="36"/>
      <c r="J26" s="36"/>
      <c r="K26" s="36" t="s">
        <v>139</v>
      </c>
      <c r="L26" s="36"/>
      <c r="M26" s="36" t="s">
        <v>139</v>
      </c>
      <c r="N26" s="36"/>
      <c r="O26" s="116"/>
      <c r="P26" s="36"/>
      <c r="Q26" s="36" t="s">
        <v>139</v>
      </c>
      <c r="R26" s="36"/>
      <c r="S26" s="36"/>
      <c r="T26" s="36"/>
      <c r="U26" s="36" t="s">
        <v>139</v>
      </c>
      <c r="V26" s="36"/>
      <c r="W26" s="36"/>
      <c r="X26" s="36"/>
      <c r="Y26" s="36"/>
      <c r="Z26" s="36"/>
      <c r="AA26" s="36"/>
      <c r="AB26" s="36" t="s">
        <v>139</v>
      </c>
      <c r="AC26" s="116"/>
      <c r="AD26" s="36"/>
      <c r="AE26" s="116"/>
      <c r="AF26" s="36"/>
      <c r="AG26" s="36"/>
      <c r="AH26" s="116"/>
      <c r="AI26" s="36"/>
      <c r="AJ26" s="36"/>
      <c r="AK26" s="116" t="s">
        <v>139</v>
      </c>
      <c r="AL26" s="36"/>
      <c r="AM26" s="36"/>
      <c r="AN26" s="36"/>
      <c r="AO26" s="116" t="s">
        <v>139</v>
      </c>
      <c r="AP26" s="116"/>
      <c r="AQ26" s="116"/>
      <c r="AR26" s="116"/>
      <c r="AS26" s="116" t="s">
        <v>139</v>
      </c>
      <c r="AT26" s="116"/>
      <c r="AU26" s="116" t="s">
        <v>139</v>
      </c>
      <c r="AV26" s="116"/>
      <c r="AW26" s="116"/>
      <c r="AX26" s="116"/>
      <c r="AY26" s="118">
        <f t="shared" si="0"/>
        <v>11</v>
      </c>
      <c r="AZ26" s="118"/>
      <c r="BA26" s="118" t="s">
        <v>479</v>
      </c>
    </row>
    <row r="27" spans="1:53" x14ac:dyDescent="0.25">
      <c r="A27">
        <v>24</v>
      </c>
      <c r="B27">
        <v>1234</v>
      </c>
      <c r="C27">
        <v>28</v>
      </c>
      <c r="D27" s="7">
        <v>46035</v>
      </c>
      <c r="E27" s="7" t="s">
        <v>202</v>
      </c>
      <c r="F27" s="10" t="s">
        <v>201</v>
      </c>
      <c r="G27" s="36"/>
      <c r="H27" s="36"/>
      <c r="I27" s="36"/>
      <c r="J27" s="36" t="s">
        <v>139</v>
      </c>
      <c r="K27" s="36"/>
      <c r="L27" s="36"/>
      <c r="M27" s="36"/>
      <c r="N27" s="36"/>
      <c r="O27" s="116"/>
      <c r="P27" s="36" t="s">
        <v>139</v>
      </c>
      <c r="Q27" s="36"/>
      <c r="R27" s="36"/>
      <c r="S27" s="36"/>
      <c r="T27" s="36"/>
      <c r="U27" s="36" t="s">
        <v>139</v>
      </c>
      <c r="V27" s="36"/>
      <c r="W27" s="36"/>
      <c r="X27" s="36"/>
      <c r="Y27" s="36"/>
      <c r="Z27" s="36"/>
      <c r="AA27" s="36"/>
      <c r="AB27" s="36"/>
      <c r="AC27" s="116"/>
      <c r="AD27" s="36"/>
      <c r="AE27" s="116"/>
      <c r="AF27" s="36"/>
      <c r="AG27" s="36"/>
      <c r="AH27" s="116" t="s">
        <v>139</v>
      </c>
      <c r="AI27" s="36"/>
      <c r="AJ27" s="36" t="s">
        <v>139</v>
      </c>
      <c r="AK27" s="116" t="s">
        <v>139</v>
      </c>
      <c r="AL27" s="36"/>
      <c r="AM27" s="36"/>
      <c r="AN27" s="36"/>
      <c r="AO27" s="116"/>
      <c r="AP27" s="116"/>
      <c r="AQ27" s="116" t="s">
        <v>139</v>
      </c>
      <c r="AR27" s="116"/>
      <c r="AS27" s="116"/>
      <c r="AT27" s="116"/>
      <c r="AU27" s="116"/>
      <c r="AV27" s="116"/>
      <c r="AW27" s="116"/>
      <c r="AX27" s="116"/>
      <c r="AY27" s="118">
        <f t="shared" si="0"/>
        <v>7</v>
      </c>
      <c r="AZ27" s="118"/>
      <c r="BA27" s="118" t="s">
        <v>481</v>
      </c>
    </row>
    <row r="28" spans="1:53" x14ac:dyDescent="0.25">
      <c r="A28">
        <v>25</v>
      </c>
      <c r="B28">
        <v>1235</v>
      </c>
      <c r="C28">
        <v>29</v>
      </c>
      <c r="D28" s="7">
        <v>46035</v>
      </c>
      <c r="E28" s="7" t="s">
        <v>205</v>
      </c>
      <c r="F28" s="10" t="s">
        <v>204</v>
      </c>
      <c r="G28" s="36" t="s">
        <v>139</v>
      </c>
      <c r="H28" s="36"/>
      <c r="I28" s="36"/>
      <c r="J28" s="36" t="s">
        <v>139</v>
      </c>
      <c r="K28" s="36"/>
      <c r="L28" s="36"/>
      <c r="M28" s="36" t="s">
        <v>139</v>
      </c>
      <c r="N28" s="36"/>
      <c r="O28" s="116"/>
      <c r="P28" s="36" t="s">
        <v>139</v>
      </c>
      <c r="Q28" s="36" t="s">
        <v>139</v>
      </c>
      <c r="R28" s="36"/>
      <c r="S28" s="36"/>
      <c r="T28" s="36"/>
      <c r="U28" s="36" t="s">
        <v>139</v>
      </c>
      <c r="V28" s="36" t="s">
        <v>139</v>
      </c>
      <c r="W28" s="36"/>
      <c r="X28" s="36"/>
      <c r="Y28" s="36"/>
      <c r="Z28" s="36"/>
      <c r="AA28" s="36"/>
      <c r="AB28" s="36"/>
      <c r="AC28" s="116" t="s">
        <v>139</v>
      </c>
      <c r="AD28" s="36" t="s">
        <v>139</v>
      </c>
      <c r="AE28" s="116" t="s">
        <v>139</v>
      </c>
      <c r="AF28" s="36" t="s">
        <v>139</v>
      </c>
      <c r="AG28" s="36"/>
      <c r="AH28" s="116"/>
      <c r="AI28" s="36"/>
      <c r="AJ28" s="36" t="s">
        <v>139</v>
      </c>
      <c r="AK28" s="116"/>
      <c r="AL28" s="36"/>
      <c r="AM28" s="36" t="s">
        <v>139</v>
      </c>
      <c r="AN28" s="36"/>
      <c r="AO28" s="116" t="s">
        <v>139</v>
      </c>
      <c r="AP28" s="116"/>
      <c r="AQ28" s="116" t="s">
        <v>139</v>
      </c>
      <c r="AR28" s="116" t="s">
        <v>139</v>
      </c>
      <c r="AS28" s="116"/>
      <c r="AT28" s="116"/>
      <c r="AU28" s="116"/>
      <c r="AV28" s="116"/>
      <c r="AW28" s="116"/>
      <c r="AX28" s="116"/>
      <c r="AY28" s="118">
        <f t="shared" si="0"/>
        <v>16</v>
      </c>
      <c r="AZ28" s="118"/>
      <c r="BA28" s="118" t="s">
        <v>479</v>
      </c>
    </row>
    <row r="29" spans="1:53" x14ac:dyDescent="0.25">
      <c r="A29">
        <v>26</v>
      </c>
      <c r="B29">
        <v>1236</v>
      </c>
      <c r="C29">
        <v>30</v>
      </c>
      <c r="D29" s="7">
        <v>46035</v>
      </c>
      <c r="E29" s="7" t="s">
        <v>207</v>
      </c>
      <c r="F29" s="10" t="s">
        <v>198</v>
      </c>
      <c r="G29" s="36" t="s">
        <v>139</v>
      </c>
      <c r="H29" s="36"/>
      <c r="I29" s="36"/>
      <c r="J29" s="36" t="s">
        <v>139</v>
      </c>
      <c r="K29" s="36"/>
      <c r="L29" s="36"/>
      <c r="M29" s="36" t="s">
        <v>139</v>
      </c>
      <c r="N29" s="36"/>
      <c r="O29" s="116"/>
      <c r="P29" s="36" t="s">
        <v>139</v>
      </c>
      <c r="Q29" s="36" t="s">
        <v>139</v>
      </c>
      <c r="R29" s="36"/>
      <c r="S29" s="36"/>
      <c r="T29" s="36"/>
      <c r="U29" s="36" t="s">
        <v>139</v>
      </c>
      <c r="V29" s="36" t="s">
        <v>139</v>
      </c>
      <c r="W29" s="36"/>
      <c r="X29" s="36"/>
      <c r="Y29" s="36"/>
      <c r="Z29" s="36"/>
      <c r="AA29" s="36"/>
      <c r="AB29" s="36"/>
      <c r="AC29" s="116" t="s">
        <v>139</v>
      </c>
      <c r="AD29" s="36" t="s">
        <v>139</v>
      </c>
      <c r="AE29" s="116" t="s">
        <v>139</v>
      </c>
      <c r="AF29" s="36" t="s">
        <v>139</v>
      </c>
      <c r="AG29" s="36"/>
      <c r="AH29" s="116"/>
      <c r="AI29" s="36"/>
      <c r="AJ29" s="36" t="s">
        <v>139</v>
      </c>
      <c r="AK29" s="116"/>
      <c r="AL29" s="36"/>
      <c r="AM29" s="36" t="s">
        <v>139</v>
      </c>
      <c r="AN29" s="36"/>
      <c r="AO29" s="116" t="s">
        <v>139</v>
      </c>
      <c r="AP29" s="116"/>
      <c r="AQ29" s="116" t="s">
        <v>139</v>
      </c>
      <c r="AR29" s="116" t="s">
        <v>139</v>
      </c>
      <c r="AS29" s="116"/>
      <c r="AT29" s="116"/>
      <c r="AU29" s="116"/>
      <c r="AV29" s="116"/>
      <c r="AW29" s="116"/>
      <c r="AX29" s="116"/>
      <c r="AY29" s="118">
        <f t="shared" si="0"/>
        <v>16</v>
      </c>
      <c r="AZ29" s="118"/>
      <c r="BA29" s="118" t="s">
        <v>479</v>
      </c>
    </row>
    <row r="30" spans="1:53" x14ac:dyDescent="0.25">
      <c r="A30">
        <v>27</v>
      </c>
      <c r="B30">
        <v>1237</v>
      </c>
      <c r="C30">
        <v>31</v>
      </c>
      <c r="D30" s="7">
        <v>46035</v>
      </c>
      <c r="E30" s="7" t="s">
        <v>208</v>
      </c>
      <c r="F30" s="10" t="s">
        <v>204</v>
      </c>
      <c r="G30" s="36" t="s">
        <v>139</v>
      </c>
      <c r="H30" s="36"/>
      <c r="I30" s="36" t="s">
        <v>139</v>
      </c>
      <c r="J30" s="36" t="s">
        <v>139</v>
      </c>
      <c r="K30" s="36"/>
      <c r="L30" s="36"/>
      <c r="M30" s="36" t="s">
        <v>139</v>
      </c>
      <c r="N30" s="36"/>
      <c r="O30" s="116"/>
      <c r="P30" s="36" t="s">
        <v>139</v>
      </c>
      <c r="Q30" s="36" t="s">
        <v>139</v>
      </c>
      <c r="R30" s="36"/>
      <c r="S30" s="36"/>
      <c r="T30" s="36"/>
      <c r="U30" s="36" t="s">
        <v>139</v>
      </c>
      <c r="V30" s="36" t="s">
        <v>139</v>
      </c>
      <c r="W30" s="36"/>
      <c r="X30" s="36"/>
      <c r="Y30" s="36"/>
      <c r="Z30" s="36"/>
      <c r="AA30" s="36"/>
      <c r="AB30" s="36"/>
      <c r="AC30" s="116" t="s">
        <v>139</v>
      </c>
      <c r="AD30" s="36" t="s">
        <v>139</v>
      </c>
      <c r="AE30" s="116" t="s">
        <v>139</v>
      </c>
      <c r="AF30" s="36" t="s">
        <v>139</v>
      </c>
      <c r="AG30" s="36"/>
      <c r="AH30" s="116"/>
      <c r="AI30" s="36"/>
      <c r="AJ30" s="36" t="s">
        <v>139</v>
      </c>
      <c r="AK30" s="116"/>
      <c r="AL30" s="36"/>
      <c r="AM30" s="36" t="s">
        <v>139</v>
      </c>
      <c r="AN30" s="36"/>
      <c r="AO30" s="116" t="s">
        <v>139</v>
      </c>
      <c r="AP30" s="116"/>
      <c r="AQ30" s="116" t="s">
        <v>139</v>
      </c>
      <c r="AR30" s="116" t="s">
        <v>139</v>
      </c>
      <c r="AS30" s="116"/>
      <c r="AT30" s="116"/>
      <c r="AU30" s="116"/>
      <c r="AV30" s="116"/>
      <c r="AW30" s="116"/>
      <c r="AX30" s="116"/>
      <c r="AY30" s="118">
        <f t="shared" si="0"/>
        <v>17</v>
      </c>
      <c r="AZ30" s="118"/>
      <c r="BA30" s="118" t="s">
        <v>481</v>
      </c>
    </row>
    <row r="31" spans="1:53" x14ac:dyDescent="0.25">
      <c r="A31">
        <v>28</v>
      </c>
      <c r="B31">
        <v>1238</v>
      </c>
      <c r="C31">
        <v>32</v>
      </c>
      <c r="D31" s="7">
        <v>46036</v>
      </c>
      <c r="E31" s="7" t="s">
        <v>210</v>
      </c>
      <c r="F31" s="10" t="s">
        <v>209</v>
      </c>
      <c r="G31" s="36"/>
      <c r="H31" s="36"/>
      <c r="I31" s="36" t="s">
        <v>139</v>
      </c>
      <c r="J31" s="36" t="s">
        <v>139</v>
      </c>
      <c r="K31" s="36" t="s">
        <v>139</v>
      </c>
      <c r="L31" s="36"/>
      <c r="M31" s="36" t="s">
        <v>139</v>
      </c>
      <c r="N31" s="36"/>
      <c r="O31" s="116"/>
      <c r="P31" s="36" t="s">
        <v>139</v>
      </c>
      <c r="Q31" s="36" t="s">
        <v>139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116"/>
      <c r="AD31" s="36"/>
      <c r="AE31" s="116" t="s">
        <v>139</v>
      </c>
      <c r="AF31" s="36"/>
      <c r="AG31" s="36"/>
      <c r="AH31" s="116" t="s">
        <v>139</v>
      </c>
      <c r="AI31" s="36"/>
      <c r="AJ31" s="36" t="s">
        <v>139</v>
      </c>
      <c r="AK31" s="116" t="s">
        <v>139</v>
      </c>
      <c r="AL31" s="36"/>
      <c r="AM31" s="36" t="s">
        <v>139</v>
      </c>
      <c r="AN31" s="36"/>
      <c r="AO31" s="116"/>
      <c r="AP31" s="116"/>
      <c r="AQ31" s="116"/>
      <c r="AR31" s="116"/>
      <c r="AS31" s="116"/>
      <c r="AT31" s="116"/>
      <c r="AU31" s="116" t="s">
        <v>139</v>
      </c>
      <c r="AV31" s="116"/>
      <c r="AW31" s="116"/>
      <c r="AX31" s="116"/>
      <c r="AY31" s="118">
        <f t="shared" si="0"/>
        <v>12</v>
      </c>
      <c r="AZ31" s="118"/>
      <c r="BA31" s="118" t="s">
        <v>479</v>
      </c>
    </row>
    <row r="32" spans="1:53" x14ac:dyDescent="0.25">
      <c r="A32">
        <v>29</v>
      </c>
      <c r="B32">
        <v>1239</v>
      </c>
      <c r="C32">
        <v>33</v>
      </c>
      <c r="D32" s="7">
        <v>46035</v>
      </c>
      <c r="E32" s="7" t="s">
        <v>212</v>
      </c>
      <c r="F32" s="10" t="s">
        <v>211</v>
      </c>
      <c r="G32" s="36"/>
      <c r="H32" s="36"/>
      <c r="I32" s="36" t="s">
        <v>139</v>
      </c>
      <c r="J32" s="36"/>
      <c r="K32" s="36" t="s">
        <v>139</v>
      </c>
      <c r="L32" s="36"/>
      <c r="M32" s="36" t="s">
        <v>139</v>
      </c>
      <c r="N32" s="36"/>
      <c r="O32" s="116"/>
      <c r="P32" s="36" t="s">
        <v>139</v>
      </c>
      <c r="Q32" s="36" t="s">
        <v>139</v>
      </c>
      <c r="R32" s="36"/>
      <c r="S32" s="36"/>
      <c r="T32" s="36"/>
      <c r="U32" s="36" t="s">
        <v>139</v>
      </c>
      <c r="V32" s="36"/>
      <c r="W32" s="36"/>
      <c r="X32" s="36"/>
      <c r="Y32" s="36"/>
      <c r="Z32" s="36"/>
      <c r="AA32" s="36"/>
      <c r="AB32" s="36" t="s">
        <v>139</v>
      </c>
      <c r="AC32" s="116"/>
      <c r="AD32" s="36"/>
      <c r="AE32" s="116" t="s">
        <v>139</v>
      </c>
      <c r="AF32" s="36"/>
      <c r="AG32" s="36"/>
      <c r="AH32" s="116"/>
      <c r="AI32" s="36"/>
      <c r="AJ32" s="36"/>
      <c r="AK32" s="116" t="s">
        <v>139</v>
      </c>
      <c r="AL32" s="36"/>
      <c r="AM32" s="36" t="s">
        <v>139</v>
      </c>
      <c r="AN32" s="36"/>
      <c r="AO32" s="116"/>
      <c r="AP32" s="116"/>
      <c r="AQ32" s="116"/>
      <c r="AR32" s="116"/>
      <c r="AS32" s="116"/>
      <c r="AT32" s="116"/>
      <c r="AU32" s="116" t="s">
        <v>139</v>
      </c>
      <c r="AV32" s="116"/>
      <c r="AW32" s="116"/>
      <c r="AX32" s="116"/>
      <c r="AY32" s="118">
        <f t="shared" si="0"/>
        <v>11</v>
      </c>
      <c r="AZ32" s="118"/>
      <c r="BA32" s="118" t="s">
        <v>479</v>
      </c>
    </row>
    <row r="33" spans="1:53" x14ac:dyDescent="0.25">
      <c r="A33">
        <v>30</v>
      </c>
      <c r="B33">
        <v>1240</v>
      </c>
      <c r="C33">
        <v>34</v>
      </c>
      <c r="D33" s="7">
        <v>46037</v>
      </c>
      <c r="E33" s="7" t="s">
        <v>215</v>
      </c>
      <c r="F33" s="10" t="s">
        <v>213</v>
      </c>
      <c r="G33" s="36"/>
      <c r="H33" s="36" t="s">
        <v>139</v>
      </c>
      <c r="I33" s="36"/>
      <c r="J33" s="36" t="s">
        <v>139</v>
      </c>
      <c r="K33" s="36" t="s">
        <v>139</v>
      </c>
      <c r="L33" s="36"/>
      <c r="M33" s="36"/>
      <c r="N33" s="36"/>
      <c r="O33" s="116"/>
      <c r="P33" s="36" t="s">
        <v>139</v>
      </c>
      <c r="Q33" s="36"/>
      <c r="R33" s="36"/>
      <c r="S33" s="36"/>
      <c r="T33" s="36"/>
      <c r="U33" s="36" t="s">
        <v>139</v>
      </c>
      <c r="V33" s="36"/>
      <c r="W33" s="36"/>
      <c r="X33" s="36" t="s">
        <v>139</v>
      </c>
      <c r="Y33" s="36"/>
      <c r="Z33" s="36"/>
      <c r="AA33" s="36"/>
      <c r="AB33" s="36" t="s">
        <v>139</v>
      </c>
      <c r="AC33" s="116"/>
      <c r="AD33" s="36"/>
      <c r="AE33" s="116"/>
      <c r="AF33" s="36"/>
      <c r="AG33" s="36" t="s">
        <v>139</v>
      </c>
      <c r="AH33" s="116"/>
      <c r="AI33" s="36"/>
      <c r="AJ33" s="36"/>
      <c r="AK33" s="116" t="s">
        <v>139</v>
      </c>
      <c r="AL33" s="36"/>
      <c r="AM33" s="36" t="s">
        <v>139</v>
      </c>
      <c r="AN33" s="36"/>
      <c r="AO33" s="116"/>
      <c r="AP33" s="116" t="s">
        <v>139</v>
      </c>
      <c r="AQ33" s="116"/>
      <c r="AR33" s="116"/>
      <c r="AS33" s="116"/>
      <c r="AT33" s="116"/>
      <c r="AU33" s="116" t="s">
        <v>139</v>
      </c>
      <c r="AV33" s="116"/>
      <c r="AW33" s="116"/>
      <c r="AX33" s="116"/>
      <c r="AY33" s="118">
        <f t="shared" si="0"/>
        <v>12</v>
      </c>
      <c r="AZ33" s="118"/>
      <c r="BA33" s="118" t="s">
        <v>479</v>
      </c>
    </row>
    <row r="34" spans="1:53" x14ac:dyDescent="0.25">
      <c r="A34">
        <v>31</v>
      </c>
      <c r="B34">
        <v>1241</v>
      </c>
      <c r="C34">
        <v>35</v>
      </c>
      <c r="D34" s="7">
        <v>46038</v>
      </c>
      <c r="E34" s="7" t="s">
        <v>219</v>
      </c>
      <c r="F34" s="10" t="s">
        <v>217</v>
      </c>
      <c r="G34" s="36" t="s">
        <v>139</v>
      </c>
      <c r="H34" s="36" t="s">
        <v>139</v>
      </c>
      <c r="I34" s="36"/>
      <c r="J34" s="36"/>
      <c r="K34" s="36"/>
      <c r="L34" s="36"/>
      <c r="M34" s="36"/>
      <c r="N34" s="36"/>
      <c r="O34" s="116"/>
      <c r="P34" s="36" t="s">
        <v>139</v>
      </c>
      <c r="Q34" s="36"/>
      <c r="R34" s="36"/>
      <c r="S34" s="36"/>
      <c r="T34" s="36"/>
      <c r="U34" s="36" t="s">
        <v>139</v>
      </c>
      <c r="V34" s="36"/>
      <c r="W34" s="36"/>
      <c r="X34" s="36" t="s">
        <v>139</v>
      </c>
      <c r="Y34" s="36"/>
      <c r="Z34" s="36"/>
      <c r="AA34" s="36"/>
      <c r="AB34" s="36"/>
      <c r="AC34" s="116" t="s">
        <v>139</v>
      </c>
      <c r="AD34" s="36"/>
      <c r="AE34" s="116"/>
      <c r="AF34" s="36"/>
      <c r="AG34" s="36" t="s">
        <v>139</v>
      </c>
      <c r="AH34" s="116"/>
      <c r="AI34" s="36"/>
      <c r="AJ34" s="36"/>
      <c r="AK34" s="116" t="s">
        <v>139</v>
      </c>
      <c r="AL34" s="36"/>
      <c r="AM34" s="36"/>
      <c r="AN34" s="36"/>
      <c r="AO34" s="116"/>
      <c r="AP34" s="116"/>
      <c r="AQ34" s="116"/>
      <c r="AR34" s="116"/>
      <c r="AS34" s="116"/>
      <c r="AT34" s="116"/>
      <c r="AU34" s="116" t="s">
        <v>139</v>
      </c>
      <c r="AV34" s="116"/>
      <c r="AW34" s="116"/>
      <c r="AX34" s="116"/>
      <c r="AY34" s="118">
        <f t="shared" ref="AY34:AY65" si="1">COUNTIF($F34:$AX34, "I")</f>
        <v>9</v>
      </c>
      <c r="AZ34" s="118"/>
      <c r="BA34" s="118" t="s">
        <v>481</v>
      </c>
    </row>
    <row r="35" spans="1:53" x14ac:dyDescent="0.25">
      <c r="A35">
        <v>32</v>
      </c>
      <c r="B35">
        <v>1242</v>
      </c>
      <c r="C35">
        <v>36</v>
      </c>
      <c r="D35" s="7">
        <v>46039</v>
      </c>
      <c r="E35" s="7" t="s">
        <v>222</v>
      </c>
      <c r="F35" s="10" t="s">
        <v>221</v>
      </c>
      <c r="G35" s="36" t="s">
        <v>139</v>
      </c>
      <c r="H35" s="36"/>
      <c r="I35" s="36" t="s">
        <v>139</v>
      </c>
      <c r="J35" s="36"/>
      <c r="K35" s="36" t="s">
        <v>139</v>
      </c>
      <c r="L35" s="36"/>
      <c r="M35" s="36"/>
      <c r="N35" s="36" t="s">
        <v>139</v>
      </c>
      <c r="O35" s="116"/>
      <c r="P35" s="36" t="s">
        <v>139</v>
      </c>
      <c r="Q35" s="36"/>
      <c r="R35" s="36"/>
      <c r="S35" s="36"/>
      <c r="T35" s="36"/>
      <c r="U35" s="36" t="s">
        <v>139</v>
      </c>
      <c r="V35" s="36"/>
      <c r="W35" s="36"/>
      <c r="X35" s="36"/>
      <c r="Y35" s="36"/>
      <c r="Z35" s="36"/>
      <c r="AA35" s="36"/>
      <c r="AB35" s="36" t="s">
        <v>139</v>
      </c>
      <c r="AC35" s="116"/>
      <c r="AD35" s="36"/>
      <c r="AE35" s="116"/>
      <c r="AF35" s="36" t="s">
        <v>139</v>
      </c>
      <c r="AG35" s="36"/>
      <c r="AH35" s="116"/>
      <c r="AI35" s="36"/>
      <c r="AJ35" s="36"/>
      <c r="AK35" s="116" t="s">
        <v>139</v>
      </c>
      <c r="AL35" s="36"/>
      <c r="AM35" s="36"/>
      <c r="AN35" s="36"/>
      <c r="AO35" s="116"/>
      <c r="AP35" s="116" t="s">
        <v>139</v>
      </c>
      <c r="AQ35" s="116"/>
      <c r="AR35" s="116"/>
      <c r="AS35" s="116"/>
      <c r="AT35" s="116"/>
      <c r="AU35" s="116" t="s">
        <v>139</v>
      </c>
      <c r="AV35" s="116"/>
      <c r="AW35" s="116"/>
      <c r="AX35" s="116"/>
      <c r="AY35" s="118">
        <f t="shared" si="1"/>
        <v>11</v>
      </c>
      <c r="AZ35" s="118"/>
      <c r="BA35" s="118" t="s">
        <v>479</v>
      </c>
    </row>
    <row r="36" spans="1:53" x14ac:dyDescent="0.25">
      <c r="A36">
        <v>33</v>
      </c>
      <c r="B36">
        <v>1243</v>
      </c>
      <c r="C36">
        <v>37</v>
      </c>
      <c r="D36" s="7">
        <v>46040</v>
      </c>
      <c r="E36" s="7" t="s">
        <v>224</v>
      </c>
      <c r="F36" s="10" t="s">
        <v>223</v>
      </c>
      <c r="G36" s="36"/>
      <c r="H36" s="36" t="s">
        <v>139</v>
      </c>
      <c r="I36" s="36" t="s">
        <v>139</v>
      </c>
      <c r="J36" s="36" t="s">
        <v>139</v>
      </c>
      <c r="K36" s="36"/>
      <c r="L36" s="36"/>
      <c r="M36" s="36"/>
      <c r="N36" s="36" t="s">
        <v>139</v>
      </c>
      <c r="O36" s="116"/>
      <c r="P36" s="36" t="s">
        <v>139</v>
      </c>
      <c r="Q36" s="36"/>
      <c r="R36" s="36" t="s">
        <v>139</v>
      </c>
      <c r="S36" s="36"/>
      <c r="T36" s="36"/>
      <c r="U36" s="36" t="s">
        <v>139</v>
      </c>
      <c r="V36" s="36"/>
      <c r="W36" s="36"/>
      <c r="X36" s="36"/>
      <c r="Y36" s="36"/>
      <c r="Z36" s="36"/>
      <c r="AA36" s="36"/>
      <c r="AB36" s="36"/>
      <c r="AC36" s="116"/>
      <c r="AD36" s="36" t="s">
        <v>139</v>
      </c>
      <c r="AE36" s="116"/>
      <c r="AF36" s="36"/>
      <c r="AG36" s="36" t="s">
        <v>139</v>
      </c>
      <c r="AH36" s="116"/>
      <c r="AI36" s="36" t="s">
        <v>139</v>
      </c>
      <c r="AJ36" s="36"/>
      <c r="AK36" s="116"/>
      <c r="AL36" s="36"/>
      <c r="AM36" s="36"/>
      <c r="AN36" s="36"/>
      <c r="AO36" s="116"/>
      <c r="AP36" s="116"/>
      <c r="AQ36" s="116" t="s">
        <v>139</v>
      </c>
      <c r="AR36" s="116"/>
      <c r="AS36" s="116"/>
      <c r="AT36" s="116"/>
      <c r="AU36" s="116" t="s">
        <v>139</v>
      </c>
      <c r="AV36" s="116"/>
      <c r="AW36" s="116"/>
      <c r="AX36" s="116"/>
      <c r="AY36" s="118">
        <f t="shared" si="1"/>
        <v>12</v>
      </c>
      <c r="AZ36" s="118"/>
      <c r="BA36" s="118" t="s">
        <v>479</v>
      </c>
    </row>
    <row r="37" spans="1:53" x14ac:dyDescent="0.25">
      <c r="A37">
        <v>34</v>
      </c>
      <c r="B37">
        <v>1244</v>
      </c>
      <c r="C37">
        <v>38</v>
      </c>
      <c r="D37" s="7">
        <v>46041</v>
      </c>
      <c r="E37" s="7" t="s">
        <v>228</v>
      </c>
      <c r="F37" s="10" t="s">
        <v>226</v>
      </c>
      <c r="G37" s="36"/>
      <c r="H37" s="36" t="s">
        <v>139</v>
      </c>
      <c r="I37" s="36"/>
      <c r="J37" s="36" t="s">
        <v>139</v>
      </c>
      <c r="K37" s="36"/>
      <c r="L37" s="36"/>
      <c r="M37" s="36"/>
      <c r="N37" s="36"/>
      <c r="O37" s="116"/>
      <c r="P37" s="36" t="s">
        <v>139</v>
      </c>
      <c r="Q37" s="36"/>
      <c r="R37" s="36"/>
      <c r="S37" s="36" t="s">
        <v>139</v>
      </c>
      <c r="T37" s="36" t="s">
        <v>139</v>
      </c>
      <c r="U37" s="36" t="s">
        <v>139</v>
      </c>
      <c r="V37" s="36"/>
      <c r="W37" s="36"/>
      <c r="X37" s="36" t="s">
        <v>139</v>
      </c>
      <c r="Y37" s="36"/>
      <c r="Z37" s="36"/>
      <c r="AA37" s="36"/>
      <c r="AB37" s="36"/>
      <c r="AC37" s="116" t="s">
        <v>139</v>
      </c>
      <c r="AD37" s="36"/>
      <c r="AE37" s="116"/>
      <c r="AF37" s="36"/>
      <c r="AG37" s="36"/>
      <c r="AH37" s="116"/>
      <c r="AI37" s="36"/>
      <c r="AJ37" s="36"/>
      <c r="AK37" s="116" t="s">
        <v>139</v>
      </c>
      <c r="AL37" s="36"/>
      <c r="AM37" s="36"/>
      <c r="AN37" s="36"/>
      <c r="AO37" s="116"/>
      <c r="AP37" s="116"/>
      <c r="AQ37" s="116"/>
      <c r="AR37" s="116"/>
      <c r="AS37" s="116"/>
      <c r="AT37" s="116"/>
      <c r="AU37" s="116" t="s">
        <v>139</v>
      </c>
      <c r="AV37" s="116"/>
      <c r="AW37" s="116"/>
      <c r="AX37" s="116"/>
      <c r="AY37" s="118">
        <f t="shared" si="1"/>
        <v>10</v>
      </c>
      <c r="AZ37" s="118"/>
      <c r="BA37" s="118" t="s">
        <v>481</v>
      </c>
    </row>
    <row r="38" spans="1:53" x14ac:dyDescent="0.25">
      <c r="A38">
        <v>35</v>
      </c>
      <c r="B38">
        <v>1245</v>
      </c>
      <c r="C38">
        <v>39</v>
      </c>
      <c r="D38" s="7">
        <v>46041</v>
      </c>
      <c r="E38" s="7" t="s">
        <v>230</v>
      </c>
      <c r="F38" s="10" t="s">
        <v>229</v>
      </c>
      <c r="G38" s="36"/>
      <c r="H38" s="36" t="s">
        <v>139</v>
      </c>
      <c r="I38" s="36"/>
      <c r="J38" s="36"/>
      <c r="K38" s="36"/>
      <c r="L38" s="36"/>
      <c r="M38" s="36"/>
      <c r="N38" s="36"/>
      <c r="O38" s="116"/>
      <c r="P38" s="36" t="s">
        <v>139</v>
      </c>
      <c r="Q38" s="36"/>
      <c r="R38" s="36"/>
      <c r="S38" s="36" t="s">
        <v>139</v>
      </c>
      <c r="T38" s="36" t="s">
        <v>139</v>
      </c>
      <c r="U38" s="36" t="s">
        <v>139</v>
      </c>
      <c r="V38" s="36"/>
      <c r="W38" s="36"/>
      <c r="X38" s="36" t="s">
        <v>139</v>
      </c>
      <c r="Y38" s="36"/>
      <c r="Z38" s="36"/>
      <c r="AA38" s="36"/>
      <c r="AB38" s="36"/>
      <c r="AC38" s="116"/>
      <c r="AD38" s="36" t="s">
        <v>139</v>
      </c>
      <c r="AE38" s="116"/>
      <c r="AF38" s="36"/>
      <c r="AG38" s="36"/>
      <c r="AH38" s="116"/>
      <c r="AI38" s="36"/>
      <c r="AJ38" s="36"/>
      <c r="AK38" s="116" t="s">
        <v>139</v>
      </c>
      <c r="AL38" s="36"/>
      <c r="AM38" s="36"/>
      <c r="AN38" s="36"/>
      <c r="AO38" s="116"/>
      <c r="AP38" s="116"/>
      <c r="AQ38" s="116"/>
      <c r="AR38" s="116"/>
      <c r="AS38" s="116"/>
      <c r="AT38" s="116"/>
      <c r="AU38" s="116" t="s">
        <v>139</v>
      </c>
      <c r="AV38" s="116"/>
      <c r="AW38" s="116"/>
      <c r="AX38" s="116"/>
      <c r="AY38" s="118">
        <f t="shared" si="1"/>
        <v>9</v>
      </c>
      <c r="AZ38" s="118"/>
      <c r="BA38" s="118" t="s">
        <v>481</v>
      </c>
    </row>
    <row r="39" spans="1:53" x14ac:dyDescent="0.25">
      <c r="A39" t="s">
        <v>58</v>
      </c>
      <c r="B39" t="s">
        <v>58</v>
      </c>
      <c r="C39">
        <v>40</v>
      </c>
      <c r="D39" s="7">
        <v>46041</v>
      </c>
      <c r="E39" s="7" t="s">
        <v>469</v>
      </c>
      <c r="F39" s="10" t="s">
        <v>470</v>
      </c>
      <c r="G39" s="36" t="s">
        <v>139</v>
      </c>
      <c r="H39" s="36" t="s">
        <v>139</v>
      </c>
      <c r="I39" s="36" t="s">
        <v>139</v>
      </c>
      <c r="J39" s="36" t="s">
        <v>139</v>
      </c>
      <c r="K39" s="36" t="s">
        <v>471</v>
      </c>
      <c r="L39" s="36" t="s">
        <v>139</v>
      </c>
      <c r="M39" s="36" t="s">
        <v>139</v>
      </c>
      <c r="N39" s="36" t="s">
        <v>139</v>
      </c>
      <c r="O39" s="116" t="s">
        <v>471</v>
      </c>
      <c r="P39" s="36" t="s">
        <v>139</v>
      </c>
      <c r="Q39" s="36" t="s">
        <v>139</v>
      </c>
      <c r="R39" s="36" t="s">
        <v>471</v>
      </c>
      <c r="S39" s="36" t="s">
        <v>139</v>
      </c>
      <c r="T39" s="36" t="s">
        <v>471</v>
      </c>
      <c r="U39" s="36" t="s">
        <v>139</v>
      </c>
      <c r="V39" s="36" t="s">
        <v>139</v>
      </c>
      <c r="W39" s="36" t="s">
        <v>471</v>
      </c>
      <c r="X39" s="36" t="s">
        <v>471</v>
      </c>
      <c r="Y39" s="36" t="s">
        <v>139</v>
      </c>
      <c r="Z39" s="36" t="s">
        <v>471</v>
      </c>
      <c r="AA39" s="36"/>
      <c r="AB39" s="36"/>
      <c r="AC39" s="116" t="s">
        <v>139</v>
      </c>
      <c r="AD39" s="36" t="s">
        <v>471</v>
      </c>
      <c r="AE39" s="116" t="s">
        <v>139</v>
      </c>
      <c r="AF39" s="36" t="s">
        <v>139</v>
      </c>
      <c r="AG39" s="36" t="s">
        <v>139</v>
      </c>
      <c r="AH39" s="116" t="s">
        <v>471</v>
      </c>
      <c r="AI39" s="36" t="s">
        <v>139</v>
      </c>
      <c r="AJ39" s="36" t="s">
        <v>139</v>
      </c>
      <c r="AK39" s="116" t="s">
        <v>139</v>
      </c>
      <c r="AL39" s="36" t="s">
        <v>139</v>
      </c>
      <c r="AM39" s="36" t="s">
        <v>471</v>
      </c>
      <c r="AN39" s="36" t="s">
        <v>471</v>
      </c>
      <c r="AO39" s="116" t="s">
        <v>471</v>
      </c>
      <c r="AP39" s="116" t="s">
        <v>139</v>
      </c>
      <c r="AQ39" s="116" t="s">
        <v>471</v>
      </c>
      <c r="AR39" s="116" t="s">
        <v>139</v>
      </c>
      <c r="AS39" s="116" t="s">
        <v>471</v>
      </c>
      <c r="AT39" s="116" t="s">
        <v>471</v>
      </c>
      <c r="AU39" s="116" t="s">
        <v>139</v>
      </c>
      <c r="AV39" s="116" t="s">
        <v>139</v>
      </c>
      <c r="AW39" s="116" t="s">
        <v>139</v>
      </c>
      <c r="AX39" s="116"/>
      <c r="AY39" s="118">
        <f t="shared" si="1"/>
        <v>26</v>
      </c>
      <c r="AZ39" s="118"/>
      <c r="BA39" s="118" t="s">
        <v>481</v>
      </c>
    </row>
    <row r="40" spans="1:53" x14ac:dyDescent="0.25">
      <c r="A40">
        <v>36</v>
      </c>
      <c r="B40">
        <v>1246</v>
      </c>
      <c r="C40">
        <v>41</v>
      </c>
      <c r="D40" s="7">
        <v>46042</v>
      </c>
      <c r="E40" s="7" t="s">
        <v>233</v>
      </c>
      <c r="F40" s="10" t="s">
        <v>232</v>
      </c>
      <c r="G40" s="36"/>
      <c r="H40" s="36" t="s">
        <v>139</v>
      </c>
      <c r="I40" s="36"/>
      <c r="J40" s="36" t="s">
        <v>139</v>
      </c>
      <c r="K40" s="36"/>
      <c r="L40" s="36"/>
      <c r="M40" s="36" t="s">
        <v>139</v>
      </c>
      <c r="N40" s="36"/>
      <c r="O40" s="116"/>
      <c r="P40" s="36" t="s">
        <v>139</v>
      </c>
      <c r="Q40" s="36" t="s">
        <v>139</v>
      </c>
      <c r="R40" s="36"/>
      <c r="S40" s="36" t="s">
        <v>139</v>
      </c>
      <c r="T40" s="36" t="s">
        <v>139</v>
      </c>
      <c r="U40" s="36"/>
      <c r="V40" s="36"/>
      <c r="W40" s="36"/>
      <c r="X40" s="36" t="s">
        <v>139</v>
      </c>
      <c r="Y40" s="36"/>
      <c r="Z40" s="36"/>
      <c r="AA40" s="36"/>
      <c r="AB40" s="36" t="s">
        <v>139</v>
      </c>
      <c r="AC40" s="116"/>
      <c r="AD40" s="36"/>
      <c r="AE40" s="116"/>
      <c r="AF40" s="36"/>
      <c r="AG40" s="36"/>
      <c r="AH40" s="116"/>
      <c r="AI40" s="36"/>
      <c r="AJ40" s="36"/>
      <c r="AK40" s="116" t="s">
        <v>139</v>
      </c>
      <c r="AL40" s="36"/>
      <c r="AM40" s="36"/>
      <c r="AN40" s="36"/>
      <c r="AO40" s="116"/>
      <c r="AP40" s="116"/>
      <c r="AQ40" s="116"/>
      <c r="AR40" s="116" t="s">
        <v>139</v>
      </c>
      <c r="AS40" s="116"/>
      <c r="AT40" s="116"/>
      <c r="AU40" s="116" t="s">
        <v>139</v>
      </c>
      <c r="AV40" s="116"/>
      <c r="AW40" s="116"/>
      <c r="AX40" s="116"/>
      <c r="AY40" s="118">
        <f t="shared" si="1"/>
        <v>12</v>
      </c>
      <c r="AZ40" s="118"/>
      <c r="BA40" s="118" t="s">
        <v>481</v>
      </c>
    </row>
    <row r="41" spans="1:53" x14ac:dyDescent="0.25">
      <c r="A41">
        <v>37</v>
      </c>
      <c r="B41">
        <v>1247</v>
      </c>
      <c r="C41">
        <v>42</v>
      </c>
      <c r="D41" s="7">
        <v>46042</v>
      </c>
      <c r="E41" s="7" t="s">
        <v>236</v>
      </c>
      <c r="F41" s="10" t="s">
        <v>235</v>
      </c>
      <c r="G41" s="36"/>
      <c r="H41" s="36" t="s">
        <v>139</v>
      </c>
      <c r="I41" s="36"/>
      <c r="J41" s="36" t="s">
        <v>139</v>
      </c>
      <c r="K41" s="36"/>
      <c r="L41" s="36" t="s">
        <v>139</v>
      </c>
      <c r="M41" s="36" t="s">
        <v>139</v>
      </c>
      <c r="N41" s="36"/>
      <c r="O41" s="116"/>
      <c r="P41" s="36" t="s">
        <v>139</v>
      </c>
      <c r="Q41" s="36" t="s">
        <v>139</v>
      </c>
      <c r="R41" s="36"/>
      <c r="S41" s="36" t="s">
        <v>139</v>
      </c>
      <c r="T41" s="36"/>
      <c r="U41" s="36"/>
      <c r="V41" s="36" t="s">
        <v>139</v>
      </c>
      <c r="W41" s="36"/>
      <c r="X41" s="36"/>
      <c r="Y41" s="36"/>
      <c r="Z41" s="36"/>
      <c r="AA41" s="36"/>
      <c r="AB41" s="36" t="s">
        <v>139</v>
      </c>
      <c r="AC41" s="116"/>
      <c r="AD41" s="36"/>
      <c r="AE41" s="116"/>
      <c r="AF41" s="36"/>
      <c r="AG41" s="36"/>
      <c r="AH41" s="116"/>
      <c r="AI41" s="36"/>
      <c r="AJ41" s="36"/>
      <c r="AK41" s="116"/>
      <c r="AL41" s="36" t="s">
        <v>139</v>
      </c>
      <c r="AM41" s="36"/>
      <c r="AN41" s="36" t="s">
        <v>139</v>
      </c>
      <c r="AO41" s="116" t="s">
        <v>139</v>
      </c>
      <c r="AP41" s="116"/>
      <c r="AQ41" s="116"/>
      <c r="AR41" s="116"/>
      <c r="AS41" s="116"/>
      <c r="AT41" s="116"/>
      <c r="AU41" s="116" t="s">
        <v>139</v>
      </c>
      <c r="AV41" s="116"/>
      <c r="AW41" s="116"/>
      <c r="AX41" s="116"/>
      <c r="AY41" s="118">
        <f t="shared" si="1"/>
        <v>13</v>
      </c>
      <c r="AZ41" s="118"/>
      <c r="BA41" s="118" t="s">
        <v>481</v>
      </c>
    </row>
    <row r="42" spans="1:53" x14ac:dyDescent="0.25">
      <c r="A42">
        <v>38</v>
      </c>
      <c r="B42">
        <v>1248</v>
      </c>
      <c r="C42">
        <v>43</v>
      </c>
      <c r="D42" s="7">
        <v>46044</v>
      </c>
      <c r="E42" s="7" t="s">
        <v>239</v>
      </c>
      <c r="F42" s="10" t="s">
        <v>238</v>
      </c>
      <c r="G42" s="36"/>
      <c r="H42" s="36" t="s">
        <v>139</v>
      </c>
      <c r="I42" s="36"/>
      <c r="J42" s="36"/>
      <c r="K42" s="36"/>
      <c r="L42" s="36" t="s">
        <v>139</v>
      </c>
      <c r="M42" s="36"/>
      <c r="N42" s="36"/>
      <c r="O42" s="116"/>
      <c r="P42" s="36" t="s">
        <v>139</v>
      </c>
      <c r="Q42" s="36"/>
      <c r="R42" s="36"/>
      <c r="S42" s="36"/>
      <c r="T42" s="36"/>
      <c r="U42" s="36" t="s">
        <v>139</v>
      </c>
      <c r="V42" s="36" t="s">
        <v>139</v>
      </c>
      <c r="W42" s="36"/>
      <c r="X42" s="36"/>
      <c r="Y42" s="36"/>
      <c r="Z42" s="36"/>
      <c r="AA42" s="36"/>
      <c r="AB42" s="36"/>
      <c r="AC42" s="116" t="s">
        <v>139</v>
      </c>
      <c r="AD42" s="36"/>
      <c r="AE42" s="116" t="s">
        <v>139</v>
      </c>
      <c r="AF42" s="36" t="s">
        <v>139</v>
      </c>
      <c r="AG42" s="36"/>
      <c r="AH42" s="116"/>
      <c r="AI42" s="36"/>
      <c r="AJ42" s="36"/>
      <c r="AK42" s="116"/>
      <c r="AL42" s="36"/>
      <c r="AM42" s="36"/>
      <c r="AN42" s="36"/>
      <c r="AO42" s="116" t="s">
        <v>139</v>
      </c>
      <c r="AP42" s="116"/>
      <c r="AQ42" s="116"/>
      <c r="AR42" s="116"/>
      <c r="AS42" s="116"/>
      <c r="AT42" s="116"/>
      <c r="AU42" s="116"/>
      <c r="AV42" s="116"/>
      <c r="AW42" s="116"/>
      <c r="AX42" s="116"/>
      <c r="AY42" s="118">
        <f t="shared" si="1"/>
        <v>9</v>
      </c>
      <c r="AZ42" s="118"/>
      <c r="BA42" s="118" t="s">
        <v>479</v>
      </c>
    </row>
    <row r="43" spans="1:53" x14ac:dyDescent="0.25">
      <c r="A43">
        <v>39</v>
      </c>
      <c r="B43">
        <v>1249</v>
      </c>
      <c r="C43">
        <v>44</v>
      </c>
      <c r="D43" s="7">
        <v>46042</v>
      </c>
      <c r="E43" s="7" t="s">
        <v>242</v>
      </c>
      <c r="F43" s="10" t="s">
        <v>241</v>
      </c>
      <c r="G43" s="36"/>
      <c r="H43" s="36" t="s">
        <v>139</v>
      </c>
      <c r="I43" s="36"/>
      <c r="J43" s="36"/>
      <c r="K43" s="36"/>
      <c r="L43" s="36" t="s">
        <v>139</v>
      </c>
      <c r="M43" s="36" t="s">
        <v>139</v>
      </c>
      <c r="N43" s="36"/>
      <c r="O43" s="116"/>
      <c r="P43" s="36" t="s">
        <v>139</v>
      </c>
      <c r="Q43" s="36" t="s">
        <v>139</v>
      </c>
      <c r="R43" s="36"/>
      <c r="S43" s="36"/>
      <c r="T43" s="36"/>
      <c r="U43" s="36" t="s">
        <v>139</v>
      </c>
      <c r="V43" s="36"/>
      <c r="W43" s="36"/>
      <c r="X43" s="36" t="s">
        <v>139</v>
      </c>
      <c r="Y43" s="36"/>
      <c r="Z43" s="36"/>
      <c r="AA43" s="36"/>
      <c r="AB43" s="36"/>
      <c r="AC43" s="116"/>
      <c r="AD43" s="36"/>
      <c r="AE43" s="116" t="s">
        <v>139</v>
      </c>
      <c r="AF43" s="36"/>
      <c r="AG43" s="36"/>
      <c r="AH43" s="116"/>
      <c r="AI43" s="36"/>
      <c r="AJ43" s="36"/>
      <c r="AK43" s="116"/>
      <c r="AL43" s="36"/>
      <c r="AM43" s="36"/>
      <c r="AN43" s="36"/>
      <c r="AO43" s="116" t="s">
        <v>139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8">
        <f t="shared" si="1"/>
        <v>9</v>
      </c>
      <c r="AZ43" s="118"/>
      <c r="BA43" s="118" t="s">
        <v>479</v>
      </c>
    </row>
    <row r="44" spans="1:53" x14ac:dyDescent="0.25">
      <c r="A44">
        <v>40</v>
      </c>
      <c r="B44">
        <v>1250</v>
      </c>
      <c r="C44">
        <v>45</v>
      </c>
      <c r="D44" s="7">
        <v>46044</v>
      </c>
      <c r="E44" s="7" t="s">
        <v>244</v>
      </c>
      <c r="F44" s="10" t="s">
        <v>243</v>
      </c>
      <c r="G44" s="36"/>
      <c r="H44" s="36" t="s">
        <v>139</v>
      </c>
      <c r="I44" s="36"/>
      <c r="J44" s="36" t="s">
        <v>139</v>
      </c>
      <c r="K44" s="36"/>
      <c r="L44" s="36"/>
      <c r="M44" s="36"/>
      <c r="N44" s="36"/>
      <c r="O44" s="116"/>
      <c r="P44" s="36" t="s">
        <v>139</v>
      </c>
      <c r="Q44" s="36"/>
      <c r="R44" s="36"/>
      <c r="S44" s="36" t="s">
        <v>139</v>
      </c>
      <c r="T44" s="36"/>
      <c r="U44" s="36" t="s">
        <v>139</v>
      </c>
      <c r="V44" s="36"/>
      <c r="W44" s="36"/>
      <c r="X44" s="36" t="s">
        <v>139</v>
      </c>
      <c r="Y44" s="36"/>
      <c r="Z44" s="36"/>
      <c r="AA44" s="36"/>
      <c r="AB44" s="36"/>
      <c r="AC44" s="116" t="s">
        <v>139</v>
      </c>
      <c r="AD44" s="36"/>
      <c r="AE44" s="116"/>
      <c r="AF44" s="36" t="s">
        <v>139</v>
      </c>
      <c r="AG44" s="36"/>
      <c r="AH44" s="116"/>
      <c r="AI44" s="36"/>
      <c r="AJ44" s="36"/>
      <c r="AK44" s="116"/>
      <c r="AL44" s="36"/>
      <c r="AM44" s="36" t="s">
        <v>139</v>
      </c>
      <c r="AN44" s="36"/>
      <c r="AO44" s="116" t="s">
        <v>139</v>
      </c>
      <c r="AP44" s="116"/>
      <c r="AQ44" s="116"/>
      <c r="AR44" s="116" t="s">
        <v>139</v>
      </c>
      <c r="AS44" s="116"/>
      <c r="AT44" s="116"/>
      <c r="AU44" s="116" t="s">
        <v>139</v>
      </c>
      <c r="AV44" s="116"/>
      <c r="AW44" s="116"/>
      <c r="AX44" s="116"/>
      <c r="AY44" s="118">
        <f t="shared" si="1"/>
        <v>12</v>
      </c>
      <c r="AZ44" s="118"/>
      <c r="BA44" s="118" t="s">
        <v>479</v>
      </c>
    </row>
    <row r="45" spans="1:53" x14ac:dyDescent="0.25">
      <c r="A45">
        <v>41</v>
      </c>
      <c r="B45">
        <v>1251</v>
      </c>
      <c r="C45">
        <v>46</v>
      </c>
      <c r="D45" s="7">
        <v>46045</v>
      </c>
      <c r="E45" s="7" t="s">
        <v>246</v>
      </c>
      <c r="F45" s="10" t="s">
        <v>245</v>
      </c>
      <c r="G45" s="36" t="s">
        <v>139</v>
      </c>
      <c r="H45" s="36" t="s">
        <v>139</v>
      </c>
      <c r="I45" s="36" t="s">
        <v>139</v>
      </c>
      <c r="J45" s="36" t="s">
        <v>139</v>
      </c>
      <c r="K45" s="36" t="s">
        <v>139</v>
      </c>
      <c r="L45" s="36" t="s">
        <v>139</v>
      </c>
      <c r="M45" s="36"/>
      <c r="N45" s="36"/>
      <c r="O45" s="116"/>
      <c r="P45" s="36"/>
      <c r="Q45" s="36"/>
      <c r="R45" s="36"/>
      <c r="S45" s="36"/>
      <c r="T45" s="36"/>
      <c r="U45" s="36" t="s">
        <v>139</v>
      </c>
      <c r="V45" s="36" t="s">
        <v>139</v>
      </c>
      <c r="W45" s="36"/>
      <c r="X45" s="36"/>
      <c r="Y45" s="36"/>
      <c r="Z45" s="36"/>
      <c r="AA45" s="36"/>
      <c r="AB45" s="36"/>
      <c r="AC45" s="116"/>
      <c r="AD45" s="36"/>
      <c r="AE45" s="116"/>
      <c r="AF45" s="36"/>
      <c r="AG45" s="36" t="s">
        <v>139</v>
      </c>
      <c r="AH45" s="116"/>
      <c r="AI45" s="36"/>
      <c r="AJ45" s="36"/>
      <c r="AK45" s="116"/>
      <c r="AL45" s="36"/>
      <c r="AM45" s="36" t="s">
        <v>139</v>
      </c>
      <c r="AN45" s="36"/>
      <c r="AO45" s="116" t="s">
        <v>139</v>
      </c>
      <c r="AP45" s="116"/>
      <c r="AQ45" s="116"/>
      <c r="AR45" s="116" t="s">
        <v>139</v>
      </c>
      <c r="AS45" s="116"/>
      <c r="AT45" s="116"/>
      <c r="AU45" s="116" t="s">
        <v>139</v>
      </c>
      <c r="AV45" s="116"/>
      <c r="AW45" s="116"/>
      <c r="AX45" s="116"/>
      <c r="AY45" s="118">
        <f t="shared" si="1"/>
        <v>13</v>
      </c>
      <c r="AZ45" s="118"/>
      <c r="BA45" s="118" t="s">
        <v>479</v>
      </c>
    </row>
    <row r="46" spans="1:53" x14ac:dyDescent="0.25">
      <c r="A46">
        <v>42</v>
      </c>
      <c r="B46">
        <v>1252</v>
      </c>
      <c r="C46">
        <v>47</v>
      </c>
      <c r="D46" s="7">
        <v>46042</v>
      </c>
      <c r="E46" s="7" t="s">
        <v>249</v>
      </c>
      <c r="F46" s="10" t="s">
        <v>248</v>
      </c>
      <c r="G46" s="36" t="s">
        <v>139</v>
      </c>
      <c r="H46" s="36"/>
      <c r="I46" s="36" t="s">
        <v>139</v>
      </c>
      <c r="J46" s="36" t="s">
        <v>139</v>
      </c>
      <c r="K46" s="36" t="s">
        <v>139</v>
      </c>
      <c r="L46" s="36"/>
      <c r="M46" s="36"/>
      <c r="N46" s="36" t="s">
        <v>139</v>
      </c>
      <c r="O46" s="116"/>
      <c r="P46" s="36" t="s">
        <v>139</v>
      </c>
      <c r="Q46" s="36"/>
      <c r="R46" s="36"/>
      <c r="S46" s="36"/>
      <c r="T46" s="36"/>
      <c r="U46" s="36" t="s">
        <v>139</v>
      </c>
      <c r="V46" s="36"/>
      <c r="W46" s="36"/>
      <c r="X46" s="36"/>
      <c r="Y46" s="36" t="s">
        <v>139</v>
      </c>
      <c r="Z46" s="36"/>
      <c r="AA46" s="36"/>
      <c r="AB46" s="36"/>
      <c r="AC46" s="116"/>
      <c r="AD46" s="36"/>
      <c r="AE46" s="116"/>
      <c r="AF46" s="36"/>
      <c r="AG46" s="36" t="s">
        <v>139</v>
      </c>
      <c r="AH46" s="116" t="s">
        <v>139</v>
      </c>
      <c r="AI46" s="36" t="s">
        <v>139</v>
      </c>
      <c r="AJ46" s="36"/>
      <c r="AK46" s="116"/>
      <c r="AL46" s="36"/>
      <c r="AM46" s="36"/>
      <c r="AN46" s="36"/>
      <c r="AO46" s="116" t="s">
        <v>139</v>
      </c>
      <c r="AP46" s="116"/>
      <c r="AQ46" s="116"/>
      <c r="AR46" s="116"/>
      <c r="AS46" s="116"/>
      <c r="AT46" s="116"/>
      <c r="AU46" s="116" t="s">
        <v>139</v>
      </c>
      <c r="AV46" s="116"/>
      <c r="AW46" s="116"/>
      <c r="AX46" s="116"/>
      <c r="AY46" s="118">
        <f t="shared" si="1"/>
        <v>13</v>
      </c>
      <c r="AZ46" s="118"/>
      <c r="BA46" s="118" t="s">
        <v>479</v>
      </c>
    </row>
    <row r="47" spans="1:53" x14ac:dyDescent="0.25">
      <c r="A47">
        <v>43</v>
      </c>
      <c r="B47">
        <v>1253</v>
      </c>
      <c r="C47">
        <v>48</v>
      </c>
      <c r="D47" s="7">
        <v>46046</v>
      </c>
      <c r="E47" s="7" t="s">
        <v>251</v>
      </c>
      <c r="F47" s="10" t="s">
        <v>250</v>
      </c>
      <c r="G47" s="36" t="s">
        <v>139</v>
      </c>
      <c r="H47" s="36" t="s">
        <v>139</v>
      </c>
      <c r="I47" s="36"/>
      <c r="J47" s="36" t="s">
        <v>139</v>
      </c>
      <c r="K47" s="36" t="s">
        <v>139</v>
      </c>
      <c r="L47" s="36"/>
      <c r="M47" s="36" t="s">
        <v>139</v>
      </c>
      <c r="N47" s="36"/>
      <c r="O47" s="116"/>
      <c r="P47" s="36"/>
      <c r="Q47" s="36" t="s">
        <v>139</v>
      </c>
      <c r="R47" s="36"/>
      <c r="S47" s="36"/>
      <c r="T47" s="36"/>
      <c r="U47" s="36"/>
      <c r="V47" s="36"/>
      <c r="W47" s="36"/>
      <c r="X47" s="36"/>
      <c r="Y47" s="36" t="s">
        <v>139</v>
      </c>
      <c r="Z47" s="36"/>
      <c r="AA47" s="36"/>
      <c r="AB47" s="36" t="s">
        <v>139</v>
      </c>
      <c r="AC47" s="116" t="s">
        <v>139</v>
      </c>
      <c r="AD47" s="36"/>
      <c r="AE47" s="116"/>
      <c r="AF47" s="36"/>
      <c r="AG47" s="36"/>
      <c r="AH47" s="116"/>
      <c r="AI47" s="36"/>
      <c r="AJ47" s="36" t="s">
        <v>139</v>
      </c>
      <c r="AK47" s="116"/>
      <c r="AL47" s="36"/>
      <c r="AM47" s="36"/>
      <c r="AN47" s="36"/>
      <c r="AO47" s="116"/>
      <c r="AP47" s="116"/>
      <c r="AQ47" s="116"/>
      <c r="AR47" s="116"/>
      <c r="AS47" s="116" t="s">
        <v>139</v>
      </c>
      <c r="AT47" s="116"/>
      <c r="AU47" s="116" t="s">
        <v>139</v>
      </c>
      <c r="AV47" s="116"/>
      <c r="AW47" s="116"/>
      <c r="AX47" s="116"/>
      <c r="AY47" s="118">
        <f t="shared" si="1"/>
        <v>12</v>
      </c>
      <c r="AZ47" s="118"/>
      <c r="BA47" s="118" t="s">
        <v>479</v>
      </c>
    </row>
    <row r="48" spans="1:53" x14ac:dyDescent="0.25">
      <c r="A48">
        <v>44</v>
      </c>
      <c r="B48">
        <v>1254</v>
      </c>
      <c r="C48">
        <v>49</v>
      </c>
      <c r="D48" s="7">
        <v>46047</v>
      </c>
      <c r="E48" s="7" t="s">
        <v>253</v>
      </c>
      <c r="F48" s="10" t="s">
        <v>252</v>
      </c>
      <c r="G48" s="36" t="s">
        <v>139</v>
      </c>
      <c r="H48" s="36"/>
      <c r="I48" s="36"/>
      <c r="J48" s="36" t="s">
        <v>139</v>
      </c>
      <c r="K48" s="36" t="s">
        <v>139</v>
      </c>
      <c r="L48" s="36"/>
      <c r="M48" s="36" t="s">
        <v>139</v>
      </c>
      <c r="N48" s="36"/>
      <c r="O48" s="116"/>
      <c r="P48" s="36"/>
      <c r="Q48" s="36" t="s">
        <v>139</v>
      </c>
      <c r="R48" s="36"/>
      <c r="S48" s="36"/>
      <c r="T48" s="36"/>
      <c r="U48" s="36"/>
      <c r="V48" s="36"/>
      <c r="W48" s="36"/>
      <c r="X48" s="36"/>
      <c r="Y48" s="36" t="s">
        <v>139</v>
      </c>
      <c r="Z48" s="36"/>
      <c r="AA48" s="36"/>
      <c r="AB48" s="36" t="s">
        <v>139</v>
      </c>
      <c r="AC48" s="116" t="s">
        <v>139</v>
      </c>
      <c r="AD48" s="36"/>
      <c r="AE48" s="116"/>
      <c r="AF48" s="36"/>
      <c r="AG48" s="36"/>
      <c r="AH48" s="116"/>
      <c r="AI48" s="36"/>
      <c r="AJ48" s="36"/>
      <c r="AK48" s="116"/>
      <c r="AL48" s="36"/>
      <c r="AM48" s="36"/>
      <c r="AN48" s="36"/>
      <c r="AO48" s="116"/>
      <c r="AP48" s="116"/>
      <c r="AQ48" s="116"/>
      <c r="AR48" s="116"/>
      <c r="AS48" s="116" t="s">
        <v>139</v>
      </c>
      <c r="AT48" s="116"/>
      <c r="AU48" s="116" t="s">
        <v>139</v>
      </c>
      <c r="AV48" s="116"/>
      <c r="AW48" s="116"/>
      <c r="AX48" s="116"/>
      <c r="AY48" s="118">
        <f t="shared" si="1"/>
        <v>10</v>
      </c>
      <c r="AZ48" s="118"/>
      <c r="BA48" s="118" t="s">
        <v>479</v>
      </c>
    </row>
    <row r="49" spans="1:53" x14ac:dyDescent="0.25">
      <c r="A49">
        <v>45</v>
      </c>
      <c r="B49">
        <v>1255</v>
      </c>
      <c r="C49">
        <v>50</v>
      </c>
      <c r="D49" s="7">
        <v>46047</v>
      </c>
      <c r="E49" s="7" t="s">
        <v>256</v>
      </c>
      <c r="F49" s="10" t="s">
        <v>254</v>
      </c>
      <c r="G49" s="36"/>
      <c r="H49" s="36" t="s">
        <v>139</v>
      </c>
      <c r="I49" s="36" t="s">
        <v>139</v>
      </c>
      <c r="J49" s="36" t="s">
        <v>139</v>
      </c>
      <c r="K49" s="36"/>
      <c r="L49" s="36"/>
      <c r="M49" s="36" t="s">
        <v>139</v>
      </c>
      <c r="N49" s="36"/>
      <c r="O49" s="116"/>
      <c r="P49" s="36"/>
      <c r="Q49" s="36" t="s">
        <v>139</v>
      </c>
      <c r="R49" s="36"/>
      <c r="S49" s="36"/>
      <c r="T49" s="36"/>
      <c r="U49" s="36"/>
      <c r="V49" s="36"/>
      <c r="W49" s="36"/>
      <c r="X49" s="36"/>
      <c r="Y49" s="36" t="s">
        <v>139</v>
      </c>
      <c r="Z49" s="36"/>
      <c r="AA49" s="36"/>
      <c r="AB49" s="36" t="s">
        <v>139</v>
      </c>
      <c r="AC49" s="116"/>
      <c r="AD49" s="36"/>
      <c r="AE49" s="116"/>
      <c r="AF49" s="36"/>
      <c r="AG49" s="36"/>
      <c r="AH49" s="116" t="s">
        <v>139</v>
      </c>
      <c r="AI49" s="36"/>
      <c r="AJ49" s="36"/>
      <c r="AK49" s="116"/>
      <c r="AL49" s="36"/>
      <c r="AM49" s="36"/>
      <c r="AN49" s="36"/>
      <c r="AO49" s="116"/>
      <c r="AP49" s="116" t="s">
        <v>139</v>
      </c>
      <c r="AQ49" s="116"/>
      <c r="AR49" s="116"/>
      <c r="AS49" s="116" t="s">
        <v>139</v>
      </c>
      <c r="AT49" s="116"/>
      <c r="AU49" s="116" t="s">
        <v>139</v>
      </c>
      <c r="AV49" s="116"/>
      <c r="AW49" s="116"/>
      <c r="AX49" s="116"/>
      <c r="AY49" s="118">
        <f t="shared" si="1"/>
        <v>11</v>
      </c>
      <c r="AZ49" s="118"/>
      <c r="BA49" s="118" t="s">
        <v>479</v>
      </c>
    </row>
    <row r="50" spans="1:53" x14ac:dyDescent="0.25">
      <c r="A50">
        <v>46</v>
      </c>
      <c r="B50">
        <v>1256</v>
      </c>
      <c r="C50">
        <v>51</v>
      </c>
      <c r="D50" s="7">
        <v>46047</v>
      </c>
      <c r="E50" s="7" t="s">
        <v>260</v>
      </c>
      <c r="F50" s="10" t="s">
        <v>258</v>
      </c>
      <c r="G50" s="36"/>
      <c r="H50" s="36" t="s">
        <v>139</v>
      </c>
      <c r="I50" s="36" t="s">
        <v>139</v>
      </c>
      <c r="J50" s="36" t="s">
        <v>139</v>
      </c>
      <c r="K50" s="36"/>
      <c r="L50" s="36"/>
      <c r="M50" s="36" t="s">
        <v>139</v>
      </c>
      <c r="N50" s="36"/>
      <c r="O50" s="116"/>
      <c r="P50" s="36" t="s">
        <v>139</v>
      </c>
      <c r="Q50" s="36" t="s">
        <v>139</v>
      </c>
      <c r="R50" s="36"/>
      <c r="S50" s="36"/>
      <c r="T50" s="36"/>
      <c r="U50" s="36"/>
      <c r="V50" s="36" t="s">
        <v>139</v>
      </c>
      <c r="W50" s="36"/>
      <c r="X50" s="36"/>
      <c r="Y50" s="36" t="s">
        <v>139</v>
      </c>
      <c r="Z50" s="36"/>
      <c r="AA50" s="36"/>
      <c r="AB50" s="36"/>
      <c r="AC50" s="116"/>
      <c r="AD50" s="36" t="s">
        <v>139</v>
      </c>
      <c r="AE50" s="116" t="s">
        <v>139</v>
      </c>
      <c r="AF50" s="36"/>
      <c r="AG50" s="36"/>
      <c r="AH50" s="116"/>
      <c r="AI50" s="36"/>
      <c r="AJ50" s="36" t="s">
        <v>139</v>
      </c>
      <c r="AK50" s="116"/>
      <c r="AL50" s="36"/>
      <c r="AM50" s="36"/>
      <c r="AN50" s="36"/>
      <c r="AO50" s="116" t="s">
        <v>139</v>
      </c>
      <c r="AP50" s="116"/>
      <c r="AQ50" s="116"/>
      <c r="AR50" s="116" t="s">
        <v>139</v>
      </c>
      <c r="AS50" s="116" t="s">
        <v>139</v>
      </c>
      <c r="AT50" s="116"/>
      <c r="AU50" s="116" t="s">
        <v>139</v>
      </c>
      <c r="AV50" s="116"/>
      <c r="AW50" s="116"/>
      <c r="AX50" s="116"/>
      <c r="AY50" s="118">
        <f t="shared" si="1"/>
        <v>15</v>
      </c>
      <c r="AZ50" s="118"/>
      <c r="BA50" s="118" t="s">
        <v>479</v>
      </c>
    </row>
    <row r="51" spans="1:53" x14ac:dyDescent="0.25">
      <c r="A51">
        <v>47</v>
      </c>
      <c r="B51">
        <v>1257</v>
      </c>
      <c r="C51">
        <v>52</v>
      </c>
      <c r="D51" s="7">
        <v>46047</v>
      </c>
      <c r="E51" s="7" t="s">
        <v>263</v>
      </c>
      <c r="F51" s="10" t="s">
        <v>261</v>
      </c>
      <c r="G51" s="36"/>
      <c r="H51" s="36" t="s">
        <v>139</v>
      </c>
      <c r="I51" s="36" t="s">
        <v>139</v>
      </c>
      <c r="J51" s="36" t="s">
        <v>139</v>
      </c>
      <c r="K51" s="36"/>
      <c r="L51" s="36"/>
      <c r="M51" s="36" t="s">
        <v>139</v>
      </c>
      <c r="N51" s="36" t="s">
        <v>139</v>
      </c>
      <c r="O51" s="116"/>
      <c r="P51" s="36" t="s">
        <v>139</v>
      </c>
      <c r="Q51" s="36" t="s">
        <v>139</v>
      </c>
      <c r="R51" s="36"/>
      <c r="S51" s="36"/>
      <c r="T51" s="36"/>
      <c r="U51" s="36"/>
      <c r="V51" s="36" t="s">
        <v>139</v>
      </c>
      <c r="W51" s="36"/>
      <c r="X51" s="36"/>
      <c r="Y51" s="36" t="s">
        <v>139</v>
      </c>
      <c r="Z51" s="36"/>
      <c r="AA51" s="36"/>
      <c r="AB51" s="36" t="s">
        <v>139</v>
      </c>
      <c r="AC51" s="116" t="s">
        <v>139</v>
      </c>
      <c r="AD51" s="36"/>
      <c r="AE51" s="116" t="s">
        <v>139</v>
      </c>
      <c r="AF51" s="36"/>
      <c r="AG51" s="36"/>
      <c r="AH51" s="116" t="s">
        <v>139</v>
      </c>
      <c r="AI51" s="36"/>
      <c r="AJ51" s="36" t="s">
        <v>139</v>
      </c>
      <c r="AK51" s="116" t="s">
        <v>139</v>
      </c>
      <c r="AL51" s="36"/>
      <c r="AM51" s="36"/>
      <c r="AN51" s="36"/>
      <c r="AO51" s="116"/>
      <c r="AP51" s="116"/>
      <c r="AQ51" s="116"/>
      <c r="AR51" s="116" t="s">
        <v>139</v>
      </c>
      <c r="AS51" s="116" t="s">
        <v>139</v>
      </c>
      <c r="AT51" s="116"/>
      <c r="AU51" s="116" t="s">
        <v>139</v>
      </c>
      <c r="AV51" s="116"/>
      <c r="AW51" s="116"/>
      <c r="AX51" s="116"/>
      <c r="AY51" s="118">
        <f t="shared" si="1"/>
        <v>18</v>
      </c>
      <c r="AZ51" s="118"/>
      <c r="BA51" s="118" t="s">
        <v>479</v>
      </c>
    </row>
    <row r="52" spans="1:53" x14ac:dyDescent="0.25">
      <c r="A52">
        <v>48</v>
      </c>
      <c r="B52">
        <v>1258</v>
      </c>
      <c r="C52">
        <v>53</v>
      </c>
      <c r="D52" s="7">
        <v>46048</v>
      </c>
      <c r="E52" s="7" t="s">
        <v>265</v>
      </c>
      <c r="F52" s="10" t="s">
        <v>264</v>
      </c>
      <c r="G52" s="36"/>
      <c r="H52" s="36"/>
      <c r="I52" s="36"/>
      <c r="J52" s="36" t="s">
        <v>139</v>
      </c>
      <c r="K52" s="36"/>
      <c r="L52" s="36"/>
      <c r="M52" s="36"/>
      <c r="N52" s="36" t="s">
        <v>139</v>
      </c>
      <c r="O52" s="116"/>
      <c r="P52" s="36"/>
      <c r="Q52" s="36"/>
      <c r="R52" s="36"/>
      <c r="S52" s="36"/>
      <c r="T52" s="36"/>
      <c r="U52" s="36" t="s">
        <v>139</v>
      </c>
      <c r="V52" s="36"/>
      <c r="W52" s="36"/>
      <c r="X52" s="36"/>
      <c r="Y52" s="36" t="s">
        <v>139</v>
      </c>
      <c r="Z52" s="36"/>
      <c r="AA52" s="36"/>
      <c r="AB52" s="36" t="s">
        <v>139</v>
      </c>
      <c r="AC52" s="116"/>
      <c r="AD52" s="36"/>
      <c r="AE52" s="116"/>
      <c r="AF52" s="36"/>
      <c r="AG52" s="36"/>
      <c r="AH52" s="116"/>
      <c r="AI52" s="36"/>
      <c r="AJ52" s="36"/>
      <c r="AK52" s="116"/>
      <c r="AL52" s="36"/>
      <c r="AM52" s="36"/>
      <c r="AN52" s="36"/>
      <c r="AO52" s="116" t="s">
        <v>139</v>
      </c>
      <c r="AP52" s="116"/>
      <c r="AQ52" s="116"/>
      <c r="AR52" s="116" t="s">
        <v>139</v>
      </c>
      <c r="AS52" s="116" t="s">
        <v>139</v>
      </c>
      <c r="AT52" s="116"/>
      <c r="AU52" s="116" t="s">
        <v>139</v>
      </c>
      <c r="AV52" s="116"/>
      <c r="AW52" s="116"/>
      <c r="AX52" s="116"/>
      <c r="AY52" s="118">
        <f t="shared" si="1"/>
        <v>9</v>
      </c>
      <c r="AZ52" s="118"/>
      <c r="BA52" s="118" t="s">
        <v>479</v>
      </c>
    </row>
    <row r="53" spans="1:53" x14ac:dyDescent="0.25">
      <c r="A53">
        <v>49</v>
      </c>
      <c r="B53">
        <v>1259</v>
      </c>
      <c r="C53">
        <v>54</v>
      </c>
      <c r="D53" s="7">
        <v>46048</v>
      </c>
      <c r="E53" s="7" t="s">
        <v>267</v>
      </c>
      <c r="F53" s="10" t="s">
        <v>266</v>
      </c>
      <c r="G53" s="36"/>
      <c r="H53" s="36" t="s">
        <v>139</v>
      </c>
      <c r="I53" s="36" t="s">
        <v>139</v>
      </c>
      <c r="J53" s="36" t="s">
        <v>139</v>
      </c>
      <c r="K53" s="36"/>
      <c r="L53" s="36"/>
      <c r="M53" s="36"/>
      <c r="N53" s="36" t="s">
        <v>139</v>
      </c>
      <c r="O53" s="116"/>
      <c r="P53" s="36"/>
      <c r="Q53" s="36"/>
      <c r="R53" s="36"/>
      <c r="S53" s="36"/>
      <c r="T53" s="36"/>
      <c r="U53" s="36" t="s">
        <v>139</v>
      </c>
      <c r="V53" s="36" t="s">
        <v>139</v>
      </c>
      <c r="W53" s="36"/>
      <c r="X53" s="36"/>
      <c r="Y53" s="36" t="s">
        <v>139</v>
      </c>
      <c r="Z53" s="36"/>
      <c r="AA53" s="36"/>
      <c r="AB53" s="36" t="s">
        <v>139</v>
      </c>
      <c r="AC53" s="116"/>
      <c r="AD53" s="36" t="s">
        <v>139</v>
      </c>
      <c r="AE53" s="116"/>
      <c r="AF53" s="36"/>
      <c r="AG53" s="36"/>
      <c r="AH53" s="116" t="s">
        <v>139</v>
      </c>
      <c r="AI53" s="36"/>
      <c r="AJ53" s="36"/>
      <c r="AK53" s="116"/>
      <c r="AL53" s="36"/>
      <c r="AM53" s="36"/>
      <c r="AN53" s="36"/>
      <c r="AO53" s="116" t="s">
        <v>139</v>
      </c>
      <c r="AP53" s="116"/>
      <c r="AQ53" s="116"/>
      <c r="AR53" s="116" t="s">
        <v>139</v>
      </c>
      <c r="AS53" s="116" t="s">
        <v>139</v>
      </c>
      <c r="AT53" s="116"/>
      <c r="AU53" s="116" t="s">
        <v>139</v>
      </c>
      <c r="AV53" s="116"/>
      <c r="AW53" s="116"/>
      <c r="AX53" s="116"/>
      <c r="AY53" s="118">
        <f t="shared" si="1"/>
        <v>14</v>
      </c>
      <c r="AZ53" s="118"/>
      <c r="BA53" s="118" t="s">
        <v>479</v>
      </c>
    </row>
    <row r="54" spans="1:53" x14ac:dyDescent="0.25">
      <c r="A54">
        <v>50</v>
      </c>
      <c r="B54">
        <v>1260</v>
      </c>
      <c r="C54">
        <v>55</v>
      </c>
      <c r="D54" s="7">
        <v>46049</v>
      </c>
      <c r="E54" s="7" t="s">
        <v>269</v>
      </c>
      <c r="F54" s="10" t="s">
        <v>268</v>
      </c>
      <c r="G54" s="36"/>
      <c r="H54" s="36" t="s">
        <v>139</v>
      </c>
      <c r="I54" s="36"/>
      <c r="J54" s="36" t="s">
        <v>139</v>
      </c>
      <c r="K54" s="36"/>
      <c r="L54" s="36"/>
      <c r="M54" s="36"/>
      <c r="N54" s="36"/>
      <c r="O54" s="116"/>
      <c r="P54" s="36" t="s">
        <v>139</v>
      </c>
      <c r="Q54" s="36"/>
      <c r="R54" s="36"/>
      <c r="S54" s="36"/>
      <c r="T54" s="36"/>
      <c r="U54" s="36" t="s">
        <v>139</v>
      </c>
      <c r="V54" s="36"/>
      <c r="W54" s="36"/>
      <c r="X54" s="36" t="s">
        <v>139</v>
      </c>
      <c r="Y54" s="36"/>
      <c r="Z54" s="36"/>
      <c r="AA54" s="36"/>
      <c r="AB54" s="36"/>
      <c r="AC54" s="116"/>
      <c r="AD54" s="36"/>
      <c r="AE54" s="116"/>
      <c r="AF54" s="36"/>
      <c r="AG54" s="36"/>
      <c r="AH54" s="116"/>
      <c r="AI54" s="36"/>
      <c r="AJ54" s="36"/>
      <c r="AK54" s="116" t="s">
        <v>139</v>
      </c>
      <c r="AL54" s="36"/>
      <c r="AM54" s="36"/>
      <c r="AN54" s="36"/>
      <c r="AO54" s="116" t="s">
        <v>139</v>
      </c>
      <c r="AP54" s="116"/>
      <c r="AQ54" s="116"/>
      <c r="AR54" s="116"/>
      <c r="AS54" s="116"/>
      <c r="AT54" s="116"/>
      <c r="AU54" s="116" t="s">
        <v>139</v>
      </c>
      <c r="AV54" s="116"/>
      <c r="AW54" s="116"/>
      <c r="AX54" s="116"/>
      <c r="AY54" s="118">
        <f t="shared" si="1"/>
        <v>8</v>
      </c>
      <c r="AZ54" s="118"/>
      <c r="BA54" s="118" t="s">
        <v>479</v>
      </c>
    </row>
    <row r="55" spans="1:53" x14ac:dyDescent="0.25">
      <c r="A55">
        <v>51</v>
      </c>
      <c r="B55">
        <v>1261</v>
      </c>
      <c r="C55">
        <v>56</v>
      </c>
      <c r="D55" s="7">
        <v>46049</v>
      </c>
      <c r="E55" s="7" t="s">
        <v>271</v>
      </c>
      <c r="F55" s="10" t="s">
        <v>270</v>
      </c>
      <c r="G55" s="36"/>
      <c r="H55" s="36"/>
      <c r="I55" s="36"/>
      <c r="J55" s="36" t="s">
        <v>139</v>
      </c>
      <c r="K55" s="36"/>
      <c r="L55" s="36"/>
      <c r="M55" s="36"/>
      <c r="N55" s="36"/>
      <c r="O55" s="116"/>
      <c r="P55" s="36" t="s">
        <v>139</v>
      </c>
      <c r="Q55" s="36"/>
      <c r="R55" s="36"/>
      <c r="S55" s="36"/>
      <c r="T55" s="36"/>
      <c r="U55" s="36" t="s">
        <v>139</v>
      </c>
      <c r="V55" s="36"/>
      <c r="W55" s="36"/>
      <c r="X55" s="36" t="s">
        <v>139</v>
      </c>
      <c r="Y55" s="36"/>
      <c r="Z55" s="36"/>
      <c r="AA55" s="36"/>
      <c r="AB55" s="36"/>
      <c r="AC55" s="116" t="s">
        <v>139</v>
      </c>
      <c r="AD55" s="36"/>
      <c r="AE55" s="116"/>
      <c r="AF55" s="36"/>
      <c r="AG55" s="36"/>
      <c r="AH55" s="116"/>
      <c r="AI55" s="36"/>
      <c r="AJ55" s="36"/>
      <c r="AK55" s="116" t="s">
        <v>139</v>
      </c>
      <c r="AL55" s="36"/>
      <c r="AM55" s="36"/>
      <c r="AN55" s="36"/>
      <c r="AO55" s="116"/>
      <c r="AP55" s="116"/>
      <c r="AQ55" s="116"/>
      <c r="AR55" s="116"/>
      <c r="AS55" s="116"/>
      <c r="AT55" s="116"/>
      <c r="AU55" s="116" t="s">
        <v>139</v>
      </c>
      <c r="AV55" s="116"/>
      <c r="AW55" s="116"/>
      <c r="AX55" s="116"/>
      <c r="AY55" s="118">
        <f t="shared" si="1"/>
        <v>7</v>
      </c>
      <c r="AZ55" s="118"/>
      <c r="BA55" s="118" t="s">
        <v>479</v>
      </c>
    </row>
    <row r="56" spans="1:53" x14ac:dyDescent="0.25">
      <c r="A56">
        <v>52</v>
      </c>
      <c r="B56">
        <v>1262</v>
      </c>
      <c r="C56">
        <v>57</v>
      </c>
      <c r="D56" s="7">
        <v>46049</v>
      </c>
      <c r="E56" s="7" t="s">
        <v>275</v>
      </c>
      <c r="F56" s="10" t="s">
        <v>273</v>
      </c>
      <c r="G56" s="36" t="s">
        <v>139</v>
      </c>
      <c r="H56" s="36" t="s">
        <v>139</v>
      </c>
      <c r="I56" s="36"/>
      <c r="J56" s="36" t="s">
        <v>139</v>
      </c>
      <c r="K56" s="36"/>
      <c r="L56" s="36"/>
      <c r="M56" s="36"/>
      <c r="N56" s="36" t="s">
        <v>139</v>
      </c>
      <c r="O56" s="116"/>
      <c r="P56" s="36" t="s">
        <v>139</v>
      </c>
      <c r="Q56" s="36"/>
      <c r="R56" s="36"/>
      <c r="S56" s="36"/>
      <c r="T56" s="36"/>
      <c r="U56" s="36" t="s">
        <v>139</v>
      </c>
      <c r="V56" s="36"/>
      <c r="W56" s="36"/>
      <c r="X56" s="36" t="s">
        <v>139</v>
      </c>
      <c r="Y56" s="36"/>
      <c r="Z56" s="36"/>
      <c r="AA56" s="36"/>
      <c r="AB56" s="36"/>
      <c r="AC56" s="116"/>
      <c r="AD56" s="36"/>
      <c r="AE56" s="116"/>
      <c r="AF56" s="36"/>
      <c r="AG56" s="36"/>
      <c r="AH56" s="116"/>
      <c r="AI56" s="36"/>
      <c r="AJ56" s="36"/>
      <c r="AK56" s="116" t="s">
        <v>139</v>
      </c>
      <c r="AL56" s="36"/>
      <c r="AM56" s="36"/>
      <c r="AN56" s="36"/>
      <c r="AO56" s="116"/>
      <c r="AP56" s="116"/>
      <c r="AQ56" s="116"/>
      <c r="AR56" s="116" t="s">
        <v>139</v>
      </c>
      <c r="AS56" s="116"/>
      <c r="AT56" s="116"/>
      <c r="AU56" s="116" t="s">
        <v>139</v>
      </c>
      <c r="AV56" s="116"/>
      <c r="AW56" s="116"/>
      <c r="AX56" s="116"/>
      <c r="AY56" s="118">
        <f t="shared" si="1"/>
        <v>10</v>
      </c>
      <c r="AZ56" s="118"/>
      <c r="BA56" s="118" t="s">
        <v>479</v>
      </c>
    </row>
    <row r="57" spans="1:53" x14ac:dyDescent="0.25">
      <c r="A57" t="s">
        <v>58</v>
      </c>
      <c r="B57" t="s">
        <v>58</v>
      </c>
      <c r="C57">
        <v>58</v>
      </c>
      <c r="D57" s="7">
        <v>46049</v>
      </c>
      <c r="E57" s="7" t="s">
        <v>469</v>
      </c>
      <c r="F57" s="10" t="s">
        <v>470</v>
      </c>
      <c r="G57" s="36" t="s">
        <v>139</v>
      </c>
      <c r="H57" s="36" t="s">
        <v>139</v>
      </c>
      <c r="I57" s="36" t="s">
        <v>139</v>
      </c>
      <c r="J57" s="36" t="s">
        <v>139</v>
      </c>
      <c r="K57" s="36" t="s">
        <v>139</v>
      </c>
      <c r="L57" s="36" t="s">
        <v>139</v>
      </c>
      <c r="M57" s="36" t="s">
        <v>139</v>
      </c>
      <c r="N57" s="36" t="s">
        <v>139</v>
      </c>
      <c r="O57" s="116" t="s">
        <v>471</v>
      </c>
      <c r="P57" s="36" t="s">
        <v>139</v>
      </c>
      <c r="Q57" s="36" t="s">
        <v>139</v>
      </c>
      <c r="R57" s="36" t="s">
        <v>139</v>
      </c>
      <c r="S57" s="36" t="s">
        <v>471</v>
      </c>
      <c r="T57" s="36" t="s">
        <v>139</v>
      </c>
      <c r="U57" s="36" t="s">
        <v>139</v>
      </c>
      <c r="V57" s="36" t="s">
        <v>139</v>
      </c>
      <c r="W57" s="36" t="s">
        <v>471</v>
      </c>
      <c r="X57" s="36" t="s">
        <v>471</v>
      </c>
      <c r="Y57" s="36"/>
      <c r="Z57" s="36" t="s">
        <v>471</v>
      </c>
      <c r="AA57" s="36"/>
      <c r="AB57" s="36" t="s">
        <v>139</v>
      </c>
      <c r="AC57" s="116" t="s">
        <v>139</v>
      </c>
      <c r="AD57" s="36" t="s">
        <v>139</v>
      </c>
      <c r="AE57" s="116" t="s">
        <v>139</v>
      </c>
      <c r="AF57" s="36" t="s">
        <v>471</v>
      </c>
      <c r="AG57" s="36" t="s">
        <v>139</v>
      </c>
      <c r="AH57" s="116" t="s">
        <v>139</v>
      </c>
      <c r="AI57" s="36" t="s">
        <v>139</v>
      </c>
      <c r="AJ57" s="36" t="s">
        <v>471</v>
      </c>
      <c r="AK57" s="116" t="s">
        <v>139</v>
      </c>
      <c r="AL57" s="36" t="s">
        <v>471</v>
      </c>
      <c r="AM57" s="36" t="s">
        <v>471</v>
      </c>
      <c r="AN57" s="36" t="s">
        <v>471</v>
      </c>
      <c r="AO57" s="116" t="s">
        <v>139</v>
      </c>
      <c r="AP57" s="116" t="s">
        <v>139</v>
      </c>
      <c r="AQ57" s="116"/>
      <c r="AR57" s="116" t="s">
        <v>139</v>
      </c>
      <c r="AS57" s="116" t="s">
        <v>139</v>
      </c>
      <c r="AT57" s="116" t="s">
        <v>471</v>
      </c>
      <c r="AU57" s="116" t="s">
        <v>139</v>
      </c>
      <c r="AV57" s="116" t="s">
        <v>139</v>
      </c>
      <c r="AW57" s="116" t="s">
        <v>139</v>
      </c>
      <c r="AX57" s="116"/>
      <c r="AY57" s="118">
        <f t="shared" si="1"/>
        <v>29</v>
      </c>
      <c r="AZ57" s="118"/>
      <c r="BA57" s="118" t="s">
        <v>479</v>
      </c>
    </row>
    <row r="58" spans="1:53" x14ac:dyDescent="0.25">
      <c r="A58">
        <v>53</v>
      </c>
      <c r="B58">
        <v>1263</v>
      </c>
      <c r="C58">
        <v>59</v>
      </c>
      <c r="D58" s="7">
        <v>46048</v>
      </c>
      <c r="E58" s="7" t="s">
        <v>277</v>
      </c>
      <c r="F58" s="10" t="s">
        <v>276</v>
      </c>
      <c r="G58" s="36"/>
      <c r="H58" s="36"/>
      <c r="I58" s="36"/>
      <c r="J58" s="36" t="s">
        <v>139</v>
      </c>
      <c r="K58" s="36" t="s">
        <v>139</v>
      </c>
      <c r="L58" s="36" t="s">
        <v>139</v>
      </c>
      <c r="M58" s="36"/>
      <c r="N58" s="36" t="s">
        <v>139</v>
      </c>
      <c r="O58" s="116"/>
      <c r="P58" s="36"/>
      <c r="Q58" s="36"/>
      <c r="R58" s="36"/>
      <c r="S58" s="36"/>
      <c r="T58" s="36"/>
      <c r="U58" s="36" t="s">
        <v>139</v>
      </c>
      <c r="V58" s="36"/>
      <c r="W58" s="36"/>
      <c r="X58" s="36"/>
      <c r="Y58" s="36"/>
      <c r="Z58" s="36"/>
      <c r="AA58" s="36"/>
      <c r="AB58" s="36"/>
      <c r="AC58" s="116"/>
      <c r="AD58" s="36"/>
      <c r="AE58" s="116"/>
      <c r="AF58" s="36"/>
      <c r="AG58" s="36"/>
      <c r="AH58" s="116"/>
      <c r="AI58" s="36"/>
      <c r="AJ58" s="36"/>
      <c r="AK58" s="116" t="s">
        <v>139</v>
      </c>
      <c r="AL58" s="36"/>
      <c r="AM58" s="36"/>
      <c r="AN58" s="36"/>
      <c r="AO58" s="116"/>
      <c r="AP58" s="116"/>
      <c r="AQ58" s="116"/>
      <c r="AR58" s="116" t="s">
        <v>139</v>
      </c>
      <c r="AS58" s="116"/>
      <c r="AT58" s="116"/>
      <c r="AU58" s="116" t="s">
        <v>139</v>
      </c>
      <c r="AV58" s="116"/>
      <c r="AW58" s="116"/>
      <c r="AX58" s="116"/>
      <c r="AY58" s="118">
        <f t="shared" si="1"/>
        <v>8</v>
      </c>
      <c r="AZ58" s="118"/>
      <c r="BA58" s="118" t="s">
        <v>479</v>
      </c>
    </row>
    <row r="59" spans="1:53" x14ac:dyDescent="0.25">
      <c r="A59">
        <v>54</v>
      </c>
      <c r="B59">
        <v>1264</v>
      </c>
      <c r="C59">
        <v>60</v>
      </c>
      <c r="D59" s="7">
        <v>46051</v>
      </c>
      <c r="E59" s="7" t="s">
        <v>280</v>
      </c>
      <c r="F59" s="10" t="s">
        <v>279</v>
      </c>
      <c r="G59" s="36"/>
      <c r="H59" s="36"/>
      <c r="I59" s="36"/>
      <c r="J59" s="36"/>
      <c r="K59" s="36"/>
      <c r="L59" s="36" t="s">
        <v>139</v>
      </c>
      <c r="M59" s="36"/>
      <c r="N59" s="36"/>
      <c r="O59" s="116"/>
      <c r="P59" s="36" t="s">
        <v>139</v>
      </c>
      <c r="Q59" s="36"/>
      <c r="R59" s="36"/>
      <c r="S59" s="36"/>
      <c r="T59" s="36"/>
      <c r="U59" s="36" t="s">
        <v>139</v>
      </c>
      <c r="V59" s="36"/>
      <c r="W59" s="36"/>
      <c r="X59" s="36"/>
      <c r="Y59" s="36"/>
      <c r="Z59" s="36"/>
      <c r="AA59" s="36"/>
      <c r="AB59" s="36" t="s">
        <v>139</v>
      </c>
      <c r="AC59" s="116"/>
      <c r="AD59" s="36" t="s">
        <v>139</v>
      </c>
      <c r="AE59" s="116"/>
      <c r="AF59" s="36" t="s">
        <v>139</v>
      </c>
      <c r="AG59" s="36"/>
      <c r="AH59" s="116"/>
      <c r="AI59" s="36"/>
      <c r="AJ59" s="36"/>
      <c r="AK59" s="116" t="s">
        <v>139</v>
      </c>
      <c r="AL59" s="36"/>
      <c r="AM59" s="36"/>
      <c r="AN59" s="36"/>
      <c r="AO59" s="116"/>
      <c r="AP59" s="116"/>
      <c r="AQ59" s="116"/>
      <c r="AR59" s="116"/>
      <c r="AS59" s="116"/>
      <c r="AT59" s="116"/>
      <c r="AU59" s="116" t="s">
        <v>139</v>
      </c>
      <c r="AV59" s="116"/>
      <c r="AW59" s="116"/>
      <c r="AX59" s="116"/>
      <c r="AY59" s="118">
        <f t="shared" si="1"/>
        <v>8</v>
      </c>
      <c r="AZ59" s="118"/>
      <c r="BA59" s="118" t="s">
        <v>479</v>
      </c>
    </row>
    <row r="60" spans="1:53" x14ac:dyDescent="0.25">
      <c r="A60">
        <v>55</v>
      </c>
      <c r="B60">
        <v>1265</v>
      </c>
      <c r="C60">
        <v>61</v>
      </c>
      <c r="D60" s="7">
        <v>46051</v>
      </c>
      <c r="E60" s="7" t="s">
        <v>282</v>
      </c>
      <c r="F60" s="10" t="s">
        <v>281</v>
      </c>
      <c r="G60" s="36"/>
      <c r="H60" s="36"/>
      <c r="I60" s="36"/>
      <c r="J60" s="36"/>
      <c r="K60" s="36"/>
      <c r="L60" s="36" t="s">
        <v>139</v>
      </c>
      <c r="M60" s="36"/>
      <c r="N60" s="36"/>
      <c r="O60" s="116"/>
      <c r="P60" s="36" t="s">
        <v>139</v>
      </c>
      <c r="Q60" s="36"/>
      <c r="R60" s="36"/>
      <c r="S60" s="36"/>
      <c r="T60" s="36"/>
      <c r="U60" s="36" t="s">
        <v>139</v>
      </c>
      <c r="V60" s="36"/>
      <c r="W60" s="36"/>
      <c r="X60" s="36"/>
      <c r="Y60" s="36"/>
      <c r="Z60" s="36"/>
      <c r="AA60" s="36"/>
      <c r="AB60" s="36"/>
      <c r="AC60" s="116"/>
      <c r="AD60" s="36" t="s">
        <v>139</v>
      </c>
      <c r="AE60" s="116"/>
      <c r="AF60" s="36" t="s">
        <v>139</v>
      </c>
      <c r="AG60" s="36"/>
      <c r="AH60" s="116"/>
      <c r="AI60" s="36"/>
      <c r="AJ60" s="36"/>
      <c r="AK60" s="116" t="s">
        <v>139</v>
      </c>
      <c r="AL60" s="36"/>
      <c r="AM60" s="36"/>
      <c r="AN60" s="36"/>
      <c r="AO60" s="116"/>
      <c r="AP60" s="116"/>
      <c r="AQ60" s="116"/>
      <c r="AR60" s="116"/>
      <c r="AS60" s="116"/>
      <c r="AT60" s="116"/>
      <c r="AU60" s="116" t="s">
        <v>139</v>
      </c>
      <c r="AV60" s="116"/>
      <c r="AW60" s="116"/>
      <c r="AX60" s="116"/>
      <c r="AY60" s="118">
        <f t="shared" si="1"/>
        <v>7</v>
      </c>
      <c r="AZ60" s="118"/>
      <c r="BA60" s="118" t="s">
        <v>479</v>
      </c>
    </row>
    <row r="61" spans="1:53" x14ac:dyDescent="0.25">
      <c r="A61">
        <v>56</v>
      </c>
      <c r="B61">
        <v>1266</v>
      </c>
      <c r="C61">
        <v>62</v>
      </c>
      <c r="D61" s="7">
        <v>46051</v>
      </c>
      <c r="E61" s="7" t="s">
        <v>284</v>
      </c>
      <c r="F61" s="10" t="s">
        <v>283</v>
      </c>
      <c r="G61" s="36" t="s">
        <v>139</v>
      </c>
      <c r="H61" s="36"/>
      <c r="I61" s="36" t="s">
        <v>139</v>
      </c>
      <c r="J61" s="36" t="s">
        <v>139</v>
      </c>
      <c r="K61" s="36"/>
      <c r="L61" s="36" t="s">
        <v>139</v>
      </c>
      <c r="M61" s="36"/>
      <c r="N61" s="36" t="s">
        <v>139</v>
      </c>
      <c r="O61" s="116"/>
      <c r="P61" s="36"/>
      <c r="Q61" s="36"/>
      <c r="R61" s="36" t="s">
        <v>139</v>
      </c>
      <c r="S61" s="36"/>
      <c r="T61" s="36"/>
      <c r="U61" s="36" t="s">
        <v>139</v>
      </c>
      <c r="V61" s="36"/>
      <c r="W61" s="36"/>
      <c r="X61" s="36" t="s">
        <v>139</v>
      </c>
      <c r="Y61" s="36"/>
      <c r="Z61" s="36"/>
      <c r="AA61" s="36"/>
      <c r="AB61" s="36"/>
      <c r="AC61" s="116"/>
      <c r="AD61" s="36" t="s">
        <v>139</v>
      </c>
      <c r="AE61" s="116"/>
      <c r="AF61" s="36" t="s">
        <v>139</v>
      </c>
      <c r="AG61" s="36"/>
      <c r="AH61" s="116" t="s">
        <v>139</v>
      </c>
      <c r="AI61" s="36"/>
      <c r="AJ61" s="36"/>
      <c r="AK61" s="116"/>
      <c r="AL61" s="36"/>
      <c r="AM61" s="36"/>
      <c r="AN61" s="36"/>
      <c r="AO61" s="116"/>
      <c r="AP61" s="116"/>
      <c r="AQ61" s="116"/>
      <c r="AR61" s="116"/>
      <c r="AS61" s="116"/>
      <c r="AT61" s="116"/>
      <c r="AU61" s="116"/>
      <c r="AV61" s="116"/>
      <c r="AW61" s="116"/>
      <c r="AX61" s="116"/>
      <c r="AY61" s="118">
        <f t="shared" si="1"/>
        <v>11</v>
      </c>
      <c r="AZ61" s="118"/>
      <c r="BA61" s="118" t="s">
        <v>479</v>
      </c>
    </row>
    <row r="62" spans="1:53" x14ac:dyDescent="0.25">
      <c r="A62">
        <v>57</v>
      </c>
      <c r="B62">
        <v>1267</v>
      </c>
      <c r="C62">
        <v>63</v>
      </c>
      <c r="D62" s="7">
        <v>46052</v>
      </c>
      <c r="E62" s="7" t="s">
        <v>288</v>
      </c>
      <c r="F62" s="10" t="s">
        <v>286</v>
      </c>
      <c r="G62" s="36" t="s">
        <v>139</v>
      </c>
      <c r="H62" s="36" t="s">
        <v>139</v>
      </c>
      <c r="I62" s="36"/>
      <c r="J62" s="36" t="s">
        <v>139</v>
      </c>
      <c r="K62" s="36"/>
      <c r="L62" s="36"/>
      <c r="M62" s="36" t="s">
        <v>139</v>
      </c>
      <c r="N62" s="36"/>
      <c r="O62" s="116"/>
      <c r="P62" s="36" t="s">
        <v>139</v>
      </c>
      <c r="Q62" s="36" t="s">
        <v>139</v>
      </c>
      <c r="R62" s="36"/>
      <c r="S62" s="36"/>
      <c r="T62" s="36" t="s">
        <v>139</v>
      </c>
      <c r="U62" s="36"/>
      <c r="V62" s="36"/>
      <c r="W62" s="36"/>
      <c r="X62" s="36"/>
      <c r="Y62" s="36"/>
      <c r="Z62" s="36"/>
      <c r="AA62" s="36"/>
      <c r="AB62" s="36" t="s">
        <v>139</v>
      </c>
      <c r="AC62" s="116" t="s">
        <v>139</v>
      </c>
      <c r="AD62" s="36" t="s">
        <v>139</v>
      </c>
      <c r="AE62" s="116"/>
      <c r="AF62" s="36" t="s">
        <v>139</v>
      </c>
      <c r="AG62" s="36"/>
      <c r="AH62" s="116"/>
      <c r="AI62" s="36" t="s">
        <v>139</v>
      </c>
      <c r="AJ62" s="36" t="s">
        <v>139</v>
      </c>
      <c r="AK62" s="116"/>
      <c r="AL62" s="36"/>
      <c r="AM62" s="36"/>
      <c r="AN62" s="36"/>
      <c r="AO62" s="116"/>
      <c r="AP62" s="116" t="s">
        <v>139</v>
      </c>
      <c r="AQ62" s="116" t="s">
        <v>139</v>
      </c>
      <c r="AR62" s="116"/>
      <c r="AS62" s="116"/>
      <c r="AT62" s="116"/>
      <c r="AU62" s="116" t="s">
        <v>139</v>
      </c>
      <c r="AV62" s="116"/>
      <c r="AW62" s="116"/>
      <c r="AX62" s="116"/>
      <c r="AY62" s="118">
        <f t="shared" si="1"/>
        <v>16</v>
      </c>
      <c r="AZ62" s="118"/>
      <c r="BA62" s="118" t="s">
        <v>479</v>
      </c>
    </row>
    <row r="63" spans="1:53" x14ac:dyDescent="0.25">
      <c r="A63">
        <v>58</v>
      </c>
      <c r="B63">
        <v>1268</v>
      </c>
      <c r="C63">
        <v>64</v>
      </c>
      <c r="D63" s="7">
        <v>46052</v>
      </c>
      <c r="E63" s="7" t="s">
        <v>290</v>
      </c>
      <c r="F63" s="10" t="s">
        <v>289</v>
      </c>
      <c r="G63" s="36" t="s">
        <v>139</v>
      </c>
      <c r="H63" s="36"/>
      <c r="I63" s="36"/>
      <c r="J63" s="36" t="s">
        <v>139</v>
      </c>
      <c r="K63" s="36"/>
      <c r="L63" s="36"/>
      <c r="M63" s="36"/>
      <c r="N63" s="36" t="s">
        <v>139</v>
      </c>
      <c r="O63" s="116"/>
      <c r="P63" s="36" t="s">
        <v>139</v>
      </c>
      <c r="Q63" s="36"/>
      <c r="R63" s="36"/>
      <c r="S63" s="36"/>
      <c r="T63" s="36"/>
      <c r="U63" s="36" t="s">
        <v>139</v>
      </c>
      <c r="V63" s="36"/>
      <c r="W63" s="36"/>
      <c r="X63" s="36"/>
      <c r="Y63" s="36"/>
      <c r="Z63" s="36"/>
      <c r="AA63" s="36"/>
      <c r="AB63" s="36" t="s">
        <v>139</v>
      </c>
      <c r="AC63" s="116" t="s">
        <v>139</v>
      </c>
      <c r="AD63" s="36"/>
      <c r="AE63" s="116"/>
      <c r="AF63" s="36" t="s">
        <v>139</v>
      </c>
      <c r="AG63" s="36" t="s">
        <v>139</v>
      </c>
      <c r="AH63" s="116"/>
      <c r="AI63" s="36"/>
      <c r="AJ63" s="36" t="s">
        <v>139</v>
      </c>
      <c r="AK63" s="116"/>
      <c r="AL63" s="36"/>
      <c r="AM63" s="36"/>
      <c r="AN63" s="36"/>
      <c r="AO63" s="116"/>
      <c r="AP63" s="116" t="s">
        <v>139</v>
      </c>
      <c r="AQ63" s="116" t="s">
        <v>139</v>
      </c>
      <c r="AR63" s="116" t="s">
        <v>139</v>
      </c>
      <c r="AS63" s="116"/>
      <c r="AT63" s="116"/>
      <c r="AU63" s="116"/>
      <c r="AV63" s="116"/>
      <c r="AW63" s="116" t="s">
        <v>139</v>
      </c>
      <c r="AX63" s="116"/>
      <c r="AY63" s="118">
        <f t="shared" si="1"/>
        <v>14</v>
      </c>
      <c r="AZ63" s="118"/>
      <c r="BA63" s="118" t="s">
        <v>479</v>
      </c>
    </row>
    <row r="64" spans="1:53" x14ac:dyDescent="0.25">
      <c r="A64">
        <v>59</v>
      </c>
      <c r="B64">
        <v>1269</v>
      </c>
      <c r="C64">
        <v>65</v>
      </c>
      <c r="D64" s="7">
        <v>46052</v>
      </c>
      <c r="E64" s="7" t="s">
        <v>292</v>
      </c>
      <c r="F64" s="10" t="s">
        <v>291</v>
      </c>
      <c r="G64" s="36" t="s">
        <v>139</v>
      </c>
      <c r="H64" s="36" t="s">
        <v>139</v>
      </c>
      <c r="I64" s="36"/>
      <c r="J64" s="36" t="s">
        <v>139</v>
      </c>
      <c r="K64" s="36" t="s">
        <v>139</v>
      </c>
      <c r="L64" s="36" t="s">
        <v>139</v>
      </c>
      <c r="M64" s="36"/>
      <c r="N64" s="36"/>
      <c r="O64" s="116" t="s">
        <v>139</v>
      </c>
      <c r="P64" s="36" t="s">
        <v>139</v>
      </c>
      <c r="Q64" s="36"/>
      <c r="R64" s="36"/>
      <c r="S64" s="36"/>
      <c r="T64" s="36"/>
      <c r="U64" s="36"/>
      <c r="V64" s="36"/>
      <c r="W64" s="36"/>
      <c r="X64" s="36" t="s">
        <v>139</v>
      </c>
      <c r="Y64" s="36"/>
      <c r="Z64" s="36"/>
      <c r="AA64" s="36"/>
      <c r="AB64" s="36" t="s">
        <v>139</v>
      </c>
      <c r="AC64" s="116"/>
      <c r="AD64" s="36"/>
      <c r="AE64" s="116"/>
      <c r="AF64" s="36"/>
      <c r="AG64" s="36"/>
      <c r="AH64" s="116"/>
      <c r="AI64" s="36" t="s">
        <v>139</v>
      </c>
      <c r="AJ64" s="36"/>
      <c r="AK64" s="116" t="s">
        <v>139</v>
      </c>
      <c r="AL64" s="36"/>
      <c r="AM64" s="36"/>
      <c r="AN64" s="36"/>
      <c r="AO64" s="116"/>
      <c r="AP64" s="116" t="s">
        <v>139</v>
      </c>
      <c r="AQ64" s="116"/>
      <c r="AR64" s="116"/>
      <c r="AS64" s="116" t="s">
        <v>139</v>
      </c>
      <c r="AT64" s="116"/>
      <c r="AU64" s="116" t="s">
        <v>139</v>
      </c>
      <c r="AV64" s="116"/>
      <c r="AW64" s="116"/>
      <c r="AX64" s="116"/>
      <c r="AY64" s="118">
        <f t="shared" si="1"/>
        <v>14</v>
      </c>
      <c r="AZ64" s="118"/>
      <c r="BA64" s="118" t="s">
        <v>479</v>
      </c>
    </row>
    <row r="65" spans="1:53" x14ac:dyDescent="0.25">
      <c r="A65">
        <v>60</v>
      </c>
      <c r="B65">
        <v>1270</v>
      </c>
      <c r="C65">
        <v>66</v>
      </c>
      <c r="D65" s="7">
        <v>46053</v>
      </c>
      <c r="E65" s="7" t="s">
        <v>295</v>
      </c>
      <c r="F65" s="10" t="s">
        <v>293</v>
      </c>
      <c r="G65" s="36" t="s">
        <v>139</v>
      </c>
      <c r="H65" s="36"/>
      <c r="I65" s="36"/>
      <c r="J65" s="36" t="s">
        <v>139</v>
      </c>
      <c r="K65" s="36" t="s">
        <v>139</v>
      </c>
      <c r="L65" s="36" t="s">
        <v>139</v>
      </c>
      <c r="M65" s="36"/>
      <c r="N65" s="36" t="s">
        <v>139</v>
      </c>
      <c r="O65" s="116"/>
      <c r="P65" s="36"/>
      <c r="Q65" s="36"/>
      <c r="R65" s="36"/>
      <c r="S65" s="36"/>
      <c r="T65" s="36"/>
      <c r="U65" s="36"/>
      <c r="V65" s="36" t="s">
        <v>139</v>
      </c>
      <c r="W65" s="36"/>
      <c r="X65" s="36"/>
      <c r="Y65" s="36"/>
      <c r="Z65" s="36"/>
      <c r="AA65" s="36"/>
      <c r="AB65" s="36" t="s">
        <v>139</v>
      </c>
      <c r="AC65" s="116"/>
      <c r="AD65" s="36" t="s">
        <v>139</v>
      </c>
      <c r="AE65" s="116"/>
      <c r="AF65" s="36"/>
      <c r="AG65" s="36"/>
      <c r="AH65" s="116" t="s">
        <v>139</v>
      </c>
      <c r="AI65" s="36"/>
      <c r="AJ65" s="36"/>
      <c r="AK65" s="116"/>
      <c r="AL65" s="36"/>
      <c r="AM65" s="36"/>
      <c r="AN65" s="36"/>
      <c r="AO65" s="116"/>
      <c r="AP65" s="116"/>
      <c r="AQ65" s="116"/>
      <c r="AR65" s="116"/>
      <c r="AS65" s="116" t="s">
        <v>139</v>
      </c>
      <c r="AT65" s="116"/>
      <c r="AU65" s="116" t="s">
        <v>139</v>
      </c>
      <c r="AV65" s="116"/>
      <c r="AW65" s="116"/>
      <c r="AX65" s="116"/>
      <c r="AY65" s="118">
        <f t="shared" si="1"/>
        <v>11</v>
      </c>
      <c r="AZ65" s="118"/>
      <c r="BA65" s="118" t="s">
        <v>479</v>
      </c>
    </row>
    <row r="66" spans="1:53" x14ac:dyDescent="0.25">
      <c r="A66">
        <v>61</v>
      </c>
      <c r="B66">
        <v>1271</v>
      </c>
      <c r="C66">
        <v>67</v>
      </c>
      <c r="D66" s="7">
        <v>46054</v>
      </c>
      <c r="E66" s="7" t="s">
        <v>298</v>
      </c>
      <c r="F66" s="10" t="s">
        <v>296</v>
      </c>
      <c r="G66" s="36" t="s">
        <v>139</v>
      </c>
      <c r="H66" s="36"/>
      <c r="I66" s="36"/>
      <c r="J66" s="36" t="s">
        <v>139</v>
      </c>
      <c r="K66" s="36"/>
      <c r="L66" s="36" t="s">
        <v>139</v>
      </c>
      <c r="M66" s="36"/>
      <c r="N66" s="36"/>
      <c r="O66" s="116" t="s">
        <v>139</v>
      </c>
      <c r="P66" s="36"/>
      <c r="Q66" s="36"/>
      <c r="R66" s="36"/>
      <c r="S66" s="36"/>
      <c r="T66" s="36"/>
      <c r="U66" s="36"/>
      <c r="V66" s="36"/>
      <c r="W66" s="36"/>
      <c r="X66" s="36" t="s">
        <v>139</v>
      </c>
      <c r="Y66" s="36" t="s">
        <v>139</v>
      </c>
      <c r="Z66" s="36"/>
      <c r="AA66" s="36"/>
      <c r="AB66" s="36"/>
      <c r="AC66" s="116"/>
      <c r="AD66" s="36"/>
      <c r="AE66" s="116" t="s">
        <v>139</v>
      </c>
      <c r="AF66" s="36"/>
      <c r="AG66" s="36"/>
      <c r="AH66" s="116"/>
      <c r="AI66" s="36"/>
      <c r="AJ66" s="36" t="s">
        <v>139</v>
      </c>
      <c r="AK66" s="116"/>
      <c r="AL66" s="36"/>
      <c r="AM66" s="36"/>
      <c r="AN66" s="36"/>
      <c r="AO66" s="116"/>
      <c r="AP66" s="116"/>
      <c r="AQ66" s="116"/>
      <c r="AR66" s="116" t="s">
        <v>139</v>
      </c>
      <c r="AS66" s="116"/>
      <c r="AT66" s="116"/>
      <c r="AU66" s="116" t="s">
        <v>139</v>
      </c>
      <c r="AV66" s="116"/>
      <c r="AW66" s="116"/>
      <c r="AX66" s="116"/>
      <c r="AY66" s="118">
        <f t="shared" ref="AY66:AY97" si="2">COUNTIF($F66:$AX66, "I")</f>
        <v>10</v>
      </c>
      <c r="AZ66" s="118"/>
      <c r="BA66" s="118" t="s">
        <v>479</v>
      </c>
    </row>
    <row r="67" spans="1:53" x14ac:dyDescent="0.25">
      <c r="A67">
        <v>62</v>
      </c>
      <c r="B67">
        <v>1272</v>
      </c>
      <c r="C67">
        <v>68</v>
      </c>
      <c r="D67" s="7">
        <v>46054</v>
      </c>
      <c r="E67" s="7" t="s">
        <v>300</v>
      </c>
      <c r="F67" s="10" t="s">
        <v>299</v>
      </c>
      <c r="G67" s="36" t="s">
        <v>139</v>
      </c>
      <c r="H67" s="36" t="s">
        <v>139</v>
      </c>
      <c r="I67" s="36"/>
      <c r="J67" s="36" t="s">
        <v>139</v>
      </c>
      <c r="K67" s="36"/>
      <c r="L67" s="36" t="s">
        <v>139</v>
      </c>
      <c r="M67" s="36"/>
      <c r="N67" s="36" t="s">
        <v>139</v>
      </c>
      <c r="O67" s="116"/>
      <c r="P67" s="36" t="s">
        <v>139</v>
      </c>
      <c r="Q67" s="36"/>
      <c r="R67" s="36" t="s">
        <v>139</v>
      </c>
      <c r="S67" s="36"/>
      <c r="T67" s="36"/>
      <c r="U67" s="36"/>
      <c r="V67" s="36"/>
      <c r="W67" s="36"/>
      <c r="X67" s="36" t="s">
        <v>139</v>
      </c>
      <c r="Y67" s="36"/>
      <c r="Z67" s="36"/>
      <c r="AA67" s="36"/>
      <c r="AB67" s="36" t="s">
        <v>139</v>
      </c>
      <c r="AC67" s="116"/>
      <c r="AD67" s="36" t="s">
        <v>139</v>
      </c>
      <c r="AE67" s="116"/>
      <c r="AF67" s="36"/>
      <c r="AG67" s="36"/>
      <c r="AH67" s="116"/>
      <c r="AI67" s="36"/>
      <c r="AJ67" s="36"/>
      <c r="AK67" s="116"/>
      <c r="AL67" s="36"/>
      <c r="AM67" s="36"/>
      <c r="AN67" s="36"/>
      <c r="AO67" s="116"/>
      <c r="AP67" s="116" t="s">
        <v>139</v>
      </c>
      <c r="AQ67" s="116"/>
      <c r="AR67" s="116" t="s">
        <v>139</v>
      </c>
      <c r="AS67" s="116" t="s">
        <v>139</v>
      </c>
      <c r="AT67" s="116"/>
      <c r="AU67" s="116" t="s">
        <v>139</v>
      </c>
      <c r="AV67" s="116"/>
      <c r="AW67" s="116"/>
      <c r="AX67" s="116"/>
      <c r="AY67" s="118">
        <f t="shared" si="2"/>
        <v>14</v>
      </c>
      <c r="AZ67" s="118"/>
      <c r="BA67" s="118" t="s">
        <v>479</v>
      </c>
    </row>
    <row r="68" spans="1:53" x14ac:dyDescent="0.25">
      <c r="A68">
        <v>63</v>
      </c>
      <c r="B68">
        <v>1273</v>
      </c>
      <c r="C68">
        <v>69</v>
      </c>
      <c r="D68" s="7">
        <v>46054</v>
      </c>
      <c r="E68" s="7" t="s">
        <v>302</v>
      </c>
      <c r="F68" s="10" t="s">
        <v>301</v>
      </c>
      <c r="G68" s="36" t="s">
        <v>139</v>
      </c>
      <c r="H68" s="36" t="s">
        <v>139</v>
      </c>
      <c r="I68" s="36"/>
      <c r="J68" s="36" t="s">
        <v>139</v>
      </c>
      <c r="K68" s="36" t="s">
        <v>139</v>
      </c>
      <c r="L68" s="36" t="s">
        <v>139</v>
      </c>
      <c r="M68" s="36"/>
      <c r="N68" s="36" t="s">
        <v>139</v>
      </c>
      <c r="O68" s="116"/>
      <c r="P68" s="36" t="s">
        <v>139</v>
      </c>
      <c r="Q68" s="36"/>
      <c r="R68" s="36"/>
      <c r="S68" s="36"/>
      <c r="T68" s="36"/>
      <c r="U68" s="36"/>
      <c r="V68" s="36"/>
      <c r="W68" s="36"/>
      <c r="X68" s="36" t="s">
        <v>139</v>
      </c>
      <c r="Y68" s="36"/>
      <c r="Z68" s="36"/>
      <c r="AA68" s="36"/>
      <c r="AB68" s="36" t="s">
        <v>139</v>
      </c>
      <c r="AC68" s="116" t="s">
        <v>139</v>
      </c>
      <c r="AD68" s="36" t="s">
        <v>139</v>
      </c>
      <c r="AE68" s="116"/>
      <c r="AF68" s="36"/>
      <c r="AG68" s="36" t="s">
        <v>139</v>
      </c>
      <c r="AH68" s="116"/>
      <c r="AI68" s="36"/>
      <c r="AJ68" s="36" t="s">
        <v>139</v>
      </c>
      <c r="AK68" s="116" t="s">
        <v>139</v>
      </c>
      <c r="AL68" s="36"/>
      <c r="AM68" s="36"/>
      <c r="AN68" s="36"/>
      <c r="AO68" s="116"/>
      <c r="AP68" s="116"/>
      <c r="AQ68" s="116"/>
      <c r="AR68" s="116"/>
      <c r="AS68" s="116" t="s">
        <v>139</v>
      </c>
      <c r="AT68" s="116"/>
      <c r="AU68" s="116" t="s">
        <v>139</v>
      </c>
      <c r="AV68" s="116" t="s">
        <v>139</v>
      </c>
      <c r="AW68" s="116"/>
      <c r="AX68" s="116"/>
      <c r="AY68" s="118">
        <f t="shared" si="2"/>
        <v>17</v>
      </c>
      <c r="AZ68" s="118"/>
      <c r="BA68" s="118" t="s">
        <v>479</v>
      </c>
    </row>
    <row r="69" spans="1:53" x14ac:dyDescent="0.25">
      <c r="A69" t="s">
        <v>58</v>
      </c>
      <c r="B69" t="s">
        <v>58</v>
      </c>
      <c r="C69">
        <v>70</v>
      </c>
      <c r="D69" s="7">
        <v>46055</v>
      </c>
      <c r="E69" s="7" t="s">
        <v>474</v>
      </c>
      <c r="F69" s="10" t="s">
        <v>470</v>
      </c>
      <c r="G69" s="36" t="s">
        <v>139</v>
      </c>
      <c r="H69" s="36" t="s">
        <v>139</v>
      </c>
      <c r="I69" s="36" t="s">
        <v>139</v>
      </c>
      <c r="J69" s="36" t="s">
        <v>139</v>
      </c>
      <c r="K69" s="36" t="s">
        <v>139</v>
      </c>
      <c r="L69" s="36" t="s">
        <v>139</v>
      </c>
      <c r="M69" s="36" t="s">
        <v>471</v>
      </c>
      <c r="N69" s="36" t="s">
        <v>139</v>
      </c>
      <c r="O69" s="116" t="s">
        <v>139</v>
      </c>
      <c r="P69" s="36" t="s">
        <v>139</v>
      </c>
      <c r="Q69" s="36" t="s">
        <v>471</v>
      </c>
      <c r="R69" s="36" t="s">
        <v>471</v>
      </c>
      <c r="S69" s="36" t="s">
        <v>139</v>
      </c>
      <c r="T69" s="36" t="s">
        <v>471</v>
      </c>
      <c r="U69" s="36" t="s">
        <v>139</v>
      </c>
      <c r="V69" s="36" t="s">
        <v>139</v>
      </c>
      <c r="W69" s="36" t="s">
        <v>471</v>
      </c>
      <c r="X69" s="36" t="s">
        <v>139</v>
      </c>
      <c r="Y69" s="36" t="s">
        <v>139</v>
      </c>
      <c r="Z69" s="36" t="s">
        <v>471</v>
      </c>
      <c r="AA69" s="36"/>
      <c r="AB69" s="36" t="s">
        <v>139</v>
      </c>
      <c r="AC69" s="116" t="s">
        <v>139</v>
      </c>
      <c r="AD69" s="36" t="s">
        <v>139</v>
      </c>
      <c r="AE69" s="116" t="s">
        <v>471</v>
      </c>
      <c r="AF69" s="36" t="s">
        <v>139</v>
      </c>
      <c r="AG69" s="36" t="s">
        <v>139</v>
      </c>
      <c r="AH69" s="116" t="s">
        <v>139</v>
      </c>
      <c r="AI69" s="36" t="s">
        <v>471</v>
      </c>
      <c r="AJ69" s="36" t="s">
        <v>471</v>
      </c>
      <c r="AK69" s="116" t="s">
        <v>139</v>
      </c>
      <c r="AL69" s="36" t="s">
        <v>471</v>
      </c>
      <c r="AM69" s="36" t="s">
        <v>139</v>
      </c>
      <c r="AN69" s="36" t="s">
        <v>471</v>
      </c>
      <c r="AO69" s="116" t="s">
        <v>139</v>
      </c>
      <c r="AP69" s="116" t="s">
        <v>139</v>
      </c>
      <c r="AQ69" s="116" t="s">
        <v>139</v>
      </c>
      <c r="AR69" s="116" t="s">
        <v>139</v>
      </c>
      <c r="AS69" s="116" t="s">
        <v>139</v>
      </c>
      <c r="AT69" s="116" t="s">
        <v>471</v>
      </c>
      <c r="AU69" s="116" t="s">
        <v>471</v>
      </c>
      <c r="AV69" s="116" t="s">
        <v>139</v>
      </c>
      <c r="AW69" s="116" t="s">
        <v>139</v>
      </c>
      <c r="AX69" s="116"/>
      <c r="AY69" s="118">
        <f t="shared" si="2"/>
        <v>29</v>
      </c>
      <c r="AZ69" s="118"/>
      <c r="BA69" s="118" t="s">
        <v>479</v>
      </c>
    </row>
    <row r="70" spans="1:53" x14ac:dyDescent="0.25">
      <c r="A70">
        <v>64</v>
      </c>
      <c r="B70">
        <v>1274</v>
      </c>
      <c r="C70">
        <v>71</v>
      </c>
      <c r="D70" s="7">
        <v>46056</v>
      </c>
      <c r="E70" s="7" t="s">
        <v>305</v>
      </c>
      <c r="F70" s="10" t="s">
        <v>303</v>
      </c>
      <c r="G70" s="36"/>
      <c r="H70" s="36"/>
      <c r="I70" s="36"/>
      <c r="J70" s="36" t="s">
        <v>139</v>
      </c>
      <c r="K70" s="36" t="s">
        <v>139</v>
      </c>
      <c r="L70" s="36"/>
      <c r="M70" s="36"/>
      <c r="N70" s="36"/>
      <c r="O70" s="116"/>
      <c r="P70" s="36" t="s">
        <v>139</v>
      </c>
      <c r="Q70" s="36"/>
      <c r="R70" s="36"/>
      <c r="S70" s="36" t="s">
        <v>139</v>
      </c>
      <c r="T70" s="36"/>
      <c r="U70" s="36" t="s">
        <v>139</v>
      </c>
      <c r="V70" s="36"/>
      <c r="W70" s="36"/>
      <c r="X70" s="36"/>
      <c r="Y70" s="36"/>
      <c r="Z70" s="36"/>
      <c r="AA70" s="36"/>
      <c r="AB70" s="36" t="s">
        <v>139</v>
      </c>
      <c r="AC70" s="116"/>
      <c r="AD70" s="36"/>
      <c r="AE70" s="116"/>
      <c r="AF70" s="36" t="s">
        <v>139</v>
      </c>
      <c r="AG70" s="36"/>
      <c r="AH70" s="116"/>
      <c r="AI70" s="36"/>
      <c r="AJ70" s="36"/>
      <c r="AK70" s="116" t="s">
        <v>139</v>
      </c>
      <c r="AL70" s="36"/>
      <c r="AM70" s="36" t="s">
        <v>139</v>
      </c>
      <c r="AN70" s="36"/>
      <c r="AO70" s="116" t="s">
        <v>139</v>
      </c>
      <c r="AP70" s="116"/>
      <c r="AQ70" s="116"/>
      <c r="AR70" s="116"/>
      <c r="AS70" s="116"/>
      <c r="AT70" s="116"/>
      <c r="AU70" s="116"/>
      <c r="AV70" s="116"/>
      <c r="AW70" s="116"/>
      <c r="AX70" s="116"/>
      <c r="AY70" s="118">
        <f t="shared" si="2"/>
        <v>10</v>
      </c>
      <c r="AZ70" s="118"/>
      <c r="BA70" s="118" t="s">
        <v>479</v>
      </c>
    </row>
    <row r="71" spans="1:53" x14ac:dyDescent="0.25">
      <c r="A71">
        <v>65</v>
      </c>
      <c r="B71">
        <v>1275</v>
      </c>
      <c r="C71">
        <v>72</v>
      </c>
      <c r="D71" s="7">
        <v>46056</v>
      </c>
      <c r="E71" s="7" t="s">
        <v>307</v>
      </c>
      <c r="F71" s="10" t="s">
        <v>306</v>
      </c>
      <c r="G71" s="36"/>
      <c r="H71" s="36"/>
      <c r="I71" s="36"/>
      <c r="J71" s="36" t="s">
        <v>139</v>
      </c>
      <c r="K71" s="36" t="s">
        <v>139</v>
      </c>
      <c r="L71" s="36"/>
      <c r="M71" s="36" t="s">
        <v>139</v>
      </c>
      <c r="N71" s="36"/>
      <c r="O71" s="116"/>
      <c r="P71" s="36" t="s">
        <v>139</v>
      </c>
      <c r="Q71" s="36" t="s">
        <v>139</v>
      </c>
      <c r="R71" s="36"/>
      <c r="S71" s="36" t="s">
        <v>139</v>
      </c>
      <c r="T71" s="36"/>
      <c r="U71" s="36" t="s">
        <v>139</v>
      </c>
      <c r="V71" s="36"/>
      <c r="W71" s="36"/>
      <c r="X71" s="36"/>
      <c r="Y71" s="36"/>
      <c r="Z71" s="36"/>
      <c r="AA71" s="36"/>
      <c r="AB71" s="36" t="s">
        <v>139</v>
      </c>
      <c r="AC71" s="116"/>
      <c r="AD71" s="36"/>
      <c r="AE71" s="116" t="s">
        <v>139</v>
      </c>
      <c r="AF71" s="36" t="s">
        <v>139</v>
      </c>
      <c r="AG71" s="36"/>
      <c r="AH71" s="116"/>
      <c r="AI71" s="36"/>
      <c r="AJ71" s="36"/>
      <c r="AK71" s="116" t="s">
        <v>139</v>
      </c>
      <c r="AL71" s="36"/>
      <c r="AM71" s="36" t="s">
        <v>139</v>
      </c>
      <c r="AN71" s="36"/>
      <c r="AO71" s="116" t="s">
        <v>139</v>
      </c>
      <c r="AP71" s="116"/>
      <c r="AQ71" s="116"/>
      <c r="AR71" s="116"/>
      <c r="AS71" s="116"/>
      <c r="AT71" s="116"/>
      <c r="AU71" s="116"/>
      <c r="AV71" s="116"/>
      <c r="AW71" s="116"/>
      <c r="AX71" s="116"/>
      <c r="AY71" s="118">
        <f t="shared" si="2"/>
        <v>13</v>
      </c>
      <c r="AZ71" s="118"/>
      <c r="BA71" s="118" t="s">
        <v>479</v>
      </c>
    </row>
    <row r="72" spans="1:53" x14ac:dyDescent="0.25">
      <c r="A72">
        <v>66</v>
      </c>
      <c r="B72">
        <v>1276</v>
      </c>
      <c r="C72">
        <v>73</v>
      </c>
      <c r="D72" s="7">
        <v>46057</v>
      </c>
      <c r="E72" s="7" t="s">
        <v>309</v>
      </c>
      <c r="F72" s="10" t="s">
        <v>308</v>
      </c>
      <c r="G72" s="36"/>
      <c r="H72" s="36"/>
      <c r="I72" s="36" t="s">
        <v>139</v>
      </c>
      <c r="J72" s="36" t="s">
        <v>139</v>
      </c>
      <c r="K72" s="36"/>
      <c r="L72" s="36" t="s">
        <v>139</v>
      </c>
      <c r="M72" s="36" t="s">
        <v>139</v>
      </c>
      <c r="N72" s="36"/>
      <c r="O72" s="116"/>
      <c r="P72" s="36"/>
      <c r="Q72" s="36" t="s">
        <v>139</v>
      </c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 t="s">
        <v>139</v>
      </c>
      <c r="AC72" s="116"/>
      <c r="AD72" s="36"/>
      <c r="AE72" s="116"/>
      <c r="AF72" s="36" t="s">
        <v>139</v>
      </c>
      <c r="AG72" s="36" t="s">
        <v>139</v>
      </c>
      <c r="AH72" s="116" t="s">
        <v>139</v>
      </c>
      <c r="AI72" s="36"/>
      <c r="AJ72" s="36" t="s">
        <v>139</v>
      </c>
      <c r="AK72" s="116" t="s">
        <v>139</v>
      </c>
      <c r="AL72" s="36"/>
      <c r="AM72" s="36"/>
      <c r="AN72" s="36"/>
      <c r="AO72" s="116"/>
      <c r="AP72" s="116" t="s">
        <v>139</v>
      </c>
      <c r="AQ72" s="116"/>
      <c r="AR72" s="116"/>
      <c r="AS72" s="116" t="s">
        <v>139</v>
      </c>
      <c r="AT72" s="116"/>
      <c r="AU72" s="116" t="s">
        <v>139</v>
      </c>
      <c r="AV72" s="116"/>
      <c r="AW72" s="116"/>
      <c r="AX72" s="116"/>
      <c r="AY72" s="118">
        <f t="shared" si="2"/>
        <v>14</v>
      </c>
      <c r="AZ72" s="118"/>
      <c r="BA72" s="118" t="s">
        <v>479</v>
      </c>
    </row>
    <row r="73" spans="1:53" x14ac:dyDescent="0.25">
      <c r="A73">
        <v>67</v>
      </c>
      <c r="B73">
        <v>1277</v>
      </c>
      <c r="C73">
        <v>74</v>
      </c>
      <c r="D73" s="7">
        <v>46058</v>
      </c>
      <c r="E73" s="7" t="s">
        <v>311</v>
      </c>
      <c r="F73" s="10" t="s">
        <v>310</v>
      </c>
      <c r="G73" s="36" t="s">
        <v>139</v>
      </c>
      <c r="H73" s="36"/>
      <c r="I73" s="36"/>
      <c r="J73" s="36" t="s">
        <v>139</v>
      </c>
      <c r="K73" s="36"/>
      <c r="L73" s="36"/>
      <c r="M73" s="36"/>
      <c r="N73" s="36"/>
      <c r="O73" s="116"/>
      <c r="P73" s="36" t="s">
        <v>139</v>
      </c>
      <c r="Q73" s="36"/>
      <c r="R73" s="36"/>
      <c r="S73" s="36"/>
      <c r="T73" s="36"/>
      <c r="U73" s="36" t="s">
        <v>139</v>
      </c>
      <c r="V73" s="36"/>
      <c r="W73" s="36"/>
      <c r="X73" s="36" t="s">
        <v>139</v>
      </c>
      <c r="Y73" s="36"/>
      <c r="Z73" s="36"/>
      <c r="AA73" s="36"/>
      <c r="AB73" s="36"/>
      <c r="AC73" s="116"/>
      <c r="AD73" s="36"/>
      <c r="AE73" s="116"/>
      <c r="AF73" s="36"/>
      <c r="AG73" s="36"/>
      <c r="AH73" s="116" t="s">
        <v>139</v>
      </c>
      <c r="AI73" s="36"/>
      <c r="AJ73" s="36"/>
      <c r="AK73" s="116"/>
      <c r="AL73" s="36"/>
      <c r="AM73" s="36" t="s">
        <v>139</v>
      </c>
      <c r="AN73" s="36"/>
      <c r="AO73" s="116" t="s">
        <v>139</v>
      </c>
      <c r="AP73" s="116"/>
      <c r="AQ73" s="116"/>
      <c r="AR73" s="116" t="s">
        <v>139</v>
      </c>
      <c r="AS73" s="116"/>
      <c r="AT73" s="116"/>
      <c r="AU73" s="116" t="s">
        <v>139</v>
      </c>
      <c r="AV73" s="116" t="s">
        <v>139</v>
      </c>
      <c r="AW73" s="116"/>
      <c r="AX73" s="116"/>
      <c r="AY73" s="118">
        <f t="shared" si="2"/>
        <v>11</v>
      </c>
      <c r="AZ73" s="118"/>
      <c r="BA73" s="118" t="s">
        <v>479</v>
      </c>
    </row>
    <row r="74" spans="1:53" x14ac:dyDescent="0.25">
      <c r="A74">
        <v>68</v>
      </c>
      <c r="B74">
        <v>1278</v>
      </c>
      <c r="C74">
        <v>75</v>
      </c>
      <c r="D74" s="7">
        <v>46051</v>
      </c>
      <c r="E74" s="7" t="s">
        <v>313</v>
      </c>
      <c r="F74" s="10" t="s">
        <v>312</v>
      </c>
      <c r="G74" s="36" t="s">
        <v>139</v>
      </c>
      <c r="H74" s="36" t="s">
        <v>139</v>
      </c>
      <c r="I74" s="36"/>
      <c r="J74" s="36"/>
      <c r="K74" s="36"/>
      <c r="L74" s="36"/>
      <c r="M74" s="36"/>
      <c r="N74" s="36"/>
      <c r="O74" s="116"/>
      <c r="P74" s="36"/>
      <c r="Q74" s="36"/>
      <c r="R74" s="36"/>
      <c r="S74" s="36"/>
      <c r="T74" s="36"/>
      <c r="U74" s="36" t="s">
        <v>139</v>
      </c>
      <c r="V74" s="36" t="s">
        <v>139</v>
      </c>
      <c r="W74" s="36"/>
      <c r="X74" s="36"/>
      <c r="Y74" s="36" t="s">
        <v>139</v>
      </c>
      <c r="Z74" s="36"/>
      <c r="AA74" s="36"/>
      <c r="AB74" s="36" t="s">
        <v>139</v>
      </c>
      <c r="AC74" s="116"/>
      <c r="AD74" s="36"/>
      <c r="AE74" s="116" t="s">
        <v>139</v>
      </c>
      <c r="AF74" s="36"/>
      <c r="AG74" s="36" t="s">
        <v>139</v>
      </c>
      <c r="AH74" s="116"/>
      <c r="AI74" s="36"/>
      <c r="AJ74" s="36"/>
      <c r="AK74" s="116"/>
      <c r="AL74" s="36"/>
      <c r="AM74" s="36" t="s">
        <v>139</v>
      </c>
      <c r="AN74" s="36"/>
      <c r="AO74" s="116" t="s">
        <v>139</v>
      </c>
      <c r="AP74" s="116"/>
      <c r="AQ74" s="116"/>
      <c r="AR74" s="116" t="s">
        <v>139</v>
      </c>
      <c r="AS74" s="116" t="s">
        <v>139</v>
      </c>
      <c r="AT74" s="116"/>
      <c r="AU74" s="116" t="s">
        <v>139</v>
      </c>
      <c r="AV74" s="116"/>
      <c r="AW74" s="116"/>
      <c r="AX74" s="116"/>
      <c r="AY74" s="118">
        <f t="shared" si="2"/>
        <v>13</v>
      </c>
      <c r="AZ74" s="118"/>
      <c r="BA74" s="118" t="s">
        <v>479</v>
      </c>
    </row>
    <row r="75" spans="1:53" x14ac:dyDescent="0.25">
      <c r="A75">
        <v>69</v>
      </c>
      <c r="B75">
        <v>1279</v>
      </c>
      <c r="C75">
        <v>76</v>
      </c>
      <c r="D75" s="7">
        <v>46058</v>
      </c>
      <c r="E75" s="7" t="s">
        <v>316</v>
      </c>
      <c r="F75" s="10" t="s">
        <v>315</v>
      </c>
      <c r="G75" s="36" t="s">
        <v>139</v>
      </c>
      <c r="H75" s="36" t="s">
        <v>139</v>
      </c>
      <c r="I75" s="36" t="s">
        <v>139</v>
      </c>
      <c r="J75" s="36" t="s">
        <v>139</v>
      </c>
      <c r="K75" s="36"/>
      <c r="L75" s="36"/>
      <c r="M75" s="36"/>
      <c r="N75" s="36"/>
      <c r="O75" s="11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 t="s">
        <v>139</v>
      </c>
      <c r="AC75" s="116" t="s">
        <v>139</v>
      </c>
      <c r="AD75" s="36"/>
      <c r="AE75" s="116"/>
      <c r="AF75" s="36" t="s">
        <v>139</v>
      </c>
      <c r="AG75" s="36" t="s">
        <v>139</v>
      </c>
      <c r="AH75" s="116" t="s">
        <v>139</v>
      </c>
      <c r="AI75" s="36"/>
      <c r="AJ75" s="36"/>
      <c r="AK75" s="116"/>
      <c r="AL75" s="36"/>
      <c r="AM75" s="36" t="s">
        <v>139</v>
      </c>
      <c r="AN75" s="36"/>
      <c r="AO75" s="116"/>
      <c r="AP75" s="116" t="s">
        <v>139</v>
      </c>
      <c r="AQ75" s="116"/>
      <c r="AR75" s="116" t="s">
        <v>139</v>
      </c>
      <c r="AS75" s="116" t="s">
        <v>139</v>
      </c>
      <c r="AT75" s="116"/>
      <c r="AU75" s="116" t="s">
        <v>139</v>
      </c>
      <c r="AV75" s="116" t="s">
        <v>139</v>
      </c>
      <c r="AW75" s="116"/>
      <c r="AX75" s="116"/>
      <c r="AY75" s="118">
        <f t="shared" si="2"/>
        <v>15</v>
      </c>
      <c r="AZ75" s="118"/>
      <c r="BA75" s="118" t="s">
        <v>479</v>
      </c>
    </row>
    <row r="76" spans="1:53" x14ac:dyDescent="0.25">
      <c r="A76">
        <v>70</v>
      </c>
      <c r="B76">
        <v>1280</v>
      </c>
      <c r="C76">
        <v>77</v>
      </c>
      <c r="D76" s="7">
        <v>46051</v>
      </c>
      <c r="E76" s="7" t="s">
        <v>319</v>
      </c>
      <c r="F76" s="10" t="s">
        <v>318</v>
      </c>
      <c r="G76" s="36" t="s">
        <v>139</v>
      </c>
      <c r="H76" s="36" t="s">
        <v>139</v>
      </c>
      <c r="I76" s="36" t="s">
        <v>139</v>
      </c>
      <c r="J76" s="36" t="s">
        <v>139</v>
      </c>
      <c r="K76" s="36" t="s">
        <v>139</v>
      </c>
      <c r="L76" s="36"/>
      <c r="M76" s="36"/>
      <c r="N76" s="36"/>
      <c r="O76" s="11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 t="s">
        <v>139</v>
      </c>
      <c r="AC76" s="116" t="s">
        <v>139</v>
      </c>
      <c r="AD76" s="36"/>
      <c r="AE76" s="116"/>
      <c r="AF76" s="36" t="s">
        <v>139</v>
      </c>
      <c r="AG76" s="36" t="s">
        <v>139</v>
      </c>
      <c r="AH76" s="116" t="s">
        <v>139</v>
      </c>
      <c r="AI76" s="36"/>
      <c r="AJ76" s="36"/>
      <c r="AK76" s="116"/>
      <c r="AL76" s="36"/>
      <c r="AM76" s="36" t="s">
        <v>139</v>
      </c>
      <c r="AN76" s="36"/>
      <c r="AO76" s="116"/>
      <c r="AP76" s="116" t="s">
        <v>139</v>
      </c>
      <c r="AQ76" s="116"/>
      <c r="AR76" s="116" t="s">
        <v>139</v>
      </c>
      <c r="AS76" s="116" t="s">
        <v>139</v>
      </c>
      <c r="AT76" s="116"/>
      <c r="AU76" s="116" t="s">
        <v>139</v>
      </c>
      <c r="AV76" s="116" t="s">
        <v>139</v>
      </c>
      <c r="AW76" s="116"/>
      <c r="AX76" s="116"/>
      <c r="AY76" s="118">
        <f t="shared" si="2"/>
        <v>16</v>
      </c>
      <c r="AZ76" s="118"/>
      <c r="BA76" s="118" t="s">
        <v>479</v>
      </c>
    </row>
    <row r="77" spans="1:53" x14ac:dyDescent="0.25">
      <c r="A77">
        <v>71</v>
      </c>
      <c r="B77">
        <v>1281</v>
      </c>
      <c r="C77">
        <v>78</v>
      </c>
      <c r="D77" s="7">
        <v>46062</v>
      </c>
      <c r="E77" s="7" t="s">
        <v>322</v>
      </c>
      <c r="F77" s="10" t="s">
        <v>321</v>
      </c>
      <c r="G77" s="36"/>
      <c r="H77" s="36" t="s">
        <v>139</v>
      </c>
      <c r="I77" s="36"/>
      <c r="J77" s="36" t="s">
        <v>139</v>
      </c>
      <c r="K77" s="36" t="s">
        <v>139</v>
      </c>
      <c r="L77" s="36" t="s">
        <v>139</v>
      </c>
      <c r="M77" s="36"/>
      <c r="N77" s="36"/>
      <c r="O77" s="116" t="s">
        <v>139</v>
      </c>
      <c r="P77" s="36"/>
      <c r="Q77" s="36"/>
      <c r="R77" s="36"/>
      <c r="S77" s="36"/>
      <c r="T77" s="36"/>
      <c r="U77" s="36" t="s">
        <v>139</v>
      </c>
      <c r="V77" s="36"/>
      <c r="W77" s="36"/>
      <c r="X77" s="36" t="s">
        <v>139</v>
      </c>
      <c r="Y77" s="36"/>
      <c r="Z77" s="36"/>
      <c r="AA77" s="36"/>
      <c r="AB77" s="36" t="s">
        <v>139</v>
      </c>
      <c r="AC77" s="116"/>
      <c r="AD77" s="36"/>
      <c r="AE77" s="116"/>
      <c r="AF77" s="36"/>
      <c r="AG77" s="36"/>
      <c r="AH77" s="116"/>
      <c r="AI77" s="36"/>
      <c r="AJ77" s="36" t="s">
        <v>139</v>
      </c>
      <c r="AK77" s="116"/>
      <c r="AL77" s="36"/>
      <c r="AM77" s="36" t="s">
        <v>139</v>
      </c>
      <c r="AN77" s="36"/>
      <c r="AO77" s="116"/>
      <c r="AP77" s="116"/>
      <c r="AQ77" s="116"/>
      <c r="AR77" s="116"/>
      <c r="AS77" s="116"/>
      <c r="AT77" s="116"/>
      <c r="AU77" s="116"/>
      <c r="AV77" s="116" t="s">
        <v>139</v>
      </c>
      <c r="AW77" s="116"/>
      <c r="AX77" s="116"/>
      <c r="AY77" s="118">
        <f t="shared" si="2"/>
        <v>11</v>
      </c>
      <c r="AZ77" s="118"/>
      <c r="BA77" s="118" t="s">
        <v>479</v>
      </c>
    </row>
    <row r="78" spans="1:53" x14ac:dyDescent="0.25">
      <c r="A78">
        <v>72</v>
      </c>
      <c r="B78">
        <v>1282</v>
      </c>
      <c r="C78">
        <v>79</v>
      </c>
      <c r="D78" s="7">
        <v>46062</v>
      </c>
      <c r="E78" s="7" t="s">
        <v>324</v>
      </c>
      <c r="F78" s="10" t="s">
        <v>323</v>
      </c>
      <c r="G78" s="36"/>
      <c r="H78" s="36"/>
      <c r="I78" s="36"/>
      <c r="J78" s="36"/>
      <c r="K78" s="36" t="s">
        <v>139</v>
      </c>
      <c r="L78" s="36"/>
      <c r="M78" s="36"/>
      <c r="N78" s="36" t="s">
        <v>139</v>
      </c>
      <c r="O78" s="116"/>
      <c r="P78" s="36" t="s">
        <v>139</v>
      </c>
      <c r="Q78" s="36"/>
      <c r="R78" s="36"/>
      <c r="S78" s="36"/>
      <c r="T78" s="36" t="s">
        <v>139</v>
      </c>
      <c r="U78" s="36" t="s">
        <v>139</v>
      </c>
      <c r="V78" s="36"/>
      <c r="W78" s="36"/>
      <c r="X78" s="36" t="s">
        <v>139</v>
      </c>
      <c r="Y78" s="36"/>
      <c r="Z78" s="36"/>
      <c r="AA78" s="36"/>
      <c r="AB78" s="36"/>
      <c r="AC78" s="116"/>
      <c r="AD78" s="36"/>
      <c r="AE78" s="116"/>
      <c r="AF78" s="36"/>
      <c r="AG78" s="36"/>
      <c r="AH78" s="116"/>
      <c r="AI78" s="36"/>
      <c r="AJ78" s="36" t="s">
        <v>139</v>
      </c>
      <c r="AK78" s="116" t="s">
        <v>139</v>
      </c>
      <c r="AL78" s="36"/>
      <c r="AM78" s="36"/>
      <c r="AN78" s="36"/>
      <c r="AO78" s="116" t="s">
        <v>139</v>
      </c>
      <c r="AP78" s="116"/>
      <c r="AQ78" s="116"/>
      <c r="AR78" s="116"/>
      <c r="AS78" s="116"/>
      <c r="AT78" s="116"/>
      <c r="AU78" s="116"/>
      <c r="AV78" s="116" t="s">
        <v>139</v>
      </c>
      <c r="AW78" s="116"/>
      <c r="AX78" s="116"/>
      <c r="AY78" s="118">
        <f t="shared" si="2"/>
        <v>10</v>
      </c>
      <c r="AZ78" s="118"/>
      <c r="BA78" s="118" t="s">
        <v>479</v>
      </c>
    </row>
    <row r="79" spans="1:53" x14ac:dyDescent="0.25">
      <c r="A79" t="s">
        <v>58</v>
      </c>
      <c r="B79" t="s">
        <v>58</v>
      </c>
      <c r="C79">
        <v>80</v>
      </c>
      <c r="D79" s="7">
        <v>46062</v>
      </c>
      <c r="E79" s="7" t="s">
        <v>469</v>
      </c>
      <c r="F79" s="10" t="s">
        <v>470</v>
      </c>
      <c r="G79" s="36" t="s">
        <v>139</v>
      </c>
      <c r="H79" s="36" t="s">
        <v>139</v>
      </c>
      <c r="I79" s="36" t="s">
        <v>139</v>
      </c>
      <c r="J79" s="36" t="s">
        <v>139</v>
      </c>
      <c r="K79" s="36" t="s">
        <v>139</v>
      </c>
      <c r="L79" s="36" t="s">
        <v>471</v>
      </c>
      <c r="M79" s="36" t="s">
        <v>471</v>
      </c>
      <c r="N79" s="36" t="s">
        <v>471</v>
      </c>
      <c r="O79" s="116" t="s">
        <v>471</v>
      </c>
      <c r="P79" s="36" t="s">
        <v>139</v>
      </c>
      <c r="Q79" s="36" t="s">
        <v>471</v>
      </c>
      <c r="R79" s="36" t="s">
        <v>139</v>
      </c>
      <c r="S79" s="36" t="s">
        <v>471</v>
      </c>
      <c r="T79" s="36" t="s">
        <v>139</v>
      </c>
      <c r="U79" s="36" t="s">
        <v>139</v>
      </c>
      <c r="V79" s="36"/>
      <c r="W79" s="36" t="s">
        <v>471</v>
      </c>
      <c r="X79" s="36" t="s">
        <v>471</v>
      </c>
      <c r="Y79" s="36" t="s">
        <v>139</v>
      </c>
      <c r="Z79" s="36" t="s">
        <v>471</v>
      </c>
      <c r="AA79" s="36"/>
      <c r="AB79" s="36" t="s">
        <v>139</v>
      </c>
      <c r="AC79" s="116" t="s">
        <v>139</v>
      </c>
      <c r="AD79" s="36" t="s">
        <v>139</v>
      </c>
      <c r="AE79" s="116" t="s">
        <v>139</v>
      </c>
      <c r="AF79" s="36" t="s">
        <v>139</v>
      </c>
      <c r="AG79" s="36" t="s">
        <v>139</v>
      </c>
      <c r="AH79" s="116" t="s">
        <v>139</v>
      </c>
      <c r="AI79" s="36" t="s">
        <v>139</v>
      </c>
      <c r="AJ79" s="36" t="s">
        <v>139</v>
      </c>
      <c r="AK79" s="116" t="s">
        <v>139</v>
      </c>
      <c r="AL79" s="36" t="s">
        <v>139</v>
      </c>
      <c r="AM79" s="36" t="s">
        <v>471</v>
      </c>
      <c r="AN79" s="36" t="s">
        <v>139</v>
      </c>
      <c r="AO79" s="116"/>
      <c r="AP79" s="116" t="s">
        <v>139</v>
      </c>
      <c r="AQ79" s="116"/>
      <c r="AR79" s="116" t="s">
        <v>471</v>
      </c>
      <c r="AS79" s="116" t="s">
        <v>139</v>
      </c>
      <c r="AT79" s="116" t="s">
        <v>471</v>
      </c>
      <c r="AU79" s="116" t="s">
        <v>139</v>
      </c>
      <c r="AV79" s="116" t="s">
        <v>139</v>
      </c>
      <c r="AW79" s="116" t="s">
        <v>139</v>
      </c>
      <c r="AX79" s="116"/>
      <c r="AY79" s="118">
        <f t="shared" si="2"/>
        <v>27</v>
      </c>
      <c r="AZ79" s="118"/>
      <c r="BA79" s="118" t="s">
        <v>479</v>
      </c>
    </row>
    <row r="80" spans="1:53" x14ac:dyDescent="0.25">
      <c r="A80">
        <v>73</v>
      </c>
      <c r="B80">
        <v>1283</v>
      </c>
      <c r="C80">
        <v>81</v>
      </c>
      <c r="D80" s="7">
        <v>46063</v>
      </c>
      <c r="E80" s="7" t="s">
        <v>326</v>
      </c>
      <c r="F80" s="10" t="s">
        <v>325</v>
      </c>
      <c r="G80" s="36"/>
      <c r="H80" s="36" t="s">
        <v>139</v>
      </c>
      <c r="I80" s="36"/>
      <c r="J80" s="36"/>
      <c r="K80" s="36"/>
      <c r="L80" s="36" t="s">
        <v>139</v>
      </c>
      <c r="M80" s="36"/>
      <c r="N80" s="36"/>
      <c r="O80" s="116" t="s">
        <v>139</v>
      </c>
      <c r="P80" s="36"/>
      <c r="Q80" s="36"/>
      <c r="R80" s="36"/>
      <c r="S80" s="36"/>
      <c r="T80" s="36"/>
      <c r="U80" s="36" t="s">
        <v>139</v>
      </c>
      <c r="V80" s="36"/>
      <c r="W80" s="36"/>
      <c r="X80" s="36"/>
      <c r="Y80" s="36"/>
      <c r="Z80" s="36"/>
      <c r="AA80" s="36"/>
      <c r="AB80" s="36" t="s">
        <v>139</v>
      </c>
      <c r="AC80" s="116"/>
      <c r="AD80" s="36"/>
      <c r="AE80" s="116"/>
      <c r="AF80" s="36" t="s">
        <v>139</v>
      </c>
      <c r="AG80" s="36"/>
      <c r="AH80" s="116"/>
      <c r="AI80" s="36" t="s">
        <v>139</v>
      </c>
      <c r="AJ80" s="36"/>
      <c r="AK80" s="116" t="s">
        <v>139</v>
      </c>
      <c r="AL80" s="36"/>
      <c r="AM80" s="36" t="s">
        <v>139</v>
      </c>
      <c r="AN80" s="36"/>
      <c r="AO80" s="116"/>
      <c r="AP80" s="116" t="s">
        <v>139</v>
      </c>
      <c r="AQ80" s="116"/>
      <c r="AR80" s="116"/>
      <c r="AS80" s="116"/>
      <c r="AT80" s="116"/>
      <c r="AU80" s="116"/>
      <c r="AV80" s="116"/>
      <c r="AW80" s="116"/>
      <c r="AX80" s="116"/>
      <c r="AY80" s="118">
        <f t="shared" si="2"/>
        <v>10</v>
      </c>
      <c r="AZ80" s="118"/>
      <c r="BA80" s="118" t="s">
        <v>479</v>
      </c>
    </row>
    <row r="81" spans="1:53" x14ac:dyDescent="0.25">
      <c r="A81">
        <v>74</v>
      </c>
      <c r="B81">
        <v>1284</v>
      </c>
      <c r="C81">
        <v>82</v>
      </c>
      <c r="D81" s="7">
        <v>46063</v>
      </c>
      <c r="E81" s="7" t="s">
        <v>328</v>
      </c>
      <c r="F81" s="10" t="s">
        <v>327</v>
      </c>
      <c r="G81" s="36"/>
      <c r="H81" s="36" t="s">
        <v>139</v>
      </c>
      <c r="I81" s="36"/>
      <c r="J81" s="36"/>
      <c r="K81" s="36"/>
      <c r="L81" s="36" t="s">
        <v>139</v>
      </c>
      <c r="M81" s="36"/>
      <c r="N81" s="36"/>
      <c r="O81" s="116"/>
      <c r="P81" s="36" t="s">
        <v>139</v>
      </c>
      <c r="Q81" s="36"/>
      <c r="R81" s="36"/>
      <c r="S81" s="36" t="s">
        <v>139</v>
      </c>
      <c r="T81" s="36"/>
      <c r="U81" s="36"/>
      <c r="V81" s="36"/>
      <c r="W81" s="36"/>
      <c r="X81" s="36"/>
      <c r="Y81" s="36"/>
      <c r="Z81" s="36"/>
      <c r="AA81" s="36"/>
      <c r="AB81" s="36" t="s">
        <v>139</v>
      </c>
      <c r="AC81" s="116"/>
      <c r="AD81" s="36"/>
      <c r="AE81" s="116"/>
      <c r="AF81" s="36"/>
      <c r="AG81" s="36"/>
      <c r="AH81" s="116"/>
      <c r="AI81" s="36" t="s">
        <v>139</v>
      </c>
      <c r="AJ81" s="36"/>
      <c r="AK81" s="116" t="s">
        <v>139</v>
      </c>
      <c r="AL81" s="36"/>
      <c r="AM81" s="36"/>
      <c r="AN81" s="36"/>
      <c r="AO81" s="116"/>
      <c r="AP81" s="116"/>
      <c r="AQ81" s="116"/>
      <c r="AR81" s="116"/>
      <c r="AS81" s="116"/>
      <c r="AT81" s="116"/>
      <c r="AU81" s="116"/>
      <c r="AV81" s="116" t="s">
        <v>139</v>
      </c>
      <c r="AW81" s="116"/>
      <c r="AX81" s="116"/>
      <c r="AY81" s="118">
        <f t="shared" si="2"/>
        <v>8</v>
      </c>
      <c r="AZ81" s="118"/>
      <c r="BA81" s="118" t="s">
        <v>481</v>
      </c>
    </row>
    <row r="82" spans="1:53" x14ac:dyDescent="0.25">
      <c r="A82">
        <v>75</v>
      </c>
      <c r="B82">
        <v>1285</v>
      </c>
      <c r="C82">
        <v>83</v>
      </c>
      <c r="D82" s="7">
        <v>46065</v>
      </c>
      <c r="E82" s="7" t="s">
        <v>331</v>
      </c>
      <c r="F82" s="10" t="s">
        <v>329</v>
      </c>
      <c r="G82" s="36" t="s">
        <v>139</v>
      </c>
      <c r="H82" s="36" t="s">
        <v>139</v>
      </c>
      <c r="I82" s="36"/>
      <c r="J82" s="36"/>
      <c r="K82" s="36"/>
      <c r="L82" s="36" t="s">
        <v>139</v>
      </c>
      <c r="M82" s="36"/>
      <c r="N82" s="36"/>
      <c r="O82" s="116" t="s">
        <v>139</v>
      </c>
      <c r="P82" s="36" t="s">
        <v>139</v>
      </c>
      <c r="Q82" s="36"/>
      <c r="R82" s="36"/>
      <c r="S82" s="36" t="s">
        <v>139</v>
      </c>
      <c r="T82" s="36"/>
      <c r="U82" s="36" t="s">
        <v>139</v>
      </c>
      <c r="V82" s="36"/>
      <c r="W82" s="36"/>
      <c r="X82" s="36" t="s">
        <v>139</v>
      </c>
      <c r="Y82" s="36"/>
      <c r="Z82" s="36"/>
      <c r="AA82" s="36"/>
      <c r="AB82" s="36" t="s">
        <v>139</v>
      </c>
      <c r="AC82" s="116" t="s">
        <v>139</v>
      </c>
      <c r="AD82" s="36" t="s">
        <v>139</v>
      </c>
      <c r="AE82" s="116"/>
      <c r="AF82" s="36"/>
      <c r="AG82" s="36"/>
      <c r="AH82" s="116"/>
      <c r="AI82" s="36"/>
      <c r="AJ82" s="36"/>
      <c r="AK82" s="116"/>
      <c r="AL82" s="36"/>
      <c r="AM82" s="36"/>
      <c r="AN82" s="36"/>
      <c r="AO82" s="116"/>
      <c r="AP82" s="116"/>
      <c r="AQ82" s="116"/>
      <c r="AR82" s="116"/>
      <c r="AS82" s="116" t="s">
        <v>139</v>
      </c>
      <c r="AT82" s="116"/>
      <c r="AU82" s="116" t="s">
        <v>139</v>
      </c>
      <c r="AV82" s="116" t="s">
        <v>139</v>
      </c>
      <c r="AW82" s="116"/>
      <c r="AX82" s="116"/>
      <c r="AY82" s="118">
        <f t="shared" si="2"/>
        <v>14</v>
      </c>
      <c r="AZ82" s="118"/>
      <c r="BA82" s="118" t="s">
        <v>481</v>
      </c>
    </row>
    <row r="83" spans="1:53" x14ac:dyDescent="0.25">
      <c r="A83">
        <v>76</v>
      </c>
      <c r="B83">
        <v>1286</v>
      </c>
      <c r="C83">
        <v>84</v>
      </c>
      <c r="D83" s="7">
        <v>46065</v>
      </c>
      <c r="E83" s="7" t="s">
        <v>333</v>
      </c>
      <c r="F83" s="10" t="s">
        <v>332</v>
      </c>
      <c r="G83" s="36"/>
      <c r="H83" s="36" t="s">
        <v>139</v>
      </c>
      <c r="I83" s="36"/>
      <c r="J83" s="36"/>
      <c r="K83" s="36" t="s">
        <v>139</v>
      </c>
      <c r="L83" s="36"/>
      <c r="M83" s="36"/>
      <c r="N83" s="36"/>
      <c r="O83" s="116"/>
      <c r="P83" s="36" t="s">
        <v>139</v>
      </c>
      <c r="Q83" s="36"/>
      <c r="R83" s="36"/>
      <c r="S83" s="36" t="s">
        <v>139</v>
      </c>
      <c r="T83" s="36"/>
      <c r="U83" s="36" t="s">
        <v>139</v>
      </c>
      <c r="V83" s="36"/>
      <c r="W83" s="36"/>
      <c r="X83" s="36" t="s">
        <v>139</v>
      </c>
      <c r="Y83" s="36"/>
      <c r="Z83" s="36" t="s">
        <v>139</v>
      </c>
      <c r="AA83" s="36"/>
      <c r="AB83" s="36"/>
      <c r="AC83" s="116"/>
      <c r="AD83" s="36" t="s">
        <v>139</v>
      </c>
      <c r="AE83" s="116"/>
      <c r="AF83" s="36"/>
      <c r="AG83" s="36"/>
      <c r="AH83" s="116"/>
      <c r="AI83" s="36"/>
      <c r="AJ83" s="36" t="s">
        <v>139</v>
      </c>
      <c r="AK83" s="116" t="s">
        <v>139</v>
      </c>
      <c r="AL83" s="36"/>
      <c r="AM83" s="36"/>
      <c r="AN83" s="36"/>
      <c r="AO83" s="116" t="s">
        <v>139</v>
      </c>
      <c r="AP83" s="116"/>
      <c r="AQ83" s="116" t="s">
        <v>139</v>
      </c>
      <c r="AR83" s="116"/>
      <c r="AS83" s="116"/>
      <c r="AT83" s="116"/>
      <c r="AU83" s="116"/>
      <c r="AV83" s="116" t="s">
        <v>139</v>
      </c>
      <c r="AW83" s="116"/>
      <c r="AX83" s="116"/>
      <c r="AY83" s="118">
        <f t="shared" si="2"/>
        <v>13</v>
      </c>
      <c r="AZ83" s="118"/>
      <c r="BA83" s="118" t="s">
        <v>479</v>
      </c>
    </row>
    <row r="84" spans="1:53" x14ac:dyDescent="0.25">
      <c r="A84">
        <v>77</v>
      </c>
      <c r="B84">
        <v>1287</v>
      </c>
      <c r="C84">
        <v>85</v>
      </c>
      <c r="D84" s="7">
        <v>46066</v>
      </c>
      <c r="E84" s="7" t="s">
        <v>335</v>
      </c>
      <c r="F84" s="10" t="s">
        <v>334</v>
      </c>
      <c r="G84" s="36"/>
      <c r="H84" s="36"/>
      <c r="I84" s="36"/>
      <c r="J84" s="36"/>
      <c r="K84" s="36" t="s">
        <v>139</v>
      </c>
      <c r="L84" s="36" t="s">
        <v>139</v>
      </c>
      <c r="M84" s="36"/>
      <c r="N84" s="36" t="s">
        <v>139</v>
      </c>
      <c r="O84" s="116"/>
      <c r="P84" s="36" t="s">
        <v>139</v>
      </c>
      <c r="Q84" s="36"/>
      <c r="R84" s="36"/>
      <c r="S84" s="36"/>
      <c r="T84" s="36"/>
      <c r="U84" s="36" t="s">
        <v>139</v>
      </c>
      <c r="V84" s="36" t="s">
        <v>139</v>
      </c>
      <c r="W84" s="36"/>
      <c r="X84" s="36" t="s">
        <v>139</v>
      </c>
      <c r="Y84" s="36"/>
      <c r="Z84" s="36" t="s">
        <v>139</v>
      </c>
      <c r="AA84" s="36"/>
      <c r="AB84" s="36"/>
      <c r="AC84" s="116" t="s">
        <v>139</v>
      </c>
      <c r="AD84" s="36"/>
      <c r="AE84" s="116"/>
      <c r="AF84" s="36"/>
      <c r="AG84" s="36"/>
      <c r="AH84" s="116"/>
      <c r="AI84" s="36"/>
      <c r="AJ84" s="36" t="s">
        <v>139</v>
      </c>
      <c r="AK84" s="116" t="s">
        <v>139</v>
      </c>
      <c r="AL84" s="36"/>
      <c r="AM84" s="36"/>
      <c r="AN84" s="36"/>
      <c r="AO84" s="116" t="s">
        <v>139</v>
      </c>
      <c r="AP84" s="116"/>
      <c r="AQ84" s="116"/>
      <c r="AR84" s="116"/>
      <c r="AS84" s="116"/>
      <c r="AT84" s="116"/>
      <c r="AU84" s="116"/>
      <c r="AV84" s="116" t="s">
        <v>139</v>
      </c>
      <c r="AW84" s="116"/>
      <c r="AX84" s="116"/>
      <c r="AY84" s="118">
        <f t="shared" si="2"/>
        <v>13</v>
      </c>
      <c r="AZ84" s="118"/>
      <c r="BA84" s="118" t="s">
        <v>479</v>
      </c>
    </row>
    <row r="85" spans="1:53" x14ac:dyDescent="0.25">
      <c r="A85">
        <v>78</v>
      </c>
      <c r="B85">
        <v>1288</v>
      </c>
      <c r="C85">
        <v>86</v>
      </c>
      <c r="D85" s="7">
        <v>46066</v>
      </c>
      <c r="E85" s="7" t="s">
        <v>337</v>
      </c>
      <c r="F85" s="10" t="s">
        <v>336</v>
      </c>
      <c r="G85" s="36"/>
      <c r="H85" s="36"/>
      <c r="I85" s="36"/>
      <c r="J85" s="36"/>
      <c r="K85" s="36" t="s">
        <v>139</v>
      </c>
      <c r="L85" s="36" t="s">
        <v>139</v>
      </c>
      <c r="M85" s="36"/>
      <c r="N85" s="36" t="s">
        <v>139</v>
      </c>
      <c r="O85" s="116"/>
      <c r="P85" s="36" t="s">
        <v>139</v>
      </c>
      <c r="Q85" s="36"/>
      <c r="R85" s="36"/>
      <c r="S85" s="36"/>
      <c r="T85" s="36"/>
      <c r="U85" s="36" t="s">
        <v>139</v>
      </c>
      <c r="V85" s="36" t="s">
        <v>139</v>
      </c>
      <c r="W85" s="36"/>
      <c r="X85" s="36" t="s">
        <v>139</v>
      </c>
      <c r="Y85" s="36"/>
      <c r="Z85" s="36" t="s">
        <v>139</v>
      </c>
      <c r="AA85" s="36"/>
      <c r="AB85" s="36"/>
      <c r="AC85" s="116" t="s">
        <v>139</v>
      </c>
      <c r="AD85" s="36"/>
      <c r="AE85" s="116"/>
      <c r="AF85" s="36"/>
      <c r="AG85" s="36"/>
      <c r="AH85" s="116"/>
      <c r="AI85" s="36"/>
      <c r="AJ85" s="36" t="s">
        <v>139</v>
      </c>
      <c r="AK85" s="116" t="s">
        <v>139</v>
      </c>
      <c r="AL85" s="36"/>
      <c r="AM85" s="36"/>
      <c r="AN85" s="36"/>
      <c r="AO85" s="116" t="s">
        <v>139</v>
      </c>
      <c r="AP85" s="116"/>
      <c r="AQ85" s="116"/>
      <c r="AR85" s="116"/>
      <c r="AS85" s="116"/>
      <c r="AT85" s="116"/>
      <c r="AU85" s="116"/>
      <c r="AV85" s="116" t="s">
        <v>139</v>
      </c>
      <c r="AW85" s="116"/>
      <c r="AX85" s="116"/>
      <c r="AY85" s="118">
        <f t="shared" si="2"/>
        <v>13</v>
      </c>
      <c r="AZ85" s="118"/>
      <c r="BA85" s="118" t="s">
        <v>479</v>
      </c>
    </row>
    <row r="86" spans="1:53" x14ac:dyDescent="0.25">
      <c r="A86">
        <v>79</v>
      </c>
      <c r="B86">
        <v>1289</v>
      </c>
      <c r="C86">
        <v>87</v>
      </c>
      <c r="D86" s="7">
        <v>46065</v>
      </c>
      <c r="E86" s="7" t="s">
        <v>339</v>
      </c>
      <c r="F86" s="10" t="s">
        <v>338</v>
      </c>
      <c r="G86" s="36" t="s">
        <v>139</v>
      </c>
      <c r="H86" s="36"/>
      <c r="I86" s="36"/>
      <c r="J86" s="36"/>
      <c r="K86" s="36"/>
      <c r="L86" s="36" t="s">
        <v>139</v>
      </c>
      <c r="M86" s="36"/>
      <c r="N86" s="36" t="s">
        <v>139</v>
      </c>
      <c r="O86" s="116" t="s">
        <v>139</v>
      </c>
      <c r="P86" s="36" t="s">
        <v>139</v>
      </c>
      <c r="Q86" s="36"/>
      <c r="R86" s="36"/>
      <c r="S86" s="36"/>
      <c r="T86" s="36"/>
      <c r="U86" s="36" t="s">
        <v>139</v>
      </c>
      <c r="V86" s="36"/>
      <c r="W86" s="36"/>
      <c r="X86" s="36"/>
      <c r="Y86" s="36"/>
      <c r="Z86" s="36" t="s">
        <v>139</v>
      </c>
      <c r="AA86" s="36"/>
      <c r="AB86" s="36" t="s">
        <v>139</v>
      </c>
      <c r="AC86" s="116"/>
      <c r="AD86" s="36"/>
      <c r="AE86" s="116" t="s">
        <v>139</v>
      </c>
      <c r="AF86" s="36"/>
      <c r="AG86" s="36"/>
      <c r="AH86" s="116"/>
      <c r="AI86" s="36"/>
      <c r="AJ86" s="36"/>
      <c r="AK86" s="116" t="s">
        <v>139</v>
      </c>
      <c r="AL86" s="36"/>
      <c r="AM86" s="36"/>
      <c r="AN86" s="36"/>
      <c r="AO86" s="116" t="s">
        <v>139</v>
      </c>
      <c r="AP86" s="116"/>
      <c r="AQ86" s="116" t="s">
        <v>139</v>
      </c>
      <c r="AR86" s="116" t="s">
        <v>139</v>
      </c>
      <c r="AS86" s="116"/>
      <c r="AT86" s="116"/>
      <c r="AU86" s="116" t="s">
        <v>139</v>
      </c>
      <c r="AV86" s="116" t="s">
        <v>139</v>
      </c>
      <c r="AW86" s="116"/>
      <c r="AX86" s="116"/>
      <c r="AY86" s="118">
        <f t="shared" si="2"/>
        <v>15</v>
      </c>
      <c r="AZ86" s="118"/>
      <c r="BA86" s="118" t="s">
        <v>479</v>
      </c>
    </row>
    <row r="87" spans="1:53" x14ac:dyDescent="0.25">
      <c r="A87">
        <v>80</v>
      </c>
      <c r="B87">
        <v>1290</v>
      </c>
      <c r="C87">
        <v>88</v>
      </c>
      <c r="D87" s="7">
        <v>46066</v>
      </c>
      <c r="E87" s="7" t="s">
        <v>341</v>
      </c>
      <c r="F87" s="10" t="s">
        <v>340</v>
      </c>
      <c r="G87" s="36" t="s">
        <v>139</v>
      </c>
      <c r="H87" s="36"/>
      <c r="I87" s="36"/>
      <c r="J87" s="36"/>
      <c r="K87" s="36"/>
      <c r="L87" s="36" t="s">
        <v>139</v>
      </c>
      <c r="M87" s="36"/>
      <c r="N87" s="36" t="s">
        <v>139</v>
      </c>
      <c r="O87" s="116" t="s">
        <v>139</v>
      </c>
      <c r="P87" s="36" t="s">
        <v>139</v>
      </c>
      <c r="Q87" s="36"/>
      <c r="R87" s="36"/>
      <c r="S87" s="36"/>
      <c r="T87" s="36"/>
      <c r="U87" s="36" t="s">
        <v>139</v>
      </c>
      <c r="V87" s="36"/>
      <c r="W87" s="36"/>
      <c r="X87" s="36"/>
      <c r="Y87" s="36"/>
      <c r="Z87" s="36" t="s">
        <v>139</v>
      </c>
      <c r="AA87" s="36"/>
      <c r="AB87" s="36" t="s">
        <v>139</v>
      </c>
      <c r="AC87" s="116"/>
      <c r="AD87" s="36"/>
      <c r="AE87" s="116" t="s">
        <v>139</v>
      </c>
      <c r="AF87" s="36"/>
      <c r="AG87" s="36"/>
      <c r="AH87" s="116"/>
      <c r="AI87" s="36"/>
      <c r="AJ87" s="36"/>
      <c r="AK87" s="116" t="s">
        <v>139</v>
      </c>
      <c r="AL87" s="36"/>
      <c r="AM87" s="36"/>
      <c r="AN87" s="36"/>
      <c r="AO87" s="116" t="s">
        <v>139</v>
      </c>
      <c r="AP87" s="116" t="s">
        <v>139</v>
      </c>
      <c r="AQ87" s="116"/>
      <c r="AR87" s="116" t="s">
        <v>139</v>
      </c>
      <c r="AS87" s="116"/>
      <c r="AT87" s="116"/>
      <c r="AU87" s="116" t="s">
        <v>139</v>
      </c>
      <c r="AV87" s="116" t="s">
        <v>139</v>
      </c>
      <c r="AW87" s="116"/>
      <c r="AX87" s="116"/>
      <c r="AY87" s="118">
        <f t="shared" si="2"/>
        <v>15</v>
      </c>
      <c r="AZ87" s="118"/>
      <c r="BA87" s="118" t="s">
        <v>479</v>
      </c>
    </row>
    <row r="88" spans="1:53" x14ac:dyDescent="0.25">
      <c r="A88">
        <v>81</v>
      </c>
      <c r="B88">
        <v>1291</v>
      </c>
      <c r="C88">
        <v>89</v>
      </c>
      <c r="D88" s="7">
        <v>46066</v>
      </c>
      <c r="E88" s="7" t="s">
        <v>344</v>
      </c>
      <c r="F88" s="10" t="s">
        <v>343</v>
      </c>
      <c r="G88" s="36" t="s">
        <v>139</v>
      </c>
      <c r="H88" s="36"/>
      <c r="I88" s="36"/>
      <c r="J88" s="36"/>
      <c r="K88" s="36"/>
      <c r="L88" s="36" t="s">
        <v>139</v>
      </c>
      <c r="M88" s="36"/>
      <c r="N88" s="36" t="s">
        <v>139</v>
      </c>
      <c r="O88" s="116" t="s">
        <v>139</v>
      </c>
      <c r="P88" s="36" t="s">
        <v>139</v>
      </c>
      <c r="Q88" s="36"/>
      <c r="R88" s="36"/>
      <c r="S88" s="36"/>
      <c r="T88" s="36"/>
      <c r="U88" s="36" t="s">
        <v>139</v>
      </c>
      <c r="V88" s="36"/>
      <c r="W88" s="36"/>
      <c r="X88" s="36" t="s">
        <v>139</v>
      </c>
      <c r="Y88" s="36"/>
      <c r="Z88" s="36"/>
      <c r="AA88" s="36"/>
      <c r="AB88" s="36" t="s">
        <v>139</v>
      </c>
      <c r="AC88" s="116"/>
      <c r="AD88" s="36"/>
      <c r="AE88" s="116" t="s">
        <v>139</v>
      </c>
      <c r="AF88" s="36"/>
      <c r="AG88" s="36"/>
      <c r="AH88" s="116"/>
      <c r="AI88" s="36"/>
      <c r="AJ88" s="36"/>
      <c r="AK88" s="116" t="s">
        <v>139</v>
      </c>
      <c r="AL88" s="36"/>
      <c r="AM88" s="36"/>
      <c r="AN88" s="36"/>
      <c r="AO88" s="116" t="s">
        <v>139</v>
      </c>
      <c r="AP88" s="116"/>
      <c r="AQ88" s="116" t="s">
        <v>139</v>
      </c>
      <c r="AR88" s="116" t="s">
        <v>139</v>
      </c>
      <c r="AS88" s="116"/>
      <c r="AT88" s="116"/>
      <c r="AU88" s="116" t="s">
        <v>139</v>
      </c>
      <c r="AV88" s="116" t="s">
        <v>139</v>
      </c>
      <c r="AW88" s="116"/>
      <c r="AX88" s="116"/>
      <c r="AY88" s="118">
        <f t="shared" si="2"/>
        <v>15</v>
      </c>
      <c r="AZ88" s="118"/>
      <c r="BA88" s="118" t="s">
        <v>479</v>
      </c>
    </row>
    <row r="89" spans="1:53" x14ac:dyDescent="0.25">
      <c r="A89">
        <v>82</v>
      </c>
      <c r="B89">
        <v>1292</v>
      </c>
      <c r="C89">
        <v>90</v>
      </c>
      <c r="D89" s="7">
        <v>46067</v>
      </c>
      <c r="E89" s="7" t="s">
        <v>346</v>
      </c>
      <c r="F89" s="10" t="s">
        <v>345</v>
      </c>
      <c r="G89" s="36" t="s">
        <v>139</v>
      </c>
      <c r="H89" s="36"/>
      <c r="I89" s="36"/>
      <c r="J89" s="36"/>
      <c r="K89" s="36"/>
      <c r="L89" s="36" t="s">
        <v>139</v>
      </c>
      <c r="M89" s="36"/>
      <c r="N89" s="36"/>
      <c r="O89" s="116"/>
      <c r="P89" s="36" t="s">
        <v>139</v>
      </c>
      <c r="Q89" s="36"/>
      <c r="R89" s="36"/>
      <c r="S89" s="36"/>
      <c r="T89" s="36"/>
      <c r="U89" s="36" t="s">
        <v>139</v>
      </c>
      <c r="V89" s="36" t="s">
        <v>139</v>
      </c>
      <c r="W89" s="36"/>
      <c r="X89" s="36"/>
      <c r="Y89" s="36"/>
      <c r="Z89" s="36"/>
      <c r="AA89" s="36"/>
      <c r="AB89" s="36" t="s">
        <v>139</v>
      </c>
      <c r="AC89" s="116"/>
      <c r="AD89" s="36"/>
      <c r="AE89" s="116" t="s">
        <v>139</v>
      </c>
      <c r="AF89" s="36"/>
      <c r="AG89" s="36"/>
      <c r="AH89" s="116"/>
      <c r="AI89" s="36"/>
      <c r="AJ89" s="36" t="s">
        <v>139</v>
      </c>
      <c r="AK89" s="116" t="s">
        <v>139</v>
      </c>
      <c r="AL89" s="36"/>
      <c r="AM89" s="36"/>
      <c r="AN89" s="36"/>
      <c r="AO89" s="116"/>
      <c r="AP89" s="116"/>
      <c r="AQ89" s="116"/>
      <c r="AR89" s="116" t="s">
        <v>139</v>
      </c>
      <c r="AS89" s="116"/>
      <c r="AT89" s="116"/>
      <c r="AU89" s="116"/>
      <c r="AV89" s="116"/>
      <c r="AW89" s="116"/>
      <c r="AX89" s="116"/>
      <c r="AY89" s="118">
        <f t="shared" si="2"/>
        <v>10</v>
      </c>
      <c r="AZ89" s="118"/>
      <c r="BA89" s="118" t="s">
        <v>479</v>
      </c>
    </row>
    <row r="90" spans="1:53" x14ac:dyDescent="0.25">
      <c r="A90">
        <v>83</v>
      </c>
      <c r="B90">
        <v>1293</v>
      </c>
      <c r="C90">
        <v>91</v>
      </c>
      <c r="D90" s="7">
        <v>46066</v>
      </c>
      <c r="E90" s="7" t="s">
        <v>348</v>
      </c>
      <c r="F90" s="10" t="s">
        <v>347</v>
      </c>
      <c r="G90" s="36" t="s">
        <v>139</v>
      </c>
      <c r="H90" s="36" t="s">
        <v>139</v>
      </c>
      <c r="I90" s="36"/>
      <c r="J90" s="36"/>
      <c r="K90" s="36"/>
      <c r="L90" s="36" t="s">
        <v>139</v>
      </c>
      <c r="M90" s="36"/>
      <c r="N90" s="36" t="s">
        <v>139</v>
      </c>
      <c r="O90" s="116"/>
      <c r="P90" s="36" t="s">
        <v>139</v>
      </c>
      <c r="Q90" s="36"/>
      <c r="R90" s="36" t="s">
        <v>139</v>
      </c>
      <c r="S90" s="36"/>
      <c r="T90" s="36"/>
      <c r="U90" s="36"/>
      <c r="V90" s="36" t="s">
        <v>139</v>
      </c>
      <c r="W90" s="36"/>
      <c r="X90" s="36" t="s">
        <v>139</v>
      </c>
      <c r="Y90" s="36"/>
      <c r="Z90" s="36"/>
      <c r="AA90" s="36"/>
      <c r="AB90" s="36"/>
      <c r="AC90" s="116"/>
      <c r="AD90" s="36" t="s">
        <v>139</v>
      </c>
      <c r="AE90" s="116" t="s">
        <v>139</v>
      </c>
      <c r="AF90" s="36"/>
      <c r="AG90" s="36"/>
      <c r="AH90" s="116"/>
      <c r="AI90" s="36"/>
      <c r="AJ90" s="36"/>
      <c r="AK90" s="116" t="s">
        <v>139</v>
      </c>
      <c r="AL90" s="36"/>
      <c r="AM90" s="36"/>
      <c r="AN90" s="36"/>
      <c r="AO90" s="116" t="s">
        <v>139</v>
      </c>
      <c r="AP90" s="116"/>
      <c r="AQ90" s="116"/>
      <c r="AR90" s="116" t="s">
        <v>139</v>
      </c>
      <c r="AS90" s="116"/>
      <c r="AT90" s="116"/>
      <c r="AU90" s="116"/>
      <c r="AV90" s="116"/>
      <c r="AW90" s="116"/>
      <c r="AX90" s="116"/>
      <c r="AY90" s="118">
        <f t="shared" si="2"/>
        <v>13</v>
      </c>
      <c r="AZ90" s="118"/>
      <c r="BA90" s="118" t="s">
        <v>479</v>
      </c>
    </row>
    <row r="91" spans="1:53" x14ac:dyDescent="0.25">
      <c r="A91">
        <v>84</v>
      </c>
      <c r="B91">
        <v>1294</v>
      </c>
      <c r="C91">
        <v>92</v>
      </c>
      <c r="D91" s="7">
        <v>46068</v>
      </c>
      <c r="E91" s="7" t="s">
        <v>350</v>
      </c>
      <c r="F91" s="10" t="s">
        <v>349</v>
      </c>
      <c r="G91" s="36"/>
      <c r="H91" s="36" t="s">
        <v>139</v>
      </c>
      <c r="I91" s="36" t="s">
        <v>139</v>
      </c>
      <c r="J91" s="36"/>
      <c r="K91" s="36" t="s">
        <v>139</v>
      </c>
      <c r="L91" s="36"/>
      <c r="M91" s="36" t="s">
        <v>139</v>
      </c>
      <c r="N91" s="36"/>
      <c r="O91" s="116"/>
      <c r="P91" s="36"/>
      <c r="Q91" s="36" t="s">
        <v>139</v>
      </c>
      <c r="R91" s="36" t="s">
        <v>139</v>
      </c>
      <c r="S91" s="36"/>
      <c r="T91" s="36"/>
      <c r="U91" s="36"/>
      <c r="V91" s="36"/>
      <c r="W91" s="36"/>
      <c r="X91" s="36"/>
      <c r="Y91" s="36"/>
      <c r="Z91" s="36"/>
      <c r="AA91" s="36"/>
      <c r="AB91" s="36" t="s">
        <v>139</v>
      </c>
      <c r="AC91" s="116"/>
      <c r="AD91" s="36"/>
      <c r="AE91" s="116"/>
      <c r="AF91" s="36"/>
      <c r="AG91" s="36"/>
      <c r="AH91" s="116"/>
      <c r="AI91" s="36"/>
      <c r="AJ91" s="36"/>
      <c r="AK91" s="116"/>
      <c r="AL91" s="36"/>
      <c r="AM91" s="36"/>
      <c r="AN91" s="36"/>
      <c r="AO91" s="116"/>
      <c r="AP91" s="116" t="s">
        <v>139</v>
      </c>
      <c r="AQ91" s="116"/>
      <c r="AR91" s="116"/>
      <c r="AS91" s="116"/>
      <c r="AT91" s="116"/>
      <c r="AU91" s="116" t="s">
        <v>139</v>
      </c>
      <c r="AV91" s="116" t="s">
        <v>139</v>
      </c>
      <c r="AW91" s="116"/>
      <c r="AX91" s="116"/>
      <c r="AY91" s="118">
        <f t="shared" si="2"/>
        <v>10</v>
      </c>
      <c r="AZ91" s="118"/>
      <c r="BA91" s="118" t="s">
        <v>479</v>
      </c>
    </row>
    <row r="92" spans="1:53" x14ac:dyDescent="0.25">
      <c r="A92" t="s">
        <v>58</v>
      </c>
      <c r="B92" t="s">
        <v>58</v>
      </c>
      <c r="C92">
        <v>93</v>
      </c>
      <c r="D92" s="7">
        <v>46069</v>
      </c>
      <c r="E92" s="7" t="s">
        <v>469</v>
      </c>
      <c r="F92" s="10" t="s">
        <v>470</v>
      </c>
      <c r="G92" s="36" t="s">
        <v>139</v>
      </c>
      <c r="H92" s="36" t="s">
        <v>139</v>
      </c>
      <c r="I92" s="36" t="s">
        <v>139</v>
      </c>
      <c r="J92" s="36" t="s">
        <v>139</v>
      </c>
      <c r="K92" s="36" t="s">
        <v>139</v>
      </c>
      <c r="L92" s="36" t="s">
        <v>471</v>
      </c>
      <c r="M92" s="36" t="s">
        <v>139</v>
      </c>
      <c r="N92" s="36" t="s">
        <v>139</v>
      </c>
      <c r="O92" s="116" t="s">
        <v>471</v>
      </c>
      <c r="P92" s="36" t="s">
        <v>139</v>
      </c>
      <c r="Q92" s="36" t="s">
        <v>139</v>
      </c>
      <c r="R92" s="36" t="s">
        <v>139</v>
      </c>
      <c r="S92" s="36" t="s">
        <v>139</v>
      </c>
      <c r="T92" s="36" t="s">
        <v>139</v>
      </c>
      <c r="U92" s="36" t="s">
        <v>139</v>
      </c>
      <c r="V92" s="36" t="s">
        <v>139</v>
      </c>
      <c r="W92" s="36" t="s">
        <v>139</v>
      </c>
      <c r="X92" s="36" t="s">
        <v>139</v>
      </c>
      <c r="Y92" s="36" t="s">
        <v>139</v>
      </c>
      <c r="Z92" s="36" t="s">
        <v>471</v>
      </c>
      <c r="AA92" s="36"/>
      <c r="AB92" s="36" t="s">
        <v>139</v>
      </c>
      <c r="AC92" s="116" t="s">
        <v>139</v>
      </c>
      <c r="AD92" s="36" t="s">
        <v>471</v>
      </c>
      <c r="AE92" s="116" t="s">
        <v>471</v>
      </c>
      <c r="AF92" s="36" t="s">
        <v>139</v>
      </c>
      <c r="AG92" s="36" t="s">
        <v>471</v>
      </c>
      <c r="AH92" s="116" t="s">
        <v>139</v>
      </c>
      <c r="AI92" s="36" t="s">
        <v>471</v>
      </c>
      <c r="AJ92" s="36" t="s">
        <v>139</v>
      </c>
      <c r="AK92" s="116" t="s">
        <v>139</v>
      </c>
      <c r="AL92" s="36" t="s">
        <v>139</v>
      </c>
      <c r="AM92" s="36"/>
      <c r="AN92" s="36" t="s">
        <v>139</v>
      </c>
      <c r="AO92" s="116" t="s">
        <v>139</v>
      </c>
      <c r="AP92" s="116" t="s">
        <v>139</v>
      </c>
      <c r="AQ92" s="116" t="s">
        <v>471</v>
      </c>
      <c r="AR92" s="116" t="s">
        <v>139</v>
      </c>
      <c r="AS92" s="116" t="s">
        <v>139</v>
      </c>
      <c r="AT92" s="116" t="s">
        <v>471</v>
      </c>
      <c r="AU92" s="116" t="s">
        <v>139</v>
      </c>
      <c r="AV92" s="116" t="s">
        <v>139</v>
      </c>
      <c r="AW92" s="116" t="s">
        <v>139</v>
      </c>
      <c r="AX92" s="116"/>
      <c r="AY92" s="118">
        <f t="shared" si="2"/>
        <v>32</v>
      </c>
      <c r="AZ92" s="118"/>
      <c r="BA92" s="118" t="s">
        <v>479</v>
      </c>
    </row>
    <row r="93" spans="1:53" x14ac:dyDescent="0.25">
      <c r="A93">
        <v>85</v>
      </c>
      <c r="B93">
        <v>1295</v>
      </c>
      <c r="C93">
        <v>94</v>
      </c>
      <c r="D93" s="7">
        <v>46070</v>
      </c>
      <c r="E93" s="7" t="s">
        <v>352</v>
      </c>
      <c r="F93" s="10" t="s">
        <v>351</v>
      </c>
      <c r="G93" s="36" t="s">
        <v>139</v>
      </c>
      <c r="H93" s="36" t="s">
        <v>139</v>
      </c>
      <c r="I93" s="36" t="s">
        <v>139</v>
      </c>
      <c r="J93" s="36" t="s">
        <v>139</v>
      </c>
      <c r="K93" s="36" t="s">
        <v>139</v>
      </c>
      <c r="L93" s="36"/>
      <c r="M93" s="36" t="s">
        <v>139</v>
      </c>
      <c r="N93" s="36" t="s">
        <v>139</v>
      </c>
      <c r="O93" s="116"/>
      <c r="P93" s="36" t="s">
        <v>139</v>
      </c>
      <c r="Q93" s="36" t="s">
        <v>139</v>
      </c>
      <c r="R93" s="36" t="s">
        <v>139</v>
      </c>
      <c r="S93" s="36"/>
      <c r="T93" s="36"/>
      <c r="U93" s="36" t="s">
        <v>139</v>
      </c>
      <c r="V93" s="36" t="s">
        <v>139</v>
      </c>
      <c r="W93" s="36" t="s">
        <v>139</v>
      </c>
      <c r="X93" s="36"/>
      <c r="Y93" s="36" t="s">
        <v>139</v>
      </c>
      <c r="Z93" s="36"/>
      <c r="AA93" s="36"/>
      <c r="AB93" s="36" t="s">
        <v>139</v>
      </c>
      <c r="AC93" s="116" t="s">
        <v>139</v>
      </c>
      <c r="AD93" s="36" t="s">
        <v>139</v>
      </c>
      <c r="AE93" s="116"/>
      <c r="AF93" s="36" t="s">
        <v>139</v>
      </c>
      <c r="AG93" s="36"/>
      <c r="AH93" s="116" t="s">
        <v>139</v>
      </c>
      <c r="AI93" s="36"/>
      <c r="AJ93" s="36" t="s">
        <v>139</v>
      </c>
      <c r="AK93" s="116" t="s">
        <v>139</v>
      </c>
      <c r="AL93" s="36" t="s">
        <v>139</v>
      </c>
      <c r="AM93" s="36" t="s">
        <v>139</v>
      </c>
      <c r="AN93" s="36" t="s">
        <v>139</v>
      </c>
      <c r="AO93" s="116" t="s">
        <v>139</v>
      </c>
      <c r="AP93" s="116" t="s">
        <v>139</v>
      </c>
      <c r="AQ93" s="116"/>
      <c r="AR93" s="116"/>
      <c r="AS93" s="116"/>
      <c r="AT93" s="116"/>
      <c r="AU93" s="116" t="s">
        <v>139</v>
      </c>
      <c r="AV93" s="116"/>
      <c r="AW93" s="116"/>
      <c r="AX93" s="116"/>
      <c r="AY93" s="118">
        <f t="shared" si="2"/>
        <v>27</v>
      </c>
      <c r="AZ93" s="118"/>
      <c r="BA93" s="118" t="s">
        <v>479</v>
      </c>
    </row>
    <row r="94" spans="1:53" x14ac:dyDescent="0.25">
      <c r="A94">
        <v>86</v>
      </c>
      <c r="B94">
        <v>1296</v>
      </c>
      <c r="C94">
        <v>95</v>
      </c>
      <c r="D94" s="7">
        <v>46070</v>
      </c>
      <c r="E94" s="7" t="s">
        <v>355</v>
      </c>
      <c r="F94" s="10" t="s">
        <v>353</v>
      </c>
      <c r="G94" s="36"/>
      <c r="H94" s="36" t="s">
        <v>139</v>
      </c>
      <c r="I94" s="36"/>
      <c r="J94" s="36" t="s">
        <v>139</v>
      </c>
      <c r="K94" s="36"/>
      <c r="L94" s="36"/>
      <c r="M94" s="36"/>
      <c r="N94" s="36" t="s">
        <v>139</v>
      </c>
      <c r="O94" s="116"/>
      <c r="P94" s="36" t="s">
        <v>139</v>
      </c>
      <c r="Q94" s="36"/>
      <c r="R94" s="36"/>
      <c r="S94" s="36"/>
      <c r="T94" s="36" t="s">
        <v>139</v>
      </c>
      <c r="U94" s="36"/>
      <c r="V94" s="36"/>
      <c r="W94" s="36"/>
      <c r="X94" s="36" t="s">
        <v>139</v>
      </c>
      <c r="Y94" s="36"/>
      <c r="Z94" s="36" t="s">
        <v>139</v>
      </c>
      <c r="AA94" s="36"/>
      <c r="AB94" s="36"/>
      <c r="AC94" s="116" t="s">
        <v>139</v>
      </c>
      <c r="AD94" s="36"/>
      <c r="AE94" s="116"/>
      <c r="AF94" s="36"/>
      <c r="AG94" s="36"/>
      <c r="AH94" s="116"/>
      <c r="AI94" s="36" t="s">
        <v>139</v>
      </c>
      <c r="AJ94" s="36"/>
      <c r="AK94" s="116"/>
      <c r="AL94" s="36"/>
      <c r="AM94" s="36"/>
      <c r="AN94" s="36"/>
      <c r="AO94" s="116" t="s">
        <v>139</v>
      </c>
      <c r="AP94" s="116"/>
      <c r="AQ94" s="116"/>
      <c r="AR94" s="116"/>
      <c r="AS94" s="116"/>
      <c r="AT94" s="116"/>
      <c r="AU94" s="116"/>
      <c r="AV94" s="116" t="s">
        <v>139</v>
      </c>
      <c r="AW94" s="116"/>
      <c r="AX94" s="116"/>
      <c r="AY94" s="118">
        <f t="shared" si="2"/>
        <v>11</v>
      </c>
      <c r="AZ94" s="118"/>
      <c r="BA94" s="118" t="s">
        <v>479</v>
      </c>
    </row>
    <row r="95" spans="1:53" x14ac:dyDescent="0.25">
      <c r="A95">
        <v>87</v>
      </c>
      <c r="B95">
        <v>1297</v>
      </c>
      <c r="C95">
        <v>96</v>
      </c>
      <c r="D95" s="7">
        <v>46070</v>
      </c>
      <c r="E95" s="7" t="s">
        <v>482</v>
      </c>
      <c r="F95" s="10" t="s">
        <v>483</v>
      </c>
      <c r="G95" s="36"/>
      <c r="H95" s="36" t="s">
        <v>139</v>
      </c>
      <c r="I95" s="36"/>
      <c r="J95" s="36" t="s">
        <v>139</v>
      </c>
      <c r="K95" s="36"/>
      <c r="L95" s="36"/>
      <c r="M95" s="36"/>
      <c r="N95" s="36" t="s">
        <v>139</v>
      </c>
      <c r="O95" s="116"/>
      <c r="P95" s="36" t="s">
        <v>139</v>
      </c>
      <c r="Q95" s="36"/>
      <c r="R95" s="36"/>
      <c r="S95" s="36"/>
      <c r="T95" s="36" t="s">
        <v>139</v>
      </c>
      <c r="U95" s="36"/>
      <c r="V95" s="36"/>
      <c r="W95" s="36"/>
      <c r="X95" s="36" t="s">
        <v>139</v>
      </c>
      <c r="Y95" s="36"/>
      <c r="Z95" s="36" t="s">
        <v>139</v>
      </c>
      <c r="AA95" s="36"/>
      <c r="AB95" s="36"/>
      <c r="AC95" s="116" t="s">
        <v>139</v>
      </c>
      <c r="AD95" s="36"/>
      <c r="AE95" s="116"/>
      <c r="AF95" s="36"/>
      <c r="AG95" s="36"/>
      <c r="AH95" s="116"/>
      <c r="AI95" s="36" t="s">
        <v>139</v>
      </c>
      <c r="AJ95" s="36"/>
      <c r="AK95" s="116"/>
      <c r="AL95" s="36"/>
      <c r="AM95" s="36"/>
      <c r="AN95" s="36"/>
      <c r="AO95" s="116" t="s">
        <v>139</v>
      </c>
      <c r="AP95" s="116"/>
      <c r="AQ95" s="116"/>
      <c r="AR95" s="116"/>
      <c r="AS95" s="116"/>
      <c r="AT95" s="116"/>
      <c r="AU95" s="116"/>
      <c r="AV95" s="116" t="s">
        <v>139</v>
      </c>
      <c r="AW95" s="116"/>
      <c r="AX95" s="116"/>
      <c r="AY95" s="118">
        <f t="shared" si="2"/>
        <v>11</v>
      </c>
      <c r="AZ95" s="118"/>
      <c r="BA95" s="118" t="s">
        <v>479</v>
      </c>
    </row>
    <row r="96" spans="1:53" x14ac:dyDescent="0.25">
      <c r="A96">
        <v>88</v>
      </c>
      <c r="B96">
        <v>1298</v>
      </c>
      <c r="C96">
        <v>97</v>
      </c>
      <c r="D96" s="7">
        <v>46070</v>
      </c>
      <c r="E96" s="7" t="s">
        <v>358</v>
      </c>
      <c r="F96" s="10" t="s">
        <v>353</v>
      </c>
      <c r="G96" s="36"/>
      <c r="H96" s="36" t="s">
        <v>139</v>
      </c>
      <c r="I96" s="36"/>
      <c r="J96" s="36" t="s">
        <v>139</v>
      </c>
      <c r="K96" s="36"/>
      <c r="L96" s="36"/>
      <c r="M96" s="36"/>
      <c r="N96" s="36" t="s">
        <v>139</v>
      </c>
      <c r="O96" s="116"/>
      <c r="P96" s="36" t="s">
        <v>139</v>
      </c>
      <c r="Q96" s="36"/>
      <c r="R96" s="36"/>
      <c r="S96" s="36"/>
      <c r="T96" s="36" t="s">
        <v>139</v>
      </c>
      <c r="U96" s="36"/>
      <c r="V96" s="36"/>
      <c r="W96" s="36"/>
      <c r="X96" s="36" t="s">
        <v>139</v>
      </c>
      <c r="Y96" s="36"/>
      <c r="Z96" s="36" t="s">
        <v>139</v>
      </c>
      <c r="AA96" s="36"/>
      <c r="AB96" s="36"/>
      <c r="AC96" s="116" t="s">
        <v>139</v>
      </c>
      <c r="AD96" s="36"/>
      <c r="AE96" s="116"/>
      <c r="AF96" s="36"/>
      <c r="AG96" s="36"/>
      <c r="AH96" s="116"/>
      <c r="AI96" s="36" t="s">
        <v>139</v>
      </c>
      <c r="AJ96" s="36"/>
      <c r="AK96" s="116"/>
      <c r="AL96" s="36"/>
      <c r="AM96" s="36"/>
      <c r="AN96" s="36"/>
      <c r="AO96" s="116" t="s">
        <v>139</v>
      </c>
      <c r="AP96" s="116"/>
      <c r="AQ96" s="116"/>
      <c r="AR96" s="116"/>
      <c r="AS96" s="116"/>
      <c r="AT96" s="116"/>
      <c r="AU96" s="116"/>
      <c r="AV96" s="116" t="s">
        <v>139</v>
      </c>
      <c r="AW96" s="116"/>
      <c r="AX96" s="116"/>
      <c r="AY96" s="118">
        <f t="shared" si="2"/>
        <v>11</v>
      </c>
      <c r="AZ96" s="118"/>
      <c r="BA96" s="118" t="s">
        <v>479</v>
      </c>
    </row>
    <row r="97" spans="1:53" x14ac:dyDescent="0.25">
      <c r="A97">
        <v>89</v>
      </c>
      <c r="B97">
        <v>1299</v>
      </c>
      <c r="C97">
        <v>98</v>
      </c>
      <c r="D97" s="7">
        <v>46071</v>
      </c>
      <c r="E97" s="7" t="s">
        <v>360</v>
      </c>
      <c r="F97" s="10" t="s">
        <v>359</v>
      </c>
      <c r="G97" s="36" t="s">
        <v>139</v>
      </c>
      <c r="H97" s="36"/>
      <c r="I97" s="36"/>
      <c r="J97" s="36" t="s">
        <v>139</v>
      </c>
      <c r="K97" s="36" t="s">
        <v>139</v>
      </c>
      <c r="L97" s="36"/>
      <c r="M97" s="36" t="s">
        <v>139</v>
      </c>
      <c r="N97" s="36"/>
      <c r="O97" s="116"/>
      <c r="P97" s="36"/>
      <c r="Q97" s="36" t="s">
        <v>139</v>
      </c>
      <c r="R97" s="36"/>
      <c r="S97" s="36"/>
      <c r="T97" s="36"/>
      <c r="U97" s="36"/>
      <c r="V97" s="36"/>
      <c r="W97" s="36"/>
      <c r="X97" s="36" t="s">
        <v>139</v>
      </c>
      <c r="Y97" s="36"/>
      <c r="Z97" s="36"/>
      <c r="AA97" s="36"/>
      <c r="AB97" s="36" t="s">
        <v>139</v>
      </c>
      <c r="AC97" s="116"/>
      <c r="AD97" s="36" t="s">
        <v>139</v>
      </c>
      <c r="AE97" s="116" t="s">
        <v>139</v>
      </c>
      <c r="AF97" s="36" t="s">
        <v>139</v>
      </c>
      <c r="AG97" s="36"/>
      <c r="AH97" s="116"/>
      <c r="AI97" s="36"/>
      <c r="AJ97" s="36"/>
      <c r="AK97" s="116"/>
      <c r="AL97" s="36"/>
      <c r="AM97" s="36" t="s">
        <v>139</v>
      </c>
      <c r="AN97" s="36"/>
      <c r="AO97" s="116"/>
      <c r="AP97" s="116"/>
      <c r="AQ97" s="116"/>
      <c r="AR97" s="116" t="s">
        <v>139</v>
      </c>
      <c r="AS97" s="116" t="s">
        <v>139</v>
      </c>
      <c r="AT97" s="116"/>
      <c r="AU97" s="116" t="s">
        <v>139</v>
      </c>
      <c r="AV97" s="116"/>
      <c r="AW97" s="116"/>
      <c r="AX97" s="116"/>
      <c r="AY97" s="118">
        <f t="shared" si="2"/>
        <v>14</v>
      </c>
      <c r="AZ97" s="118"/>
      <c r="BA97" s="118" t="s">
        <v>479</v>
      </c>
    </row>
    <row r="98" spans="1:53" x14ac:dyDescent="0.25">
      <c r="A98">
        <v>90</v>
      </c>
      <c r="B98">
        <v>1300</v>
      </c>
      <c r="C98">
        <v>99</v>
      </c>
      <c r="D98" s="7">
        <v>46072</v>
      </c>
      <c r="E98" s="7" t="s">
        <v>362</v>
      </c>
      <c r="F98" s="10" t="s">
        <v>361</v>
      </c>
      <c r="G98" s="36" t="s">
        <v>139</v>
      </c>
      <c r="H98" s="36" t="s">
        <v>139</v>
      </c>
      <c r="I98" s="36"/>
      <c r="J98" s="36" t="s">
        <v>139</v>
      </c>
      <c r="K98" s="36" t="s">
        <v>139</v>
      </c>
      <c r="L98" s="36"/>
      <c r="M98" s="36"/>
      <c r="N98" s="36"/>
      <c r="O98" s="116"/>
      <c r="P98" s="36" t="s">
        <v>139</v>
      </c>
      <c r="Q98" s="36"/>
      <c r="R98" s="36"/>
      <c r="S98" s="36"/>
      <c r="T98" s="36"/>
      <c r="U98" s="36" t="s">
        <v>139</v>
      </c>
      <c r="V98" s="36"/>
      <c r="W98" s="36" t="s">
        <v>139</v>
      </c>
      <c r="X98" s="36"/>
      <c r="Y98" s="36"/>
      <c r="Z98" s="36" t="s">
        <v>139</v>
      </c>
      <c r="AA98" s="36"/>
      <c r="AB98" s="36"/>
      <c r="AC98" s="116"/>
      <c r="AD98" s="36"/>
      <c r="AE98" s="116"/>
      <c r="AF98" s="36"/>
      <c r="AG98" s="36"/>
      <c r="AH98" s="116"/>
      <c r="AI98" s="36" t="s">
        <v>139</v>
      </c>
      <c r="AJ98" s="36" t="s">
        <v>139</v>
      </c>
      <c r="AK98" s="116"/>
      <c r="AL98" s="36"/>
      <c r="AM98" s="36"/>
      <c r="AN98" s="36"/>
      <c r="AO98" s="116" t="s">
        <v>139</v>
      </c>
      <c r="AP98" s="116"/>
      <c r="AQ98" s="116"/>
      <c r="AR98" s="116"/>
      <c r="AS98" s="116"/>
      <c r="AT98" s="116"/>
      <c r="AU98" s="116" t="s">
        <v>139</v>
      </c>
      <c r="AV98" s="116" t="s">
        <v>139</v>
      </c>
      <c r="AW98" s="116"/>
      <c r="AX98" s="116"/>
      <c r="AY98" s="118">
        <f t="shared" ref="AY98:AY129" si="3">COUNTIF($F98:$AX98, "I")</f>
        <v>13</v>
      </c>
      <c r="AZ98" s="118"/>
      <c r="BA98" s="118" t="s">
        <v>479</v>
      </c>
    </row>
    <row r="99" spans="1:53" x14ac:dyDescent="0.25">
      <c r="A99">
        <v>91</v>
      </c>
      <c r="B99">
        <v>1301</v>
      </c>
      <c r="C99">
        <v>100</v>
      </c>
      <c r="D99" s="7">
        <v>46072</v>
      </c>
      <c r="E99" s="7" t="s">
        <v>365</v>
      </c>
      <c r="F99" s="10" t="s">
        <v>364</v>
      </c>
      <c r="G99" s="36" t="s">
        <v>139</v>
      </c>
      <c r="H99" s="36"/>
      <c r="I99" s="36"/>
      <c r="J99" s="36" t="s">
        <v>139</v>
      </c>
      <c r="K99" s="36"/>
      <c r="L99" s="36"/>
      <c r="M99" s="36" t="s">
        <v>139</v>
      </c>
      <c r="N99" s="36"/>
      <c r="O99" s="116"/>
      <c r="P99" s="36"/>
      <c r="Q99" s="36" t="s">
        <v>139</v>
      </c>
      <c r="R99" s="36"/>
      <c r="S99" s="36"/>
      <c r="T99" s="36"/>
      <c r="U99" s="36" t="s">
        <v>139</v>
      </c>
      <c r="V99" s="36"/>
      <c r="W99" s="36" t="s">
        <v>139</v>
      </c>
      <c r="X99" s="36"/>
      <c r="Y99" s="36"/>
      <c r="Z99" s="36" t="s">
        <v>139</v>
      </c>
      <c r="AA99" s="36"/>
      <c r="AB99" s="36"/>
      <c r="AC99" s="116"/>
      <c r="AD99" s="36" t="s">
        <v>139</v>
      </c>
      <c r="AE99" s="116"/>
      <c r="AF99" s="36" t="s">
        <v>139</v>
      </c>
      <c r="AG99" s="36"/>
      <c r="AH99" s="116"/>
      <c r="AI99" s="36"/>
      <c r="AJ99" s="36" t="s">
        <v>139</v>
      </c>
      <c r="AK99" s="116"/>
      <c r="AL99" s="36"/>
      <c r="AM99" s="36"/>
      <c r="AN99" s="36"/>
      <c r="AO99" s="116"/>
      <c r="AP99" s="116" t="s">
        <v>139</v>
      </c>
      <c r="AQ99" s="116"/>
      <c r="AR99" s="116"/>
      <c r="AS99" s="116"/>
      <c r="AT99" s="116"/>
      <c r="AU99" s="116" t="s">
        <v>139</v>
      </c>
      <c r="AV99" s="116" t="s">
        <v>139</v>
      </c>
      <c r="AW99" s="116"/>
      <c r="AX99" s="116"/>
      <c r="AY99" s="118">
        <f t="shared" si="3"/>
        <v>13</v>
      </c>
      <c r="AZ99" s="118"/>
      <c r="BA99" s="118" t="s">
        <v>479</v>
      </c>
    </row>
    <row r="100" spans="1:53" x14ac:dyDescent="0.25">
      <c r="A100">
        <v>92</v>
      </c>
      <c r="B100">
        <v>1302</v>
      </c>
      <c r="C100">
        <v>101</v>
      </c>
      <c r="D100" s="7">
        <v>46073</v>
      </c>
      <c r="E100" s="7" t="s">
        <v>367</v>
      </c>
      <c r="F100" s="10" t="s">
        <v>366</v>
      </c>
      <c r="G100" s="36" t="s">
        <v>139</v>
      </c>
      <c r="H100" s="36"/>
      <c r="I100" s="36"/>
      <c r="J100" s="36" t="s">
        <v>139</v>
      </c>
      <c r="K100" s="36" t="s">
        <v>139</v>
      </c>
      <c r="L100" s="36"/>
      <c r="M100" s="36"/>
      <c r="N100" s="36"/>
      <c r="O100" s="116"/>
      <c r="P100" s="36" t="s">
        <v>139</v>
      </c>
      <c r="Q100" s="36"/>
      <c r="R100" s="36"/>
      <c r="S100" s="36"/>
      <c r="T100" s="36"/>
      <c r="U100" s="36" t="s">
        <v>139</v>
      </c>
      <c r="V100" s="36"/>
      <c r="W100" s="36" t="s">
        <v>139</v>
      </c>
      <c r="X100" s="36" t="s">
        <v>139</v>
      </c>
      <c r="Y100" s="36"/>
      <c r="Z100" s="36" t="s">
        <v>139</v>
      </c>
      <c r="AA100" s="36"/>
      <c r="AB100" s="36"/>
      <c r="AC100" s="116"/>
      <c r="AD100" s="36" t="s">
        <v>139</v>
      </c>
      <c r="AE100" s="116"/>
      <c r="AF100" s="36"/>
      <c r="AG100" s="36"/>
      <c r="AH100" s="116"/>
      <c r="AI100" s="36"/>
      <c r="AJ100" s="36" t="s">
        <v>139</v>
      </c>
      <c r="AK100" s="116"/>
      <c r="AL100" s="36"/>
      <c r="AM100" s="36"/>
      <c r="AN100" s="36"/>
      <c r="AO100" s="116" t="s">
        <v>139</v>
      </c>
      <c r="AP100" s="116" t="s">
        <v>139</v>
      </c>
      <c r="AQ100" s="116"/>
      <c r="AR100" s="116"/>
      <c r="AS100" s="116"/>
      <c r="AT100" s="116"/>
      <c r="AU100" s="116" t="s">
        <v>139</v>
      </c>
      <c r="AV100" s="116"/>
      <c r="AW100" s="116"/>
      <c r="AX100" s="116"/>
      <c r="AY100" s="118">
        <f t="shared" si="3"/>
        <v>13</v>
      </c>
      <c r="AZ100" s="118"/>
      <c r="BA100" s="118" t="s">
        <v>479</v>
      </c>
    </row>
    <row r="101" spans="1:53" x14ac:dyDescent="0.25">
      <c r="A101">
        <v>93</v>
      </c>
      <c r="B101">
        <v>1303</v>
      </c>
      <c r="C101">
        <v>102</v>
      </c>
      <c r="D101" s="7">
        <v>46073</v>
      </c>
      <c r="E101" s="7" t="s">
        <v>369</v>
      </c>
      <c r="F101" s="10" t="s">
        <v>368</v>
      </c>
      <c r="G101" s="36" t="s">
        <v>139</v>
      </c>
      <c r="H101" s="36"/>
      <c r="I101" s="36"/>
      <c r="J101" s="36" t="s">
        <v>139</v>
      </c>
      <c r="K101" s="36"/>
      <c r="L101" s="36"/>
      <c r="M101" s="36" t="s">
        <v>139</v>
      </c>
      <c r="N101" s="36" t="s">
        <v>139</v>
      </c>
      <c r="O101" s="116"/>
      <c r="P101" s="36" t="s">
        <v>139</v>
      </c>
      <c r="Q101" s="36" t="s">
        <v>139</v>
      </c>
      <c r="R101" s="36"/>
      <c r="S101" s="36"/>
      <c r="T101" s="36"/>
      <c r="U101" s="36" t="s">
        <v>139</v>
      </c>
      <c r="V101" s="36"/>
      <c r="W101" s="36" t="s">
        <v>139</v>
      </c>
      <c r="X101" s="36" t="s">
        <v>139</v>
      </c>
      <c r="Y101" s="36" t="s">
        <v>139</v>
      </c>
      <c r="Z101" s="36" t="s">
        <v>139</v>
      </c>
      <c r="AA101" s="36"/>
      <c r="AB101" s="36"/>
      <c r="AC101" s="116"/>
      <c r="AD101" s="36"/>
      <c r="AE101" s="116" t="s">
        <v>139</v>
      </c>
      <c r="AF101" s="36"/>
      <c r="AG101" s="36"/>
      <c r="AH101" s="116"/>
      <c r="AI101" s="36"/>
      <c r="AJ101" s="36"/>
      <c r="AK101" s="116"/>
      <c r="AL101" s="36"/>
      <c r="AM101" s="36"/>
      <c r="AN101" s="36"/>
      <c r="AO101" s="116" t="s">
        <v>139</v>
      </c>
      <c r="AP101" s="116"/>
      <c r="AQ101" s="116"/>
      <c r="AR101" s="116"/>
      <c r="AS101" s="116"/>
      <c r="AT101" s="116"/>
      <c r="AU101" s="116"/>
      <c r="AV101" s="116" t="s">
        <v>139</v>
      </c>
      <c r="AW101" s="116"/>
      <c r="AX101" s="116"/>
      <c r="AY101" s="118">
        <f t="shared" si="3"/>
        <v>14</v>
      </c>
      <c r="AZ101" s="118"/>
      <c r="BA101" s="118" t="s">
        <v>479</v>
      </c>
    </row>
    <row r="102" spans="1:53" x14ac:dyDescent="0.25">
      <c r="A102">
        <v>94</v>
      </c>
      <c r="B102">
        <v>1304</v>
      </c>
      <c r="C102">
        <v>103</v>
      </c>
      <c r="D102" s="7">
        <v>46074</v>
      </c>
      <c r="E102" s="7" t="s">
        <v>372</v>
      </c>
      <c r="F102" s="10" t="s">
        <v>371</v>
      </c>
      <c r="G102" s="36"/>
      <c r="H102" s="36"/>
      <c r="I102" s="36"/>
      <c r="J102" s="36" t="s">
        <v>139</v>
      </c>
      <c r="K102" s="36" t="s">
        <v>139</v>
      </c>
      <c r="L102" s="36"/>
      <c r="M102" s="36" t="s">
        <v>139</v>
      </c>
      <c r="N102" s="36" t="s">
        <v>139</v>
      </c>
      <c r="O102" s="116"/>
      <c r="P102" s="36"/>
      <c r="Q102" s="36" t="s">
        <v>139</v>
      </c>
      <c r="R102" s="36"/>
      <c r="S102" s="36"/>
      <c r="T102" s="36"/>
      <c r="U102" s="36" t="s">
        <v>139</v>
      </c>
      <c r="V102" s="36" t="s">
        <v>139</v>
      </c>
      <c r="W102" s="36"/>
      <c r="X102" s="36"/>
      <c r="Y102" s="36" t="s">
        <v>139</v>
      </c>
      <c r="Z102" s="36" t="s">
        <v>139</v>
      </c>
      <c r="AA102" s="36"/>
      <c r="AB102" s="36" t="s">
        <v>139</v>
      </c>
      <c r="AC102" s="116"/>
      <c r="AD102" s="36" t="s">
        <v>139</v>
      </c>
      <c r="AE102" s="116"/>
      <c r="AF102" s="36" t="s">
        <v>139</v>
      </c>
      <c r="AG102" s="36"/>
      <c r="AH102" s="116" t="s">
        <v>139</v>
      </c>
      <c r="AI102" s="36"/>
      <c r="AJ102" s="36"/>
      <c r="AK102" s="116" t="s">
        <v>139</v>
      </c>
      <c r="AL102" s="36"/>
      <c r="AM102" s="36"/>
      <c r="AN102" s="36"/>
      <c r="AO102" s="116"/>
      <c r="AP102" s="116"/>
      <c r="AQ102" s="116"/>
      <c r="AR102" s="116"/>
      <c r="AS102" s="116" t="s">
        <v>139</v>
      </c>
      <c r="AT102" s="116"/>
      <c r="AU102" s="116" t="s">
        <v>139</v>
      </c>
      <c r="AV102" s="116"/>
      <c r="AW102" s="116"/>
      <c r="AX102" s="116"/>
      <c r="AY102" s="118">
        <f t="shared" si="3"/>
        <v>16</v>
      </c>
      <c r="AZ102" s="118"/>
      <c r="BA102" s="118" t="s">
        <v>479</v>
      </c>
    </row>
    <row r="103" spans="1:53" x14ac:dyDescent="0.25">
      <c r="A103">
        <v>95</v>
      </c>
      <c r="B103">
        <v>1305</v>
      </c>
      <c r="C103">
        <v>104</v>
      </c>
      <c r="D103" s="7">
        <v>46075</v>
      </c>
      <c r="E103" s="7" t="s">
        <v>375</v>
      </c>
      <c r="F103" s="10" t="s">
        <v>374</v>
      </c>
      <c r="G103" s="36"/>
      <c r="H103" s="36"/>
      <c r="I103" s="36" t="s">
        <v>139</v>
      </c>
      <c r="J103" s="36" t="s">
        <v>139</v>
      </c>
      <c r="K103" s="36"/>
      <c r="L103" s="36"/>
      <c r="M103" s="36" t="s">
        <v>139</v>
      </c>
      <c r="N103" s="36" t="s">
        <v>139</v>
      </c>
      <c r="O103" s="116"/>
      <c r="P103" s="36" t="s">
        <v>139</v>
      </c>
      <c r="Q103" s="36" t="s">
        <v>139</v>
      </c>
      <c r="R103" s="36"/>
      <c r="S103" s="36"/>
      <c r="T103" s="36" t="s">
        <v>139</v>
      </c>
      <c r="U103" s="36"/>
      <c r="V103" s="36" t="s">
        <v>139</v>
      </c>
      <c r="W103" s="36"/>
      <c r="X103" s="36" t="s">
        <v>139</v>
      </c>
      <c r="Y103" s="36" t="s">
        <v>139</v>
      </c>
      <c r="Z103" s="36"/>
      <c r="AA103" s="36"/>
      <c r="AB103" s="36" t="s">
        <v>139</v>
      </c>
      <c r="AC103" s="116" t="s">
        <v>139</v>
      </c>
      <c r="AD103" s="36"/>
      <c r="AE103" s="116" t="s">
        <v>139</v>
      </c>
      <c r="AF103" s="36"/>
      <c r="AG103" s="36"/>
      <c r="AH103" s="116" t="s">
        <v>139</v>
      </c>
      <c r="AI103" s="36"/>
      <c r="AJ103" s="36"/>
      <c r="AK103" s="116"/>
      <c r="AL103" s="36"/>
      <c r="AM103" s="36" t="s">
        <v>139</v>
      </c>
      <c r="AN103" s="36"/>
      <c r="AO103" s="116" t="s">
        <v>139</v>
      </c>
      <c r="AP103" s="116"/>
      <c r="AQ103" s="116"/>
      <c r="AR103" s="116" t="s">
        <v>139</v>
      </c>
      <c r="AS103" s="116" t="s">
        <v>139</v>
      </c>
      <c r="AT103" s="116"/>
      <c r="AU103" s="116"/>
      <c r="AV103" s="116"/>
      <c r="AW103" s="116"/>
      <c r="AX103" s="116"/>
      <c r="AY103" s="118">
        <f t="shared" si="3"/>
        <v>18</v>
      </c>
      <c r="AZ103" s="118"/>
      <c r="BA103" s="118" t="s">
        <v>479</v>
      </c>
    </row>
    <row r="104" spans="1:53" x14ac:dyDescent="0.25">
      <c r="A104">
        <v>96</v>
      </c>
      <c r="B104">
        <v>1306</v>
      </c>
      <c r="C104">
        <v>105</v>
      </c>
      <c r="D104" s="7">
        <v>46075</v>
      </c>
      <c r="E104" s="7" t="s">
        <v>377</v>
      </c>
      <c r="F104" s="10" t="s">
        <v>376</v>
      </c>
      <c r="G104" s="36"/>
      <c r="H104" s="36"/>
      <c r="I104" s="36"/>
      <c r="J104" s="36" t="s">
        <v>139</v>
      </c>
      <c r="K104" s="36" t="s">
        <v>139</v>
      </c>
      <c r="L104" s="36"/>
      <c r="M104" s="36"/>
      <c r="N104" s="36"/>
      <c r="O104" s="116"/>
      <c r="P104" s="36" t="s">
        <v>139</v>
      </c>
      <c r="Q104" s="36"/>
      <c r="R104" s="36"/>
      <c r="S104" s="36"/>
      <c r="T104" s="36"/>
      <c r="U104" s="36"/>
      <c r="V104" s="36"/>
      <c r="W104" s="36" t="s">
        <v>139</v>
      </c>
      <c r="X104" s="36" t="s">
        <v>139</v>
      </c>
      <c r="Y104" s="36" t="s">
        <v>139</v>
      </c>
      <c r="Z104" s="36" t="s">
        <v>139</v>
      </c>
      <c r="AA104" s="36"/>
      <c r="AB104" s="36" t="s">
        <v>139</v>
      </c>
      <c r="AC104" s="116" t="s">
        <v>139</v>
      </c>
      <c r="AD104" s="36"/>
      <c r="AE104" s="116"/>
      <c r="AF104" s="36"/>
      <c r="AG104" s="36"/>
      <c r="AH104" s="116"/>
      <c r="AI104" s="36"/>
      <c r="AJ104" s="36"/>
      <c r="AK104" s="116" t="s">
        <v>139</v>
      </c>
      <c r="AL104" s="36"/>
      <c r="AM104" s="36"/>
      <c r="AN104" s="36"/>
      <c r="AO104" s="116" t="s">
        <v>139</v>
      </c>
      <c r="AP104" s="116"/>
      <c r="AQ104" s="116"/>
      <c r="AR104" s="116" t="s">
        <v>139</v>
      </c>
      <c r="AS104" s="116" t="s">
        <v>139</v>
      </c>
      <c r="AT104" s="116"/>
      <c r="AU104" s="116" t="s">
        <v>139</v>
      </c>
      <c r="AV104" s="116"/>
      <c r="AW104" s="116"/>
      <c r="AX104" s="116"/>
      <c r="AY104" s="118">
        <f t="shared" si="3"/>
        <v>14</v>
      </c>
      <c r="AZ104" s="118"/>
      <c r="BA104" s="118" t="s">
        <v>479</v>
      </c>
    </row>
    <row r="105" spans="1:53" x14ac:dyDescent="0.25">
      <c r="A105">
        <v>97</v>
      </c>
      <c r="B105">
        <v>1307</v>
      </c>
      <c r="C105">
        <v>106</v>
      </c>
      <c r="D105" s="7">
        <v>46075</v>
      </c>
      <c r="E105" s="7" t="s">
        <v>380</v>
      </c>
      <c r="F105" s="10" t="s">
        <v>378</v>
      </c>
      <c r="G105" s="36"/>
      <c r="H105" s="36" t="s">
        <v>139</v>
      </c>
      <c r="I105" s="36"/>
      <c r="J105" s="36" t="s">
        <v>139</v>
      </c>
      <c r="K105" s="36" t="s">
        <v>139</v>
      </c>
      <c r="L105" s="36"/>
      <c r="M105" s="36"/>
      <c r="N105" s="36"/>
      <c r="O105" s="116"/>
      <c r="P105" s="36" t="s">
        <v>139</v>
      </c>
      <c r="Q105" s="36"/>
      <c r="R105" s="36"/>
      <c r="S105" s="36"/>
      <c r="T105" s="36"/>
      <c r="U105" s="36"/>
      <c r="V105" s="36"/>
      <c r="W105" s="36" t="s">
        <v>139</v>
      </c>
      <c r="X105" s="36" t="s">
        <v>139</v>
      </c>
      <c r="Y105" s="36" t="s">
        <v>139</v>
      </c>
      <c r="Z105" s="36" t="s">
        <v>139</v>
      </c>
      <c r="AA105" s="36"/>
      <c r="AB105" s="36" t="s">
        <v>139</v>
      </c>
      <c r="AC105" s="116" t="s">
        <v>139</v>
      </c>
      <c r="AD105" s="36"/>
      <c r="AE105" s="116"/>
      <c r="AF105" s="36"/>
      <c r="AG105" s="36"/>
      <c r="AH105" s="116"/>
      <c r="AI105" s="36"/>
      <c r="AJ105" s="36"/>
      <c r="AK105" s="116" t="s">
        <v>139</v>
      </c>
      <c r="AL105" s="36"/>
      <c r="AM105" s="36"/>
      <c r="AN105" s="36"/>
      <c r="AO105" s="116" t="s">
        <v>139</v>
      </c>
      <c r="AP105" s="116"/>
      <c r="AQ105" s="116"/>
      <c r="AR105" s="116" t="s">
        <v>139</v>
      </c>
      <c r="AS105" s="116" t="s">
        <v>139</v>
      </c>
      <c r="AT105" s="116"/>
      <c r="AU105" s="116" t="s">
        <v>139</v>
      </c>
      <c r="AV105" s="116"/>
      <c r="AW105" s="116"/>
      <c r="AX105" s="116"/>
      <c r="AY105" s="118">
        <f t="shared" si="3"/>
        <v>15</v>
      </c>
      <c r="AZ105" s="118"/>
      <c r="BA105" s="118" t="s">
        <v>479</v>
      </c>
    </row>
    <row r="106" spans="1:53" x14ac:dyDescent="0.25">
      <c r="A106">
        <v>98</v>
      </c>
      <c r="B106">
        <v>1308</v>
      </c>
      <c r="C106">
        <v>107</v>
      </c>
      <c r="D106" s="7">
        <v>46076</v>
      </c>
      <c r="E106" s="7" t="s">
        <v>382</v>
      </c>
      <c r="F106" s="10" t="s">
        <v>381</v>
      </c>
      <c r="G106" s="36"/>
      <c r="H106" s="36"/>
      <c r="I106" s="36"/>
      <c r="J106" s="36" t="s">
        <v>139</v>
      </c>
      <c r="K106" s="36"/>
      <c r="L106" s="36"/>
      <c r="M106" s="36" t="s">
        <v>139</v>
      </c>
      <c r="N106" s="36" t="s">
        <v>139</v>
      </c>
      <c r="O106" s="116"/>
      <c r="P106" s="36"/>
      <c r="Q106" s="36" t="s">
        <v>139</v>
      </c>
      <c r="R106" s="36"/>
      <c r="S106" s="36"/>
      <c r="T106" s="36"/>
      <c r="U106" s="36" t="s">
        <v>139</v>
      </c>
      <c r="V106" s="36"/>
      <c r="W106" s="36"/>
      <c r="X106" s="36" t="s">
        <v>139</v>
      </c>
      <c r="Y106" s="36" t="s">
        <v>139</v>
      </c>
      <c r="Z106" s="36" t="s">
        <v>139</v>
      </c>
      <c r="AA106" s="36"/>
      <c r="AB106" s="36"/>
      <c r="AC106" s="116" t="s">
        <v>139</v>
      </c>
      <c r="AD106" s="36"/>
      <c r="AE106" s="116"/>
      <c r="AF106" s="36"/>
      <c r="AG106" s="36"/>
      <c r="AH106" s="116"/>
      <c r="AI106" s="36"/>
      <c r="AJ106" s="36"/>
      <c r="AK106" s="116" t="s">
        <v>139</v>
      </c>
      <c r="AL106" s="36"/>
      <c r="AM106" s="36" t="s">
        <v>139</v>
      </c>
      <c r="AN106" s="36"/>
      <c r="AO106" s="116" t="s">
        <v>139</v>
      </c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8">
        <f t="shared" si="3"/>
        <v>12</v>
      </c>
      <c r="AZ106" s="118"/>
      <c r="BA106" s="118" t="s">
        <v>479</v>
      </c>
    </row>
    <row r="107" spans="1:53" x14ac:dyDescent="0.25">
      <c r="A107">
        <v>99</v>
      </c>
      <c r="B107">
        <v>1309</v>
      </c>
      <c r="C107">
        <v>108</v>
      </c>
      <c r="D107" s="7">
        <v>46076</v>
      </c>
      <c r="E107" s="7" t="s">
        <v>384</v>
      </c>
      <c r="F107" s="10" t="s">
        <v>383</v>
      </c>
      <c r="G107" s="36" t="s">
        <v>139</v>
      </c>
      <c r="H107" s="36" t="s">
        <v>139</v>
      </c>
      <c r="I107" s="36"/>
      <c r="J107" s="36" t="s">
        <v>139</v>
      </c>
      <c r="K107" s="36"/>
      <c r="L107" s="36" t="s">
        <v>139</v>
      </c>
      <c r="M107" s="36" t="s">
        <v>139</v>
      </c>
      <c r="N107" s="36"/>
      <c r="O107" s="116"/>
      <c r="P107" s="36" t="s">
        <v>139</v>
      </c>
      <c r="Q107" s="36" t="s">
        <v>139</v>
      </c>
      <c r="R107" s="36"/>
      <c r="S107" s="36"/>
      <c r="T107" s="36"/>
      <c r="U107" s="36" t="s">
        <v>139</v>
      </c>
      <c r="V107" s="36"/>
      <c r="W107" s="36" t="s">
        <v>139</v>
      </c>
      <c r="X107" s="36" t="s">
        <v>139</v>
      </c>
      <c r="Y107" s="36" t="s">
        <v>139</v>
      </c>
      <c r="Z107" s="36" t="s">
        <v>139</v>
      </c>
      <c r="AA107" s="36"/>
      <c r="AB107" s="36" t="s">
        <v>139</v>
      </c>
      <c r="AC107" s="116" t="s">
        <v>139</v>
      </c>
      <c r="AD107" s="36"/>
      <c r="AE107" s="116"/>
      <c r="AF107" s="36"/>
      <c r="AG107" s="36"/>
      <c r="AH107" s="116"/>
      <c r="AI107" s="36"/>
      <c r="AJ107" s="36" t="s">
        <v>139</v>
      </c>
      <c r="AK107" s="116"/>
      <c r="AL107" s="36" t="s">
        <v>139</v>
      </c>
      <c r="AM107" s="36" t="s">
        <v>139</v>
      </c>
      <c r="AN107" s="36"/>
      <c r="AO107" s="116"/>
      <c r="AP107" s="116" t="s">
        <v>139</v>
      </c>
      <c r="AQ107" s="116"/>
      <c r="AR107" s="116"/>
      <c r="AS107" s="116"/>
      <c r="AT107" s="116"/>
      <c r="AU107" s="116" t="s">
        <v>139</v>
      </c>
      <c r="AV107" s="116"/>
      <c r="AW107" s="116"/>
      <c r="AX107" s="116"/>
      <c r="AY107" s="118">
        <f t="shared" si="3"/>
        <v>19</v>
      </c>
      <c r="AZ107" s="118"/>
      <c r="BA107" s="118" t="s">
        <v>479</v>
      </c>
    </row>
    <row r="108" spans="1:53" x14ac:dyDescent="0.25">
      <c r="A108" t="s">
        <v>58</v>
      </c>
      <c r="B108" t="s">
        <v>58</v>
      </c>
      <c r="C108">
        <v>109</v>
      </c>
      <c r="D108" s="7">
        <v>46076</v>
      </c>
      <c r="E108" s="7" t="s">
        <v>469</v>
      </c>
      <c r="F108" s="10" t="s">
        <v>470</v>
      </c>
      <c r="G108" s="36" t="s">
        <v>139</v>
      </c>
      <c r="H108" s="36" t="s">
        <v>139</v>
      </c>
      <c r="I108" s="36" t="s">
        <v>139</v>
      </c>
      <c r="J108" s="36" t="s">
        <v>139</v>
      </c>
      <c r="K108" s="36" t="s">
        <v>139</v>
      </c>
      <c r="L108" s="36" t="s">
        <v>139</v>
      </c>
      <c r="M108" s="36" t="s">
        <v>139</v>
      </c>
      <c r="N108" s="36" t="s">
        <v>139</v>
      </c>
      <c r="O108" s="116" t="s">
        <v>471</v>
      </c>
      <c r="P108" s="36" t="s">
        <v>139</v>
      </c>
      <c r="Q108" s="36" t="s">
        <v>139</v>
      </c>
      <c r="R108" s="36" t="s">
        <v>471</v>
      </c>
      <c r="S108" s="36" t="s">
        <v>471</v>
      </c>
      <c r="T108" s="36" t="s">
        <v>471</v>
      </c>
      <c r="U108" s="36" t="s">
        <v>139</v>
      </c>
      <c r="V108" s="36" t="s">
        <v>139</v>
      </c>
      <c r="W108" s="36" t="s">
        <v>139</v>
      </c>
      <c r="X108" s="36" t="s">
        <v>139</v>
      </c>
      <c r="Y108" s="36" t="s">
        <v>139</v>
      </c>
      <c r="Z108" s="36" t="s">
        <v>139</v>
      </c>
      <c r="AA108" s="36"/>
      <c r="AB108" s="36" t="s">
        <v>139</v>
      </c>
      <c r="AC108" s="116" t="s">
        <v>139</v>
      </c>
      <c r="AD108" s="36" t="s">
        <v>471</v>
      </c>
      <c r="AE108" s="116" t="s">
        <v>471</v>
      </c>
      <c r="AF108" s="36" t="s">
        <v>471</v>
      </c>
      <c r="AG108" s="36" t="s">
        <v>139</v>
      </c>
      <c r="AH108" s="116" t="s">
        <v>471</v>
      </c>
      <c r="AI108" s="36" t="s">
        <v>471</v>
      </c>
      <c r="AJ108" s="36" t="s">
        <v>471</v>
      </c>
      <c r="AK108" s="116" t="s">
        <v>139</v>
      </c>
      <c r="AL108" s="36" t="s">
        <v>139</v>
      </c>
      <c r="AM108" s="36" t="s">
        <v>139</v>
      </c>
      <c r="AN108" s="36" t="s">
        <v>139</v>
      </c>
      <c r="AO108" s="116" t="s">
        <v>139</v>
      </c>
      <c r="AP108" s="116"/>
      <c r="AQ108" s="116" t="s">
        <v>471</v>
      </c>
      <c r="AR108" s="116" t="s">
        <v>471</v>
      </c>
      <c r="AS108" s="116" t="s">
        <v>139</v>
      </c>
      <c r="AT108" s="116" t="s">
        <v>471</v>
      </c>
      <c r="AU108" s="116" t="s">
        <v>139</v>
      </c>
      <c r="AV108" s="116" t="s">
        <v>139</v>
      </c>
      <c r="AW108" s="116" t="s">
        <v>471</v>
      </c>
      <c r="AX108" s="116" t="s">
        <v>472</v>
      </c>
      <c r="AY108" s="118">
        <f t="shared" si="3"/>
        <v>27</v>
      </c>
      <c r="AZ108" s="118"/>
      <c r="BA108" s="118" t="s">
        <v>479</v>
      </c>
    </row>
    <row r="109" spans="1:53" x14ac:dyDescent="0.25">
      <c r="A109">
        <v>100</v>
      </c>
      <c r="B109">
        <v>1310</v>
      </c>
      <c r="C109">
        <v>110</v>
      </c>
      <c r="D109" s="7">
        <v>46080</v>
      </c>
      <c r="E109" s="7" t="s">
        <v>387</v>
      </c>
      <c r="F109" s="10" t="s">
        <v>385</v>
      </c>
      <c r="G109" s="36" t="s">
        <v>139</v>
      </c>
      <c r="H109" s="36" t="s">
        <v>139</v>
      </c>
      <c r="I109" s="36"/>
      <c r="J109" s="36" t="s">
        <v>139</v>
      </c>
      <c r="K109" s="36"/>
      <c r="L109" s="36" t="s">
        <v>139</v>
      </c>
      <c r="M109" s="36"/>
      <c r="N109" s="36"/>
      <c r="O109" s="116"/>
      <c r="P109" s="36" t="s">
        <v>139</v>
      </c>
      <c r="Q109" s="36"/>
      <c r="R109" s="36"/>
      <c r="S109" s="36" t="s">
        <v>139</v>
      </c>
      <c r="T109" s="36"/>
      <c r="U109" s="36"/>
      <c r="V109" s="36"/>
      <c r="W109" s="36" t="s">
        <v>139</v>
      </c>
      <c r="X109" s="36"/>
      <c r="Y109" s="36" t="s">
        <v>139</v>
      </c>
      <c r="Z109" s="36"/>
      <c r="AA109" s="36"/>
      <c r="AB109" s="36"/>
      <c r="AC109" s="116"/>
      <c r="AD109" s="36"/>
      <c r="AE109" s="116"/>
      <c r="AF109" s="36"/>
      <c r="AG109" s="36"/>
      <c r="AH109" s="116"/>
      <c r="AI109" s="36"/>
      <c r="AJ109" s="36"/>
      <c r="AK109" s="116"/>
      <c r="AL109" s="36"/>
      <c r="AM109" s="36"/>
      <c r="AN109" s="36"/>
      <c r="AO109" s="116" t="s">
        <v>139</v>
      </c>
      <c r="AP109" s="116" t="s">
        <v>139</v>
      </c>
      <c r="AQ109" s="116"/>
      <c r="AR109" s="116"/>
      <c r="AS109" s="116"/>
      <c r="AT109" s="116"/>
      <c r="AU109" s="116" t="s">
        <v>139</v>
      </c>
      <c r="AV109" s="116"/>
      <c r="AW109" s="116"/>
      <c r="AX109" s="116"/>
      <c r="AY109" s="118">
        <f t="shared" si="3"/>
        <v>11</v>
      </c>
      <c r="AZ109" s="118"/>
      <c r="BA109" s="118" t="s">
        <v>479</v>
      </c>
    </row>
    <row r="110" spans="1:53" x14ac:dyDescent="0.25">
      <c r="A110">
        <v>101</v>
      </c>
      <c r="B110">
        <v>1311</v>
      </c>
      <c r="C110">
        <v>111</v>
      </c>
      <c r="D110" s="7">
        <v>46080</v>
      </c>
      <c r="E110" s="7" t="s">
        <v>391</v>
      </c>
      <c r="F110" s="10" t="s">
        <v>389</v>
      </c>
      <c r="G110" s="36" t="s">
        <v>139</v>
      </c>
      <c r="H110" s="36"/>
      <c r="I110" s="36"/>
      <c r="J110" s="36"/>
      <c r="K110" s="36"/>
      <c r="L110" s="36" t="s">
        <v>139</v>
      </c>
      <c r="M110" s="36"/>
      <c r="N110" s="36"/>
      <c r="O110" s="116"/>
      <c r="P110" s="36" t="s">
        <v>139</v>
      </c>
      <c r="Q110" s="36"/>
      <c r="R110" s="36"/>
      <c r="S110" s="36" t="s">
        <v>139</v>
      </c>
      <c r="T110" s="36"/>
      <c r="U110" s="36"/>
      <c r="V110" s="36"/>
      <c r="W110" s="36" t="s">
        <v>139</v>
      </c>
      <c r="X110" s="36"/>
      <c r="Y110" s="36" t="s">
        <v>139</v>
      </c>
      <c r="Z110" s="36"/>
      <c r="AA110" s="36"/>
      <c r="AB110" s="36"/>
      <c r="AC110" s="116"/>
      <c r="AD110" s="36"/>
      <c r="AE110" s="116"/>
      <c r="AF110" s="36"/>
      <c r="AG110" s="36"/>
      <c r="AH110" s="116"/>
      <c r="AI110" s="36"/>
      <c r="AJ110" s="36"/>
      <c r="AK110" s="116"/>
      <c r="AL110" s="36"/>
      <c r="AM110" s="36"/>
      <c r="AN110" s="36"/>
      <c r="AO110" s="116" t="s">
        <v>139</v>
      </c>
      <c r="AP110" s="116" t="s">
        <v>139</v>
      </c>
      <c r="AQ110" s="116"/>
      <c r="AR110" s="116"/>
      <c r="AS110" s="116"/>
      <c r="AT110" s="116"/>
      <c r="AU110" s="116" t="s">
        <v>139</v>
      </c>
      <c r="AV110" s="116" t="s">
        <v>139</v>
      </c>
      <c r="AW110" s="116"/>
      <c r="AX110" s="116"/>
      <c r="AY110" s="118">
        <f t="shared" si="3"/>
        <v>10</v>
      </c>
      <c r="AZ110" s="118"/>
      <c r="BA110" s="118" t="s">
        <v>479</v>
      </c>
    </row>
    <row r="111" spans="1:53" x14ac:dyDescent="0.25">
      <c r="A111">
        <v>102</v>
      </c>
      <c r="B111">
        <v>1312</v>
      </c>
      <c r="C111">
        <v>112</v>
      </c>
      <c r="D111" s="7">
        <v>46080</v>
      </c>
      <c r="E111" s="7" t="s">
        <v>393</v>
      </c>
      <c r="F111" s="10" t="s">
        <v>392</v>
      </c>
      <c r="G111" s="36" t="s">
        <v>139</v>
      </c>
      <c r="H111" s="36" t="s">
        <v>139</v>
      </c>
      <c r="I111" s="36"/>
      <c r="J111" s="36" t="s">
        <v>139</v>
      </c>
      <c r="K111" s="36"/>
      <c r="L111" s="36"/>
      <c r="M111" s="36" t="s">
        <v>139</v>
      </c>
      <c r="N111" s="36"/>
      <c r="O111" s="116"/>
      <c r="P111" s="36" t="s">
        <v>139</v>
      </c>
      <c r="Q111" s="36" t="s">
        <v>139</v>
      </c>
      <c r="R111" s="36"/>
      <c r="S111" s="36" t="s">
        <v>139</v>
      </c>
      <c r="T111" s="36"/>
      <c r="U111" s="36"/>
      <c r="V111" s="36"/>
      <c r="W111" s="36"/>
      <c r="X111" s="36"/>
      <c r="Y111" s="36" t="s">
        <v>139</v>
      </c>
      <c r="Z111" s="36" t="s">
        <v>139</v>
      </c>
      <c r="AA111" s="36"/>
      <c r="AB111" s="36"/>
      <c r="AC111" s="116"/>
      <c r="AD111" s="36"/>
      <c r="AE111" s="116"/>
      <c r="AF111" s="36"/>
      <c r="AG111" s="36"/>
      <c r="AH111" s="116"/>
      <c r="AI111" s="36"/>
      <c r="AJ111" s="36"/>
      <c r="AK111" s="116"/>
      <c r="AL111" s="36"/>
      <c r="AM111" s="36"/>
      <c r="AN111" s="36"/>
      <c r="AO111" s="116" t="s">
        <v>139</v>
      </c>
      <c r="AP111" s="116"/>
      <c r="AQ111" s="116"/>
      <c r="AR111" s="116"/>
      <c r="AS111" s="116"/>
      <c r="AT111" s="116"/>
      <c r="AU111" s="116" t="s">
        <v>139</v>
      </c>
      <c r="AV111" s="116" t="s">
        <v>139</v>
      </c>
      <c r="AW111" s="116"/>
      <c r="AX111" s="116"/>
      <c r="AY111" s="118">
        <f t="shared" si="3"/>
        <v>12</v>
      </c>
      <c r="AZ111" s="118"/>
      <c r="BA111" s="118" t="s">
        <v>479</v>
      </c>
    </row>
    <row r="112" spans="1:53" x14ac:dyDescent="0.25">
      <c r="A112">
        <v>103</v>
      </c>
      <c r="B112">
        <v>1313</v>
      </c>
      <c r="C112">
        <v>113</v>
      </c>
      <c r="D112" s="7">
        <v>46080</v>
      </c>
      <c r="E112" s="7" t="s">
        <v>395</v>
      </c>
      <c r="F112" s="10" t="s">
        <v>394</v>
      </c>
      <c r="G112" s="36" t="s">
        <v>139</v>
      </c>
      <c r="H112" s="36" t="s">
        <v>139</v>
      </c>
      <c r="I112" s="36"/>
      <c r="J112" s="36" t="s">
        <v>139</v>
      </c>
      <c r="K112" s="36"/>
      <c r="L112" s="36"/>
      <c r="M112" s="36" t="s">
        <v>139</v>
      </c>
      <c r="N112" s="36"/>
      <c r="O112" s="116"/>
      <c r="P112" s="36" t="s">
        <v>139</v>
      </c>
      <c r="Q112" s="36" t="s">
        <v>139</v>
      </c>
      <c r="R112" s="36"/>
      <c r="S112" s="36" t="s">
        <v>139</v>
      </c>
      <c r="T112" s="36"/>
      <c r="U112" s="36"/>
      <c r="V112" s="36"/>
      <c r="W112" s="36"/>
      <c r="X112" s="36"/>
      <c r="Y112" s="36" t="s">
        <v>139</v>
      </c>
      <c r="Z112" s="36" t="s">
        <v>139</v>
      </c>
      <c r="AA112" s="36"/>
      <c r="AB112" s="36"/>
      <c r="AC112" s="116"/>
      <c r="AD112" s="36"/>
      <c r="AE112" s="116"/>
      <c r="AF112" s="36"/>
      <c r="AG112" s="36"/>
      <c r="AH112" s="116"/>
      <c r="AI112" s="36"/>
      <c r="AJ112" s="36"/>
      <c r="AK112" s="116"/>
      <c r="AL112" s="36"/>
      <c r="AM112" s="36"/>
      <c r="AN112" s="36"/>
      <c r="AO112" s="116" t="s">
        <v>139</v>
      </c>
      <c r="AP112" s="116"/>
      <c r="AQ112" s="116"/>
      <c r="AR112" s="116"/>
      <c r="AS112" s="116"/>
      <c r="AT112" s="116"/>
      <c r="AU112" s="116" t="s">
        <v>139</v>
      </c>
      <c r="AV112" s="116" t="s">
        <v>139</v>
      </c>
      <c r="AW112" s="116"/>
      <c r="AX112" s="116"/>
      <c r="AY112" s="118">
        <f t="shared" si="3"/>
        <v>12</v>
      </c>
      <c r="AZ112" s="118"/>
      <c r="BA112" s="118" t="s">
        <v>479</v>
      </c>
    </row>
    <row r="113" spans="1:53" x14ac:dyDescent="0.25">
      <c r="A113">
        <v>104</v>
      </c>
      <c r="B113">
        <v>1314</v>
      </c>
      <c r="C113">
        <v>114</v>
      </c>
      <c r="D113" s="7">
        <v>46080</v>
      </c>
      <c r="E113" s="7" t="s">
        <v>397</v>
      </c>
      <c r="F113" s="10" t="s">
        <v>396</v>
      </c>
      <c r="G113" s="36" t="s">
        <v>139</v>
      </c>
      <c r="H113" s="36"/>
      <c r="I113" s="36" t="s">
        <v>139</v>
      </c>
      <c r="J113" s="36"/>
      <c r="K113" s="36"/>
      <c r="L113" s="36"/>
      <c r="M113" s="36"/>
      <c r="N113" s="36" t="s">
        <v>139</v>
      </c>
      <c r="O113" s="116"/>
      <c r="P113" s="36" t="s">
        <v>139</v>
      </c>
      <c r="Q113" s="36"/>
      <c r="R113" s="36"/>
      <c r="S113" s="36"/>
      <c r="T113" s="36"/>
      <c r="U113" s="36"/>
      <c r="V113" s="36"/>
      <c r="W113" s="36"/>
      <c r="X113" s="36"/>
      <c r="Y113" s="36"/>
      <c r="Z113" s="36" t="s">
        <v>139</v>
      </c>
      <c r="AA113" s="36"/>
      <c r="AB113" s="36" t="s">
        <v>139</v>
      </c>
      <c r="AC113" s="116" t="s">
        <v>139</v>
      </c>
      <c r="AD113" s="36"/>
      <c r="AE113" s="116" t="s">
        <v>139</v>
      </c>
      <c r="AF113" s="36"/>
      <c r="AG113" s="36"/>
      <c r="AH113" s="116"/>
      <c r="AI113" s="36"/>
      <c r="AJ113" s="36"/>
      <c r="AK113" s="116"/>
      <c r="AL113" s="36"/>
      <c r="AM113" s="36"/>
      <c r="AN113" s="36"/>
      <c r="AO113" s="116"/>
      <c r="AP113" s="116"/>
      <c r="AQ113" s="116"/>
      <c r="AR113" s="116"/>
      <c r="AS113" s="116"/>
      <c r="AT113" s="116"/>
      <c r="AU113" s="116" t="s">
        <v>139</v>
      </c>
      <c r="AV113" s="116" t="s">
        <v>139</v>
      </c>
      <c r="AW113" s="116" t="s">
        <v>139</v>
      </c>
      <c r="AX113" s="116"/>
      <c r="AY113" s="118">
        <f t="shared" si="3"/>
        <v>11</v>
      </c>
      <c r="AZ113" s="118"/>
      <c r="BA113" s="118" t="s">
        <v>479</v>
      </c>
    </row>
    <row r="114" spans="1:53" x14ac:dyDescent="0.25">
      <c r="A114">
        <v>105</v>
      </c>
      <c r="B114">
        <v>1315</v>
      </c>
      <c r="C114">
        <v>115</v>
      </c>
      <c r="D114" s="7">
        <v>46082</v>
      </c>
      <c r="E114" s="7" t="s">
        <v>399</v>
      </c>
      <c r="F114" s="10" t="s">
        <v>398</v>
      </c>
      <c r="G114" s="36" t="s">
        <v>139</v>
      </c>
      <c r="H114" s="36"/>
      <c r="I114" s="36" t="s">
        <v>139</v>
      </c>
      <c r="J114" s="36"/>
      <c r="K114" s="36"/>
      <c r="L114" s="36"/>
      <c r="M114" s="36"/>
      <c r="N114" s="36" t="s">
        <v>139</v>
      </c>
      <c r="O114" s="116"/>
      <c r="P114" s="36"/>
      <c r="Q114" s="36"/>
      <c r="R114" s="36"/>
      <c r="S114" s="36"/>
      <c r="T114" s="36"/>
      <c r="U114" s="36"/>
      <c r="V114" s="36" t="s">
        <v>139</v>
      </c>
      <c r="W114" s="36"/>
      <c r="X114" s="36" t="s">
        <v>139</v>
      </c>
      <c r="Y114" s="36"/>
      <c r="Z114" s="36"/>
      <c r="AA114" s="36"/>
      <c r="AB114" s="36" t="s">
        <v>139</v>
      </c>
      <c r="AC114" s="116"/>
      <c r="AD114" s="36"/>
      <c r="AE114" s="116" t="s">
        <v>139</v>
      </c>
      <c r="AF114" s="36"/>
      <c r="AG114" s="36"/>
      <c r="AH114" s="116" t="s">
        <v>139</v>
      </c>
      <c r="AI114" s="36"/>
      <c r="AJ114" s="36"/>
      <c r="AK114" s="116" t="s">
        <v>139</v>
      </c>
      <c r="AL114" s="36"/>
      <c r="AM114" s="36"/>
      <c r="AN114" s="36"/>
      <c r="AO114" s="116"/>
      <c r="AP114" s="116"/>
      <c r="AQ114" s="116"/>
      <c r="AR114" s="116" t="s">
        <v>139</v>
      </c>
      <c r="AS114" s="116" t="s">
        <v>139</v>
      </c>
      <c r="AT114" s="116"/>
      <c r="AU114" s="116"/>
      <c r="AV114" s="116" t="s">
        <v>139</v>
      </c>
      <c r="AW114" s="116"/>
      <c r="AX114" s="116"/>
      <c r="AY114" s="118">
        <f t="shared" si="3"/>
        <v>12</v>
      </c>
      <c r="AZ114" s="118"/>
      <c r="BA114" s="118" t="s">
        <v>479</v>
      </c>
    </row>
    <row r="115" spans="1:53" x14ac:dyDescent="0.25">
      <c r="A115">
        <v>106</v>
      </c>
      <c r="B115">
        <v>1316</v>
      </c>
      <c r="C115">
        <v>116</v>
      </c>
      <c r="D115" s="7">
        <v>46083</v>
      </c>
      <c r="E115" s="7" t="s">
        <v>401</v>
      </c>
      <c r="F115" s="10" t="s">
        <v>400</v>
      </c>
      <c r="G115" s="36"/>
      <c r="H115" s="36" t="s">
        <v>139</v>
      </c>
      <c r="I115" s="36"/>
      <c r="J115" s="36"/>
      <c r="K115" s="36"/>
      <c r="L115" s="36" t="s">
        <v>139</v>
      </c>
      <c r="M115" s="36"/>
      <c r="N115" s="36"/>
      <c r="O115" s="116" t="s">
        <v>139</v>
      </c>
      <c r="P115" s="36" t="s">
        <v>139</v>
      </c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116"/>
      <c r="AD115" s="36"/>
      <c r="AE115" s="116"/>
      <c r="AF115" s="36"/>
      <c r="AG115" s="36"/>
      <c r="AH115" s="116"/>
      <c r="AI115" s="36"/>
      <c r="AJ115" s="36"/>
      <c r="AK115" s="116"/>
      <c r="AL115" s="36"/>
      <c r="AM115" s="36"/>
      <c r="AN115" s="36"/>
      <c r="AO115" s="116" t="s">
        <v>139</v>
      </c>
      <c r="AP115" s="116"/>
      <c r="AQ115" s="116"/>
      <c r="AR115" s="116"/>
      <c r="AS115" s="116" t="s">
        <v>139</v>
      </c>
      <c r="AT115" s="116"/>
      <c r="AU115" s="116" t="s">
        <v>139</v>
      </c>
      <c r="AV115" s="116" t="s">
        <v>139</v>
      </c>
      <c r="AW115" s="116"/>
      <c r="AX115" s="116"/>
      <c r="AY115" s="118">
        <f t="shared" si="3"/>
        <v>8</v>
      </c>
      <c r="AZ115" s="118"/>
      <c r="BA115" s="118" t="s">
        <v>481</v>
      </c>
    </row>
    <row r="116" spans="1:53" x14ac:dyDescent="0.25">
      <c r="A116">
        <v>107</v>
      </c>
      <c r="B116">
        <v>1317</v>
      </c>
      <c r="C116">
        <v>117</v>
      </c>
      <c r="D116" s="7">
        <v>46083</v>
      </c>
      <c r="E116" s="7" t="s">
        <v>404</v>
      </c>
      <c r="F116" s="10" t="s">
        <v>402</v>
      </c>
      <c r="G116" s="36"/>
      <c r="H116" s="36" t="s">
        <v>139</v>
      </c>
      <c r="I116" s="36"/>
      <c r="J116" s="36"/>
      <c r="K116" s="36"/>
      <c r="L116" s="36" t="s">
        <v>139</v>
      </c>
      <c r="M116" s="36"/>
      <c r="N116" s="36"/>
      <c r="O116" s="116" t="s">
        <v>139</v>
      </c>
      <c r="P116" s="36" t="s">
        <v>139</v>
      </c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116"/>
      <c r="AD116" s="36"/>
      <c r="AE116" s="116"/>
      <c r="AF116" s="36"/>
      <c r="AG116" s="36"/>
      <c r="AH116" s="116"/>
      <c r="AI116" s="36"/>
      <c r="AJ116" s="36"/>
      <c r="AK116" s="116"/>
      <c r="AL116" s="36"/>
      <c r="AM116" s="36"/>
      <c r="AN116" s="36"/>
      <c r="AO116" s="116" t="s">
        <v>139</v>
      </c>
      <c r="AP116" s="116"/>
      <c r="AQ116" s="116"/>
      <c r="AR116" s="116"/>
      <c r="AS116" s="116" t="s">
        <v>139</v>
      </c>
      <c r="AT116" s="116"/>
      <c r="AU116" s="116" t="s">
        <v>139</v>
      </c>
      <c r="AV116" s="116" t="s">
        <v>139</v>
      </c>
      <c r="AW116" s="116"/>
      <c r="AX116" s="116"/>
      <c r="AY116" s="118">
        <f t="shared" si="3"/>
        <v>8</v>
      </c>
      <c r="AZ116" s="118"/>
      <c r="BA116" s="118" t="s">
        <v>481</v>
      </c>
    </row>
    <row r="117" spans="1:53" x14ac:dyDescent="0.25">
      <c r="A117">
        <v>108</v>
      </c>
      <c r="B117">
        <v>1318</v>
      </c>
      <c r="C117">
        <v>118</v>
      </c>
      <c r="D117" s="7">
        <v>46083</v>
      </c>
      <c r="E117" s="7" t="s">
        <v>406</v>
      </c>
      <c r="F117" s="10" t="s">
        <v>405</v>
      </c>
      <c r="G117" s="36"/>
      <c r="H117" s="36" t="s">
        <v>139</v>
      </c>
      <c r="I117" s="36"/>
      <c r="J117" s="36" t="s">
        <v>139</v>
      </c>
      <c r="K117" s="36"/>
      <c r="L117" s="36" t="s">
        <v>139</v>
      </c>
      <c r="M117" s="36"/>
      <c r="N117" s="36"/>
      <c r="O117" s="116" t="s">
        <v>139</v>
      </c>
      <c r="P117" s="36" t="s">
        <v>139</v>
      </c>
      <c r="Q117" s="36"/>
      <c r="R117" s="36"/>
      <c r="S117" s="36"/>
      <c r="T117" s="36"/>
      <c r="U117" s="36" t="s">
        <v>139</v>
      </c>
      <c r="V117" s="36"/>
      <c r="W117" s="36"/>
      <c r="X117" s="36" t="s">
        <v>139</v>
      </c>
      <c r="Y117" s="36"/>
      <c r="Z117" s="36"/>
      <c r="AA117" s="36"/>
      <c r="AB117" s="36" t="s">
        <v>139</v>
      </c>
      <c r="AC117" s="116"/>
      <c r="AD117" s="36"/>
      <c r="AE117" s="116"/>
      <c r="AF117" s="36" t="s">
        <v>139</v>
      </c>
      <c r="AG117" s="36"/>
      <c r="AH117" s="116"/>
      <c r="AI117" s="36"/>
      <c r="AJ117" s="36"/>
      <c r="AK117" s="116" t="s">
        <v>139</v>
      </c>
      <c r="AL117" s="36"/>
      <c r="AM117" s="36"/>
      <c r="AN117" s="36"/>
      <c r="AO117" s="116" t="s">
        <v>139</v>
      </c>
      <c r="AP117" s="116"/>
      <c r="AQ117" s="116"/>
      <c r="AR117" s="116"/>
      <c r="AS117" s="116" t="s">
        <v>139</v>
      </c>
      <c r="AT117" s="116"/>
      <c r="AU117" s="116" t="s">
        <v>139</v>
      </c>
      <c r="AV117" s="116" t="s">
        <v>139</v>
      </c>
      <c r="AW117" s="116"/>
      <c r="AX117" s="116"/>
      <c r="AY117" s="118">
        <f t="shared" si="3"/>
        <v>14</v>
      </c>
      <c r="AZ117" s="118"/>
      <c r="BA117" s="118" t="s">
        <v>479</v>
      </c>
    </row>
    <row r="118" spans="1:53" x14ac:dyDescent="0.25">
      <c r="A118">
        <v>109</v>
      </c>
      <c r="B118">
        <v>1319</v>
      </c>
      <c r="C118">
        <v>119</v>
      </c>
      <c r="D118" s="7">
        <v>46083</v>
      </c>
      <c r="E118" s="7" t="s">
        <v>409</v>
      </c>
      <c r="F118" s="10" t="s">
        <v>407</v>
      </c>
      <c r="G118" s="36"/>
      <c r="H118" s="36" t="s">
        <v>139</v>
      </c>
      <c r="I118" s="36"/>
      <c r="J118" s="36"/>
      <c r="K118" s="36"/>
      <c r="L118" s="36" t="s">
        <v>139</v>
      </c>
      <c r="M118" s="36"/>
      <c r="N118" s="36" t="s">
        <v>139</v>
      </c>
      <c r="O118" s="116" t="s">
        <v>139</v>
      </c>
      <c r="P118" s="36" t="s">
        <v>139</v>
      </c>
      <c r="Q118" s="36"/>
      <c r="R118" s="36"/>
      <c r="S118" s="36"/>
      <c r="T118" s="36"/>
      <c r="U118" s="36" t="s">
        <v>139</v>
      </c>
      <c r="V118" s="36"/>
      <c r="W118" s="36"/>
      <c r="X118" s="36" t="s">
        <v>139</v>
      </c>
      <c r="Y118" s="36"/>
      <c r="Z118" s="36"/>
      <c r="AA118" s="36"/>
      <c r="AB118" s="36"/>
      <c r="AC118" s="116"/>
      <c r="AD118" s="36"/>
      <c r="AE118" s="116"/>
      <c r="AF118" s="36"/>
      <c r="AG118" s="36"/>
      <c r="AH118" s="116"/>
      <c r="AI118" s="36"/>
      <c r="AJ118" s="36"/>
      <c r="AK118" s="116"/>
      <c r="AL118" s="36"/>
      <c r="AM118" s="36"/>
      <c r="AN118" s="36"/>
      <c r="AO118" s="116" t="s">
        <v>139</v>
      </c>
      <c r="AP118" s="116"/>
      <c r="AQ118" s="116"/>
      <c r="AR118" s="116"/>
      <c r="AS118" s="116" t="s">
        <v>139</v>
      </c>
      <c r="AT118" s="116"/>
      <c r="AU118" s="116" t="s">
        <v>139</v>
      </c>
      <c r="AV118" s="116" t="s">
        <v>139</v>
      </c>
      <c r="AW118" s="116"/>
      <c r="AX118" s="116"/>
      <c r="AY118" s="118">
        <f t="shared" si="3"/>
        <v>11</v>
      </c>
      <c r="AZ118" s="118"/>
      <c r="BA118" s="118" t="s">
        <v>479</v>
      </c>
    </row>
    <row r="119" spans="1:53" x14ac:dyDescent="0.25">
      <c r="A119">
        <v>110</v>
      </c>
      <c r="B119">
        <v>1320</v>
      </c>
      <c r="C119">
        <v>120</v>
      </c>
      <c r="D119" s="7">
        <v>46083</v>
      </c>
      <c r="E119" s="7" t="s">
        <v>411</v>
      </c>
      <c r="F119" s="10" t="s">
        <v>410</v>
      </c>
      <c r="G119" s="36" t="s">
        <v>139</v>
      </c>
      <c r="H119" s="36" t="s">
        <v>139</v>
      </c>
      <c r="I119" s="36"/>
      <c r="J119" s="36" t="s">
        <v>139</v>
      </c>
      <c r="K119" s="36"/>
      <c r="L119" s="36"/>
      <c r="M119" s="36" t="s">
        <v>139</v>
      </c>
      <c r="N119" s="36"/>
      <c r="O119" s="116"/>
      <c r="P119" s="36" t="s">
        <v>139</v>
      </c>
      <c r="Q119" s="36" t="s">
        <v>139</v>
      </c>
      <c r="R119" s="36"/>
      <c r="S119" s="36"/>
      <c r="T119" s="36"/>
      <c r="U119" s="36" t="s">
        <v>139</v>
      </c>
      <c r="V119" s="36"/>
      <c r="W119" s="36" t="s">
        <v>139</v>
      </c>
      <c r="X119" s="36" t="s">
        <v>139</v>
      </c>
      <c r="Y119" s="36" t="s">
        <v>139</v>
      </c>
      <c r="Z119" s="36"/>
      <c r="AA119" s="36"/>
      <c r="AB119" s="36" t="s">
        <v>139</v>
      </c>
      <c r="AC119" s="116"/>
      <c r="AD119" s="36"/>
      <c r="AE119" s="116" t="s">
        <v>139</v>
      </c>
      <c r="AF119" s="36"/>
      <c r="AG119" s="36"/>
      <c r="AH119" s="116"/>
      <c r="AI119" s="36"/>
      <c r="AJ119" s="36"/>
      <c r="AK119" s="116" t="s">
        <v>139</v>
      </c>
      <c r="AL119" s="36" t="s">
        <v>139</v>
      </c>
      <c r="AM119" s="36" t="s">
        <v>139</v>
      </c>
      <c r="AN119" s="36" t="s">
        <v>139</v>
      </c>
      <c r="AO119" s="116" t="s">
        <v>139</v>
      </c>
      <c r="AP119" s="116" t="s">
        <v>139</v>
      </c>
      <c r="AQ119" s="116"/>
      <c r="AR119" s="116"/>
      <c r="AS119" s="116" t="s">
        <v>139</v>
      </c>
      <c r="AT119" s="116"/>
      <c r="AU119" s="116" t="s">
        <v>139</v>
      </c>
      <c r="AV119" s="116" t="s">
        <v>139</v>
      </c>
      <c r="AW119" s="116"/>
      <c r="AX119" s="116"/>
      <c r="AY119" s="118">
        <f t="shared" si="3"/>
        <v>21</v>
      </c>
      <c r="AZ119" s="118"/>
      <c r="BA119" s="118" t="s">
        <v>479</v>
      </c>
    </row>
    <row r="120" spans="1:53" x14ac:dyDescent="0.25">
      <c r="A120" t="s">
        <v>58</v>
      </c>
      <c r="B120" t="s">
        <v>58</v>
      </c>
      <c r="C120">
        <v>121</v>
      </c>
      <c r="D120" s="7">
        <v>46083</v>
      </c>
      <c r="E120" s="7" t="s">
        <v>469</v>
      </c>
      <c r="F120" s="10" t="s">
        <v>470</v>
      </c>
      <c r="G120" s="36" t="s">
        <v>139</v>
      </c>
      <c r="H120" s="36" t="s">
        <v>139</v>
      </c>
      <c r="I120" s="36" t="s">
        <v>139</v>
      </c>
      <c r="J120" s="36" t="s">
        <v>139</v>
      </c>
      <c r="K120" s="36" t="s">
        <v>139</v>
      </c>
      <c r="L120" s="36" t="s">
        <v>471</v>
      </c>
      <c r="M120" s="36" t="s">
        <v>139</v>
      </c>
      <c r="N120" s="36" t="s">
        <v>139</v>
      </c>
      <c r="O120" s="116" t="s">
        <v>471</v>
      </c>
      <c r="P120" s="36" t="s">
        <v>139</v>
      </c>
      <c r="Q120" s="36" t="s">
        <v>139</v>
      </c>
      <c r="R120" s="36" t="s">
        <v>471</v>
      </c>
      <c r="S120" s="36" t="s">
        <v>471</v>
      </c>
      <c r="T120" s="36" t="s">
        <v>139</v>
      </c>
      <c r="U120" s="36" t="s">
        <v>139</v>
      </c>
      <c r="V120" s="36" t="s">
        <v>139</v>
      </c>
      <c r="W120" s="36" t="s">
        <v>139</v>
      </c>
      <c r="X120" s="36" t="s">
        <v>139</v>
      </c>
      <c r="Y120" s="36" t="s">
        <v>139</v>
      </c>
      <c r="Z120" s="36" t="s">
        <v>139</v>
      </c>
      <c r="AA120" s="36" t="s">
        <v>139</v>
      </c>
      <c r="AB120" s="36" t="s">
        <v>139</v>
      </c>
      <c r="AC120" s="116" t="s">
        <v>471</v>
      </c>
      <c r="AD120" s="36" t="s">
        <v>139</v>
      </c>
      <c r="AE120" s="116" t="s">
        <v>139</v>
      </c>
      <c r="AF120" s="36" t="s">
        <v>139</v>
      </c>
      <c r="AG120" s="36" t="s">
        <v>139</v>
      </c>
      <c r="AH120" s="116" t="s">
        <v>139</v>
      </c>
      <c r="AI120" s="36" t="s">
        <v>139</v>
      </c>
      <c r="AJ120" s="36" t="s">
        <v>139</v>
      </c>
      <c r="AK120" s="116" t="s">
        <v>139</v>
      </c>
      <c r="AL120" s="36" t="s">
        <v>139</v>
      </c>
      <c r="AM120" s="36" t="s">
        <v>139</v>
      </c>
      <c r="AN120" s="36" t="s">
        <v>139</v>
      </c>
      <c r="AO120" s="116" t="s">
        <v>139</v>
      </c>
      <c r="AP120" s="116" t="s">
        <v>139</v>
      </c>
      <c r="AQ120" s="116" t="s">
        <v>471</v>
      </c>
      <c r="AR120" s="116" t="s">
        <v>471</v>
      </c>
      <c r="AS120" s="116" t="s">
        <v>139</v>
      </c>
      <c r="AT120" s="116" t="s">
        <v>471</v>
      </c>
      <c r="AU120" s="116" t="s">
        <v>139</v>
      </c>
      <c r="AV120" s="116" t="s">
        <v>139</v>
      </c>
      <c r="AW120" s="116" t="s">
        <v>139</v>
      </c>
      <c r="AX120" s="116" t="s">
        <v>471</v>
      </c>
      <c r="AY120" s="118">
        <f t="shared" si="3"/>
        <v>35</v>
      </c>
      <c r="AZ120" s="118"/>
      <c r="BA120" s="118" t="s">
        <v>480</v>
      </c>
    </row>
    <row r="121" spans="1:53" x14ac:dyDescent="0.25">
      <c r="A121">
        <v>111</v>
      </c>
      <c r="B121">
        <v>1321</v>
      </c>
      <c r="C121">
        <v>122</v>
      </c>
      <c r="D121" s="7">
        <v>46085</v>
      </c>
      <c r="E121" s="7" t="s">
        <v>413</v>
      </c>
      <c r="F121" s="10" t="s">
        <v>412</v>
      </c>
      <c r="G121" s="36"/>
      <c r="H121" s="36"/>
      <c r="I121" s="36"/>
      <c r="J121" s="36" t="s">
        <v>139</v>
      </c>
      <c r="K121" s="36"/>
      <c r="L121" s="36"/>
      <c r="M121" s="36"/>
      <c r="N121" s="36"/>
      <c r="O121" s="116"/>
      <c r="P121" s="36" t="s">
        <v>139</v>
      </c>
      <c r="Q121" s="36"/>
      <c r="R121" s="36"/>
      <c r="S121" s="36"/>
      <c r="T121" s="36"/>
      <c r="U121" s="36" t="s">
        <v>139</v>
      </c>
      <c r="V121" s="36"/>
      <c r="W121" s="36"/>
      <c r="X121" s="36" t="s">
        <v>139</v>
      </c>
      <c r="Y121" s="36"/>
      <c r="Z121" s="36" t="s">
        <v>139</v>
      </c>
      <c r="AA121" s="36"/>
      <c r="AB121" s="36" t="s">
        <v>139</v>
      </c>
      <c r="AC121" s="116"/>
      <c r="AD121" s="36"/>
      <c r="AE121" s="116"/>
      <c r="AF121" s="36"/>
      <c r="AG121" s="36"/>
      <c r="AH121" s="116"/>
      <c r="AI121" s="36"/>
      <c r="AJ121" s="36" t="s">
        <v>139</v>
      </c>
      <c r="AK121" s="116"/>
      <c r="AL121" s="36"/>
      <c r="AM121" s="36"/>
      <c r="AN121" s="36"/>
      <c r="AO121" s="116" t="s">
        <v>139</v>
      </c>
      <c r="AP121" s="116"/>
      <c r="AQ121" s="116"/>
      <c r="AR121" s="116"/>
      <c r="AS121" s="116"/>
      <c r="AT121" s="116"/>
      <c r="AU121" s="116" t="s">
        <v>139</v>
      </c>
      <c r="AV121" s="116" t="s">
        <v>139</v>
      </c>
      <c r="AW121" s="116"/>
      <c r="AX121" s="116"/>
      <c r="AY121" s="118">
        <f t="shared" si="3"/>
        <v>10</v>
      </c>
      <c r="AZ121" s="118"/>
      <c r="BA121" s="118" t="s">
        <v>479</v>
      </c>
    </row>
    <row r="122" spans="1:53" x14ac:dyDescent="0.25">
      <c r="A122">
        <v>112</v>
      </c>
      <c r="B122">
        <v>1322</v>
      </c>
      <c r="C122">
        <v>123</v>
      </c>
      <c r="D122" s="7">
        <v>46086</v>
      </c>
      <c r="E122" s="7" t="s">
        <v>415</v>
      </c>
      <c r="F122" s="10" t="s">
        <v>414</v>
      </c>
      <c r="G122" s="36"/>
      <c r="H122" s="36" t="s">
        <v>139</v>
      </c>
      <c r="I122" s="36"/>
      <c r="J122" s="36" t="s">
        <v>139</v>
      </c>
      <c r="K122" s="36"/>
      <c r="L122" s="36" t="s">
        <v>139</v>
      </c>
      <c r="M122" s="36" t="s">
        <v>139</v>
      </c>
      <c r="N122" s="36" t="s">
        <v>139</v>
      </c>
      <c r="O122" s="116"/>
      <c r="P122" s="36"/>
      <c r="Q122" s="36" t="s">
        <v>139</v>
      </c>
      <c r="R122" s="36"/>
      <c r="S122" s="36"/>
      <c r="T122" s="36" t="s">
        <v>139</v>
      </c>
      <c r="U122" s="36" t="s">
        <v>139</v>
      </c>
      <c r="V122" s="36"/>
      <c r="W122" s="36"/>
      <c r="X122" s="36" t="s">
        <v>139</v>
      </c>
      <c r="Y122" s="36"/>
      <c r="Z122" s="36" t="s">
        <v>139</v>
      </c>
      <c r="AA122" s="36"/>
      <c r="AB122" s="36" t="s">
        <v>139</v>
      </c>
      <c r="AC122" s="116" t="s">
        <v>139</v>
      </c>
      <c r="AD122" s="36" t="s">
        <v>139</v>
      </c>
      <c r="AE122" s="116" t="s">
        <v>139</v>
      </c>
      <c r="AF122" s="36" t="s">
        <v>139</v>
      </c>
      <c r="AG122" s="36"/>
      <c r="AH122" s="116"/>
      <c r="AI122" s="36" t="s">
        <v>139</v>
      </c>
      <c r="AJ122" s="36" t="s">
        <v>139</v>
      </c>
      <c r="AK122" s="116"/>
      <c r="AL122" s="36"/>
      <c r="AM122" s="36" t="s">
        <v>139</v>
      </c>
      <c r="AN122" s="36"/>
      <c r="AO122" s="116" t="s">
        <v>139</v>
      </c>
      <c r="AP122" s="116"/>
      <c r="AQ122" s="116"/>
      <c r="AR122" s="116"/>
      <c r="AS122" s="116"/>
      <c r="AT122" s="116"/>
      <c r="AU122" s="116" t="s">
        <v>139</v>
      </c>
      <c r="AV122" s="116" t="s">
        <v>139</v>
      </c>
      <c r="AW122" s="116"/>
      <c r="AX122" s="116"/>
      <c r="AY122" s="118">
        <f t="shared" si="3"/>
        <v>21</v>
      </c>
      <c r="AZ122" s="118"/>
      <c r="BA122" s="118" t="s">
        <v>479</v>
      </c>
    </row>
    <row r="123" spans="1:53" x14ac:dyDescent="0.25">
      <c r="A123">
        <v>113</v>
      </c>
      <c r="B123">
        <v>1323</v>
      </c>
      <c r="C123">
        <v>124</v>
      </c>
      <c r="D123" s="7">
        <v>46087</v>
      </c>
      <c r="E123" s="7" t="s">
        <v>418</v>
      </c>
      <c r="F123" s="10" t="s">
        <v>416</v>
      </c>
      <c r="G123" s="36"/>
      <c r="H123" s="36"/>
      <c r="I123" s="36"/>
      <c r="J123" s="36" t="s">
        <v>139</v>
      </c>
      <c r="K123" s="36"/>
      <c r="L123" s="36" t="s">
        <v>139</v>
      </c>
      <c r="M123" s="36"/>
      <c r="N123" s="36" t="s">
        <v>139</v>
      </c>
      <c r="O123" s="116" t="s">
        <v>139</v>
      </c>
      <c r="P123" s="36" t="s">
        <v>139</v>
      </c>
      <c r="Q123" s="36"/>
      <c r="R123" s="36" t="s">
        <v>139</v>
      </c>
      <c r="S123" s="36"/>
      <c r="T123" s="36" t="s">
        <v>139</v>
      </c>
      <c r="U123" s="36"/>
      <c r="V123" s="36"/>
      <c r="W123" s="36"/>
      <c r="X123" s="36"/>
      <c r="Y123" s="36"/>
      <c r="Z123" s="36" t="s">
        <v>139</v>
      </c>
      <c r="AA123" s="36"/>
      <c r="AB123" s="36"/>
      <c r="AC123" s="116" t="s">
        <v>139</v>
      </c>
      <c r="AD123" s="36"/>
      <c r="AE123" s="116" t="s">
        <v>139</v>
      </c>
      <c r="AF123" s="36"/>
      <c r="AG123" s="36"/>
      <c r="AH123" s="116"/>
      <c r="AI123" s="36" t="s">
        <v>139</v>
      </c>
      <c r="AJ123" s="36" t="s">
        <v>139</v>
      </c>
      <c r="AK123" s="116"/>
      <c r="AL123" s="36"/>
      <c r="AM123" s="36"/>
      <c r="AN123" s="36"/>
      <c r="AO123" s="116" t="s">
        <v>139</v>
      </c>
      <c r="AP123" s="116"/>
      <c r="AQ123" s="116"/>
      <c r="AR123" s="116"/>
      <c r="AS123" s="116" t="s">
        <v>139</v>
      </c>
      <c r="AT123" s="116"/>
      <c r="AU123" s="116"/>
      <c r="AV123" s="116" t="s">
        <v>139</v>
      </c>
      <c r="AW123" s="116"/>
      <c r="AX123" s="116"/>
      <c r="AY123" s="118">
        <f t="shared" si="3"/>
        <v>15</v>
      </c>
      <c r="AZ123" s="118"/>
      <c r="BA123" s="118" t="s">
        <v>479</v>
      </c>
    </row>
    <row r="124" spans="1:53" x14ac:dyDescent="0.25">
      <c r="A124">
        <v>114</v>
      </c>
      <c r="B124">
        <v>1324</v>
      </c>
      <c r="C124">
        <v>125</v>
      </c>
      <c r="D124" s="7">
        <v>46087</v>
      </c>
      <c r="E124" s="7" t="s">
        <v>420</v>
      </c>
      <c r="F124" s="10" t="s">
        <v>419</v>
      </c>
      <c r="G124" s="36"/>
      <c r="H124" s="36"/>
      <c r="I124" s="36"/>
      <c r="J124" s="36" t="s">
        <v>139</v>
      </c>
      <c r="K124" s="36"/>
      <c r="L124" s="36" t="s">
        <v>139</v>
      </c>
      <c r="M124" s="36" t="s">
        <v>139</v>
      </c>
      <c r="N124" s="36" t="s">
        <v>139</v>
      </c>
      <c r="O124" s="116" t="s">
        <v>139</v>
      </c>
      <c r="P124" s="36" t="s">
        <v>139</v>
      </c>
      <c r="Q124" s="36" t="s">
        <v>139</v>
      </c>
      <c r="R124" s="36"/>
      <c r="S124" s="36"/>
      <c r="T124" s="36" t="s">
        <v>139</v>
      </c>
      <c r="U124" s="36"/>
      <c r="V124" s="36"/>
      <c r="W124" s="36"/>
      <c r="X124" s="36"/>
      <c r="Y124" s="36" t="s">
        <v>139</v>
      </c>
      <c r="Z124" s="36"/>
      <c r="AA124" s="36"/>
      <c r="AB124" s="36" t="s">
        <v>139</v>
      </c>
      <c r="AC124" s="116"/>
      <c r="AD124" s="36"/>
      <c r="AE124" s="116"/>
      <c r="AF124" s="36"/>
      <c r="AG124" s="36"/>
      <c r="AH124" s="116"/>
      <c r="AI124" s="36"/>
      <c r="AJ124" s="36"/>
      <c r="AK124" s="116"/>
      <c r="AL124" s="36" t="s">
        <v>139</v>
      </c>
      <c r="AM124" s="36"/>
      <c r="AN124" s="36"/>
      <c r="AO124" s="116"/>
      <c r="AP124" s="116"/>
      <c r="AQ124" s="116"/>
      <c r="AR124" s="116"/>
      <c r="AS124" s="116"/>
      <c r="AT124" s="116"/>
      <c r="AU124" s="116" t="s">
        <v>139</v>
      </c>
      <c r="AV124" s="116"/>
      <c r="AW124" s="116" t="s">
        <v>139</v>
      </c>
      <c r="AX124" s="116"/>
      <c r="AY124" s="118">
        <f t="shared" si="3"/>
        <v>13</v>
      </c>
      <c r="AZ124" s="118"/>
      <c r="BA124" s="118" t="s">
        <v>479</v>
      </c>
    </row>
    <row r="125" spans="1:53" x14ac:dyDescent="0.25">
      <c r="A125">
        <v>115</v>
      </c>
      <c r="B125">
        <v>1325</v>
      </c>
      <c r="C125">
        <v>126</v>
      </c>
      <c r="D125" s="7">
        <v>46088</v>
      </c>
      <c r="E125" s="7" t="s">
        <v>422</v>
      </c>
      <c r="F125" s="10" t="s">
        <v>421</v>
      </c>
      <c r="G125" s="36"/>
      <c r="H125" s="36"/>
      <c r="I125" s="36"/>
      <c r="J125" s="36" t="s">
        <v>139</v>
      </c>
      <c r="K125" s="36" t="s">
        <v>139</v>
      </c>
      <c r="L125" s="36"/>
      <c r="M125" s="36" t="s">
        <v>139</v>
      </c>
      <c r="N125" s="36"/>
      <c r="O125" s="116"/>
      <c r="P125" s="36"/>
      <c r="Q125" s="36" t="s">
        <v>139</v>
      </c>
      <c r="R125" s="36"/>
      <c r="S125" s="36"/>
      <c r="T125" s="36"/>
      <c r="U125" s="36"/>
      <c r="V125" s="36"/>
      <c r="W125" s="36"/>
      <c r="X125" s="36" t="s">
        <v>139</v>
      </c>
      <c r="Y125" s="36" t="s">
        <v>139</v>
      </c>
      <c r="Z125" s="36"/>
      <c r="AA125" s="36"/>
      <c r="AB125" s="36"/>
      <c r="AC125" s="116"/>
      <c r="AD125" s="36" t="s">
        <v>139</v>
      </c>
      <c r="AE125" s="116"/>
      <c r="AF125" s="36" t="s">
        <v>139</v>
      </c>
      <c r="AG125" s="36"/>
      <c r="AH125" s="116"/>
      <c r="AI125" s="36"/>
      <c r="AJ125" s="36"/>
      <c r="AK125" s="116" t="s">
        <v>139</v>
      </c>
      <c r="AL125" s="36" t="s">
        <v>139</v>
      </c>
      <c r="AM125" s="36" t="s">
        <v>139</v>
      </c>
      <c r="AN125" s="36" t="s">
        <v>139</v>
      </c>
      <c r="AO125" s="116"/>
      <c r="AP125" s="116"/>
      <c r="AQ125" s="116"/>
      <c r="AR125" s="116"/>
      <c r="AS125" s="116"/>
      <c r="AT125" s="116"/>
      <c r="AU125" s="116" t="s">
        <v>139</v>
      </c>
      <c r="AV125" s="116"/>
      <c r="AW125" s="116" t="s">
        <v>139</v>
      </c>
      <c r="AX125" s="116"/>
      <c r="AY125" s="118">
        <f t="shared" si="3"/>
        <v>14</v>
      </c>
      <c r="AZ125" s="118"/>
      <c r="BA125" s="118" t="s">
        <v>479</v>
      </c>
    </row>
    <row r="126" spans="1:53" x14ac:dyDescent="0.25">
      <c r="A126">
        <v>116</v>
      </c>
      <c r="B126">
        <v>1326</v>
      </c>
      <c r="C126">
        <v>127</v>
      </c>
      <c r="D126" s="7">
        <v>46089</v>
      </c>
      <c r="E126" s="7" t="s">
        <v>425</v>
      </c>
      <c r="F126" s="10" t="s">
        <v>423</v>
      </c>
      <c r="G126" s="36" t="s">
        <v>139</v>
      </c>
      <c r="H126" s="36"/>
      <c r="I126" s="36"/>
      <c r="J126" s="36" t="s">
        <v>139</v>
      </c>
      <c r="K126" s="36"/>
      <c r="L126" s="36"/>
      <c r="M126" s="36" t="s">
        <v>139</v>
      </c>
      <c r="N126" s="36"/>
      <c r="O126" s="116"/>
      <c r="P126" s="36" t="s">
        <v>139</v>
      </c>
      <c r="Q126" s="36" t="s">
        <v>139</v>
      </c>
      <c r="R126" s="36"/>
      <c r="S126" s="36"/>
      <c r="T126" s="36"/>
      <c r="U126" s="36" t="s">
        <v>139</v>
      </c>
      <c r="V126" s="36"/>
      <c r="W126" s="36"/>
      <c r="X126" s="36" t="s">
        <v>139</v>
      </c>
      <c r="Y126" s="36" t="s">
        <v>139</v>
      </c>
      <c r="Z126" s="36"/>
      <c r="AA126" s="36"/>
      <c r="AB126" s="36" t="s">
        <v>139</v>
      </c>
      <c r="AC126" s="116"/>
      <c r="AD126" s="36" t="s">
        <v>139</v>
      </c>
      <c r="AE126" s="116" t="s">
        <v>139</v>
      </c>
      <c r="AF126" s="36"/>
      <c r="AG126" s="36"/>
      <c r="AH126" s="116"/>
      <c r="AI126" s="36"/>
      <c r="AJ126" s="36"/>
      <c r="AK126" s="116"/>
      <c r="AL126" s="36" t="s">
        <v>139</v>
      </c>
      <c r="AM126" s="36"/>
      <c r="AN126" s="36" t="s">
        <v>139</v>
      </c>
      <c r="AO126" s="116" t="s">
        <v>139</v>
      </c>
      <c r="AP126" s="116"/>
      <c r="AQ126" s="116"/>
      <c r="AR126" s="116"/>
      <c r="AS126" s="116"/>
      <c r="AT126" s="116"/>
      <c r="AU126" s="116" t="s">
        <v>139</v>
      </c>
      <c r="AV126" s="116"/>
      <c r="AW126" s="116"/>
      <c r="AX126" s="116"/>
      <c r="AY126" s="118">
        <f t="shared" si="3"/>
        <v>15</v>
      </c>
      <c r="AZ126" s="118"/>
      <c r="BA126" s="118" t="s">
        <v>479</v>
      </c>
    </row>
    <row r="127" spans="1:53" x14ac:dyDescent="0.25">
      <c r="A127">
        <v>117</v>
      </c>
      <c r="B127">
        <v>1327</v>
      </c>
      <c r="C127">
        <v>128</v>
      </c>
      <c r="D127" s="7">
        <v>46089</v>
      </c>
      <c r="E127" s="7" t="s">
        <v>484</v>
      </c>
      <c r="F127" s="10" t="s">
        <v>426</v>
      </c>
      <c r="G127" s="36" t="s">
        <v>139</v>
      </c>
      <c r="H127" s="36"/>
      <c r="I127" s="36"/>
      <c r="J127" s="36" t="s">
        <v>139</v>
      </c>
      <c r="K127" s="36"/>
      <c r="L127" s="36"/>
      <c r="M127" s="36" t="s">
        <v>139</v>
      </c>
      <c r="N127" s="36"/>
      <c r="O127" s="116"/>
      <c r="P127" s="36" t="s">
        <v>139</v>
      </c>
      <c r="Q127" s="36" t="s">
        <v>139</v>
      </c>
      <c r="R127" s="36"/>
      <c r="S127" s="36"/>
      <c r="T127" s="36"/>
      <c r="U127" s="36" t="s">
        <v>139</v>
      </c>
      <c r="V127" s="36"/>
      <c r="W127" s="36"/>
      <c r="X127" s="36" t="s">
        <v>139</v>
      </c>
      <c r="Y127" s="36" t="s">
        <v>139</v>
      </c>
      <c r="Z127" s="36"/>
      <c r="AA127" s="36"/>
      <c r="AB127" s="36" t="s">
        <v>139</v>
      </c>
      <c r="AC127" s="116"/>
      <c r="AD127" s="36" t="s">
        <v>139</v>
      </c>
      <c r="AE127" s="116" t="s">
        <v>139</v>
      </c>
      <c r="AF127" s="36"/>
      <c r="AG127" s="36"/>
      <c r="AH127" s="116"/>
      <c r="AI127" s="36"/>
      <c r="AJ127" s="36"/>
      <c r="AK127" s="116"/>
      <c r="AL127" s="36" t="s">
        <v>139</v>
      </c>
      <c r="AM127" s="36"/>
      <c r="AN127" s="36" t="s">
        <v>139</v>
      </c>
      <c r="AO127" s="116" t="s">
        <v>139</v>
      </c>
      <c r="AP127" s="116"/>
      <c r="AQ127" s="116"/>
      <c r="AR127" s="116"/>
      <c r="AS127" s="116"/>
      <c r="AT127" s="116"/>
      <c r="AU127" s="116" t="s">
        <v>139</v>
      </c>
      <c r="AV127" s="116"/>
      <c r="AW127" s="116"/>
      <c r="AX127" s="116"/>
      <c r="AY127" s="118">
        <f t="shared" si="3"/>
        <v>15</v>
      </c>
      <c r="AZ127" s="118"/>
      <c r="BA127" s="118" t="s">
        <v>479</v>
      </c>
    </row>
    <row r="128" spans="1:53" x14ac:dyDescent="0.25">
      <c r="A128">
        <v>118</v>
      </c>
      <c r="B128">
        <v>1328</v>
      </c>
      <c r="C128">
        <v>129</v>
      </c>
      <c r="D128" s="7">
        <v>46090</v>
      </c>
      <c r="E128" s="7" t="s">
        <v>430</v>
      </c>
      <c r="F128" s="10" t="s">
        <v>429</v>
      </c>
      <c r="G128" s="36"/>
      <c r="H128" s="36" t="s">
        <v>139</v>
      </c>
      <c r="I128" s="36"/>
      <c r="J128" s="36"/>
      <c r="K128" s="36"/>
      <c r="L128" s="36" t="s">
        <v>139</v>
      </c>
      <c r="M128" s="36"/>
      <c r="N128" s="36"/>
      <c r="O128" s="116" t="s">
        <v>139</v>
      </c>
      <c r="P128" s="36"/>
      <c r="Q128" s="36"/>
      <c r="R128" s="36"/>
      <c r="S128" s="36"/>
      <c r="T128" s="36"/>
      <c r="U128" s="36" t="s">
        <v>139</v>
      </c>
      <c r="V128" s="36"/>
      <c r="W128" s="36"/>
      <c r="X128" s="36"/>
      <c r="Y128" s="36" t="s">
        <v>139</v>
      </c>
      <c r="Z128" s="36" t="s">
        <v>139</v>
      </c>
      <c r="AA128" s="36"/>
      <c r="AB128" s="36"/>
      <c r="AC128" s="116"/>
      <c r="AD128" s="36"/>
      <c r="AE128" s="116"/>
      <c r="AF128" s="36"/>
      <c r="AG128" s="36"/>
      <c r="AH128" s="116"/>
      <c r="AI128" s="36"/>
      <c r="AJ128" s="36"/>
      <c r="AK128" s="116"/>
      <c r="AL128" s="36"/>
      <c r="AM128" s="36"/>
      <c r="AN128" s="36"/>
      <c r="AO128" s="116" t="s">
        <v>139</v>
      </c>
      <c r="AP128" s="116"/>
      <c r="AQ128" s="116"/>
      <c r="AR128" s="116"/>
      <c r="AS128" s="116"/>
      <c r="AT128" s="116"/>
      <c r="AU128" s="116" t="s">
        <v>139</v>
      </c>
      <c r="AV128" s="116" t="s">
        <v>139</v>
      </c>
      <c r="AW128" s="116"/>
      <c r="AX128" s="116"/>
      <c r="AY128" s="118">
        <f t="shared" si="3"/>
        <v>9</v>
      </c>
      <c r="AZ128" s="118"/>
      <c r="BA128" s="118" t="s">
        <v>479</v>
      </c>
    </row>
    <row r="129" spans="1:53" x14ac:dyDescent="0.25">
      <c r="A129">
        <v>119</v>
      </c>
      <c r="B129">
        <v>1329</v>
      </c>
      <c r="C129">
        <v>130</v>
      </c>
      <c r="D129" s="7">
        <v>46090</v>
      </c>
      <c r="E129" s="7" t="s">
        <v>432</v>
      </c>
      <c r="F129" s="10" t="s">
        <v>431</v>
      </c>
      <c r="G129" s="36"/>
      <c r="H129" s="36" t="s">
        <v>139</v>
      </c>
      <c r="I129" s="36" t="s">
        <v>139</v>
      </c>
      <c r="J129" s="36"/>
      <c r="K129" s="36"/>
      <c r="L129" s="36" t="s">
        <v>139</v>
      </c>
      <c r="M129" s="36"/>
      <c r="N129" s="36"/>
      <c r="O129" s="116" t="s">
        <v>139</v>
      </c>
      <c r="P129" s="36"/>
      <c r="Q129" s="36"/>
      <c r="R129" s="36"/>
      <c r="S129" s="36"/>
      <c r="T129" s="36"/>
      <c r="U129" s="36" t="s">
        <v>139</v>
      </c>
      <c r="V129" s="36"/>
      <c r="W129" s="36"/>
      <c r="X129" s="36" t="s">
        <v>139</v>
      </c>
      <c r="Y129" s="36"/>
      <c r="Z129" s="36" t="s">
        <v>139</v>
      </c>
      <c r="AA129" s="36"/>
      <c r="AB129" s="36" t="s">
        <v>139</v>
      </c>
      <c r="AC129" s="116" t="s">
        <v>139</v>
      </c>
      <c r="AD129" s="36"/>
      <c r="AE129" s="116" t="s">
        <v>139</v>
      </c>
      <c r="AF129" s="36"/>
      <c r="AG129" s="36"/>
      <c r="AH129" s="116"/>
      <c r="AI129" s="36"/>
      <c r="AJ129" s="36"/>
      <c r="AK129" s="116"/>
      <c r="AL129" s="36"/>
      <c r="AM129" s="36"/>
      <c r="AN129" s="36"/>
      <c r="AO129" s="116"/>
      <c r="AP129" s="116"/>
      <c r="AQ129" s="116"/>
      <c r="AR129" s="116"/>
      <c r="AS129" s="116"/>
      <c r="AT129" s="116"/>
      <c r="AU129" s="116"/>
      <c r="AV129" s="116" t="s">
        <v>139</v>
      </c>
      <c r="AW129" s="116" t="s">
        <v>139</v>
      </c>
      <c r="AX129" s="116"/>
      <c r="AY129" s="118">
        <f t="shared" si="3"/>
        <v>12</v>
      </c>
      <c r="AZ129" s="118"/>
      <c r="BA129" s="118" t="s">
        <v>479</v>
      </c>
    </row>
    <row r="130" spans="1:53" x14ac:dyDescent="0.25">
      <c r="A130">
        <v>120</v>
      </c>
      <c r="B130">
        <v>1330</v>
      </c>
      <c r="C130">
        <v>131</v>
      </c>
      <c r="D130" s="7">
        <v>46090</v>
      </c>
      <c r="E130" s="7" t="s">
        <v>434</v>
      </c>
      <c r="F130" s="10" t="s">
        <v>433</v>
      </c>
      <c r="G130" s="36"/>
      <c r="H130" s="36" t="s">
        <v>139</v>
      </c>
      <c r="I130" s="36"/>
      <c r="J130" s="36" t="s">
        <v>139</v>
      </c>
      <c r="K130" s="36"/>
      <c r="L130" s="36" t="s">
        <v>139</v>
      </c>
      <c r="M130" s="36" t="s">
        <v>139</v>
      </c>
      <c r="N130" s="36" t="s">
        <v>139</v>
      </c>
      <c r="O130" s="116" t="s">
        <v>139</v>
      </c>
      <c r="P130" s="36" t="s">
        <v>139</v>
      </c>
      <c r="Q130" s="36" t="s">
        <v>139</v>
      </c>
      <c r="R130" s="36"/>
      <c r="S130" s="36"/>
      <c r="T130" s="36"/>
      <c r="U130" s="36" t="s">
        <v>139</v>
      </c>
      <c r="V130" s="36"/>
      <c r="W130" s="36"/>
      <c r="X130" s="36" t="s">
        <v>139</v>
      </c>
      <c r="Y130" s="36"/>
      <c r="Z130" s="36" t="s">
        <v>139</v>
      </c>
      <c r="AA130" s="36"/>
      <c r="AB130" s="36" t="s">
        <v>139</v>
      </c>
      <c r="AC130" s="116" t="s">
        <v>139</v>
      </c>
      <c r="AD130" s="36" t="s">
        <v>139</v>
      </c>
      <c r="AE130" s="116"/>
      <c r="AF130" s="36"/>
      <c r="AG130" s="36"/>
      <c r="AH130" s="116"/>
      <c r="AI130" s="36" t="s">
        <v>139</v>
      </c>
      <c r="AJ130" s="36"/>
      <c r="AK130" s="116"/>
      <c r="AL130" s="36"/>
      <c r="AM130" s="36"/>
      <c r="AN130" s="36"/>
      <c r="AO130" s="116"/>
      <c r="AP130" s="116"/>
      <c r="AQ130" s="116"/>
      <c r="AR130" s="116"/>
      <c r="AS130" s="116"/>
      <c r="AT130" s="116"/>
      <c r="AU130" s="116" t="s">
        <v>139</v>
      </c>
      <c r="AV130" s="116"/>
      <c r="AW130" s="116"/>
      <c r="AX130" s="116"/>
      <c r="AY130" s="118">
        <f t="shared" ref="AY130:AY135" si="4">COUNTIF($F130:$AX130, "I")</f>
        <v>16</v>
      </c>
      <c r="AZ130" s="118"/>
      <c r="BA130" s="118" t="s">
        <v>479</v>
      </c>
    </row>
    <row r="131" spans="1:53" x14ac:dyDescent="0.25">
      <c r="A131" t="s">
        <v>58</v>
      </c>
      <c r="B131" t="s">
        <v>58</v>
      </c>
      <c r="C131">
        <v>132</v>
      </c>
      <c r="D131" s="7">
        <v>46090</v>
      </c>
      <c r="E131" s="7" t="s">
        <v>469</v>
      </c>
      <c r="F131" s="10" t="s">
        <v>470</v>
      </c>
      <c r="G131" s="36" t="s">
        <v>139</v>
      </c>
      <c r="H131" s="36" t="s">
        <v>139</v>
      </c>
      <c r="I131" s="36" t="s">
        <v>139</v>
      </c>
      <c r="J131" s="36" t="s">
        <v>139</v>
      </c>
      <c r="K131" s="36" t="s">
        <v>471</v>
      </c>
      <c r="L131" s="36" t="s">
        <v>139</v>
      </c>
      <c r="M131" s="36" t="s">
        <v>139</v>
      </c>
      <c r="N131" s="36" t="s">
        <v>139</v>
      </c>
      <c r="O131" s="116" t="s">
        <v>139</v>
      </c>
      <c r="P131" s="36" t="s">
        <v>139</v>
      </c>
      <c r="Q131" s="36" t="s">
        <v>139</v>
      </c>
      <c r="R131" s="36" t="s">
        <v>139</v>
      </c>
      <c r="S131" s="36" t="s">
        <v>471</v>
      </c>
      <c r="T131" s="36" t="s">
        <v>471</v>
      </c>
      <c r="U131" s="36" t="s">
        <v>139</v>
      </c>
      <c r="V131" s="36" t="s">
        <v>139</v>
      </c>
      <c r="W131" s="36" t="s">
        <v>139</v>
      </c>
      <c r="X131" s="36" t="s">
        <v>471</v>
      </c>
      <c r="Y131" s="36" t="s">
        <v>139</v>
      </c>
      <c r="Z131" s="36" t="s">
        <v>139</v>
      </c>
      <c r="AA131" s="36" t="s">
        <v>139</v>
      </c>
      <c r="AB131" s="36" t="s">
        <v>139</v>
      </c>
      <c r="AC131" s="116" t="s">
        <v>471</v>
      </c>
      <c r="AD131" s="36" t="s">
        <v>139</v>
      </c>
      <c r="AE131" s="116" t="s">
        <v>139</v>
      </c>
      <c r="AF131" s="36" t="s">
        <v>139</v>
      </c>
      <c r="AG131" s="36" t="s">
        <v>471</v>
      </c>
      <c r="AH131" s="116" t="s">
        <v>139</v>
      </c>
      <c r="AI131" s="36" t="s">
        <v>139</v>
      </c>
      <c r="AJ131" s="36" t="s">
        <v>139</v>
      </c>
      <c r="AK131" s="116" t="s">
        <v>139</v>
      </c>
      <c r="AL131" s="36" t="s">
        <v>139</v>
      </c>
      <c r="AM131" s="36" t="s">
        <v>471</v>
      </c>
      <c r="AN131" s="36" t="s">
        <v>139</v>
      </c>
      <c r="AO131" s="116" t="s">
        <v>139</v>
      </c>
      <c r="AP131" s="116" t="s">
        <v>139</v>
      </c>
      <c r="AQ131" s="116" t="s">
        <v>471</v>
      </c>
      <c r="AR131" s="116" t="s">
        <v>139</v>
      </c>
      <c r="AS131" s="116" t="s">
        <v>471</v>
      </c>
      <c r="AT131" s="116" t="s">
        <v>471</v>
      </c>
      <c r="AU131" s="116" t="s">
        <v>139</v>
      </c>
      <c r="AV131" s="116" t="s">
        <v>139</v>
      </c>
      <c r="AW131" s="116" t="s">
        <v>139</v>
      </c>
      <c r="AX131" s="116"/>
      <c r="AY131" s="118">
        <f t="shared" si="4"/>
        <v>33</v>
      </c>
      <c r="AZ131" s="118"/>
      <c r="BA131" s="118" t="s">
        <v>480</v>
      </c>
    </row>
    <row r="132" spans="1:53" x14ac:dyDescent="0.25">
      <c r="A132">
        <v>121</v>
      </c>
      <c r="B132">
        <v>1331</v>
      </c>
      <c r="C132">
        <v>133</v>
      </c>
      <c r="D132" s="7">
        <v>46091</v>
      </c>
      <c r="E132" s="7" t="s">
        <v>436</v>
      </c>
      <c r="F132" s="10" t="s">
        <v>435</v>
      </c>
      <c r="G132" s="36"/>
      <c r="H132" s="36" t="s">
        <v>139</v>
      </c>
      <c r="I132" s="36"/>
      <c r="J132" s="36"/>
      <c r="K132" s="36"/>
      <c r="L132" s="36" t="s">
        <v>139</v>
      </c>
      <c r="M132" s="36"/>
      <c r="N132" s="36"/>
      <c r="O132" s="116"/>
      <c r="P132" s="36"/>
      <c r="Q132" s="36"/>
      <c r="R132" s="36"/>
      <c r="S132" s="36"/>
      <c r="T132" s="36"/>
      <c r="U132" s="36" t="s">
        <v>139</v>
      </c>
      <c r="V132" s="36"/>
      <c r="W132" s="36"/>
      <c r="X132" s="36"/>
      <c r="Y132" s="36"/>
      <c r="Z132" s="36" t="s">
        <v>139</v>
      </c>
      <c r="AA132" s="36"/>
      <c r="AB132" s="36"/>
      <c r="AC132" s="116"/>
      <c r="AD132" s="36" t="s">
        <v>139</v>
      </c>
      <c r="AE132" s="116"/>
      <c r="AF132" s="36" t="s">
        <v>139</v>
      </c>
      <c r="AG132" s="36"/>
      <c r="AH132" s="116"/>
      <c r="AI132" s="36"/>
      <c r="AJ132" s="36"/>
      <c r="AK132" s="116" t="s">
        <v>139</v>
      </c>
      <c r="AL132" s="36"/>
      <c r="AM132" s="36"/>
      <c r="AN132" s="36"/>
      <c r="AO132" s="116"/>
      <c r="AP132" s="116"/>
      <c r="AQ132" s="116"/>
      <c r="AR132" s="116" t="s">
        <v>139</v>
      </c>
      <c r="AS132" s="116"/>
      <c r="AT132" s="116"/>
      <c r="AU132" s="116" t="s">
        <v>139</v>
      </c>
      <c r="AV132" s="116"/>
      <c r="AW132" s="116" t="s">
        <v>139</v>
      </c>
      <c r="AX132" s="116"/>
      <c r="AY132" s="118">
        <f t="shared" si="4"/>
        <v>10</v>
      </c>
      <c r="AZ132" s="118"/>
      <c r="BA132" s="118" t="s">
        <v>479</v>
      </c>
    </row>
    <row r="133" spans="1:53" x14ac:dyDescent="0.25">
      <c r="A133">
        <v>122</v>
      </c>
      <c r="B133">
        <v>1332</v>
      </c>
      <c r="C133">
        <v>134</v>
      </c>
      <c r="D133" s="7">
        <v>46091</v>
      </c>
      <c r="E133" s="7" t="s">
        <v>438</v>
      </c>
      <c r="F133" s="10" t="s">
        <v>437</v>
      </c>
      <c r="G133" s="36"/>
      <c r="H133" s="36" t="s">
        <v>139</v>
      </c>
      <c r="I133" s="36"/>
      <c r="J133" s="36" t="s">
        <v>139</v>
      </c>
      <c r="K133" s="36"/>
      <c r="L133" s="36" t="s">
        <v>139</v>
      </c>
      <c r="M133" s="36"/>
      <c r="N133" s="36"/>
      <c r="O133" s="116"/>
      <c r="P133" s="36" t="s">
        <v>139</v>
      </c>
      <c r="Q133" s="36"/>
      <c r="R133" s="36"/>
      <c r="S133" s="36"/>
      <c r="T133" s="36"/>
      <c r="U133" s="36" t="s">
        <v>139</v>
      </c>
      <c r="V133" s="36"/>
      <c r="W133" s="36"/>
      <c r="X133" s="36"/>
      <c r="Y133" s="36"/>
      <c r="Z133" s="36" t="s">
        <v>139</v>
      </c>
      <c r="AA133" s="36"/>
      <c r="AB133" s="36"/>
      <c r="AC133" s="116"/>
      <c r="AD133" s="36"/>
      <c r="AE133" s="116"/>
      <c r="AF133" s="36"/>
      <c r="AG133" s="36"/>
      <c r="AH133" s="116"/>
      <c r="AI133" s="36"/>
      <c r="AJ133" s="36"/>
      <c r="AK133" s="116"/>
      <c r="AL133" s="36"/>
      <c r="AM133" s="36"/>
      <c r="AN133" s="36"/>
      <c r="AO133" s="116"/>
      <c r="AP133" s="116"/>
      <c r="AQ133" s="116" t="s">
        <v>139</v>
      </c>
      <c r="AR133" s="116"/>
      <c r="AS133" s="116"/>
      <c r="AT133" s="116"/>
      <c r="AU133" s="116" t="s">
        <v>139</v>
      </c>
      <c r="AV133" s="116"/>
      <c r="AW133" s="116"/>
      <c r="AX133" s="116"/>
      <c r="AY133" s="118">
        <f t="shared" si="4"/>
        <v>8</v>
      </c>
      <c r="AZ133" s="118"/>
      <c r="BA133" s="118" t="s">
        <v>479</v>
      </c>
    </row>
    <row r="134" spans="1:53" x14ac:dyDescent="0.25">
      <c r="A134">
        <v>123</v>
      </c>
      <c r="B134">
        <v>1333</v>
      </c>
      <c r="C134">
        <v>135</v>
      </c>
      <c r="D134" s="7">
        <v>46091</v>
      </c>
      <c r="E134" s="7" t="s">
        <v>441</v>
      </c>
      <c r="F134" s="10" t="s">
        <v>439</v>
      </c>
      <c r="G134" s="36"/>
      <c r="H134" s="36" t="s">
        <v>139</v>
      </c>
      <c r="I134" s="36" t="s">
        <v>139</v>
      </c>
      <c r="J134" s="36" t="s">
        <v>139</v>
      </c>
      <c r="K134" s="36" t="s">
        <v>139</v>
      </c>
      <c r="L134" s="36"/>
      <c r="M134" s="36"/>
      <c r="N134" s="36"/>
      <c r="O134" s="116"/>
      <c r="P134" s="36" t="s">
        <v>139</v>
      </c>
      <c r="Q134" s="36"/>
      <c r="R134" s="36"/>
      <c r="S134" s="36"/>
      <c r="T134" s="36"/>
      <c r="U134" s="36"/>
      <c r="V134" s="36"/>
      <c r="W134" s="36"/>
      <c r="X134" s="36" t="s">
        <v>139</v>
      </c>
      <c r="Y134" s="36"/>
      <c r="Z134" s="36"/>
      <c r="AA134" s="36"/>
      <c r="AB134" s="36" t="s">
        <v>139</v>
      </c>
      <c r="AC134" s="116"/>
      <c r="AD134" s="36"/>
      <c r="AE134" s="116"/>
      <c r="AF134" s="36" t="s">
        <v>139</v>
      </c>
      <c r="AG134" s="36"/>
      <c r="AH134" s="116"/>
      <c r="AI134" s="36"/>
      <c r="AJ134" s="36"/>
      <c r="AK134" s="116" t="s">
        <v>139</v>
      </c>
      <c r="AL134" s="36" t="s">
        <v>139</v>
      </c>
      <c r="AM134" s="36" t="s">
        <v>139</v>
      </c>
      <c r="AN134" s="36"/>
      <c r="AO134" s="116"/>
      <c r="AP134" s="116" t="s">
        <v>139</v>
      </c>
      <c r="AQ134" s="116"/>
      <c r="AR134" s="116"/>
      <c r="AS134" s="116"/>
      <c r="AT134" s="116"/>
      <c r="AU134" s="116" t="s">
        <v>139</v>
      </c>
      <c r="AV134" s="116"/>
      <c r="AW134" s="116"/>
      <c r="AX134" s="116"/>
      <c r="AY134" s="118">
        <f t="shared" si="4"/>
        <v>13</v>
      </c>
      <c r="AZ134" s="118"/>
      <c r="BA134" s="118" t="s">
        <v>479</v>
      </c>
    </row>
    <row r="135" spans="1:53" x14ac:dyDescent="0.25">
      <c r="A135">
        <v>124</v>
      </c>
      <c r="B135">
        <v>1334</v>
      </c>
      <c r="C135">
        <v>136</v>
      </c>
      <c r="D135" s="7">
        <v>46092</v>
      </c>
      <c r="E135" s="7" t="s">
        <v>443</v>
      </c>
      <c r="F135" s="10" t="s">
        <v>442</v>
      </c>
      <c r="G135" s="36"/>
      <c r="H135" s="36" t="s">
        <v>139</v>
      </c>
      <c r="I135" s="36"/>
      <c r="J135" s="36" t="s">
        <v>139</v>
      </c>
      <c r="K135" s="36"/>
      <c r="L135" s="36"/>
      <c r="M135" s="36"/>
      <c r="N135" s="36"/>
      <c r="O135" s="116"/>
      <c r="P135" s="36" t="s">
        <v>139</v>
      </c>
      <c r="Q135" s="36"/>
      <c r="R135" s="36"/>
      <c r="S135" s="36"/>
      <c r="T135" s="36"/>
      <c r="U135" s="36" t="s">
        <v>139</v>
      </c>
      <c r="V135" s="36"/>
      <c r="W135" s="36"/>
      <c r="X135" s="36"/>
      <c r="Y135" s="36"/>
      <c r="Z135" s="36"/>
      <c r="AA135" s="36"/>
      <c r="AB135" s="36" t="s">
        <v>139</v>
      </c>
      <c r="AC135" s="116"/>
      <c r="AD135" s="36"/>
      <c r="AE135" s="116"/>
      <c r="AF135" s="36" t="s">
        <v>139</v>
      </c>
      <c r="AG135" s="36"/>
      <c r="AH135" s="116"/>
      <c r="AI135" s="36"/>
      <c r="AJ135" s="36"/>
      <c r="AK135" s="116"/>
      <c r="AL135" s="36"/>
      <c r="AM135" s="36" t="s">
        <v>139</v>
      </c>
      <c r="AN135" s="36"/>
      <c r="AO135" s="116" t="s">
        <v>139</v>
      </c>
      <c r="AP135" s="116" t="s">
        <v>139</v>
      </c>
      <c r="AQ135" s="116" t="s">
        <v>139</v>
      </c>
      <c r="AR135" s="116"/>
      <c r="AS135" s="116"/>
      <c r="AT135" s="116"/>
      <c r="AU135" s="116"/>
      <c r="AV135" s="116" t="s">
        <v>139</v>
      </c>
      <c r="AW135" s="116"/>
      <c r="AX135" s="116"/>
      <c r="AY135" s="118">
        <f t="shared" si="4"/>
        <v>11</v>
      </c>
      <c r="AZ135" s="118"/>
      <c r="BA135" s="118" t="s">
        <v>479</v>
      </c>
    </row>
    <row r="136" spans="1:53" x14ac:dyDescent="0.25">
      <c r="A136">
        <v>125</v>
      </c>
      <c r="B136">
        <v>1335</v>
      </c>
      <c r="C136">
        <v>137</v>
      </c>
      <c r="D136" s="7">
        <v>46092</v>
      </c>
      <c r="E136" s="7" t="s">
        <v>445</v>
      </c>
      <c r="F136" s="10" t="s">
        <v>444</v>
      </c>
      <c r="G136" s="36"/>
      <c r="H136" s="36" t="s">
        <v>139</v>
      </c>
      <c r="I136" s="36" t="s">
        <v>139</v>
      </c>
      <c r="J136" s="36" t="s">
        <v>139</v>
      </c>
      <c r="K136" s="36" t="s">
        <v>139</v>
      </c>
      <c r="L136" s="36" t="s">
        <v>139</v>
      </c>
      <c r="M136" s="36"/>
      <c r="N136" s="36" t="s">
        <v>139</v>
      </c>
      <c r="O136" s="116" t="s">
        <v>139</v>
      </c>
      <c r="P136" s="36"/>
      <c r="Q136" s="36"/>
      <c r="R136" s="36"/>
      <c r="S136" s="36"/>
      <c r="T136" s="36"/>
      <c r="U136" s="36" t="s">
        <v>139</v>
      </c>
      <c r="V136" s="36"/>
      <c r="W136" s="36"/>
      <c r="X136" s="36" t="s">
        <v>139</v>
      </c>
      <c r="Y136" s="36"/>
      <c r="Z136" s="36" t="s">
        <v>139</v>
      </c>
      <c r="AA136" s="36"/>
      <c r="AB136" s="36" t="s">
        <v>139</v>
      </c>
      <c r="AC136" s="116" t="s">
        <v>139</v>
      </c>
      <c r="AD136" s="36" t="s">
        <v>139</v>
      </c>
      <c r="AE136" s="116"/>
      <c r="AF136" s="36" t="s">
        <v>139</v>
      </c>
      <c r="AG136" s="36"/>
      <c r="AH136" s="116"/>
      <c r="AI136" s="36"/>
      <c r="AJ136" s="36" t="s">
        <v>139</v>
      </c>
      <c r="AK136" s="116"/>
      <c r="AL136" s="36" t="s">
        <v>139</v>
      </c>
      <c r="AM136" s="36" t="s">
        <v>139</v>
      </c>
      <c r="AN136" s="36"/>
      <c r="AO136" s="116" t="s">
        <v>139</v>
      </c>
      <c r="AP136" s="116" t="s">
        <v>139</v>
      </c>
      <c r="AQ136" s="116"/>
      <c r="AR136" s="116"/>
      <c r="AS136" s="116"/>
      <c r="AT136" s="116"/>
      <c r="AU136" s="116" t="s">
        <v>139</v>
      </c>
      <c r="AV136" s="116"/>
      <c r="AW136" s="116"/>
      <c r="AX136" s="116"/>
      <c r="AY136" s="118">
        <f t="shared" ref="AY136:AY143" si="5">COUNTIF($F136:$AX136, "I")</f>
        <v>20</v>
      </c>
      <c r="AZ136" s="118"/>
      <c r="BA136" s="118" t="s">
        <v>479</v>
      </c>
    </row>
    <row r="137" spans="1:53" x14ac:dyDescent="0.25">
      <c r="A137">
        <v>126</v>
      </c>
      <c r="B137">
        <v>1336</v>
      </c>
      <c r="C137">
        <v>138</v>
      </c>
      <c r="D137" s="7">
        <v>46092</v>
      </c>
      <c r="E137" s="7" t="s">
        <v>447</v>
      </c>
      <c r="F137" s="10" t="s">
        <v>446</v>
      </c>
      <c r="G137" s="36"/>
      <c r="H137" s="36"/>
      <c r="I137" s="36" t="s">
        <v>139</v>
      </c>
      <c r="J137" s="36"/>
      <c r="K137" s="36" t="s">
        <v>139</v>
      </c>
      <c r="L137" s="36"/>
      <c r="M137" s="36"/>
      <c r="N137" s="36"/>
      <c r="O137" s="116" t="s">
        <v>139</v>
      </c>
      <c r="P137" s="36"/>
      <c r="Q137" s="36"/>
      <c r="R137" s="36"/>
      <c r="S137" s="36"/>
      <c r="T137" s="36"/>
      <c r="U137" s="36" t="s">
        <v>139</v>
      </c>
      <c r="V137" s="36"/>
      <c r="W137" s="36"/>
      <c r="X137" s="36" t="s">
        <v>139</v>
      </c>
      <c r="Y137" s="36"/>
      <c r="Z137" s="36"/>
      <c r="AA137" s="36"/>
      <c r="AB137" s="36" t="s">
        <v>139</v>
      </c>
      <c r="AC137" s="116"/>
      <c r="AD137" s="36" t="s">
        <v>139</v>
      </c>
      <c r="AE137" s="116"/>
      <c r="AF137" s="36"/>
      <c r="AG137" s="36"/>
      <c r="AH137" s="116"/>
      <c r="AI137" s="36"/>
      <c r="AJ137" s="36"/>
      <c r="AK137" s="116"/>
      <c r="AL137" s="36"/>
      <c r="AM137" s="36"/>
      <c r="AN137" s="36"/>
      <c r="AO137" s="116" t="s">
        <v>139</v>
      </c>
      <c r="AP137" s="116"/>
      <c r="AQ137" s="116"/>
      <c r="AR137" s="116"/>
      <c r="AS137" s="116"/>
      <c r="AT137" s="116"/>
      <c r="AU137" s="116" t="s">
        <v>139</v>
      </c>
      <c r="AV137" s="116"/>
      <c r="AW137" s="116"/>
      <c r="AX137" s="116" t="s">
        <v>139</v>
      </c>
      <c r="AY137" s="118">
        <f t="shared" si="5"/>
        <v>10</v>
      </c>
      <c r="AZ137" s="118"/>
      <c r="BA137" s="118" t="s">
        <v>480</v>
      </c>
    </row>
    <row r="138" spans="1:53" x14ac:dyDescent="0.25">
      <c r="A138">
        <v>127</v>
      </c>
      <c r="B138">
        <v>1337</v>
      </c>
      <c r="C138">
        <v>139</v>
      </c>
      <c r="D138" s="7">
        <v>46093</v>
      </c>
      <c r="E138" s="7" t="s">
        <v>450</v>
      </c>
      <c r="F138" s="10" t="s">
        <v>449</v>
      </c>
      <c r="G138" s="36"/>
      <c r="H138" s="36" t="s">
        <v>139</v>
      </c>
      <c r="I138" s="36"/>
      <c r="J138" s="36" t="s">
        <v>139</v>
      </c>
      <c r="K138" s="36"/>
      <c r="L138" s="36" t="s">
        <v>139</v>
      </c>
      <c r="M138" s="36"/>
      <c r="N138" s="36"/>
      <c r="O138" s="116"/>
      <c r="P138" s="36" t="s">
        <v>139</v>
      </c>
      <c r="Q138" s="36"/>
      <c r="R138" s="36"/>
      <c r="S138" s="36"/>
      <c r="T138" s="36" t="s">
        <v>139</v>
      </c>
      <c r="U138" s="36"/>
      <c r="V138" s="36"/>
      <c r="W138" s="36"/>
      <c r="X138" s="36" t="s">
        <v>139</v>
      </c>
      <c r="Y138" s="36"/>
      <c r="Z138" s="36"/>
      <c r="AA138" s="36"/>
      <c r="AB138" s="36"/>
      <c r="AC138" s="116"/>
      <c r="AD138" s="36"/>
      <c r="AE138" s="116"/>
      <c r="AF138" s="36" t="s">
        <v>139</v>
      </c>
      <c r="AG138" s="36"/>
      <c r="AH138" s="116"/>
      <c r="AI138" s="36" t="s">
        <v>139</v>
      </c>
      <c r="AJ138" s="36"/>
      <c r="AK138" s="116"/>
      <c r="AL138" s="36"/>
      <c r="AM138" s="36" t="s">
        <v>139</v>
      </c>
      <c r="AN138" s="36"/>
      <c r="AO138" s="116" t="s">
        <v>139</v>
      </c>
      <c r="AP138" s="116"/>
      <c r="AQ138" s="116"/>
      <c r="AR138" s="116"/>
      <c r="AS138" s="116"/>
      <c r="AT138" s="116"/>
      <c r="AU138" s="116"/>
      <c r="AV138" s="116" t="s">
        <v>139</v>
      </c>
      <c r="AW138" s="116"/>
      <c r="AX138" s="116"/>
      <c r="AY138" s="118">
        <f t="shared" si="5"/>
        <v>11</v>
      </c>
      <c r="AZ138" s="118"/>
      <c r="BA138" s="118" t="s">
        <v>480</v>
      </c>
    </row>
    <row r="139" spans="1:53" x14ac:dyDescent="0.25">
      <c r="A139">
        <v>128</v>
      </c>
      <c r="B139">
        <v>1338</v>
      </c>
      <c r="C139">
        <v>140</v>
      </c>
      <c r="D139" s="7">
        <v>46093</v>
      </c>
      <c r="E139" s="7" t="s">
        <v>452</v>
      </c>
      <c r="F139" s="10" t="s">
        <v>451</v>
      </c>
      <c r="G139" s="36"/>
      <c r="H139" s="36"/>
      <c r="I139" s="36"/>
      <c r="J139" s="36" t="s">
        <v>139</v>
      </c>
      <c r="K139" s="36"/>
      <c r="L139" s="36" t="s">
        <v>139</v>
      </c>
      <c r="M139" s="36"/>
      <c r="N139" s="36"/>
      <c r="O139" s="116"/>
      <c r="P139" s="36"/>
      <c r="Q139" s="36"/>
      <c r="R139" s="36"/>
      <c r="S139" s="36"/>
      <c r="T139" s="36"/>
      <c r="U139" s="36"/>
      <c r="V139" s="36"/>
      <c r="W139" s="36"/>
      <c r="X139" s="36" t="s">
        <v>139</v>
      </c>
      <c r="Y139" s="36"/>
      <c r="Z139" s="36"/>
      <c r="AA139" s="36"/>
      <c r="AB139" s="36" t="s">
        <v>139</v>
      </c>
      <c r="AC139" s="116"/>
      <c r="AD139" s="36"/>
      <c r="AE139" s="116" t="s">
        <v>139</v>
      </c>
      <c r="AF139" s="36" t="s">
        <v>139</v>
      </c>
      <c r="AG139" s="36"/>
      <c r="AH139" s="116"/>
      <c r="AI139" s="36" t="s">
        <v>139</v>
      </c>
      <c r="AJ139" s="36"/>
      <c r="AK139" s="116"/>
      <c r="AL139" s="36"/>
      <c r="AM139" s="36" t="s">
        <v>139</v>
      </c>
      <c r="AN139" s="36"/>
      <c r="AO139" s="116"/>
      <c r="AP139" s="116" t="s">
        <v>139</v>
      </c>
      <c r="AQ139" s="116"/>
      <c r="AR139" s="116" t="s">
        <v>139</v>
      </c>
      <c r="AS139" s="116"/>
      <c r="AT139" s="116"/>
      <c r="AU139" s="116"/>
      <c r="AV139" s="116" t="s">
        <v>139</v>
      </c>
      <c r="AW139" s="116"/>
      <c r="AX139" s="116"/>
      <c r="AY139" s="118">
        <f t="shared" si="5"/>
        <v>11</v>
      </c>
      <c r="AZ139" s="118"/>
      <c r="BA139" s="118" t="s">
        <v>480</v>
      </c>
    </row>
    <row r="140" spans="1:53" x14ac:dyDescent="0.25">
      <c r="A140">
        <v>129</v>
      </c>
      <c r="B140">
        <v>1339</v>
      </c>
      <c r="C140">
        <v>141</v>
      </c>
      <c r="D140" s="7">
        <v>46093</v>
      </c>
      <c r="E140" s="7" t="s">
        <v>454</v>
      </c>
      <c r="F140" s="10" t="s">
        <v>453</v>
      </c>
      <c r="G140" s="36"/>
      <c r="H140" s="36"/>
      <c r="I140" s="36" t="s">
        <v>139</v>
      </c>
      <c r="J140" s="36" t="s">
        <v>139</v>
      </c>
      <c r="K140" s="36"/>
      <c r="L140" s="36"/>
      <c r="M140" s="36"/>
      <c r="N140" s="36" t="s">
        <v>139</v>
      </c>
      <c r="O140" s="116"/>
      <c r="P140" s="36"/>
      <c r="Q140" s="36"/>
      <c r="R140" s="36"/>
      <c r="S140" s="36"/>
      <c r="T140" s="36"/>
      <c r="U140" s="36"/>
      <c r="V140" s="36" t="s">
        <v>139</v>
      </c>
      <c r="W140" s="36"/>
      <c r="X140" s="36" t="s">
        <v>139</v>
      </c>
      <c r="Y140" s="36"/>
      <c r="Z140" s="36"/>
      <c r="AA140" s="36"/>
      <c r="AB140" s="36" t="s">
        <v>139</v>
      </c>
      <c r="AC140" s="116"/>
      <c r="AD140" s="36"/>
      <c r="AE140" s="116" t="s">
        <v>139</v>
      </c>
      <c r="AF140" s="36" t="s">
        <v>139</v>
      </c>
      <c r="AG140" s="36"/>
      <c r="AH140" s="116"/>
      <c r="AI140" s="36"/>
      <c r="AJ140" s="36"/>
      <c r="AK140" s="116"/>
      <c r="AL140" s="36" t="s">
        <v>139</v>
      </c>
      <c r="AM140" s="36" t="s">
        <v>139</v>
      </c>
      <c r="AN140" s="36"/>
      <c r="AO140" s="116"/>
      <c r="AP140" s="116"/>
      <c r="AQ140" s="116"/>
      <c r="AR140" s="116" t="s">
        <v>139</v>
      </c>
      <c r="AS140" s="116"/>
      <c r="AT140" s="116"/>
      <c r="AU140" s="116" t="s">
        <v>139</v>
      </c>
      <c r="AV140" s="116" t="s">
        <v>139</v>
      </c>
      <c r="AW140" s="116"/>
      <c r="AX140" s="116"/>
      <c r="AY140" s="118">
        <f t="shared" si="5"/>
        <v>13</v>
      </c>
      <c r="AZ140" s="118"/>
      <c r="BA140" s="118" t="s">
        <v>479</v>
      </c>
    </row>
    <row r="141" spans="1:53" x14ac:dyDescent="0.25">
      <c r="A141">
        <v>130</v>
      </c>
      <c r="B141">
        <v>1340</v>
      </c>
      <c r="C141">
        <v>142</v>
      </c>
      <c r="D141" s="7">
        <v>46094</v>
      </c>
      <c r="E141" s="7" t="s">
        <v>456</v>
      </c>
      <c r="F141" s="10" t="s">
        <v>455</v>
      </c>
      <c r="G141" s="36" t="s">
        <v>139</v>
      </c>
      <c r="H141" s="36" t="s">
        <v>139</v>
      </c>
      <c r="I141" s="36"/>
      <c r="J141" s="36" t="s">
        <v>139</v>
      </c>
      <c r="K141" s="36"/>
      <c r="L141" s="36"/>
      <c r="M141" s="36"/>
      <c r="N141" s="36" t="s">
        <v>139</v>
      </c>
      <c r="O141" s="116"/>
      <c r="P141" s="36" t="s">
        <v>139</v>
      </c>
      <c r="Q141" s="36"/>
      <c r="R141" s="36"/>
      <c r="S141" s="36"/>
      <c r="T141" s="36"/>
      <c r="U141" s="36" t="s">
        <v>139</v>
      </c>
      <c r="V141" s="36" t="s">
        <v>139</v>
      </c>
      <c r="W141" s="36"/>
      <c r="X141" s="36" t="s">
        <v>139</v>
      </c>
      <c r="Y141" s="36"/>
      <c r="Z141" s="36"/>
      <c r="AA141" s="36"/>
      <c r="AB141" s="36" t="s">
        <v>139</v>
      </c>
      <c r="AC141" s="116"/>
      <c r="AD141" s="36"/>
      <c r="AE141" s="116" t="s">
        <v>139</v>
      </c>
      <c r="AF141" s="36"/>
      <c r="AG141" s="36"/>
      <c r="AH141" s="116"/>
      <c r="AI141" s="36"/>
      <c r="AJ141" s="36" t="s">
        <v>139</v>
      </c>
      <c r="AK141" s="116" t="s">
        <v>139</v>
      </c>
      <c r="AL141" s="36"/>
      <c r="AM141" s="36" t="s">
        <v>139</v>
      </c>
      <c r="AN141" s="36"/>
      <c r="AO141" s="116"/>
      <c r="AP141" s="116"/>
      <c r="AQ141" s="116"/>
      <c r="AR141" s="116"/>
      <c r="AS141" s="116"/>
      <c r="AT141" s="116"/>
      <c r="AU141" s="116" t="s">
        <v>139</v>
      </c>
      <c r="AV141" s="116" t="s">
        <v>139</v>
      </c>
      <c r="AW141" s="116"/>
      <c r="AX141" s="116"/>
      <c r="AY141" s="118">
        <f t="shared" si="5"/>
        <v>15</v>
      </c>
      <c r="AZ141" s="118"/>
      <c r="BA141" s="118" t="s">
        <v>480</v>
      </c>
    </row>
    <row r="142" spans="1:53" x14ac:dyDescent="0.25">
      <c r="A142">
        <v>131</v>
      </c>
      <c r="B142">
        <v>1341</v>
      </c>
      <c r="C142">
        <v>143</v>
      </c>
      <c r="D142" s="7">
        <v>46094</v>
      </c>
      <c r="E142" s="7" t="s">
        <v>629</v>
      </c>
      <c r="F142" s="10" t="s">
        <v>457</v>
      </c>
      <c r="G142" s="36" t="s">
        <v>139</v>
      </c>
      <c r="H142" s="36" t="s">
        <v>139</v>
      </c>
      <c r="I142" s="36"/>
      <c r="J142" s="36" t="s">
        <v>139</v>
      </c>
      <c r="K142" s="36"/>
      <c r="L142" s="36"/>
      <c r="M142" s="36"/>
      <c r="N142" s="36" t="s">
        <v>139</v>
      </c>
      <c r="O142" s="116"/>
      <c r="P142" s="36" t="s">
        <v>139</v>
      </c>
      <c r="Q142" s="36"/>
      <c r="R142" s="36"/>
      <c r="S142" s="36"/>
      <c r="T142" s="36"/>
      <c r="U142" s="36" t="s">
        <v>139</v>
      </c>
      <c r="V142" s="36" t="s">
        <v>139</v>
      </c>
      <c r="W142" s="36"/>
      <c r="X142" s="36" t="s">
        <v>139</v>
      </c>
      <c r="Y142" s="36"/>
      <c r="Z142" s="36"/>
      <c r="AA142" s="36"/>
      <c r="AB142" s="36"/>
      <c r="AC142" s="116"/>
      <c r="AD142" s="36"/>
      <c r="AE142" s="116" t="s">
        <v>139</v>
      </c>
      <c r="AF142" s="36" t="s">
        <v>139</v>
      </c>
      <c r="AG142" s="36"/>
      <c r="AH142" s="116"/>
      <c r="AI142" s="36"/>
      <c r="AJ142" s="36" t="s">
        <v>139</v>
      </c>
      <c r="AK142" s="116" t="s">
        <v>139</v>
      </c>
      <c r="AL142" s="36"/>
      <c r="AM142" s="36"/>
      <c r="AN142" s="36"/>
      <c r="AO142" s="116" t="s">
        <v>139</v>
      </c>
      <c r="AP142" s="116"/>
      <c r="AQ142" s="116"/>
      <c r="AR142" s="116" t="s">
        <v>139</v>
      </c>
      <c r="AS142" s="116"/>
      <c r="AT142" s="116"/>
      <c r="AU142" s="116" t="s">
        <v>139</v>
      </c>
      <c r="AV142" s="116"/>
      <c r="AW142" s="116"/>
      <c r="AX142" s="116"/>
      <c r="AY142" s="118">
        <f t="shared" si="5"/>
        <v>15</v>
      </c>
      <c r="AZ142" s="118"/>
      <c r="BA142" s="118" t="s">
        <v>480</v>
      </c>
    </row>
    <row r="143" spans="1:53" x14ac:dyDescent="0.25">
      <c r="A143" s="166">
        <v>132</v>
      </c>
      <c r="B143" s="166">
        <v>1342</v>
      </c>
      <c r="C143">
        <v>144</v>
      </c>
      <c r="D143" s="173">
        <v>46094</v>
      </c>
      <c r="E143" s="7" t="s">
        <v>460</v>
      </c>
      <c r="F143" s="171" t="s">
        <v>459</v>
      </c>
      <c r="G143" s="175" t="s">
        <v>139</v>
      </c>
      <c r="H143" s="175"/>
      <c r="I143" s="175"/>
      <c r="J143" s="175" t="s">
        <v>139</v>
      </c>
      <c r="K143" s="175"/>
      <c r="L143" s="175" t="s">
        <v>139</v>
      </c>
      <c r="M143" s="36"/>
      <c r="N143" s="36" t="s">
        <v>139</v>
      </c>
      <c r="O143" s="116"/>
      <c r="P143" s="175" t="s">
        <v>139</v>
      </c>
      <c r="Q143" s="175"/>
      <c r="R143" s="175"/>
      <c r="S143" s="36"/>
      <c r="T143" s="175"/>
      <c r="U143" s="175"/>
      <c r="V143" s="175"/>
      <c r="W143" s="175"/>
      <c r="X143" s="175" t="s">
        <v>139</v>
      </c>
      <c r="Y143" s="175"/>
      <c r="Z143" s="36"/>
      <c r="AA143" s="36"/>
      <c r="AB143" s="36"/>
      <c r="AC143" s="116"/>
      <c r="AD143" s="175"/>
      <c r="AE143" s="116"/>
      <c r="AF143" s="175" t="s">
        <v>139</v>
      </c>
      <c r="AG143" s="175"/>
      <c r="AH143" s="116"/>
      <c r="AI143" s="175"/>
      <c r="AJ143" s="175" t="s">
        <v>139</v>
      </c>
      <c r="AK143" s="116" t="s">
        <v>139</v>
      </c>
      <c r="AL143" s="36"/>
      <c r="AM143" s="175"/>
      <c r="AN143" s="36"/>
      <c r="AO143" s="116" t="s">
        <v>139</v>
      </c>
      <c r="AP143" s="116"/>
      <c r="AQ143" s="116"/>
      <c r="AR143" s="116" t="s">
        <v>139</v>
      </c>
      <c r="AS143" s="116"/>
      <c r="AT143" s="176"/>
      <c r="AU143" s="116" t="s">
        <v>139</v>
      </c>
      <c r="AV143" s="116"/>
      <c r="AW143" s="116"/>
      <c r="AX143" s="116"/>
      <c r="AY143" s="179">
        <f t="shared" si="5"/>
        <v>12</v>
      </c>
      <c r="AZ143" s="180"/>
      <c r="BA143" s="118" t="s">
        <v>480</v>
      </c>
    </row>
    <row r="144" spans="1:53" x14ac:dyDescent="0.25">
      <c r="A144" s="166">
        <v>133</v>
      </c>
      <c r="B144" s="166">
        <v>1343</v>
      </c>
      <c r="C144">
        <v>145</v>
      </c>
      <c r="D144" s="173">
        <v>46095</v>
      </c>
      <c r="E144" s="7" t="s">
        <v>628</v>
      </c>
      <c r="F144" s="171" t="s">
        <v>627</v>
      </c>
      <c r="G144" s="175" t="s">
        <v>139</v>
      </c>
      <c r="H144" s="175"/>
      <c r="I144" s="175"/>
      <c r="J144" s="175"/>
      <c r="K144" s="175"/>
      <c r="L144" s="175"/>
      <c r="M144" s="36"/>
      <c r="N144" s="36" t="s">
        <v>139</v>
      </c>
      <c r="O144" s="116" t="s">
        <v>139</v>
      </c>
      <c r="P144" s="175" t="s">
        <v>139</v>
      </c>
      <c r="Q144" s="175"/>
      <c r="R144" s="175" t="s">
        <v>139</v>
      </c>
      <c r="S144" s="36"/>
      <c r="T144" s="175"/>
      <c r="U144" s="175"/>
      <c r="V144" s="175" t="s">
        <v>139</v>
      </c>
      <c r="W144" s="175"/>
      <c r="X144" s="175"/>
      <c r="Y144" s="175"/>
      <c r="Z144" s="36" t="s">
        <v>139</v>
      </c>
      <c r="AA144" s="36" t="s">
        <v>139</v>
      </c>
      <c r="AB144" s="36" t="s">
        <v>139</v>
      </c>
      <c r="AC144" s="116"/>
      <c r="AD144" s="175" t="s">
        <v>139</v>
      </c>
      <c r="AE144" s="116"/>
      <c r="AF144" s="175"/>
      <c r="AG144" s="175" t="s">
        <v>139</v>
      </c>
      <c r="AH144" s="116" t="s">
        <v>139</v>
      </c>
      <c r="AI144" s="175"/>
      <c r="AJ144" s="175"/>
      <c r="AK144" s="116" t="s">
        <v>139</v>
      </c>
      <c r="AL144" s="36"/>
      <c r="AM144" s="175"/>
      <c r="AN144" s="36"/>
      <c r="AO144" s="116" t="s">
        <v>139</v>
      </c>
      <c r="AP144" s="116"/>
      <c r="AQ144" s="116"/>
      <c r="AR144" s="116" t="s">
        <v>139</v>
      </c>
      <c r="AS144" s="116" t="s">
        <v>139</v>
      </c>
      <c r="AT144" s="176"/>
      <c r="AU144" s="116" t="s">
        <v>139</v>
      </c>
      <c r="AV144" s="116"/>
      <c r="AW144" s="116"/>
      <c r="AX144" s="116"/>
      <c r="AY144" s="179">
        <f>COUNTIF($F144:$AX144, "I")</f>
        <v>17</v>
      </c>
      <c r="AZ144" s="180"/>
      <c r="BA144" s="118" t="s">
        <v>480</v>
      </c>
    </row>
    <row r="145" spans="4:52" x14ac:dyDescent="0.25">
      <c r="D145" s="7"/>
      <c r="E145" s="7"/>
      <c r="F145" s="10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116"/>
      <c r="AR145" s="116"/>
      <c r="AS145" s="116"/>
      <c r="AT145" s="116"/>
      <c r="AU145" s="116"/>
      <c r="AV145" s="116"/>
      <c r="AW145" s="116"/>
      <c r="AX145" s="116"/>
      <c r="AZ145" s="118"/>
    </row>
    <row r="146" spans="4:52" x14ac:dyDescent="0.25"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 s="68"/>
      <c r="AR146" s="68"/>
      <c r="AS146" s="68"/>
      <c r="AT146" s="68"/>
      <c r="AU146" s="68"/>
      <c r="AV146" s="68"/>
      <c r="AW146" s="68"/>
      <c r="AX146" s="68"/>
    </row>
    <row r="147" spans="4:52" x14ac:dyDescent="0.25"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s="68"/>
      <c r="AR147" s="68"/>
      <c r="AS147" s="68"/>
      <c r="AT147" s="68"/>
      <c r="AU147" s="68"/>
      <c r="AV147" s="68"/>
      <c r="AW147" s="68"/>
      <c r="AX147" s="68"/>
    </row>
    <row r="148" spans="4:52" x14ac:dyDescent="0.25"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 s="68"/>
      <c r="AR148" s="68"/>
      <c r="AS148" s="68"/>
      <c r="AT148" s="68"/>
      <c r="AU148" s="68"/>
      <c r="AV148" s="68"/>
      <c r="AW148" s="68"/>
      <c r="AX148" s="68"/>
    </row>
    <row r="149" spans="4:52" x14ac:dyDescent="0.25"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 s="68"/>
      <c r="AR149" s="68"/>
      <c r="AS149" s="68"/>
      <c r="AT149" s="68"/>
      <c r="AU149" s="68"/>
      <c r="AV149" s="68"/>
      <c r="AW149" s="68"/>
      <c r="AX149" s="68"/>
    </row>
    <row r="150" spans="4:52" x14ac:dyDescent="0.25"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 s="68"/>
      <c r="AR150" s="68"/>
      <c r="AS150" s="68"/>
      <c r="AT150" s="68"/>
      <c r="AU150" s="68"/>
      <c r="AV150" s="68"/>
      <c r="AW150" s="68"/>
      <c r="AX150" s="68"/>
    </row>
    <row r="151" spans="4:52" x14ac:dyDescent="0.25"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s="68"/>
      <c r="AR151" s="68"/>
      <c r="AS151" s="68"/>
      <c r="AT151" s="68"/>
      <c r="AU151" s="68"/>
      <c r="AV151" s="68"/>
      <c r="AW151" s="68"/>
      <c r="AX151" s="68"/>
    </row>
    <row r="152" spans="4:52" x14ac:dyDescent="0.25"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 s="68"/>
      <c r="AR152" s="68"/>
      <c r="AS152" s="68"/>
      <c r="AT152" s="68"/>
      <c r="AU152" s="68"/>
      <c r="AV152" s="68"/>
      <c r="AW152" s="68"/>
      <c r="AX152" s="68"/>
    </row>
    <row r="153" spans="4:52" x14ac:dyDescent="0.25"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s="68"/>
      <c r="AR153" s="68"/>
      <c r="AS153" s="68"/>
      <c r="AT153" s="68"/>
      <c r="AU153" s="68"/>
      <c r="AV153" s="68"/>
      <c r="AW153" s="68"/>
      <c r="AX153" s="68"/>
    </row>
    <row r="154" spans="4:52" x14ac:dyDescent="0.25"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 s="68"/>
      <c r="AR154" s="68"/>
      <c r="AS154" s="68"/>
      <c r="AT154" s="68"/>
      <c r="AU154" s="68"/>
      <c r="AV154" s="68"/>
      <c r="AW154" s="68"/>
      <c r="AX154" s="68"/>
    </row>
    <row r="155" spans="4:52" x14ac:dyDescent="0.25"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s="68"/>
      <c r="AR155" s="68"/>
      <c r="AS155" s="68"/>
      <c r="AT155" s="68"/>
      <c r="AU155" s="68"/>
      <c r="AV155" s="68"/>
      <c r="AW155" s="68"/>
      <c r="AX155" s="68"/>
    </row>
    <row r="156" spans="4:52" x14ac:dyDescent="0.25"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s="68"/>
      <c r="AR156" s="68"/>
      <c r="AS156" s="68"/>
      <c r="AT156" s="68"/>
      <c r="AU156" s="68"/>
      <c r="AV156" s="68"/>
      <c r="AW156" s="68"/>
      <c r="AX156" s="68"/>
    </row>
    <row r="157" spans="4:52" x14ac:dyDescent="0.25"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s="68"/>
      <c r="AR157" s="68"/>
      <c r="AS157" s="68"/>
      <c r="AT157" s="68"/>
      <c r="AU157" s="68"/>
      <c r="AV157" s="68"/>
      <c r="AW157" s="68"/>
      <c r="AX157" s="68"/>
    </row>
    <row r="158" spans="4:52" x14ac:dyDescent="0.25"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 s="68"/>
      <c r="AR158" s="68"/>
      <c r="AS158" s="68"/>
      <c r="AT158" s="68"/>
      <c r="AU158" s="68"/>
      <c r="AV158" s="68"/>
      <c r="AW158" s="68"/>
      <c r="AX158" s="68"/>
    </row>
    <row r="159" spans="4:52" x14ac:dyDescent="0.25"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s="68"/>
      <c r="AR159" s="68"/>
      <c r="AS159" s="68"/>
      <c r="AT159" s="68"/>
      <c r="AU159" s="68"/>
      <c r="AV159" s="68"/>
      <c r="AW159" s="68"/>
      <c r="AX159" s="68"/>
    </row>
    <row r="160" spans="4:52" x14ac:dyDescent="0.25"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 s="68"/>
      <c r="AR160" s="68"/>
      <c r="AS160" s="68"/>
      <c r="AT160" s="68"/>
      <c r="AU160" s="68"/>
      <c r="AV160" s="68"/>
      <c r="AW160" s="68"/>
      <c r="AX160" s="68"/>
    </row>
    <row r="161" spans="7:50" x14ac:dyDescent="0.25"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 s="68"/>
      <c r="AR161" s="68"/>
      <c r="AS161" s="68"/>
      <c r="AT161" s="68"/>
      <c r="AU161" s="68"/>
      <c r="AV161" s="68"/>
      <c r="AW161" s="68"/>
      <c r="AX161" s="68"/>
    </row>
    <row r="162" spans="7:50" x14ac:dyDescent="0.25"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 s="68"/>
      <c r="AR162" s="68"/>
      <c r="AS162" s="68"/>
      <c r="AT162" s="68"/>
      <c r="AU162" s="68"/>
      <c r="AV162" s="68"/>
      <c r="AW162" s="68"/>
      <c r="AX162" s="68"/>
    </row>
    <row r="163" spans="7:50" x14ac:dyDescent="0.25"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 s="68"/>
      <c r="AR163" s="68"/>
      <c r="AS163" s="68"/>
      <c r="AT163" s="68"/>
      <c r="AU163" s="68"/>
      <c r="AV163" s="68"/>
      <c r="AW163" s="68"/>
      <c r="AX163" s="68"/>
    </row>
    <row r="164" spans="7:50" x14ac:dyDescent="0.25"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 s="68"/>
      <c r="AR164" s="68"/>
      <c r="AS164" s="68"/>
      <c r="AT164" s="68"/>
      <c r="AU164" s="68"/>
      <c r="AV164" s="68"/>
      <c r="AW164" s="68"/>
      <c r="AX164" s="68"/>
    </row>
    <row r="165" spans="7:50" x14ac:dyDescent="0.25"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 s="68"/>
      <c r="AR165" s="68"/>
      <c r="AS165" s="68"/>
      <c r="AT165" s="68"/>
      <c r="AU165" s="68"/>
      <c r="AV165" s="68"/>
      <c r="AW165" s="68"/>
      <c r="AX165" s="68"/>
    </row>
    <row r="166" spans="7:50" x14ac:dyDescent="0.25"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 s="68"/>
      <c r="AR166" s="68"/>
      <c r="AS166" s="68"/>
      <c r="AT166" s="68"/>
      <c r="AU166" s="68"/>
      <c r="AV166" s="68"/>
      <c r="AW166" s="68"/>
      <c r="AX166" s="68"/>
    </row>
    <row r="167" spans="7:50" x14ac:dyDescent="0.25"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 s="68"/>
      <c r="AR167" s="68"/>
      <c r="AS167" s="68"/>
      <c r="AT167" s="68"/>
      <c r="AU167" s="68"/>
      <c r="AV167" s="68"/>
      <c r="AW167" s="68"/>
      <c r="AX167" s="68"/>
    </row>
    <row r="168" spans="7:50" x14ac:dyDescent="0.25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 s="68"/>
      <c r="AR168" s="68"/>
      <c r="AS168" s="68"/>
      <c r="AT168" s="68"/>
      <c r="AU168" s="68"/>
      <c r="AV168" s="68"/>
      <c r="AW168" s="68"/>
      <c r="AX168" s="68"/>
    </row>
    <row r="169" spans="7:50" x14ac:dyDescent="0.25"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 s="68"/>
      <c r="AR169" s="68"/>
      <c r="AS169" s="68"/>
      <c r="AT169" s="68"/>
      <c r="AU169" s="68"/>
      <c r="AV169" s="68"/>
      <c r="AW169" s="68"/>
      <c r="AX169" s="68"/>
    </row>
    <row r="170" spans="7:50" x14ac:dyDescent="0.25"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 s="68"/>
      <c r="AR170" s="68"/>
      <c r="AS170" s="68"/>
      <c r="AT170" s="68"/>
      <c r="AU170" s="68"/>
      <c r="AV170" s="68"/>
      <c r="AW170" s="68"/>
      <c r="AX170" s="68"/>
    </row>
    <row r="171" spans="7:50" x14ac:dyDescent="0.25"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 s="68"/>
      <c r="AR171" s="68"/>
      <c r="AS171" s="68"/>
      <c r="AT171" s="68"/>
      <c r="AU171" s="68"/>
      <c r="AV171" s="68"/>
      <c r="AW171" s="68"/>
      <c r="AX171" s="68"/>
    </row>
    <row r="172" spans="7:50" x14ac:dyDescent="0.25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 s="68"/>
      <c r="AR172" s="68"/>
      <c r="AS172" s="68"/>
      <c r="AT172" s="68"/>
      <c r="AU172" s="68"/>
      <c r="AV172" s="68"/>
      <c r="AW172" s="68"/>
      <c r="AX172" s="68"/>
    </row>
    <row r="173" spans="7:50" x14ac:dyDescent="0.25"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 s="68"/>
      <c r="AR173" s="68"/>
      <c r="AS173" s="68"/>
      <c r="AT173" s="68"/>
      <c r="AU173" s="68"/>
      <c r="AV173" s="68"/>
      <c r="AW173" s="68"/>
      <c r="AX173" s="68"/>
    </row>
    <row r="174" spans="7:50" x14ac:dyDescent="0.25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 s="68"/>
      <c r="AR174" s="68"/>
      <c r="AS174" s="68"/>
      <c r="AT174" s="68"/>
      <c r="AU174" s="68"/>
      <c r="AV174" s="68"/>
      <c r="AW174" s="68"/>
      <c r="AX174" s="68"/>
    </row>
    <row r="175" spans="7:50" x14ac:dyDescent="0.25"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 s="68"/>
      <c r="AR175" s="68"/>
      <c r="AS175" s="68"/>
      <c r="AT175" s="68"/>
      <c r="AU175" s="68"/>
      <c r="AV175" s="68"/>
      <c r="AW175" s="68"/>
      <c r="AX175" s="68"/>
    </row>
    <row r="176" spans="7:50" x14ac:dyDescent="0.25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 s="68"/>
      <c r="AR176" s="68"/>
      <c r="AS176" s="68"/>
      <c r="AT176" s="68"/>
      <c r="AU176" s="68"/>
      <c r="AV176" s="68"/>
      <c r="AW176" s="68"/>
      <c r="AX176" s="68"/>
    </row>
    <row r="177" spans="7:50" x14ac:dyDescent="0.25"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 s="68"/>
      <c r="AR177" s="68"/>
      <c r="AS177" s="68"/>
      <c r="AT177" s="68"/>
      <c r="AU177" s="68"/>
      <c r="AV177" s="68"/>
      <c r="AW177" s="68"/>
      <c r="AX177" s="68"/>
    </row>
    <row r="178" spans="7:50" x14ac:dyDescent="0.25"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 s="68"/>
      <c r="AR178" s="68"/>
      <c r="AS178" s="68"/>
      <c r="AT178" s="68"/>
      <c r="AU178" s="68"/>
      <c r="AV178" s="68"/>
      <c r="AW178" s="68"/>
      <c r="AX178" s="68"/>
    </row>
    <row r="179" spans="7:50" x14ac:dyDescent="0.25"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 s="68"/>
      <c r="AR179" s="68"/>
      <c r="AS179" s="68"/>
      <c r="AT179" s="68"/>
      <c r="AU179" s="68"/>
      <c r="AV179" s="68"/>
      <c r="AW179" s="68"/>
      <c r="AX179" s="68"/>
    </row>
    <row r="180" spans="7:50" x14ac:dyDescent="0.25"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 s="68"/>
      <c r="AR180" s="68"/>
      <c r="AS180" s="68"/>
      <c r="AT180" s="68"/>
      <c r="AU180" s="68"/>
      <c r="AV180" s="68"/>
      <c r="AW180" s="68"/>
      <c r="AX180" s="68"/>
    </row>
    <row r="181" spans="7:50" x14ac:dyDescent="0.25"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 s="68"/>
      <c r="AR181" s="68"/>
      <c r="AS181" s="68"/>
      <c r="AT181" s="68"/>
      <c r="AU181" s="68"/>
      <c r="AV181" s="68"/>
      <c r="AW181" s="68"/>
      <c r="AX181" s="68"/>
    </row>
    <row r="182" spans="7:50" x14ac:dyDescent="0.25"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 s="68"/>
      <c r="AR182" s="68"/>
      <c r="AS182" s="68"/>
      <c r="AT182" s="68"/>
      <c r="AU182" s="68"/>
      <c r="AV182" s="68"/>
      <c r="AW182" s="68"/>
      <c r="AX182" s="68"/>
    </row>
    <row r="183" spans="7:50" x14ac:dyDescent="0.25"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 s="68"/>
      <c r="AR183" s="68"/>
      <c r="AS183" s="68"/>
      <c r="AT183" s="68"/>
      <c r="AU183" s="68"/>
      <c r="AV183" s="68"/>
      <c r="AW183" s="68"/>
      <c r="AX183" s="68"/>
    </row>
    <row r="184" spans="7:50" x14ac:dyDescent="0.25"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 s="68"/>
      <c r="AR184" s="68"/>
      <c r="AS184" s="68"/>
      <c r="AT184" s="68"/>
      <c r="AU184" s="68"/>
      <c r="AV184" s="68"/>
      <c r="AW184" s="68"/>
      <c r="AX184" s="68"/>
    </row>
    <row r="185" spans="7:50" x14ac:dyDescent="0.25"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 s="68"/>
      <c r="AR185" s="68"/>
      <c r="AS185" s="68"/>
      <c r="AT185" s="68"/>
      <c r="AU185" s="68"/>
      <c r="AV185" s="68"/>
      <c r="AW185" s="68"/>
      <c r="AX185" s="68"/>
    </row>
    <row r="186" spans="7:50" x14ac:dyDescent="0.25"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 s="68"/>
      <c r="AR186" s="68"/>
      <c r="AS186" s="68"/>
      <c r="AT186" s="68"/>
      <c r="AU186" s="68"/>
      <c r="AV186" s="68"/>
      <c r="AW186" s="68"/>
      <c r="AX186" s="68"/>
    </row>
    <row r="187" spans="7:50" x14ac:dyDescent="0.25"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 s="68"/>
      <c r="AR187" s="68"/>
      <c r="AS187" s="68"/>
      <c r="AT187" s="68"/>
      <c r="AU187" s="68"/>
      <c r="AV187" s="68"/>
      <c r="AW187" s="68"/>
      <c r="AX187" s="68"/>
    </row>
    <row r="188" spans="7:50" x14ac:dyDescent="0.25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 s="68"/>
      <c r="AR188" s="68"/>
      <c r="AS188" s="68"/>
      <c r="AT188" s="68"/>
      <c r="AU188" s="68"/>
      <c r="AV188" s="68"/>
      <c r="AW188" s="68"/>
      <c r="AX188" s="68"/>
    </row>
    <row r="189" spans="7:50" x14ac:dyDescent="0.25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 s="68"/>
      <c r="AR189" s="68"/>
      <c r="AS189" s="68"/>
      <c r="AT189" s="68"/>
      <c r="AU189" s="68"/>
      <c r="AV189" s="68"/>
      <c r="AW189" s="68"/>
      <c r="AX189" s="68"/>
    </row>
    <row r="190" spans="7:50" x14ac:dyDescent="0.25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s="68"/>
      <c r="AR190" s="68"/>
      <c r="AS190" s="68"/>
      <c r="AT190" s="68"/>
      <c r="AU190" s="68"/>
      <c r="AV190" s="68"/>
      <c r="AW190" s="68"/>
      <c r="AX190" s="68"/>
    </row>
    <row r="191" spans="7:50" x14ac:dyDescent="0.25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 s="68"/>
      <c r="AR191" s="68"/>
      <c r="AS191" s="68"/>
      <c r="AT191" s="68"/>
      <c r="AU191" s="68"/>
      <c r="AV191" s="68"/>
      <c r="AW191" s="68"/>
      <c r="AX191" s="68"/>
    </row>
    <row r="192" spans="7:50" x14ac:dyDescent="0.25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s="68"/>
      <c r="AR192" s="68"/>
      <c r="AS192" s="68"/>
      <c r="AT192" s="68"/>
      <c r="AU192" s="68"/>
      <c r="AV192" s="68"/>
      <c r="AW192" s="68"/>
      <c r="AX192" s="68"/>
    </row>
    <row r="193" spans="7:50" x14ac:dyDescent="0.25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 s="68"/>
      <c r="AR193" s="68"/>
      <c r="AS193" s="68"/>
      <c r="AT193" s="68"/>
      <c r="AU193" s="68"/>
      <c r="AV193" s="68"/>
      <c r="AW193" s="68"/>
      <c r="AX193" s="68"/>
    </row>
    <row r="194" spans="7:50" x14ac:dyDescent="0.25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 s="68"/>
      <c r="AR194" s="68"/>
      <c r="AS194" s="68"/>
      <c r="AT194" s="68"/>
      <c r="AU194" s="68"/>
      <c r="AV194" s="68"/>
      <c r="AW194" s="68"/>
      <c r="AX194" s="68"/>
    </row>
    <row r="195" spans="7:50" x14ac:dyDescent="0.25"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 s="68"/>
      <c r="AR195" s="68"/>
      <c r="AS195" s="68"/>
      <c r="AT195" s="68"/>
      <c r="AU195" s="68"/>
      <c r="AV195" s="68"/>
      <c r="AW195" s="68"/>
      <c r="AX195" s="68"/>
    </row>
    <row r="196" spans="7:50" x14ac:dyDescent="0.25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 s="68"/>
      <c r="AR196" s="68"/>
      <c r="AS196" s="68"/>
      <c r="AT196" s="68"/>
      <c r="AU196" s="68"/>
      <c r="AV196" s="68"/>
      <c r="AW196" s="68"/>
      <c r="AX196" s="68"/>
    </row>
    <row r="197" spans="7:50" x14ac:dyDescent="0.25"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 s="68"/>
      <c r="AR197" s="68"/>
      <c r="AS197" s="68"/>
      <c r="AT197" s="68"/>
      <c r="AU197" s="68"/>
      <c r="AV197" s="68"/>
      <c r="AW197" s="68"/>
      <c r="AX197" s="68"/>
    </row>
    <row r="198" spans="7:50" x14ac:dyDescent="0.25"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 s="68"/>
      <c r="AR198" s="68"/>
      <c r="AS198" s="68"/>
      <c r="AT198" s="68"/>
      <c r="AU198" s="68"/>
      <c r="AV198" s="68"/>
      <c r="AW198" s="68"/>
      <c r="AX198" s="68"/>
    </row>
    <row r="199" spans="7:50" x14ac:dyDescent="0.25"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 s="68"/>
      <c r="AR199" s="68"/>
      <c r="AS199" s="68"/>
      <c r="AT199" s="68"/>
      <c r="AU199" s="68"/>
      <c r="AV199" s="68"/>
      <c r="AW199" s="68"/>
      <c r="AX199" s="68"/>
    </row>
    <row r="200" spans="7:50" x14ac:dyDescent="0.25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 s="68"/>
      <c r="AR200" s="68"/>
      <c r="AS200" s="68"/>
      <c r="AT200" s="68"/>
      <c r="AU200" s="68"/>
      <c r="AV200" s="68"/>
      <c r="AW200" s="68"/>
      <c r="AX200" s="68"/>
    </row>
    <row r="201" spans="7:50" x14ac:dyDescent="0.25"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 s="68"/>
      <c r="AR201" s="68"/>
      <c r="AS201" s="68"/>
      <c r="AT201" s="68"/>
      <c r="AU201" s="68"/>
      <c r="AV201" s="68"/>
      <c r="AW201" s="68"/>
      <c r="AX201" s="68"/>
    </row>
    <row r="202" spans="7:50" x14ac:dyDescent="0.25"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 s="68"/>
      <c r="AR202" s="68"/>
      <c r="AS202" s="68"/>
      <c r="AT202" s="68"/>
      <c r="AU202" s="68"/>
      <c r="AV202" s="68"/>
      <c r="AW202" s="68"/>
      <c r="AX202" s="68"/>
    </row>
    <row r="203" spans="7:50" x14ac:dyDescent="0.25"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 s="68"/>
      <c r="AR203" s="68"/>
      <c r="AS203" s="68"/>
      <c r="AT203" s="68"/>
      <c r="AU203" s="68"/>
      <c r="AV203" s="68"/>
      <c r="AW203" s="68"/>
      <c r="AX203" s="68"/>
    </row>
    <row r="204" spans="7:50" x14ac:dyDescent="0.25"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 s="68"/>
      <c r="AR204" s="68"/>
      <c r="AS204" s="68"/>
      <c r="AT204" s="68"/>
      <c r="AU204" s="68"/>
      <c r="AV204" s="68"/>
      <c r="AW204" s="68"/>
      <c r="AX204" s="68"/>
    </row>
    <row r="205" spans="7:50" x14ac:dyDescent="0.25"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 s="68"/>
      <c r="AR205" s="68"/>
      <c r="AS205" s="68"/>
      <c r="AT205" s="68"/>
      <c r="AU205" s="68"/>
      <c r="AV205" s="68"/>
      <c r="AW205" s="68"/>
      <c r="AX205" s="68"/>
    </row>
    <row r="206" spans="7:50" x14ac:dyDescent="0.25"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 s="68"/>
      <c r="AR206" s="68"/>
      <c r="AS206" s="68"/>
      <c r="AT206" s="68"/>
      <c r="AU206" s="68"/>
      <c r="AV206" s="68"/>
      <c r="AW206" s="68"/>
      <c r="AX206" s="68"/>
    </row>
    <row r="207" spans="7:50" x14ac:dyDescent="0.25"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 s="68"/>
      <c r="AR207" s="68"/>
      <c r="AS207" s="68"/>
      <c r="AT207" s="68"/>
      <c r="AU207" s="68"/>
      <c r="AV207" s="68"/>
      <c r="AW207" s="68"/>
      <c r="AX207" s="68"/>
    </row>
    <row r="208" spans="7:50" x14ac:dyDescent="0.25"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 s="68"/>
      <c r="AR208" s="68"/>
      <c r="AS208" s="68"/>
      <c r="AT208" s="68"/>
      <c r="AU208" s="68"/>
      <c r="AV208" s="68"/>
      <c r="AW208" s="68"/>
      <c r="AX208" s="68"/>
    </row>
    <row r="209" spans="7:50" x14ac:dyDescent="0.25"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 s="68"/>
      <c r="AR209" s="68"/>
      <c r="AS209" s="68"/>
      <c r="AT209" s="68"/>
      <c r="AU209" s="68"/>
      <c r="AV209" s="68"/>
      <c r="AW209" s="68"/>
      <c r="AX209" s="68"/>
    </row>
    <row r="210" spans="7:50" x14ac:dyDescent="0.25"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 s="68"/>
      <c r="AR210" s="68"/>
      <c r="AS210" s="68"/>
      <c r="AT210" s="68"/>
      <c r="AU210" s="68"/>
      <c r="AV210" s="68"/>
      <c r="AW210" s="68"/>
      <c r="AX210" s="68"/>
    </row>
    <row r="211" spans="7:50" x14ac:dyDescent="0.25"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 s="68"/>
      <c r="AR211" s="68"/>
      <c r="AS211" s="68"/>
      <c r="AT211" s="68"/>
      <c r="AU211" s="68"/>
      <c r="AV211" s="68"/>
      <c r="AW211" s="68"/>
      <c r="AX211" s="68"/>
    </row>
    <row r="212" spans="7:50" x14ac:dyDescent="0.25"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 s="68"/>
      <c r="AR212" s="68"/>
      <c r="AS212" s="68"/>
      <c r="AT212" s="68"/>
      <c r="AU212" s="68"/>
      <c r="AV212" s="68"/>
      <c r="AW212" s="68"/>
      <c r="AX212" s="68"/>
    </row>
    <row r="213" spans="7:50" x14ac:dyDescent="0.25"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 s="68"/>
      <c r="AR213" s="68"/>
      <c r="AS213" s="68"/>
      <c r="AT213" s="68"/>
      <c r="AU213" s="68"/>
      <c r="AV213" s="68"/>
      <c r="AW213" s="68"/>
      <c r="AX213" s="68"/>
    </row>
    <row r="214" spans="7:50" x14ac:dyDescent="0.25"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 s="68"/>
      <c r="AR214" s="68"/>
      <c r="AS214" s="68"/>
      <c r="AT214" s="68"/>
      <c r="AU214" s="68"/>
      <c r="AV214" s="68"/>
      <c r="AW214" s="68"/>
      <c r="AX214" s="68"/>
    </row>
    <row r="215" spans="7:50" x14ac:dyDescent="0.25"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 s="68"/>
      <c r="AR215" s="68"/>
      <c r="AS215" s="68"/>
      <c r="AT215" s="68"/>
      <c r="AU215" s="68"/>
      <c r="AV215" s="68"/>
      <c r="AW215" s="68"/>
      <c r="AX215" s="68"/>
    </row>
    <row r="216" spans="7:50" x14ac:dyDescent="0.25"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 s="68"/>
      <c r="AR216" s="68"/>
      <c r="AS216" s="68"/>
      <c r="AT216" s="68"/>
      <c r="AU216" s="68"/>
      <c r="AV216" s="68"/>
      <c r="AW216" s="68"/>
      <c r="AX216" s="68"/>
    </row>
    <row r="217" spans="7:50" x14ac:dyDescent="0.25"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 s="68"/>
      <c r="AR217" s="68"/>
      <c r="AS217" s="68"/>
      <c r="AT217" s="68"/>
      <c r="AU217" s="68"/>
      <c r="AV217" s="68"/>
      <c r="AW217" s="68"/>
      <c r="AX217" s="68"/>
    </row>
    <row r="218" spans="7:50" x14ac:dyDescent="0.25"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 s="68"/>
      <c r="AR218" s="68"/>
      <c r="AS218" s="68"/>
      <c r="AT218" s="68"/>
      <c r="AU218" s="68"/>
      <c r="AV218" s="68"/>
      <c r="AW218" s="68"/>
      <c r="AX218" s="68"/>
    </row>
    <row r="219" spans="7:50" x14ac:dyDescent="0.25"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 s="68"/>
      <c r="AR219" s="68"/>
      <c r="AS219" s="68"/>
      <c r="AT219" s="68"/>
      <c r="AU219" s="68"/>
      <c r="AV219" s="68"/>
      <c r="AW219" s="68"/>
      <c r="AX219" s="68"/>
    </row>
    <row r="220" spans="7:50" x14ac:dyDescent="0.25"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 s="68"/>
      <c r="AR220" s="68"/>
      <c r="AS220" s="68"/>
      <c r="AT220" s="68"/>
      <c r="AU220" s="68"/>
      <c r="AV220" s="68"/>
      <c r="AW220" s="68"/>
      <c r="AX220" s="68"/>
    </row>
    <row r="221" spans="7:50" x14ac:dyDescent="0.25"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 s="68"/>
      <c r="AR221" s="68"/>
      <c r="AS221" s="68"/>
      <c r="AT221" s="68"/>
      <c r="AU221" s="68"/>
      <c r="AV221" s="68"/>
      <c r="AW221" s="68"/>
      <c r="AX221" s="68"/>
    </row>
    <row r="222" spans="7:50" x14ac:dyDescent="0.25"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 s="68"/>
      <c r="AR222" s="68"/>
      <c r="AS222" s="68"/>
      <c r="AT222" s="68"/>
      <c r="AU222" s="68"/>
      <c r="AV222" s="68"/>
      <c r="AW222" s="68"/>
      <c r="AX222" s="68"/>
    </row>
    <row r="223" spans="7:50" x14ac:dyDescent="0.25"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 s="68"/>
      <c r="AR223" s="68"/>
      <c r="AS223" s="68"/>
      <c r="AT223" s="68"/>
      <c r="AU223" s="68"/>
      <c r="AV223" s="68"/>
      <c r="AW223" s="68"/>
      <c r="AX223" s="68"/>
    </row>
    <row r="224" spans="7:50" x14ac:dyDescent="0.25"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 s="68"/>
      <c r="AR224" s="68"/>
      <c r="AS224" s="68"/>
      <c r="AT224" s="68"/>
      <c r="AU224" s="68"/>
      <c r="AV224" s="68"/>
      <c r="AW224" s="68"/>
      <c r="AX224" s="68"/>
    </row>
    <row r="225" spans="7:50" x14ac:dyDescent="0.25"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 s="68"/>
      <c r="AR225" s="68"/>
      <c r="AS225" s="68"/>
      <c r="AT225" s="68"/>
      <c r="AU225" s="68"/>
      <c r="AV225" s="68"/>
      <c r="AW225" s="68"/>
      <c r="AX225" s="68"/>
    </row>
    <row r="226" spans="7:50" x14ac:dyDescent="0.25"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 s="68"/>
      <c r="AR226" s="68"/>
      <c r="AS226" s="68"/>
      <c r="AT226" s="68"/>
      <c r="AU226" s="68"/>
      <c r="AV226" s="68"/>
      <c r="AW226" s="68"/>
      <c r="AX226" s="68"/>
    </row>
    <row r="227" spans="7:50" x14ac:dyDescent="0.25"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s="68"/>
      <c r="AR227" s="68"/>
      <c r="AS227" s="68"/>
      <c r="AT227" s="68"/>
      <c r="AU227" s="68"/>
      <c r="AV227" s="68"/>
      <c r="AW227" s="68"/>
      <c r="AX227" s="68"/>
    </row>
    <row r="228" spans="7:50" x14ac:dyDescent="0.25"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 s="68"/>
      <c r="AR228" s="68"/>
      <c r="AS228" s="68"/>
      <c r="AT228" s="68"/>
      <c r="AU228" s="68"/>
      <c r="AV228" s="68"/>
      <c r="AW228" s="68"/>
      <c r="AX228" s="68"/>
    </row>
    <row r="229" spans="7:50" x14ac:dyDescent="0.25"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 s="68"/>
      <c r="AR229" s="68"/>
      <c r="AS229" s="68"/>
      <c r="AT229" s="68"/>
      <c r="AU229" s="68"/>
      <c r="AV229" s="68"/>
      <c r="AW229" s="68"/>
      <c r="AX229" s="68"/>
    </row>
    <row r="230" spans="7:50" x14ac:dyDescent="0.25"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 s="68"/>
      <c r="AR230" s="68"/>
      <c r="AS230" s="68"/>
      <c r="AT230" s="68"/>
      <c r="AU230" s="68"/>
      <c r="AV230" s="68"/>
      <c r="AW230" s="68"/>
      <c r="AX230" s="68"/>
    </row>
    <row r="231" spans="7:50" x14ac:dyDescent="0.25"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 s="68"/>
      <c r="AR231" s="68"/>
      <c r="AS231" s="68"/>
      <c r="AT231" s="68"/>
      <c r="AU231" s="68"/>
      <c r="AV231" s="68"/>
      <c r="AW231" s="68"/>
      <c r="AX231" s="68"/>
    </row>
    <row r="232" spans="7:50" x14ac:dyDescent="0.25"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 s="68"/>
      <c r="AR232" s="68"/>
      <c r="AS232" s="68"/>
      <c r="AT232" s="68"/>
      <c r="AU232" s="68"/>
      <c r="AV232" s="68"/>
      <c r="AW232" s="68"/>
      <c r="AX232" s="68"/>
    </row>
    <row r="233" spans="7:50" x14ac:dyDescent="0.25"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 s="68"/>
      <c r="AR233" s="68"/>
      <c r="AS233" s="68"/>
      <c r="AT233" s="68"/>
      <c r="AU233" s="68"/>
      <c r="AV233" s="68"/>
      <c r="AW233" s="68"/>
      <c r="AX233" s="68"/>
    </row>
    <row r="234" spans="7:50" x14ac:dyDescent="0.25"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 s="68"/>
      <c r="AR234" s="68"/>
      <c r="AS234" s="68"/>
      <c r="AT234" s="68"/>
      <c r="AU234" s="68"/>
      <c r="AV234" s="68"/>
      <c r="AW234" s="68"/>
      <c r="AX234" s="68"/>
    </row>
    <row r="235" spans="7:50" x14ac:dyDescent="0.25"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 s="68"/>
      <c r="AR235" s="68"/>
      <c r="AS235" s="68"/>
      <c r="AT235" s="68"/>
      <c r="AU235" s="68"/>
      <c r="AV235" s="68"/>
      <c r="AW235" s="68"/>
      <c r="AX235" s="68"/>
    </row>
    <row r="236" spans="7:50" x14ac:dyDescent="0.25"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 s="68"/>
      <c r="AR236" s="68"/>
      <c r="AS236" s="68"/>
      <c r="AT236" s="68"/>
      <c r="AU236" s="68"/>
      <c r="AV236" s="68"/>
      <c r="AW236" s="68"/>
      <c r="AX236" s="68"/>
    </row>
    <row r="237" spans="7:50" x14ac:dyDescent="0.25"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 s="68"/>
      <c r="AR237" s="68"/>
      <c r="AS237" s="68"/>
      <c r="AT237" s="68"/>
      <c r="AU237" s="68"/>
      <c r="AV237" s="68"/>
      <c r="AW237" s="68"/>
      <c r="AX237" s="68"/>
    </row>
    <row r="238" spans="7:50" x14ac:dyDescent="0.25"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 s="68"/>
      <c r="AR238" s="68"/>
      <c r="AS238" s="68"/>
      <c r="AT238" s="68"/>
      <c r="AU238" s="68"/>
      <c r="AV238" s="68"/>
      <c r="AW238" s="68"/>
      <c r="AX238" s="68"/>
    </row>
    <row r="239" spans="7:50" x14ac:dyDescent="0.25"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 s="68"/>
      <c r="AR239" s="68"/>
      <c r="AS239" s="68"/>
      <c r="AT239" s="68"/>
      <c r="AU239" s="68"/>
      <c r="AV239" s="68"/>
      <c r="AW239" s="68"/>
      <c r="AX239" s="68"/>
    </row>
    <row r="240" spans="7:50" x14ac:dyDescent="0.25"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 s="68"/>
      <c r="AR240" s="68"/>
      <c r="AS240" s="68"/>
      <c r="AT240" s="68"/>
      <c r="AU240" s="68"/>
      <c r="AV240" s="68"/>
      <c r="AW240" s="68"/>
      <c r="AX240" s="68"/>
    </row>
    <row r="241" spans="7:50" x14ac:dyDescent="0.25"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 s="68"/>
      <c r="AR241" s="68"/>
      <c r="AS241" s="68"/>
      <c r="AT241" s="68"/>
      <c r="AU241" s="68"/>
      <c r="AV241" s="68"/>
      <c r="AW241" s="68"/>
      <c r="AX241" s="68"/>
    </row>
    <row r="242" spans="7:50" x14ac:dyDescent="0.25"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 s="68"/>
      <c r="AR242" s="68"/>
      <c r="AS242" s="68"/>
      <c r="AT242" s="68"/>
      <c r="AU242" s="68"/>
      <c r="AV242" s="68"/>
      <c r="AW242" s="68"/>
      <c r="AX242" s="68"/>
    </row>
    <row r="243" spans="7:50" x14ac:dyDescent="0.25"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 s="68"/>
      <c r="AR243" s="68"/>
      <c r="AS243" s="68"/>
      <c r="AT243" s="68"/>
      <c r="AU243" s="68"/>
      <c r="AV243" s="68"/>
      <c r="AW243" s="68"/>
      <c r="AX243" s="68"/>
    </row>
    <row r="244" spans="7:50" x14ac:dyDescent="0.25"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 s="68"/>
      <c r="AR244" s="68"/>
      <c r="AS244" s="68"/>
      <c r="AT244" s="68"/>
      <c r="AU244" s="68"/>
      <c r="AV244" s="68"/>
      <c r="AW244" s="68"/>
      <c r="AX244" s="68"/>
    </row>
    <row r="245" spans="7:50" x14ac:dyDescent="0.25"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 s="68"/>
      <c r="AR245" s="68"/>
      <c r="AS245" s="68"/>
      <c r="AT245" s="68"/>
      <c r="AU245" s="68"/>
      <c r="AV245" s="68"/>
      <c r="AW245" s="68"/>
      <c r="AX245" s="68"/>
    </row>
    <row r="246" spans="7:50" x14ac:dyDescent="0.25"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 s="68"/>
      <c r="AR246" s="68"/>
      <c r="AS246" s="68"/>
      <c r="AT246" s="68"/>
      <c r="AU246" s="68"/>
      <c r="AV246" s="68"/>
      <c r="AW246" s="68"/>
      <c r="AX246" s="68"/>
    </row>
    <row r="247" spans="7:50" x14ac:dyDescent="0.25"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 s="68"/>
      <c r="AR247" s="68"/>
      <c r="AS247" s="68"/>
      <c r="AT247" s="68"/>
      <c r="AU247" s="68"/>
      <c r="AV247" s="68"/>
      <c r="AW247" s="68"/>
      <c r="AX247" s="68"/>
    </row>
    <row r="248" spans="7:50" x14ac:dyDescent="0.25"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 s="68"/>
      <c r="AR248" s="68"/>
      <c r="AS248" s="68"/>
      <c r="AT248" s="68"/>
      <c r="AU248" s="68"/>
      <c r="AV248" s="68"/>
      <c r="AW248" s="68"/>
      <c r="AX248" s="68"/>
    </row>
    <row r="249" spans="7:50" x14ac:dyDescent="0.25"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 s="68"/>
      <c r="AR249" s="68"/>
      <c r="AS249" s="68"/>
      <c r="AT249" s="68"/>
      <c r="AU249" s="68"/>
      <c r="AV249" s="68"/>
      <c r="AW249" s="68"/>
      <c r="AX249" s="68"/>
    </row>
    <row r="250" spans="7:50" x14ac:dyDescent="0.25"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 s="68"/>
      <c r="AR250" s="68"/>
      <c r="AS250" s="68"/>
      <c r="AT250" s="68"/>
      <c r="AU250" s="68"/>
      <c r="AV250" s="68"/>
      <c r="AW250" s="68"/>
      <c r="AX250" s="68"/>
    </row>
    <row r="251" spans="7:50" x14ac:dyDescent="0.25"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 s="68"/>
      <c r="AR251" s="68"/>
      <c r="AS251" s="68"/>
      <c r="AT251" s="68"/>
      <c r="AU251" s="68"/>
      <c r="AV251" s="68"/>
      <c r="AW251" s="68"/>
      <c r="AX251" s="68"/>
    </row>
    <row r="252" spans="7:50" x14ac:dyDescent="0.25"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 s="68"/>
      <c r="AR252" s="68"/>
      <c r="AS252" s="68"/>
      <c r="AT252" s="68"/>
      <c r="AU252" s="68"/>
      <c r="AV252" s="68"/>
      <c r="AW252" s="68"/>
      <c r="AX252" s="68"/>
    </row>
    <row r="253" spans="7:50" x14ac:dyDescent="0.25"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 s="68"/>
      <c r="AR253" s="68"/>
      <c r="AS253" s="68"/>
      <c r="AT253" s="68"/>
      <c r="AU253" s="68"/>
      <c r="AV253" s="68"/>
      <c r="AW253" s="68"/>
      <c r="AX253" s="68"/>
    </row>
    <row r="254" spans="7:50" x14ac:dyDescent="0.25"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 s="68"/>
      <c r="AR254" s="68"/>
      <c r="AS254" s="68"/>
      <c r="AT254" s="68"/>
      <c r="AU254" s="68"/>
      <c r="AV254" s="68"/>
      <c r="AW254" s="68"/>
      <c r="AX254" s="68"/>
    </row>
    <row r="255" spans="7:50" x14ac:dyDescent="0.25"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 s="68"/>
      <c r="AR255" s="68"/>
      <c r="AS255" s="68"/>
      <c r="AT255" s="68"/>
      <c r="AU255" s="68"/>
      <c r="AV255" s="68"/>
      <c r="AW255" s="68"/>
      <c r="AX255" s="68"/>
    </row>
    <row r="256" spans="7:50" x14ac:dyDescent="0.25"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 s="68"/>
      <c r="AR256" s="68"/>
      <c r="AS256" s="68"/>
      <c r="AT256" s="68"/>
      <c r="AU256" s="68"/>
      <c r="AV256" s="68"/>
      <c r="AW256" s="68"/>
      <c r="AX256" s="68"/>
    </row>
    <row r="257" spans="7:50" x14ac:dyDescent="0.25"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 s="68"/>
      <c r="AR257" s="68"/>
      <c r="AS257" s="68"/>
      <c r="AT257" s="68"/>
      <c r="AU257" s="68"/>
      <c r="AV257" s="68"/>
      <c r="AW257" s="68"/>
      <c r="AX257" s="68"/>
    </row>
    <row r="258" spans="7:50" x14ac:dyDescent="0.25"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 s="68"/>
      <c r="AR258" s="68"/>
      <c r="AS258" s="68"/>
      <c r="AT258" s="68"/>
      <c r="AU258" s="68"/>
      <c r="AV258" s="68"/>
      <c r="AW258" s="68"/>
      <c r="AX258" s="68"/>
    </row>
    <row r="259" spans="7:50" x14ac:dyDescent="0.25"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 s="68"/>
      <c r="AR259" s="68"/>
      <c r="AS259" s="68"/>
      <c r="AT259" s="68"/>
      <c r="AU259" s="68"/>
      <c r="AV259" s="68"/>
      <c r="AW259" s="68"/>
      <c r="AX259" s="68"/>
    </row>
    <row r="260" spans="7:50" x14ac:dyDescent="0.25"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 s="68"/>
      <c r="AR260" s="68"/>
      <c r="AS260" s="68"/>
      <c r="AT260" s="68"/>
      <c r="AU260" s="68"/>
      <c r="AV260" s="68"/>
      <c r="AW260" s="68"/>
      <c r="AX260" s="68"/>
    </row>
    <row r="261" spans="7:50" x14ac:dyDescent="0.25"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 s="68"/>
      <c r="AR261" s="68"/>
      <c r="AS261" s="68"/>
      <c r="AT261" s="68"/>
      <c r="AU261" s="68"/>
      <c r="AV261" s="68"/>
      <c r="AW261" s="68"/>
      <c r="AX261" s="68"/>
    </row>
    <row r="262" spans="7:50" x14ac:dyDescent="0.25"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 s="68"/>
      <c r="AR262" s="68"/>
      <c r="AS262" s="68"/>
      <c r="AT262" s="68"/>
      <c r="AU262" s="68"/>
      <c r="AV262" s="68"/>
      <c r="AW262" s="68"/>
      <c r="AX262" s="68"/>
    </row>
    <row r="263" spans="7:50" x14ac:dyDescent="0.25"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 s="68"/>
      <c r="AR263" s="68"/>
      <c r="AS263" s="68"/>
      <c r="AT263" s="68"/>
      <c r="AU263" s="68"/>
      <c r="AV263" s="68"/>
      <c r="AW263" s="68"/>
      <c r="AX263" s="68"/>
    </row>
    <row r="264" spans="7:50" x14ac:dyDescent="0.25"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 s="68"/>
      <c r="AR264" s="68"/>
      <c r="AS264" s="68"/>
      <c r="AT264" s="68"/>
      <c r="AU264" s="68"/>
      <c r="AV264" s="68"/>
      <c r="AW264" s="68"/>
      <c r="AX264" s="68"/>
    </row>
    <row r="265" spans="7:50" x14ac:dyDescent="0.25"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 s="68"/>
      <c r="AR265" s="68"/>
      <c r="AS265" s="68"/>
      <c r="AT265" s="68"/>
      <c r="AU265" s="68"/>
      <c r="AV265" s="68"/>
      <c r="AW265" s="68"/>
      <c r="AX265" s="68"/>
    </row>
    <row r="266" spans="7:50" x14ac:dyDescent="0.25"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 s="68"/>
      <c r="AR266" s="68"/>
      <c r="AS266" s="68"/>
      <c r="AT266" s="68"/>
      <c r="AU266" s="68"/>
      <c r="AV266" s="68"/>
      <c r="AW266" s="68"/>
      <c r="AX266" s="68"/>
    </row>
    <row r="267" spans="7:50" x14ac:dyDescent="0.25"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 s="68"/>
      <c r="AR267" s="68"/>
      <c r="AS267" s="68"/>
      <c r="AT267" s="68"/>
      <c r="AU267" s="68"/>
      <c r="AV267" s="68"/>
      <c r="AW267" s="68"/>
      <c r="AX267" s="68"/>
    </row>
    <row r="268" spans="7:50" x14ac:dyDescent="0.25"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 s="68"/>
      <c r="AR268" s="68"/>
      <c r="AS268" s="68"/>
      <c r="AT268" s="68"/>
      <c r="AU268" s="68"/>
      <c r="AV268" s="68"/>
      <c r="AW268" s="68"/>
      <c r="AX268" s="68"/>
    </row>
    <row r="269" spans="7:50" x14ac:dyDescent="0.25"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 s="68"/>
      <c r="AR269" s="68"/>
      <c r="AS269" s="68"/>
      <c r="AT269" s="68"/>
      <c r="AU269" s="68"/>
      <c r="AV269" s="68"/>
      <c r="AW269" s="68"/>
      <c r="AX269" s="68"/>
    </row>
    <row r="270" spans="7:50" x14ac:dyDescent="0.25"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 s="68"/>
      <c r="AR270" s="68"/>
      <c r="AS270" s="68"/>
      <c r="AT270" s="68"/>
      <c r="AU270" s="68"/>
      <c r="AV270" s="68"/>
      <c r="AW270" s="68"/>
      <c r="AX270" s="68"/>
    </row>
    <row r="271" spans="7:50" x14ac:dyDescent="0.25"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 s="68"/>
      <c r="AR271" s="68"/>
      <c r="AS271" s="68"/>
      <c r="AT271" s="68"/>
      <c r="AU271" s="68"/>
      <c r="AV271" s="68"/>
      <c r="AW271" s="68"/>
      <c r="AX271" s="68"/>
    </row>
    <row r="272" spans="7:50" x14ac:dyDescent="0.25"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 s="68"/>
      <c r="AR272" s="68"/>
      <c r="AS272" s="68"/>
      <c r="AT272" s="68"/>
      <c r="AU272" s="68"/>
      <c r="AV272" s="68"/>
      <c r="AW272" s="68"/>
      <c r="AX272" s="68"/>
    </row>
    <row r="273" spans="7:50" x14ac:dyDescent="0.25"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 s="68"/>
      <c r="AR273" s="68"/>
      <c r="AS273" s="68"/>
      <c r="AT273" s="68"/>
      <c r="AU273" s="68"/>
      <c r="AV273" s="68"/>
      <c r="AW273" s="68"/>
      <c r="AX273" s="68"/>
    </row>
    <row r="274" spans="7:50" x14ac:dyDescent="0.25"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 s="68"/>
      <c r="AR274" s="68"/>
      <c r="AS274" s="68"/>
      <c r="AT274" s="68"/>
      <c r="AU274" s="68"/>
      <c r="AV274" s="68"/>
      <c r="AW274" s="68"/>
      <c r="AX274" s="68"/>
    </row>
    <row r="275" spans="7:50" x14ac:dyDescent="0.25"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 s="68"/>
      <c r="AR275" s="68"/>
      <c r="AS275" s="68"/>
      <c r="AT275" s="68"/>
      <c r="AU275" s="68"/>
      <c r="AV275" s="68"/>
      <c r="AW275" s="68"/>
      <c r="AX275" s="68"/>
    </row>
    <row r="276" spans="7:50" x14ac:dyDescent="0.25"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 s="68"/>
      <c r="AR276" s="68"/>
      <c r="AS276" s="68"/>
      <c r="AT276" s="68"/>
      <c r="AU276" s="68"/>
      <c r="AV276" s="68"/>
      <c r="AW276" s="68"/>
      <c r="AX276" s="68"/>
    </row>
    <row r="277" spans="7:50" x14ac:dyDescent="0.25"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 s="68"/>
      <c r="AR277" s="68"/>
      <c r="AS277" s="68"/>
      <c r="AT277" s="68"/>
      <c r="AU277" s="68"/>
      <c r="AV277" s="68"/>
      <c r="AW277" s="68"/>
      <c r="AX277" s="68"/>
    </row>
    <row r="278" spans="7:50" x14ac:dyDescent="0.25"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 s="68"/>
      <c r="AR278" s="68"/>
      <c r="AS278" s="68"/>
      <c r="AT278" s="68"/>
      <c r="AU278" s="68"/>
      <c r="AV278" s="68"/>
      <c r="AW278" s="68"/>
      <c r="AX278" s="68"/>
    </row>
    <row r="279" spans="7:50" x14ac:dyDescent="0.25"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 s="68"/>
      <c r="AR279" s="68"/>
      <c r="AS279" s="68"/>
      <c r="AT279" s="68"/>
      <c r="AU279" s="68"/>
      <c r="AV279" s="68"/>
      <c r="AW279" s="68"/>
      <c r="AX279" s="68"/>
    </row>
    <row r="280" spans="7:50" x14ac:dyDescent="0.25"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 s="68"/>
      <c r="AR280" s="68"/>
      <c r="AS280" s="68"/>
      <c r="AT280" s="68"/>
      <c r="AU280" s="68"/>
      <c r="AV280" s="68"/>
      <c r="AW280" s="68"/>
      <c r="AX280" s="68"/>
    </row>
    <row r="281" spans="7:50" x14ac:dyDescent="0.25"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 s="68"/>
      <c r="AR281" s="68"/>
      <c r="AS281" s="68"/>
      <c r="AT281" s="68"/>
      <c r="AU281" s="68"/>
      <c r="AV281" s="68"/>
      <c r="AW281" s="68"/>
      <c r="AX281" s="68"/>
    </row>
    <row r="282" spans="7:50" x14ac:dyDescent="0.25"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 s="68"/>
      <c r="AR282" s="68"/>
      <c r="AS282" s="68"/>
      <c r="AT282" s="68"/>
      <c r="AU282" s="68"/>
      <c r="AV282" s="68"/>
      <c r="AW282" s="68"/>
      <c r="AX282" s="68"/>
    </row>
    <row r="283" spans="7:50" x14ac:dyDescent="0.25"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 s="68"/>
      <c r="AR283" s="68"/>
      <c r="AS283" s="68"/>
      <c r="AT283" s="68"/>
      <c r="AU283" s="68"/>
      <c r="AV283" s="68"/>
      <c r="AW283" s="68"/>
      <c r="AX283" s="68"/>
    </row>
    <row r="284" spans="7:50" x14ac:dyDescent="0.25"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 s="68"/>
      <c r="AR284" s="68"/>
      <c r="AS284" s="68"/>
      <c r="AT284" s="68"/>
      <c r="AU284" s="68"/>
      <c r="AV284" s="68"/>
      <c r="AW284" s="68"/>
      <c r="AX284" s="68"/>
    </row>
    <row r="285" spans="7:50" x14ac:dyDescent="0.25"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 s="68"/>
      <c r="AR285" s="68"/>
      <c r="AS285" s="68"/>
      <c r="AT285" s="68"/>
      <c r="AU285" s="68"/>
      <c r="AV285" s="68"/>
      <c r="AW285" s="68"/>
      <c r="AX285" s="68"/>
    </row>
    <row r="286" spans="7:50" x14ac:dyDescent="0.25"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 s="68"/>
      <c r="AR286" s="68"/>
      <c r="AS286" s="68"/>
      <c r="AT286" s="68"/>
      <c r="AU286" s="68"/>
      <c r="AV286" s="68"/>
      <c r="AW286" s="68"/>
      <c r="AX286" s="68"/>
    </row>
    <row r="287" spans="7:50" x14ac:dyDescent="0.25"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 s="68"/>
      <c r="AR287" s="68"/>
      <c r="AS287" s="68"/>
      <c r="AT287" s="68"/>
      <c r="AU287" s="68"/>
      <c r="AV287" s="68"/>
      <c r="AW287" s="68"/>
      <c r="AX287" s="68"/>
    </row>
    <row r="288" spans="7:50" x14ac:dyDescent="0.25"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 s="68"/>
      <c r="AR288" s="68"/>
      <c r="AS288" s="68"/>
      <c r="AT288" s="68"/>
      <c r="AU288" s="68"/>
      <c r="AV288" s="68"/>
      <c r="AW288" s="68"/>
      <c r="AX288" s="68"/>
    </row>
    <row r="289" spans="7:50" x14ac:dyDescent="0.25"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 s="68"/>
      <c r="AR289" s="68"/>
      <c r="AS289" s="68"/>
      <c r="AT289" s="68"/>
      <c r="AU289" s="68"/>
      <c r="AV289" s="68"/>
      <c r="AW289" s="68"/>
      <c r="AX289" s="68"/>
    </row>
    <row r="290" spans="7:50" x14ac:dyDescent="0.25"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 s="68"/>
      <c r="AR290" s="68"/>
      <c r="AS290" s="68"/>
      <c r="AT290" s="68"/>
      <c r="AU290" s="68"/>
      <c r="AV290" s="68"/>
      <c r="AW290" s="68"/>
      <c r="AX290" s="68"/>
    </row>
    <row r="291" spans="7:50" x14ac:dyDescent="0.25"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 s="68"/>
      <c r="AR291" s="68"/>
      <c r="AS291" s="68"/>
      <c r="AT291" s="68"/>
      <c r="AU291" s="68"/>
      <c r="AV291" s="68"/>
      <c r="AW291" s="68"/>
      <c r="AX291" s="68"/>
    </row>
    <row r="292" spans="7:50" x14ac:dyDescent="0.25"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 s="68"/>
      <c r="AR292" s="68"/>
      <c r="AS292" s="68"/>
      <c r="AT292" s="68"/>
      <c r="AU292" s="68"/>
      <c r="AV292" s="68"/>
      <c r="AW292" s="68"/>
      <c r="AX292" s="68"/>
    </row>
    <row r="293" spans="7:50" x14ac:dyDescent="0.25"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 s="68"/>
      <c r="AR293" s="68"/>
      <c r="AS293" s="68"/>
      <c r="AT293" s="68"/>
      <c r="AU293" s="68"/>
      <c r="AV293" s="68"/>
      <c r="AW293" s="68"/>
      <c r="AX293" s="68"/>
    </row>
    <row r="294" spans="7:50" x14ac:dyDescent="0.25"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 s="68"/>
      <c r="AR294" s="68"/>
      <c r="AS294" s="68"/>
      <c r="AT294" s="68"/>
      <c r="AU294" s="68"/>
      <c r="AV294" s="68"/>
      <c r="AW294" s="68"/>
      <c r="AX294" s="68"/>
    </row>
    <row r="295" spans="7:50" x14ac:dyDescent="0.25"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 s="68"/>
      <c r="AR295" s="68"/>
      <c r="AS295" s="68"/>
      <c r="AT295" s="68"/>
      <c r="AU295" s="68"/>
      <c r="AV295" s="68"/>
      <c r="AW295" s="68"/>
      <c r="AX295" s="68"/>
    </row>
    <row r="296" spans="7:50" x14ac:dyDescent="0.25"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 s="68"/>
      <c r="AR296" s="68"/>
      <c r="AS296" s="68"/>
      <c r="AT296" s="68"/>
      <c r="AU296" s="68"/>
      <c r="AV296" s="68"/>
      <c r="AW296" s="68"/>
      <c r="AX296" s="68"/>
    </row>
    <row r="297" spans="7:50" x14ac:dyDescent="0.25"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 s="68"/>
      <c r="AR297" s="68"/>
      <c r="AS297" s="68"/>
      <c r="AT297" s="68"/>
      <c r="AU297" s="68"/>
      <c r="AV297" s="68"/>
      <c r="AW297" s="68"/>
      <c r="AX297" s="68"/>
    </row>
    <row r="298" spans="7:50" x14ac:dyDescent="0.25"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 s="68"/>
      <c r="AR298" s="68"/>
      <c r="AS298" s="68"/>
      <c r="AT298" s="68"/>
      <c r="AU298" s="68"/>
      <c r="AV298" s="68"/>
      <c r="AW298" s="68"/>
      <c r="AX298" s="68"/>
    </row>
    <row r="299" spans="7:50" x14ac:dyDescent="0.25"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 s="68"/>
      <c r="AR299" s="68"/>
      <c r="AS299" s="68"/>
      <c r="AT299" s="68"/>
      <c r="AU299" s="68"/>
      <c r="AV299" s="68"/>
      <c r="AW299" s="68"/>
      <c r="AX299" s="68"/>
    </row>
    <row r="300" spans="7:50" x14ac:dyDescent="0.25"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 s="68"/>
      <c r="AR300" s="68"/>
      <c r="AS300" s="68"/>
      <c r="AT300" s="68"/>
      <c r="AU300" s="68"/>
      <c r="AV300" s="68"/>
      <c r="AW300" s="68"/>
      <c r="AX300" s="68"/>
    </row>
    <row r="301" spans="7:50" x14ac:dyDescent="0.25"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 s="68"/>
      <c r="AR301" s="68"/>
      <c r="AS301" s="68"/>
      <c r="AT301" s="68"/>
      <c r="AU301" s="68"/>
      <c r="AV301" s="68"/>
      <c r="AW301" s="68"/>
      <c r="AX301" s="68"/>
    </row>
    <row r="302" spans="7:50" x14ac:dyDescent="0.25"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 s="68"/>
      <c r="AR302" s="68"/>
      <c r="AS302" s="68"/>
      <c r="AT302" s="68"/>
      <c r="AU302" s="68"/>
      <c r="AV302" s="68"/>
      <c r="AW302" s="68"/>
      <c r="AX302" s="68"/>
    </row>
    <row r="303" spans="7:50" x14ac:dyDescent="0.25"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 s="68"/>
      <c r="AR303" s="68"/>
      <c r="AS303" s="68"/>
      <c r="AT303" s="68"/>
      <c r="AU303" s="68"/>
      <c r="AV303" s="68"/>
      <c r="AW303" s="68"/>
      <c r="AX303" s="68"/>
    </row>
    <row r="304" spans="7:50" x14ac:dyDescent="0.25"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 s="68"/>
      <c r="AR304" s="68"/>
      <c r="AS304" s="68"/>
      <c r="AT304" s="68"/>
      <c r="AU304" s="68"/>
      <c r="AV304" s="68"/>
      <c r="AW304" s="68"/>
      <c r="AX304" s="68"/>
    </row>
    <row r="305" spans="7:50" x14ac:dyDescent="0.25"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 s="68"/>
      <c r="AR305" s="68"/>
      <c r="AS305" s="68"/>
      <c r="AT305" s="68"/>
      <c r="AU305" s="68"/>
      <c r="AV305" s="68"/>
      <c r="AW305" s="68"/>
      <c r="AX305" s="68"/>
    </row>
    <row r="306" spans="7:50" x14ac:dyDescent="0.25"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 s="68"/>
      <c r="AR306" s="68"/>
      <c r="AS306" s="68"/>
      <c r="AT306" s="68"/>
      <c r="AU306" s="68"/>
      <c r="AV306" s="68"/>
      <c r="AW306" s="68"/>
      <c r="AX306" s="68"/>
    </row>
    <row r="307" spans="7:50" x14ac:dyDescent="0.25"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 s="68"/>
      <c r="AR307" s="68"/>
      <c r="AS307" s="68"/>
      <c r="AT307" s="68"/>
      <c r="AU307" s="68"/>
      <c r="AV307" s="68"/>
      <c r="AW307" s="68"/>
      <c r="AX307" s="68"/>
    </row>
    <row r="308" spans="7:50" x14ac:dyDescent="0.25"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s="68"/>
      <c r="AR308" s="68"/>
      <c r="AS308" s="68"/>
      <c r="AT308" s="68"/>
      <c r="AU308" s="68"/>
      <c r="AV308" s="68"/>
      <c r="AW308" s="68"/>
      <c r="AX308" s="68"/>
    </row>
    <row r="309" spans="7:50" x14ac:dyDescent="0.25"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 s="68"/>
      <c r="AR309" s="68"/>
      <c r="AS309" s="68"/>
      <c r="AT309" s="68"/>
      <c r="AU309" s="68"/>
      <c r="AV309" s="68"/>
      <c r="AW309" s="68"/>
      <c r="AX309" s="68"/>
    </row>
    <row r="310" spans="7:50" x14ac:dyDescent="0.25"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 s="68"/>
      <c r="AR310" s="68"/>
      <c r="AS310" s="68"/>
      <c r="AT310" s="68"/>
      <c r="AU310" s="68"/>
      <c r="AV310" s="68"/>
      <c r="AW310" s="68"/>
      <c r="AX310" s="68"/>
    </row>
    <row r="311" spans="7:50" x14ac:dyDescent="0.25"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 s="68"/>
      <c r="AR311" s="68"/>
      <c r="AS311" s="68"/>
      <c r="AT311" s="68"/>
      <c r="AU311" s="68"/>
      <c r="AV311" s="68"/>
      <c r="AW311" s="68"/>
      <c r="AX311" s="68"/>
    </row>
    <row r="312" spans="7:50" x14ac:dyDescent="0.25"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 s="68"/>
      <c r="AR312" s="68"/>
      <c r="AS312" s="68"/>
      <c r="AT312" s="68"/>
      <c r="AU312" s="68"/>
      <c r="AV312" s="68"/>
      <c r="AW312" s="68"/>
      <c r="AX312" s="68"/>
    </row>
    <row r="313" spans="7:50" x14ac:dyDescent="0.25"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 s="68"/>
      <c r="AR313" s="68"/>
      <c r="AS313" s="68"/>
      <c r="AT313" s="68"/>
      <c r="AU313" s="68"/>
      <c r="AV313" s="68"/>
      <c r="AW313" s="68"/>
      <c r="AX313" s="68"/>
    </row>
    <row r="314" spans="7:50" x14ac:dyDescent="0.25"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 s="68"/>
      <c r="AR314" s="68"/>
      <c r="AS314" s="68"/>
      <c r="AT314" s="68"/>
      <c r="AU314" s="68"/>
      <c r="AV314" s="68"/>
      <c r="AW314" s="68"/>
      <c r="AX314" s="68"/>
    </row>
    <row r="315" spans="7:50" x14ac:dyDescent="0.25"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 s="68"/>
      <c r="AR315" s="68"/>
      <c r="AS315" s="68"/>
      <c r="AT315" s="68"/>
      <c r="AU315" s="68"/>
      <c r="AV315" s="68"/>
      <c r="AW315" s="68"/>
      <c r="AX315" s="68"/>
    </row>
    <row r="316" spans="7:50" x14ac:dyDescent="0.25"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 s="68"/>
      <c r="AR316" s="68"/>
      <c r="AS316" s="68"/>
      <c r="AT316" s="68"/>
      <c r="AU316" s="68"/>
      <c r="AV316" s="68"/>
      <c r="AW316" s="68"/>
      <c r="AX316" s="68"/>
    </row>
    <row r="317" spans="7:50" x14ac:dyDescent="0.25"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 s="68"/>
      <c r="AR317" s="68"/>
      <c r="AS317" s="68"/>
      <c r="AT317" s="68"/>
      <c r="AU317" s="68"/>
      <c r="AV317" s="68"/>
      <c r="AW317" s="68"/>
      <c r="AX317" s="68"/>
    </row>
    <row r="318" spans="7:50" x14ac:dyDescent="0.25"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 s="68"/>
      <c r="AR318" s="68"/>
      <c r="AS318" s="68"/>
      <c r="AT318" s="68"/>
      <c r="AU318" s="68"/>
      <c r="AV318" s="68"/>
      <c r="AW318" s="68"/>
      <c r="AX318" s="68"/>
    </row>
    <row r="319" spans="7:50" x14ac:dyDescent="0.25"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 s="68"/>
      <c r="AR319" s="68"/>
      <c r="AS319" s="68"/>
      <c r="AT319" s="68"/>
      <c r="AU319" s="68"/>
      <c r="AV319" s="68"/>
      <c r="AW319" s="68"/>
      <c r="AX319" s="68"/>
    </row>
    <row r="320" spans="7:50" x14ac:dyDescent="0.25"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 s="68"/>
      <c r="AR320" s="68"/>
      <c r="AS320" s="68"/>
      <c r="AT320" s="68"/>
      <c r="AU320" s="68"/>
      <c r="AV320" s="68"/>
      <c r="AW320" s="68"/>
      <c r="AX320" s="68"/>
    </row>
    <row r="321" spans="7:50" x14ac:dyDescent="0.25"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 s="68"/>
      <c r="AR321" s="68"/>
      <c r="AS321" s="68"/>
      <c r="AT321" s="68"/>
      <c r="AU321" s="68"/>
      <c r="AV321" s="68"/>
      <c r="AW321" s="68"/>
      <c r="AX321" s="68"/>
    </row>
    <row r="322" spans="7:50" x14ac:dyDescent="0.25"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 s="68"/>
      <c r="AR322" s="68"/>
      <c r="AS322" s="68"/>
      <c r="AT322" s="68"/>
      <c r="AU322" s="68"/>
      <c r="AV322" s="68"/>
      <c r="AW322" s="68"/>
      <c r="AX322" s="68"/>
    </row>
    <row r="323" spans="7:50" x14ac:dyDescent="0.25"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 s="68"/>
      <c r="AR323" s="68"/>
      <c r="AS323" s="68"/>
      <c r="AT323" s="68"/>
      <c r="AU323" s="68"/>
      <c r="AV323" s="68"/>
      <c r="AW323" s="68"/>
      <c r="AX323" s="68"/>
    </row>
    <row r="324" spans="7:50" x14ac:dyDescent="0.25"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 s="68"/>
      <c r="AR324" s="68"/>
      <c r="AS324" s="68"/>
      <c r="AT324" s="68"/>
      <c r="AU324" s="68"/>
      <c r="AV324" s="68"/>
      <c r="AW324" s="68"/>
      <c r="AX324" s="68"/>
    </row>
    <row r="325" spans="7:50" x14ac:dyDescent="0.25"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 s="68"/>
      <c r="AR325" s="68"/>
      <c r="AS325" s="68"/>
      <c r="AT325" s="68"/>
      <c r="AU325" s="68"/>
      <c r="AV325" s="68"/>
      <c r="AW325" s="68"/>
      <c r="AX325" s="68"/>
    </row>
    <row r="326" spans="7:50" x14ac:dyDescent="0.25"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 s="68"/>
      <c r="AR326" s="68"/>
      <c r="AS326" s="68"/>
      <c r="AT326" s="68"/>
      <c r="AU326" s="68"/>
      <c r="AV326" s="68"/>
      <c r="AW326" s="68"/>
      <c r="AX326" s="68"/>
    </row>
    <row r="327" spans="7:50" x14ac:dyDescent="0.25"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 s="68"/>
      <c r="AR327" s="68"/>
      <c r="AS327" s="68"/>
      <c r="AT327" s="68"/>
      <c r="AU327" s="68"/>
      <c r="AV327" s="68"/>
      <c r="AW327" s="68"/>
      <c r="AX327" s="68"/>
    </row>
    <row r="328" spans="7:50" x14ac:dyDescent="0.25"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 s="68"/>
      <c r="AR328" s="68"/>
      <c r="AS328" s="68"/>
      <c r="AT328" s="68"/>
      <c r="AU328" s="68"/>
      <c r="AV328" s="68"/>
      <c r="AW328" s="68"/>
      <c r="AX328" s="68"/>
    </row>
    <row r="329" spans="7:50" x14ac:dyDescent="0.25"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 s="68"/>
      <c r="AR329" s="68"/>
      <c r="AS329" s="68"/>
      <c r="AT329" s="68"/>
      <c r="AU329" s="68"/>
      <c r="AV329" s="68"/>
      <c r="AW329" s="68"/>
      <c r="AX329" s="68"/>
    </row>
    <row r="330" spans="7:50" x14ac:dyDescent="0.25"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 s="68"/>
      <c r="AR330" s="68"/>
      <c r="AS330" s="68"/>
      <c r="AT330" s="68"/>
      <c r="AU330" s="68"/>
      <c r="AV330" s="68"/>
      <c r="AW330" s="68"/>
      <c r="AX330" s="68"/>
    </row>
    <row r="331" spans="7:50" x14ac:dyDescent="0.25"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 s="68"/>
      <c r="AR331" s="68"/>
      <c r="AS331" s="68"/>
      <c r="AT331" s="68"/>
      <c r="AU331" s="68"/>
      <c r="AV331" s="68"/>
      <c r="AW331" s="68"/>
      <c r="AX331" s="68"/>
    </row>
    <row r="332" spans="7:50" x14ac:dyDescent="0.25"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 s="68"/>
      <c r="AR332" s="68"/>
      <c r="AS332" s="68"/>
      <c r="AT332" s="68"/>
      <c r="AU332" s="68"/>
      <c r="AV332" s="68"/>
      <c r="AW332" s="68"/>
      <c r="AX332" s="68"/>
    </row>
    <row r="333" spans="7:50" x14ac:dyDescent="0.25"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 s="68"/>
      <c r="AR333" s="68"/>
      <c r="AS333" s="68"/>
      <c r="AT333" s="68"/>
      <c r="AU333" s="68"/>
      <c r="AV333" s="68"/>
      <c r="AW333" s="68"/>
      <c r="AX333" s="68"/>
    </row>
    <row r="334" spans="7:50" x14ac:dyDescent="0.25"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 s="68"/>
      <c r="AR334" s="68"/>
      <c r="AS334" s="68"/>
      <c r="AT334" s="68"/>
      <c r="AU334" s="68"/>
      <c r="AV334" s="68"/>
      <c r="AW334" s="68"/>
      <c r="AX334" s="68"/>
    </row>
    <row r="335" spans="7:50" x14ac:dyDescent="0.25"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 s="68"/>
      <c r="AR335" s="68"/>
      <c r="AS335" s="68"/>
      <c r="AT335" s="68"/>
      <c r="AU335" s="68"/>
      <c r="AV335" s="68"/>
      <c r="AW335" s="68"/>
      <c r="AX335" s="68"/>
    </row>
    <row r="336" spans="7:50" x14ac:dyDescent="0.25"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 s="68"/>
      <c r="AR336" s="68"/>
      <c r="AS336" s="68"/>
      <c r="AT336" s="68"/>
      <c r="AU336" s="68"/>
      <c r="AV336" s="68"/>
      <c r="AW336" s="68"/>
      <c r="AX336" s="68"/>
    </row>
    <row r="337" spans="7:50" x14ac:dyDescent="0.25"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 s="68"/>
      <c r="AR337" s="68"/>
      <c r="AS337" s="68"/>
      <c r="AT337" s="68"/>
      <c r="AU337" s="68"/>
      <c r="AV337" s="68"/>
      <c r="AW337" s="68"/>
      <c r="AX337" s="68"/>
    </row>
    <row r="338" spans="7:50" x14ac:dyDescent="0.25"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 s="68"/>
      <c r="AR338" s="68"/>
      <c r="AS338" s="68"/>
      <c r="AT338" s="68"/>
      <c r="AU338" s="68"/>
      <c r="AV338" s="68"/>
      <c r="AW338" s="68"/>
      <c r="AX338" s="68"/>
    </row>
    <row r="339" spans="7:50" x14ac:dyDescent="0.25"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 s="68"/>
      <c r="AR339" s="68"/>
      <c r="AS339" s="68"/>
      <c r="AT339" s="68"/>
      <c r="AU339" s="68"/>
      <c r="AV339" s="68"/>
      <c r="AW339" s="68"/>
      <c r="AX339" s="68"/>
    </row>
    <row r="340" spans="7:50" x14ac:dyDescent="0.25"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 s="68"/>
      <c r="AR340" s="68"/>
      <c r="AS340" s="68"/>
      <c r="AT340" s="68"/>
      <c r="AU340" s="68"/>
      <c r="AV340" s="68"/>
      <c r="AW340" s="68"/>
      <c r="AX340" s="68"/>
    </row>
    <row r="341" spans="7:50" x14ac:dyDescent="0.25"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 s="68"/>
      <c r="AR341" s="68"/>
      <c r="AS341" s="68"/>
      <c r="AT341" s="68"/>
      <c r="AU341" s="68"/>
      <c r="AV341" s="68"/>
      <c r="AW341" s="68"/>
      <c r="AX341" s="68"/>
    </row>
    <row r="342" spans="7:50" x14ac:dyDescent="0.25"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 s="68"/>
      <c r="AR342" s="68"/>
      <c r="AS342" s="68"/>
      <c r="AT342" s="68"/>
      <c r="AU342" s="68"/>
      <c r="AV342" s="68"/>
      <c r="AW342" s="68"/>
      <c r="AX342" s="68"/>
    </row>
    <row r="343" spans="7:50" x14ac:dyDescent="0.25"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 s="68"/>
      <c r="AR343" s="68"/>
      <c r="AS343" s="68"/>
      <c r="AT343" s="68"/>
      <c r="AU343" s="68"/>
      <c r="AV343" s="68"/>
      <c r="AW343" s="68"/>
      <c r="AX343" s="68"/>
    </row>
    <row r="344" spans="7:50" x14ac:dyDescent="0.25"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 s="68"/>
      <c r="AR344" s="68"/>
      <c r="AS344" s="68"/>
      <c r="AT344" s="68"/>
      <c r="AU344" s="68"/>
      <c r="AV344" s="68"/>
      <c r="AW344" s="68"/>
      <c r="AX344" s="68"/>
    </row>
    <row r="345" spans="7:50" x14ac:dyDescent="0.25"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 s="68"/>
      <c r="AR345" s="68"/>
      <c r="AS345" s="68"/>
      <c r="AT345" s="68"/>
      <c r="AU345" s="68"/>
      <c r="AV345" s="68"/>
      <c r="AW345" s="68"/>
      <c r="AX345" s="68"/>
    </row>
    <row r="346" spans="7:50" x14ac:dyDescent="0.25"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 s="68"/>
      <c r="AR346" s="68"/>
      <c r="AS346" s="68"/>
      <c r="AT346" s="68"/>
      <c r="AU346" s="68"/>
      <c r="AV346" s="68"/>
      <c r="AW346" s="68"/>
      <c r="AX346" s="68"/>
    </row>
    <row r="347" spans="7:50" x14ac:dyDescent="0.25"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 s="68"/>
      <c r="AR347" s="68"/>
      <c r="AS347" s="68"/>
      <c r="AT347" s="68"/>
      <c r="AU347" s="68"/>
      <c r="AV347" s="68"/>
      <c r="AW347" s="68"/>
      <c r="AX347" s="68"/>
    </row>
    <row r="348" spans="7:50" x14ac:dyDescent="0.25"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 s="68"/>
      <c r="AR348" s="68"/>
      <c r="AS348" s="68"/>
      <c r="AT348" s="68"/>
      <c r="AU348" s="68"/>
      <c r="AV348" s="68"/>
      <c r="AW348" s="68"/>
      <c r="AX348" s="68"/>
    </row>
    <row r="349" spans="7:50" x14ac:dyDescent="0.25"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 s="68"/>
      <c r="AR349" s="68"/>
      <c r="AS349" s="68"/>
      <c r="AT349" s="68"/>
      <c r="AU349" s="68"/>
      <c r="AV349" s="68"/>
      <c r="AW349" s="68"/>
      <c r="AX349" s="68"/>
    </row>
    <row r="350" spans="7:50" x14ac:dyDescent="0.25"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 s="68"/>
      <c r="AR350" s="68"/>
      <c r="AS350" s="68"/>
      <c r="AT350" s="68"/>
      <c r="AU350" s="68"/>
      <c r="AV350" s="68"/>
      <c r="AW350" s="68"/>
      <c r="AX350" s="68"/>
    </row>
    <row r="351" spans="7:50" x14ac:dyDescent="0.25"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 s="68"/>
      <c r="AR351" s="68"/>
      <c r="AS351" s="68"/>
      <c r="AT351" s="68"/>
      <c r="AU351" s="68"/>
      <c r="AV351" s="68"/>
      <c r="AW351" s="68"/>
      <c r="AX351" s="68"/>
    </row>
    <row r="352" spans="7:50" x14ac:dyDescent="0.25"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 s="68"/>
      <c r="AR352" s="68"/>
      <c r="AS352" s="68"/>
      <c r="AT352" s="68"/>
      <c r="AU352" s="68"/>
      <c r="AV352" s="68"/>
      <c r="AW352" s="68"/>
      <c r="AX352" s="68"/>
    </row>
    <row r="353" spans="7:50" x14ac:dyDescent="0.25"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 s="68"/>
      <c r="AR353" s="68"/>
      <c r="AS353" s="68"/>
      <c r="AT353" s="68"/>
      <c r="AU353" s="68"/>
      <c r="AV353" s="68"/>
      <c r="AW353" s="68"/>
      <c r="AX353" s="68"/>
    </row>
    <row r="354" spans="7:50" x14ac:dyDescent="0.25"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 s="68"/>
      <c r="AR354" s="68"/>
      <c r="AS354" s="68"/>
      <c r="AT354" s="68"/>
      <c r="AU354" s="68"/>
      <c r="AV354" s="68"/>
      <c r="AW354" s="68"/>
      <c r="AX354" s="68"/>
    </row>
    <row r="355" spans="7:50" x14ac:dyDescent="0.25"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 s="68"/>
      <c r="AR355" s="68"/>
      <c r="AS355" s="68"/>
      <c r="AT355" s="68"/>
      <c r="AU355" s="68"/>
      <c r="AV355" s="68"/>
      <c r="AW355" s="68"/>
      <c r="AX355" s="68"/>
    </row>
    <row r="356" spans="7:50" x14ac:dyDescent="0.25"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 s="68"/>
      <c r="AR356" s="68"/>
      <c r="AS356" s="68"/>
      <c r="AT356" s="68"/>
      <c r="AU356" s="68"/>
      <c r="AV356" s="68"/>
      <c r="AW356" s="68"/>
      <c r="AX356" s="68"/>
    </row>
    <row r="357" spans="7:50" x14ac:dyDescent="0.25"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 s="68"/>
      <c r="AR357" s="68"/>
      <c r="AS357" s="68"/>
      <c r="AT357" s="68"/>
      <c r="AU357" s="68"/>
      <c r="AV357" s="68"/>
      <c r="AW357" s="68"/>
      <c r="AX357" s="68"/>
    </row>
    <row r="358" spans="7:50" x14ac:dyDescent="0.25"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 s="68"/>
      <c r="AR358" s="68"/>
      <c r="AS358" s="68"/>
      <c r="AT358" s="68"/>
      <c r="AU358" s="68"/>
      <c r="AV358" s="68"/>
      <c r="AW358" s="68"/>
      <c r="AX358" s="68"/>
    </row>
    <row r="359" spans="7:50" x14ac:dyDescent="0.25"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 s="68"/>
      <c r="AR359" s="68"/>
      <c r="AS359" s="68"/>
      <c r="AT359" s="68"/>
      <c r="AU359" s="68"/>
      <c r="AV359" s="68"/>
      <c r="AW359" s="68"/>
      <c r="AX359" s="68"/>
    </row>
    <row r="360" spans="7:50" x14ac:dyDescent="0.25"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 s="68"/>
      <c r="AR360" s="68"/>
      <c r="AS360" s="68"/>
      <c r="AT360" s="68"/>
      <c r="AU360" s="68"/>
      <c r="AV360" s="68"/>
      <c r="AW360" s="68"/>
      <c r="AX360" s="68"/>
    </row>
    <row r="361" spans="7:50" x14ac:dyDescent="0.25"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 s="68"/>
      <c r="AR361" s="68"/>
      <c r="AS361" s="68"/>
      <c r="AT361" s="68"/>
      <c r="AU361" s="68"/>
      <c r="AV361" s="68"/>
      <c r="AW361" s="68"/>
      <c r="AX361" s="68"/>
    </row>
    <row r="362" spans="7:50" x14ac:dyDescent="0.25"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 s="68"/>
      <c r="AR362" s="68"/>
      <c r="AS362" s="68"/>
      <c r="AT362" s="68"/>
      <c r="AU362" s="68"/>
      <c r="AV362" s="68"/>
      <c r="AW362" s="68"/>
      <c r="AX362" s="68"/>
    </row>
    <row r="363" spans="7:50" x14ac:dyDescent="0.25"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 s="68"/>
      <c r="AR363" s="68"/>
      <c r="AS363" s="68"/>
      <c r="AT363" s="68"/>
      <c r="AU363" s="68"/>
      <c r="AV363" s="68"/>
      <c r="AW363" s="68"/>
      <c r="AX363" s="68"/>
    </row>
    <row r="364" spans="7:50" x14ac:dyDescent="0.25"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 s="68"/>
      <c r="AR364" s="68"/>
      <c r="AS364" s="68"/>
      <c r="AT364" s="68"/>
      <c r="AU364" s="68"/>
      <c r="AV364" s="68"/>
      <c r="AW364" s="68"/>
      <c r="AX364" s="68"/>
    </row>
    <row r="365" spans="7:50" x14ac:dyDescent="0.25"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 s="68"/>
      <c r="AR365" s="68"/>
      <c r="AS365" s="68"/>
      <c r="AT365" s="68"/>
      <c r="AU365" s="68"/>
      <c r="AV365" s="68"/>
      <c r="AW365" s="68"/>
      <c r="AX365" s="68"/>
    </row>
    <row r="366" spans="7:50" x14ac:dyDescent="0.25"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 s="68"/>
      <c r="AR366" s="68"/>
      <c r="AS366" s="68"/>
      <c r="AT366" s="68"/>
      <c r="AU366" s="68"/>
      <c r="AV366" s="68"/>
      <c r="AW366" s="68"/>
      <c r="AX366" s="68"/>
    </row>
    <row r="367" spans="7:50" x14ac:dyDescent="0.25"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 s="68"/>
      <c r="AR367" s="68"/>
      <c r="AS367" s="68"/>
      <c r="AT367" s="68"/>
      <c r="AU367" s="68"/>
      <c r="AV367" s="68"/>
      <c r="AW367" s="68"/>
      <c r="AX367" s="68"/>
    </row>
    <row r="368" spans="7:50" x14ac:dyDescent="0.25"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 s="68"/>
      <c r="AR368" s="68"/>
      <c r="AS368" s="68"/>
      <c r="AT368" s="68"/>
      <c r="AU368" s="68"/>
      <c r="AV368" s="68"/>
      <c r="AW368" s="68"/>
      <c r="AX368" s="68"/>
    </row>
    <row r="369" spans="7:50" x14ac:dyDescent="0.25"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 s="68"/>
      <c r="AR369" s="68"/>
      <c r="AS369" s="68"/>
      <c r="AT369" s="68"/>
      <c r="AU369" s="68"/>
      <c r="AV369" s="68"/>
      <c r="AW369" s="68"/>
      <c r="AX369" s="68"/>
    </row>
    <row r="370" spans="7:50" x14ac:dyDescent="0.25"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 s="68"/>
      <c r="AR370" s="68"/>
      <c r="AS370" s="68"/>
      <c r="AT370" s="68"/>
      <c r="AU370" s="68"/>
      <c r="AV370" s="68"/>
      <c r="AW370" s="68"/>
      <c r="AX370" s="68"/>
    </row>
    <row r="371" spans="7:50" x14ac:dyDescent="0.25"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 s="68"/>
      <c r="AR371" s="68"/>
      <c r="AS371" s="68"/>
      <c r="AT371" s="68"/>
      <c r="AU371" s="68"/>
      <c r="AV371" s="68"/>
      <c r="AW371" s="68"/>
      <c r="AX371" s="68"/>
    </row>
    <row r="372" spans="7:50" x14ac:dyDescent="0.25"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 s="68"/>
      <c r="AR372" s="68"/>
      <c r="AS372" s="68"/>
      <c r="AT372" s="68"/>
      <c r="AU372" s="68"/>
      <c r="AV372" s="68"/>
      <c r="AW372" s="68"/>
      <c r="AX372" s="68"/>
    </row>
    <row r="373" spans="7:50" x14ac:dyDescent="0.25"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 s="68"/>
      <c r="AR373" s="68"/>
      <c r="AS373" s="68"/>
      <c r="AT373" s="68"/>
      <c r="AU373" s="68"/>
      <c r="AV373" s="68"/>
      <c r="AW373" s="68"/>
      <c r="AX373" s="68"/>
    </row>
    <row r="374" spans="7:50" x14ac:dyDescent="0.25"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 s="68"/>
      <c r="AR374" s="68"/>
      <c r="AS374" s="68"/>
      <c r="AT374" s="68"/>
      <c r="AU374" s="68"/>
      <c r="AV374" s="68"/>
      <c r="AW374" s="68"/>
      <c r="AX374" s="68"/>
    </row>
    <row r="375" spans="7:50" x14ac:dyDescent="0.25"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 s="68"/>
      <c r="AR375" s="68"/>
      <c r="AS375" s="68"/>
      <c r="AT375" s="68"/>
      <c r="AU375" s="68"/>
      <c r="AV375" s="68"/>
      <c r="AW375" s="68"/>
      <c r="AX375" s="68"/>
    </row>
    <row r="376" spans="7:50" x14ac:dyDescent="0.25"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 s="68"/>
      <c r="AR376" s="68"/>
      <c r="AS376" s="68"/>
      <c r="AT376" s="68"/>
      <c r="AU376" s="68"/>
      <c r="AV376" s="68"/>
      <c r="AW376" s="68"/>
      <c r="AX376" s="68"/>
    </row>
    <row r="377" spans="7:50" x14ac:dyDescent="0.25"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 s="68"/>
      <c r="AR377" s="68"/>
      <c r="AS377" s="68"/>
      <c r="AT377" s="68"/>
      <c r="AU377" s="68"/>
      <c r="AV377" s="68"/>
      <c r="AW377" s="68"/>
      <c r="AX377" s="68"/>
    </row>
    <row r="378" spans="7:50" x14ac:dyDescent="0.25"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 s="68"/>
      <c r="AR378" s="68"/>
      <c r="AS378" s="68"/>
      <c r="AT378" s="68"/>
      <c r="AU378" s="68"/>
      <c r="AV378" s="68"/>
      <c r="AW378" s="68"/>
      <c r="AX378" s="68"/>
    </row>
    <row r="379" spans="7:50" x14ac:dyDescent="0.25"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 s="68"/>
      <c r="AR379" s="68"/>
      <c r="AS379" s="68"/>
      <c r="AT379" s="68"/>
      <c r="AU379" s="68"/>
      <c r="AV379" s="68"/>
      <c r="AW379" s="68"/>
      <c r="AX379" s="68"/>
    </row>
    <row r="380" spans="7:50" x14ac:dyDescent="0.25"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 s="68"/>
      <c r="AR380" s="68"/>
      <c r="AS380" s="68"/>
      <c r="AT380" s="68"/>
      <c r="AU380" s="68"/>
      <c r="AV380" s="68"/>
      <c r="AW380" s="68"/>
      <c r="AX380" s="68"/>
    </row>
    <row r="381" spans="7:50" x14ac:dyDescent="0.25"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 s="68"/>
      <c r="AR381" s="68"/>
      <c r="AS381" s="68"/>
      <c r="AT381" s="68"/>
      <c r="AU381" s="68"/>
      <c r="AV381" s="68"/>
      <c r="AW381" s="68"/>
      <c r="AX381" s="68"/>
    </row>
    <row r="382" spans="7:50" x14ac:dyDescent="0.25"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 s="68"/>
      <c r="AR382" s="68"/>
      <c r="AS382" s="68"/>
      <c r="AT382" s="68"/>
      <c r="AU382" s="68"/>
      <c r="AV382" s="68"/>
      <c r="AW382" s="68"/>
      <c r="AX382" s="68"/>
    </row>
    <row r="383" spans="7:50" x14ac:dyDescent="0.25"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 s="68"/>
      <c r="AR383" s="68"/>
      <c r="AS383" s="68"/>
      <c r="AT383" s="68"/>
      <c r="AU383" s="68"/>
      <c r="AV383" s="68"/>
      <c r="AW383" s="68"/>
      <c r="AX383" s="68"/>
    </row>
    <row r="384" spans="7:50" x14ac:dyDescent="0.25"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 s="68"/>
      <c r="AR384" s="68"/>
      <c r="AS384" s="68"/>
      <c r="AT384" s="68"/>
      <c r="AU384" s="68"/>
      <c r="AV384" s="68"/>
      <c r="AW384" s="68"/>
      <c r="AX384" s="68"/>
    </row>
    <row r="385" spans="7:50" x14ac:dyDescent="0.25"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 s="68"/>
      <c r="AR385" s="68"/>
      <c r="AS385" s="68"/>
      <c r="AT385" s="68"/>
      <c r="AU385" s="68"/>
      <c r="AV385" s="68"/>
      <c r="AW385" s="68"/>
      <c r="AX385" s="68"/>
    </row>
    <row r="386" spans="7:50" x14ac:dyDescent="0.25"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 s="68"/>
      <c r="AR386" s="68"/>
      <c r="AS386" s="68"/>
      <c r="AT386" s="68"/>
      <c r="AU386" s="68"/>
      <c r="AV386" s="68"/>
      <c r="AW386" s="68"/>
      <c r="AX386" s="68"/>
    </row>
    <row r="387" spans="7:50" x14ac:dyDescent="0.25"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 s="68"/>
      <c r="AR387" s="68"/>
      <c r="AS387" s="68"/>
      <c r="AT387" s="68"/>
      <c r="AU387" s="68"/>
      <c r="AV387" s="68"/>
      <c r="AW387" s="68"/>
      <c r="AX387" s="68"/>
    </row>
    <row r="388" spans="7:50" x14ac:dyDescent="0.25"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 s="68"/>
      <c r="AR388" s="68"/>
      <c r="AS388" s="68"/>
      <c r="AT388" s="68"/>
      <c r="AU388" s="68"/>
      <c r="AV388" s="68"/>
      <c r="AW388" s="68"/>
      <c r="AX388" s="68"/>
    </row>
    <row r="389" spans="7:50" x14ac:dyDescent="0.25"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 s="68"/>
      <c r="AR389" s="68"/>
      <c r="AS389" s="68"/>
      <c r="AT389" s="68"/>
      <c r="AU389" s="68"/>
      <c r="AV389" s="68"/>
      <c r="AW389" s="68"/>
      <c r="AX389" s="68"/>
    </row>
    <row r="390" spans="7:50" x14ac:dyDescent="0.25"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 s="68"/>
      <c r="AR390" s="68"/>
      <c r="AS390" s="68"/>
      <c r="AT390" s="68"/>
      <c r="AU390" s="68"/>
      <c r="AV390" s="68"/>
      <c r="AW390" s="68"/>
      <c r="AX390" s="68"/>
    </row>
    <row r="391" spans="7:50" x14ac:dyDescent="0.25"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 s="68"/>
      <c r="AR391" s="68"/>
      <c r="AS391" s="68"/>
      <c r="AT391" s="68"/>
      <c r="AU391" s="68"/>
      <c r="AV391" s="68"/>
      <c r="AW391" s="68"/>
      <c r="AX391" s="68"/>
    </row>
    <row r="392" spans="7:50" x14ac:dyDescent="0.25"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 s="68"/>
      <c r="AR392" s="68"/>
      <c r="AS392" s="68"/>
      <c r="AT392" s="68"/>
      <c r="AU392" s="68"/>
      <c r="AV392" s="68"/>
      <c r="AW392" s="68"/>
      <c r="AX392" s="68"/>
    </row>
    <row r="393" spans="7:50" x14ac:dyDescent="0.25"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 s="68"/>
      <c r="AR393" s="68"/>
      <c r="AS393" s="68"/>
      <c r="AT393" s="68"/>
      <c r="AU393" s="68"/>
      <c r="AV393" s="68"/>
      <c r="AW393" s="68"/>
      <c r="AX393" s="68"/>
    </row>
    <row r="394" spans="7:50" x14ac:dyDescent="0.25"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 s="68"/>
      <c r="AR394" s="68"/>
      <c r="AS394" s="68"/>
      <c r="AT394" s="68"/>
      <c r="AU394" s="68"/>
      <c r="AV394" s="68"/>
      <c r="AW394" s="68"/>
      <c r="AX394" s="68"/>
    </row>
    <row r="395" spans="7:50" x14ac:dyDescent="0.25"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 s="68"/>
      <c r="AR395" s="68"/>
      <c r="AS395" s="68"/>
      <c r="AT395" s="68"/>
      <c r="AU395" s="68"/>
      <c r="AV395" s="68"/>
      <c r="AW395" s="68"/>
      <c r="AX395" s="68"/>
    </row>
    <row r="396" spans="7:50" x14ac:dyDescent="0.25"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 s="68"/>
      <c r="AR396" s="68"/>
      <c r="AS396" s="68"/>
      <c r="AT396" s="68"/>
      <c r="AU396" s="68"/>
      <c r="AV396" s="68"/>
      <c r="AW396" s="68"/>
      <c r="AX396" s="68"/>
    </row>
    <row r="397" spans="7:50" x14ac:dyDescent="0.25"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 s="68"/>
      <c r="AR397" s="68"/>
      <c r="AS397" s="68"/>
      <c r="AT397" s="68"/>
      <c r="AU397" s="68"/>
      <c r="AV397" s="68"/>
      <c r="AW397" s="68"/>
      <c r="AX397" s="68"/>
    </row>
    <row r="398" spans="7:50" x14ac:dyDescent="0.25"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 s="68"/>
      <c r="AR398" s="68"/>
      <c r="AS398" s="68"/>
      <c r="AT398" s="68"/>
      <c r="AU398" s="68"/>
      <c r="AV398" s="68"/>
      <c r="AW398" s="68"/>
      <c r="AX398" s="68"/>
    </row>
    <row r="399" spans="7:50" x14ac:dyDescent="0.25"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 s="68"/>
      <c r="AR399" s="68"/>
      <c r="AS399" s="68"/>
      <c r="AT399" s="68"/>
      <c r="AU399" s="68"/>
      <c r="AV399" s="68"/>
      <c r="AW399" s="68"/>
      <c r="AX399" s="68"/>
    </row>
    <row r="400" spans="7:50" x14ac:dyDescent="0.25"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 s="68"/>
      <c r="AR400" s="68"/>
      <c r="AS400" s="68"/>
      <c r="AT400" s="68"/>
      <c r="AU400" s="68"/>
      <c r="AV400" s="68"/>
      <c r="AW400" s="68"/>
      <c r="AX400" s="68"/>
    </row>
    <row r="401" spans="7:50" x14ac:dyDescent="0.25"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 s="68"/>
      <c r="AR401" s="68"/>
      <c r="AS401" s="68"/>
      <c r="AT401" s="68"/>
      <c r="AU401" s="68"/>
      <c r="AV401" s="68"/>
      <c r="AW401" s="68"/>
      <c r="AX401" s="68"/>
    </row>
    <row r="402" spans="7:50" x14ac:dyDescent="0.25"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 s="68"/>
      <c r="AR402" s="68"/>
      <c r="AS402" s="68"/>
      <c r="AT402" s="68"/>
      <c r="AU402" s="68"/>
      <c r="AV402" s="68"/>
      <c r="AW402" s="68"/>
      <c r="AX402" s="68"/>
    </row>
    <row r="403" spans="7:50" x14ac:dyDescent="0.25"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 s="68"/>
      <c r="AR403" s="68"/>
      <c r="AS403" s="68"/>
      <c r="AT403" s="68"/>
      <c r="AU403" s="68"/>
      <c r="AV403" s="68"/>
      <c r="AW403" s="68"/>
      <c r="AX403" s="68"/>
    </row>
    <row r="404" spans="7:50" x14ac:dyDescent="0.25"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 s="68"/>
      <c r="AR404" s="68"/>
      <c r="AS404" s="68"/>
      <c r="AT404" s="68"/>
      <c r="AU404" s="68"/>
      <c r="AV404" s="68"/>
      <c r="AW404" s="68"/>
      <c r="AX404" s="68"/>
    </row>
    <row r="405" spans="7:50" x14ac:dyDescent="0.25"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 s="68"/>
      <c r="AR405" s="68"/>
      <c r="AS405" s="68"/>
      <c r="AT405" s="68"/>
      <c r="AU405" s="68"/>
      <c r="AV405" s="68"/>
      <c r="AW405" s="68"/>
      <c r="AX405" s="68"/>
    </row>
    <row r="406" spans="7:50" x14ac:dyDescent="0.25"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 s="68"/>
      <c r="AR406" s="68"/>
      <c r="AS406" s="68"/>
      <c r="AT406" s="68"/>
      <c r="AU406" s="68"/>
      <c r="AV406" s="68"/>
      <c r="AW406" s="68"/>
      <c r="AX406" s="68"/>
    </row>
    <row r="407" spans="7:50" x14ac:dyDescent="0.25"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 s="68"/>
      <c r="AR407" s="68"/>
      <c r="AS407" s="68"/>
      <c r="AT407" s="68"/>
      <c r="AU407" s="68"/>
      <c r="AV407" s="68"/>
      <c r="AW407" s="68"/>
      <c r="AX407" s="68"/>
    </row>
    <row r="408" spans="7:50" x14ac:dyDescent="0.25"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 s="68"/>
      <c r="AR408" s="68"/>
      <c r="AS408" s="68"/>
      <c r="AT408" s="68"/>
      <c r="AU408" s="68"/>
      <c r="AV408" s="68"/>
      <c r="AW408" s="68"/>
      <c r="AX408" s="68"/>
    </row>
    <row r="409" spans="7:50" x14ac:dyDescent="0.25"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 s="68"/>
      <c r="AR409" s="68"/>
      <c r="AS409" s="68"/>
      <c r="AT409" s="68"/>
      <c r="AU409" s="68"/>
      <c r="AV409" s="68"/>
      <c r="AW409" s="68"/>
      <c r="AX409" s="68"/>
    </row>
    <row r="410" spans="7:50" x14ac:dyDescent="0.25"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 s="68"/>
      <c r="AR410" s="68"/>
      <c r="AS410" s="68"/>
      <c r="AT410" s="68"/>
      <c r="AU410" s="68"/>
      <c r="AV410" s="68"/>
      <c r="AW410" s="68"/>
      <c r="AX410" s="68"/>
    </row>
    <row r="411" spans="7:50" x14ac:dyDescent="0.25"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 s="68"/>
      <c r="AR411" s="68"/>
      <c r="AS411" s="68"/>
      <c r="AT411" s="68"/>
      <c r="AU411" s="68"/>
      <c r="AV411" s="68"/>
      <c r="AW411" s="68"/>
      <c r="AX411" s="68"/>
    </row>
    <row r="412" spans="7:50" x14ac:dyDescent="0.25"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 s="68"/>
      <c r="AR412" s="68"/>
      <c r="AS412" s="68"/>
      <c r="AT412" s="68"/>
      <c r="AU412" s="68"/>
      <c r="AV412" s="68"/>
      <c r="AW412" s="68"/>
      <c r="AX412" s="68"/>
    </row>
    <row r="413" spans="7:50" x14ac:dyDescent="0.25"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 s="68"/>
      <c r="AR413" s="68"/>
      <c r="AS413" s="68"/>
      <c r="AT413" s="68"/>
      <c r="AU413" s="68"/>
      <c r="AV413" s="68"/>
      <c r="AW413" s="68"/>
      <c r="AX413" s="68"/>
    </row>
    <row r="414" spans="7:50" x14ac:dyDescent="0.25"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 s="68"/>
      <c r="AR414" s="68"/>
      <c r="AS414" s="68"/>
      <c r="AT414" s="68"/>
      <c r="AU414" s="68"/>
      <c r="AV414" s="68"/>
      <c r="AW414" s="68"/>
      <c r="AX414" s="68"/>
    </row>
    <row r="415" spans="7:50" x14ac:dyDescent="0.25"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 s="68"/>
      <c r="AR415" s="68"/>
      <c r="AS415" s="68"/>
      <c r="AT415" s="68"/>
      <c r="AU415" s="68"/>
      <c r="AV415" s="68"/>
      <c r="AW415" s="68"/>
      <c r="AX415" s="68"/>
    </row>
    <row r="416" spans="7:50" x14ac:dyDescent="0.25"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 s="68"/>
      <c r="AR416" s="68"/>
      <c r="AS416" s="68"/>
      <c r="AT416" s="68"/>
      <c r="AU416" s="68"/>
      <c r="AV416" s="68"/>
      <c r="AW416" s="68"/>
      <c r="AX416" s="68"/>
    </row>
    <row r="417" spans="7:50" x14ac:dyDescent="0.25"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 s="68"/>
      <c r="AR417" s="68"/>
      <c r="AS417" s="68"/>
      <c r="AT417" s="68"/>
      <c r="AU417" s="68"/>
      <c r="AV417" s="68"/>
      <c r="AW417" s="68"/>
      <c r="AX417" s="68"/>
    </row>
    <row r="418" spans="7:50" x14ac:dyDescent="0.25"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 s="68"/>
      <c r="AR418" s="68"/>
      <c r="AS418" s="68"/>
      <c r="AT418" s="68"/>
      <c r="AU418" s="68"/>
      <c r="AV418" s="68"/>
      <c r="AW418" s="68"/>
      <c r="AX418" s="68"/>
    </row>
    <row r="419" spans="7:50" x14ac:dyDescent="0.25"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 s="68"/>
      <c r="AR419" s="68"/>
      <c r="AS419" s="68"/>
      <c r="AT419" s="68"/>
      <c r="AU419" s="68"/>
      <c r="AV419" s="68"/>
      <c r="AW419" s="68"/>
      <c r="AX419" s="68"/>
    </row>
    <row r="420" spans="7:50" x14ac:dyDescent="0.25"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 s="68"/>
      <c r="AR420" s="68"/>
      <c r="AS420" s="68"/>
      <c r="AT420" s="68"/>
      <c r="AU420" s="68"/>
      <c r="AV420" s="68"/>
      <c r="AW420" s="68"/>
      <c r="AX420" s="68"/>
    </row>
    <row r="421" spans="7:50" x14ac:dyDescent="0.25"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 s="68"/>
      <c r="AR421" s="68"/>
      <c r="AS421" s="68"/>
      <c r="AT421" s="68"/>
      <c r="AU421" s="68"/>
      <c r="AV421" s="68"/>
      <c r="AW421" s="68"/>
      <c r="AX421" s="68"/>
    </row>
    <row r="422" spans="7:50" x14ac:dyDescent="0.25"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 s="68"/>
      <c r="AR422" s="68"/>
      <c r="AS422" s="68"/>
      <c r="AT422" s="68"/>
      <c r="AU422" s="68"/>
      <c r="AV422" s="68"/>
      <c r="AW422" s="68"/>
      <c r="AX422" s="68"/>
    </row>
    <row r="423" spans="7:50" x14ac:dyDescent="0.25"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 s="68"/>
      <c r="AR423" s="68"/>
      <c r="AS423" s="68"/>
      <c r="AT423" s="68"/>
      <c r="AU423" s="68"/>
      <c r="AV423" s="68"/>
      <c r="AW423" s="68"/>
      <c r="AX423" s="68"/>
    </row>
    <row r="424" spans="7:50" x14ac:dyDescent="0.25"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 s="68"/>
      <c r="AR424" s="68"/>
      <c r="AS424" s="68"/>
      <c r="AT424" s="68"/>
      <c r="AU424" s="68"/>
      <c r="AV424" s="68"/>
      <c r="AW424" s="68"/>
      <c r="AX424" s="68"/>
    </row>
    <row r="425" spans="7:50" x14ac:dyDescent="0.25"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 s="68"/>
      <c r="AR425" s="68"/>
      <c r="AS425" s="68"/>
      <c r="AT425" s="68"/>
      <c r="AU425" s="68"/>
      <c r="AV425" s="68"/>
      <c r="AW425" s="68"/>
      <c r="AX425" s="68"/>
    </row>
    <row r="426" spans="7:50" x14ac:dyDescent="0.25"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 s="68"/>
      <c r="AR426" s="68"/>
      <c r="AS426" s="68"/>
      <c r="AT426" s="68"/>
      <c r="AU426" s="68"/>
      <c r="AV426" s="68"/>
      <c r="AW426" s="68"/>
      <c r="AX426" s="68"/>
    </row>
    <row r="427" spans="7:50" x14ac:dyDescent="0.25"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 s="68"/>
      <c r="AR427" s="68"/>
      <c r="AS427" s="68"/>
      <c r="AT427" s="68"/>
      <c r="AU427" s="68"/>
      <c r="AV427" s="68"/>
      <c r="AW427" s="68"/>
      <c r="AX427" s="68"/>
    </row>
    <row r="428" spans="7:50" x14ac:dyDescent="0.25"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 s="68"/>
      <c r="AR428" s="68"/>
      <c r="AS428" s="68"/>
      <c r="AT428" s="68"/>
      <c r="AU428" s="68"/>
      <c r="AV428" s="68"/>
      <c r="AW428" s="68"/>
      <c r="AX428" s="68"/>
    </row>
    <row r="429" spans="7:50" x14ac:dyDescent="0.25"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 s="68"/>
      <c r="AR429" s="68"/>
      <c r="AS429" s="68"/>
      <c r="AT429" s="68"/>
      <c r="AU429" s="68"/>
      <c r="AV429" s="68"/>
      <c r="AW429" s="68"/>
      <c r="AX429" s="68"/>
    </row>
    <row r="430" spans="7:50" x14ac:dyDescent="0.25"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 s="68"/>
      <c r="AR430" s="68"/>
      <c r="AS430" s="68"/>
      <c r="AT430" s="68"/>
      <c r="AU430" s="68"/>
      <c r="AV430" s="68"/>
      <c r="AW430" s="68"/>
      <c r="AX430" s="68"/>
    </row>
    <row r="431" spans="7:50" x14ac:dyDescent="0.25"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 s="68"/>
      <c r="AR431" s="68"/>
      <c r="AS431" s="68"/>
      <c r="AT431" s="68"/>
      <c r="AU431" s="68"/>
      <c r="AV431" s="68"/>
      <c r="AW431" s="68"/>
      <c r="AX431" s="68"/>
    </row>
    <row r="432" spans="7:50" x14ac:dyDescent="0.25"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 s="68"/>
      <c r="AR432" s="68"/>
      <c r="AS432" s="68"/>
      <c r="AT432" s="68"/>
      <c r="AU432" s="68"/>
      <c r="AV432" s="68"/>
      <c r="AW432" s="68"/>
      <c r="AX432" s="68"/>
    </row>
    <row r="433" spans="7:50" x14ac:dyDescent="0.25"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 s="68"/>
      <c r="AR433" s="68"/>
      <c r="AS433" s="68"/>
      <c r="AT433" s="68"/>
      <c r="AU433" s="68"/>
      <c r="AV433" s="68"/>
      <c r="AW433" s="68"/>
      <c r="AX433" s="68"/>
    </row>
    <row r="434" spans="7:50" x14ac:dyDescent="0.25"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 s="68"/>
      <c r="AR434" s="68"/>
      <c r="AS434" s="68"/>
      <c r="AT434" s="68"/>
      <c r="AU434" s="68"/>
      <c r="AV434" s="68"/>
      <c r="AW434" s="68"/>
      <c r="AX434" s="68"/>
    </row>
    <row r="435" spans="7:50" x14ac:dyDescent="0.25"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 s="68"/>
      <c r="AR435" s="68"/>
      <c r="AS435" s="68"/>
      <c r="AT435" s="68"/>
      <c r="AU435" s="68"/>
      <c r="AV435" s="68"/>
      <c r="AW435" s="68"/>
      <c r="AX435" s="68"/>
    </row>
    <row r="436" spans="7:50" x14ac:dyDescent="0.25"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 s="68"/>
      <c r="AR436" s="68"/>
      <c r="AS436" s="68"/>
      <c r="AT436" s="68"/>
      <c r="AU436" s="68"/>
      <c r="AV436" s="68"/>
      <c r="AW436" s="68"/>
      <c r="AX436" s="68"/>
    </row>
    <row r="437" spans="7:50" x14ac:dyDescent="0.25"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 s="68"/>
      <c r="AR437" s="68"/>
      <c r="AS437" s="68"/>
      <c r="AT437" s="68"/>
      <c r="AU437" s="68"/>
      <c r="AV437" s="68"/>
      <c r="AW437" s="68"/>
      <c r="AX437" s="68"/>
    </row>
    <row r="438" spans="7:50" x14ac:dyDescent="0.25"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 s="68"/>
      <c r="AR438" s="68"/>
      <c r="AS438" s="68"/>
      <c r="AT438" s="68"/>
      <c r="AU438" s="68"/>
      <c r="AV438" s="68"/>
      <c r="AW438" s="68"/>
      <c r="AX438" s="68"/>
    </row>
    <row r="439" spans="7:50" x14ac:dyDescent="0.25"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 s="68"/>
      <c r="AR439" s="68"/>
      <c r="AS439" s="68"/>
      <c r="AT439" s="68"/>
      <c r="AU439" s="68"/>
      <c r="AV439" s="68"/>
      <c r="AW439" s="68"/>
      <c r="AX439" s="68"/>
    </row>
    <row r="440" spans="7:50" x14ac:dyDescent="0.25"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 s="68"/>
      <c r="AR440" s="68"/>
      <c r="AS440" s="68"/>
      <c r="AT440" s="68"/>
      <c r="AU440" s="68"/>
      <c r="AV440" s="68"/>
      <c r="AW440" s="68"/>
      <c r="AX440" s="68"/>
    </row>
    <row r="441" spans="7:50" x14ac:dyDescent="0.25"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 s="68"/>
      <c r="AR441" s="68"/>
      <c r="AS441" s="68"/>
      <c r="AT441" s="68"/>
      <c r="AU441" s="68"/>
      <c r="AV441" s="68"/>
      <c r="AW441" s="68"/>
      <c r="AX441" s="68"/>
    </row>
    <row r="442" spans="7:50" x14ac:dyDescent="0.25"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 s="68"/>
      <c r="AR442" s="68"/>
      <c r="AS442" s="68"/>
      <c r="AT442" s="68"/>
      <c r="AU442" s="68"/>
      <c r="AV442" s="68"/>
      <c r="AW442" s="68"/>
      <c r="AX442" s="68"/>
    </row>
    <row r="443" spans="7:50" x14ac:dyDescent="0.25"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 s="68"/>
      <c r="AR443" s="68"/>
      <c r="AS443" s="68"/>
      <c r="AT443" s="68"/>
      <c r="AU443" s="68"/>
      <c r="AV443" s="68"/>
      <c r="AW443" s="68"/>
      <c r="AX443" s="68"/>
    </row>
    <row r="444" spans="7:50" x14ac:dyDescent="0.25"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 s="68"/>
      <c r="AR444" s="68"/>
      <c r="AS444" s="68"/>
      <c r="AT444" s="68"/>
      <c r="AU444" s="68"/>
      <c r="AV444" s="68"/>
      <c r="AW444" s="68"/>
      <c r="AX444" s="68"/>
    </row>
    <row r="445" spans="7:50" x14ac:dyDescent="0.25"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 s="68"/>
      <c r="AR445" s="68"/>
      <c r="AS445" s="68"/>
      <c r="AT445" s="68"/>
      <c r="AU445" s="68"/>
      <c r="AV445" s="68"/>
      <c r="AW445" s="68"/>
      <c r="AX445" s="68"/>
    </row>
    <row r="446" spans="7:50" x14ac:dyDescent="0.25"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 s="68"/>
      <c r="AR446" s="68"/>
      <c r="AS446" s="68"/>
      <c r="AT446" s="68"/>
      <c r="AU446" s="68"/>
      <c r="AV446" s="68"/>
      <c r="AW446" s="68"/>
      <c r="AX446" s="68"/>
    </row>
    <row r="447" spans="7:50" x14ac:dyDescent="0.25"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 s="68"/>
      <c r="AR447" s="68"/>
      <c r="AS447" s="68"/>
      <c r="AT447" s="68"/>
      <c r="AU447" s="68"/>
      <c r="AV447" s="68"/>
      <c r="AW447" s="68"/>
      <c r="AX447" s="68"/>
    </row>
    <row r="448" spans="7:50" x14ac:dyDescent="0.25"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 s="68"/>
      <c r="AR448" s="68"/>
      <c r="AS448" s="68"/>
      <c r="AT448" s="68"/>
      <c r="AU448" s="68"/>
      <c r="AV448" s="68"/>
      <c r="AW448" s="68"/>
      <c r="AX448" s="68"/>
    </row>
    <row r="449" spans="7:50" x14ac:dyDescent="0.25"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 s="68"/>
      <c r="AR449" s="68"/>
      <c r="AS449" s="68"/>
      <c r="AT449" s="68"/>
      <c r="AU449" s="68"/>
      <c r="AV449" s="68"/>
      <c r="AW449" s="68"/>
      <c r="AX449" s="68"/>
    </row>
    <row r="450" spans="7:50" x14ac:dyDescent="0.25"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 s="68"/>
      <c r="AR450" s="68"/>
      <c r="AS450" s="68"/>
      <c r="AT450" s="68"/>
      <c r="AU450" s="68"/>
      <c r="AV450" s="68"/>
      <c r="AW450" s="68"/>
      <c r="AX450" s="68"/>
    </row>
    <row r="451" spans="7:50" x14ac:dyDescent="0.25"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 s="68"/>
      <c r="AR451" s="68"/>
      <c r="AS451" s="68"/>
      <c r="AT451" s="68"/>
      <c r="AU451" s="68"/>
      <c r="AV451" s="68"/>
      <c r="AW451" s="68"/>
      <c r="AX451" s="68"/>
    </row>
    <row r="452" spans="7:50" x14ac:dyDescent="0.25"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 s="68"/>
      <c r="AR452" s="68"/>
      <c r="AS452" s="68"/>
      <c r="AT452" s="68"/>
      <c r="AU452" s="68"/>
      <c r="AV452" s="68"/>
      <c r="AW452" s="68"/>
      <c r="AX452" s="68"/>
    </row>
    <row r="453" spans="7:50" x14ac:dyDescent="0.25"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 s="68"/>
      <c r="AR453" s="68"/>
      <c r="AS453" s="68"/>
      <c r="AT453" s="68"/>
      <c r="AU453" s="68"/>
      <c r="AV453" s="68"/>
      <c r="AW453" s="68"/>
      <c r="AX453" s="68"/>
    </row>
    <row r="454" spans="7:50" x14ac:dyDescent="0.25"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 s="68"/>
      <c r="AR454" s="68"/>
      <c r="AS454" s="68"/>
      <c r="AT454" s="68"/>
      <c r="AU454" s="68"/>
      <c r="AV454" s="68"/>
      <c r="AW454" s="68"/>
      <c r="AX454" s="68"/>
    </row>
    <row r="455" spans="7:50" x14ac:dyDescent="0.25"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 s="68"/>
      <c r="AR455" s="68"/>
      <c r="AS455" s="68"/>
      <c r="AT455" s="68"/>
      <c r="AU455" s="68"/>
      <c r="AV455" s="68"/>
      <c r="AW455" s="68"/>
      <c r="AX455" s="68"/>
    </row>
    <row r="456" spans="7:50" x14ac:dyDescent="0.25"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 s="68"/>
      <c r="AR456" s="68"/>
      <c r="AS456" s="68"/>
      <c r="AT456" s="68"/>
      <c r="AU456" s="68"/>
      <c r="AV456" s="68"/>
      <c r="AW456" s="68"/>
      <c r="AX456" s="68"/>
    </row>
    <row r="457" spans="7:50" x14ac:dyDescent="0.25"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 s="68"/>
      <c r="AR457" s="68"/>
      <c r="AS457" s="68"/>
      <c r="AT457" s="68"/>
      <c r="AU457" s="68"/>
      <c r="AV457" s="68"/>
      <c r="AW457" s="68"/>
      <c r="AX457" s="68"/>
    </row>
    <row r="458" spans="7:50" x14ac:dyDescent="0.25"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 s="68"/>
      <c r="AR458" s="68"/>
      <c r="AS458" s="68"/>
      <c r="AT458" s="68"/>
      <c r="AU458" s="68"/>
      <c r="AV458" s="68"/>
      <c r="AW458" s="68"/>
      <c r="AX458" s="68"/>
    </row>
    <row r="459" spans="7:50" x14ac:dyDescent="0.25"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 s="68"/>
      <c r="AR459" s="68"/>
      <c r="AS459" s="68"/>
      <c r="AT459" s="68"/>
      <c r="AU459" s="68"/>
      <c r="AV459" s="68"/>
      <c r="AW459" s="68"/>
      <c r="AX459" s="68"/>
    </row>
    <row r="460" spans="7:50" x14ac:dyDescent="0.25"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 s="68"/>
      <c r="AR460" s="68"/>
      <c r="AS460" s="68"/>
      <c r="AT460" s="68"/>
      <c r="AU460" s="68"/>
      <c r="AV460" s="68"/>
      <c r="AW460" s="68"/>
      <c r="AX460" s="68"/>
    </row>
    <row r="461" spans="7:50" x14ac:dyDescent="0.25"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 s="68"/>
      <c r="AR461" s="68"/>
      <c r="AS461" s="68"/>
      <c r="AT461" s="68"/>
      <c r="AU461" s="68"/>
      <c r="AV461" s="68"/>
      <c r="AW461" s="68"/>
      <c r="AX461" s="68"/>
    </row>
    <row r="462" spans="7:50" x14ac:dyDescent="0.25"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 s="68"/>
      <c r="AR462" s="68"/>
      <c r="AS462" s="68"/>
      <c r="AT462" s="68"/>
      <c r="AU462" s="68"/>
      <c r="AV462" s="68"/>
      <c r="AW462" s="68"/>
      <c r="AX462" s="68"/>
    </row>
    <row r="463" spans="7:50" x14ac:dyDescent="0.25"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 s="68"/>
      <c r="AR463" s="68"/>
      <c r="AS463" s="68"/>
      <c r="AT463" s="68"/>
      <c r="AU463" s="68"/>
      <c r="AV463" s="68"/>
      <c r="AW463" s="68"/>
      <c r="AX463" s="68"/>
    </row>
    <row r="464" spans="7:50" x14ac:dyDescent="0.25"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 s="68"/>
      <c r="AR464" s="68"/>
      <c r="AS464" s="68"/>
      <c r="AT464" s="68"/>
      <c r="AU464" s="68"/>
      <c r="AV464" s="68"/>
      <c r="AW464" s="68"/>
      <c r="AX464" s="68"/>
    </row>
    <row r="465" spans="7:50" x14ac:dyDescent="0.25"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 s="68"/>
      <c r="AR465" s="68"/>
      <c r="AS465" s="68"/>
      <c r="AT465" s="68"/>
      <c r="AU465" s="68"/>
      <c r="AV465" s="68"/>
      <c r="AW465" s="68"/>
      <c r="AX465" s="68"/>
    </row>
    <row r="466" spans="7:50" x14ac:dyDescent="0.25"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 s="68"/>
      <c r="AR466" s="68"/>
      <c r="AS466" s="68"/>
      <c r="AT466" s="68"/>
      <c r="AU466" s="68"/>
      <c r="AV466" s="68"/>
      <c r="AW466" s="68"/>
      <c r="AX466" s="68"/>
    </row>
    <row r="467" spans="7:50" x14ac:dyDescent="0.25"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 s="68"/>
      <c r="AR467" s="68"/>
      <c r="AS467" s="68"/>
      <c r="AT467" s="68"/>
      <c r="AU467" s="68"/>
      <c r="AV467" s="68"/>
      <c r="AW467" s="68"/>
      <c r="AX467" s="68"/>
    </row>
    <row r="468" spans="7:50" x14ac:dyDescent="0.25"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 s="68"/>
      <c r="AR468" s="68"/>
      <c r="AS468" s="68"/>
      <c r="AT468" s="68"/>
      <c r="AU468" s="68"/>
      <c r="AV468" s="68"/>
      <c r="AW468" s="68"/>
      <c r="AX468" s="68"/>
    </row>
    <row r="469" spans="7:50" x14ac:dyDescent="0.25"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 s="68"/>
      <c r="AR469" s="68"/>
      <c r="AS469" s="68"/>
      <c r="AT469" s="68"/>
      <c r="AU469" s="68"/>
      <c r="AV469" s="68"/>
      <c r="AW469" s="68"/>
      <c r="AX469" s="68"/>
    </row>
    <row r="470" spans="7:50" x14ac:dyDescent="0.25"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 s="68"/>
      <c r="AR470" s="68"/>
      <c r="AS470" s="68"/>
      <c r="AT470" s="68"/>
      <c r="AU470" s="68"/>
      <c r="AV470" s="68"/>
      <c r="AW470" s="68"/>
      <c r="AX470" s="68"/>
    </row>
    <row r="471" spans="7:50" x14ac:dyDescent="0.25"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 s="68"/>
      <c r="AR471" s="68"/>
      <c r="AS471" s="68"/>
      <c r="AT471" s="68"/>
      <c r="AU471" s="68"/>
      <c r="AV471" s="68"/>
      <c r="AW471" s="68"/>
      <c r="AX471" s="68"/>
    </row>
    <row r="472" spans="7:50" x14ac:dyDescent="0.25"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 s="68"/>
      <c r="AR472" s="68"/>
      <c r="AS472" s="68"/>
      <c r="AT472" s="68"/>
      <c r="AU472" s="68"/>
      <c r="AV472" s="68"/>
      <c r="AW472" s="68"/>
      <c r="AX472" s="68"/>
    </row>
    <row r="473" spans="7:50" x14ac:dyDescent="0.25"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 s="68"/>
      <c r="AR473" s="68"/>
      <c r="AS473" s="68"/>
      <c r="AT473" s="68"/>
      <c r="AU473" s="68"/>
      <c r="AV473" s="68"/>
      <c r="AW473" s="68"/>
      <c r="AX473" s="68"/>
    </row>
    <row r="474" spans="7:50" x14ac:dyDescent="0.25"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 s="68"/>
      <c r="AR474" s="68"/>
      <c r="AS474" s="68"/>
      <c r="AT474" s="68"/>
      <c r="AU474" s="68"/>
      <c r="AV474" s="68"/>
      <c r="AW474" s="68"/>
      <c r="AX474" s="68"/>
    </row>
    <row r="475" spans="7:50" x14ac:dyDescent="0.25"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 s="68"/>
      <c r="AR475" s="68"/>
      <c r="AS475" s="68"/>
      <c r="AT475" s="68"/>
      <c r="AU475" s="68"/>
      <c r="AV475" s="68"/>
      <c r="AW475" s="68"/>
      <c r="AX475" s="68"/>
    </row>
    <row r="476" spans="7:50" x14ac:dyDescent="0.25"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 s="68"/>
      <c r="AR476" s="68"/>
      <c r="AS476" s="68"/>
      <c r="AT476" s="68"/>
      <c r="AU476" s="68"/>
      <c r="AV476" s="68"/>
      <c r="AW476" s="68"/>
      <c r="AX476" s="68"/>
    </row>
    <row r="477" spans="7:50" x14ac:dyDescent="0.25"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 s="68"/>
      <c r="AR477" s="68"/>
      <c r="AS477" s="68"/>
      <c r="AT477" s="68"/>
      <c r="AU477" s="68"/>
      <c r="AV477" s="68"/>
      <c r="AW477" s="68"/>
      <c r="AX477" s="68"/>
    </row>
    <row r="478" spans="7:50" x14ac:dyDescent="0.25"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 s="68"/>
      <c r="AR478" s="68"/>
      <c r="AS478" s="68"/>
      <c r="AT478" s="68"/>
      <c r="AU478" s="68"/>
      <c r="AV478" s="68"/>
      <c r="AW478" s="68"/>
      <c r="AX478" s="68"/>
    </row>
    <row r="479" spans="7:50" x14ac:dyDescent="0.25"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 s="68"/>
      <c r="AR479" s="68"/>
      <c r="AS479" s="68"/>
      <c r="AT479" s="68"/>
      <c r="AU479" s="68"/>
      <c r="AV479" s="68"/>
      <c r="AW479" s="68"/>
      <c r="AX479" s="68"/>
    </row>
    <row r="480" spans="7:50" x14ac:dyDescent="0.25"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 s="68"/>
      <c r="AR480" s="68"/>
      <c r="AS480" s="68"/>
      <c r="AT480" s="68"/>
      <c r="AU480" s="68"/>
      <c r="AV480" s="68"/>
      <c r="AW480" s="68"/>
      <c r="AX480" s="68"/>
    </row>
    <row r="481" spans="7:50" x14ac:dyDescent="0.25"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 s="68"/>
      <c r="AR481" s="68"/>
      <c r="AS481" s="68"/>
      <c r="AT481" s="68"/>
      <c r="AU481" s="68"/>
      <c r="AV481" s="68"/>
      <c r="AW481" s="68"/>
      <c r="AX481" s="68"/>
    </row>
    <row r="482" spans="7:50" x14ac:dyDescent="0.25"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 s="68"/>
      <c r="AR482" s="68"/>
      <c r="AS482" s="68"/>
      <c r="AT482" s="68"/>
      <c r="AU482" s="68"/>
      <c r="AV482" s="68"/>
      <c r="AW482" s="68"/>
      <c r="AX482" s="68"/>
    </row>
    <row r="483" spans="7:50" x14ac:dyDescent="0.25"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 s="68"/>
      <c r="AR483" s="68"/>
      <c r="AS483" s="68"/>
      <c r="AT483" s="68"/>
      <c r="AU483" s="68"/>
      <c r="AV483" s="68"/>
      <c r="AW483" s="68"/>
      <c r="AX483" s="68"/>
    </row>
    <row r="484" spans="7:50" x14ac:dyDescent="0.25"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 s="68"/>
      <c r="AR484" s="68"/>
      <c r="AS484" s="68"/>
      <c r="AT484" s="68"/>
      <c r="AU484" s="68"/>
      <c r="AV484" s="68"/>
      <c r="AW484" s="68"/>
      <c r="AX484" s="68"/>
    </row>
    <row r="485" spans="7:50" x14ac:dyDescent="0.25"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 s="68"/>
      <c r="AR485" s="68"/>
      <c r="AS485" s="68"/>
      <c r="AT485" s="68"/>
      <c r="AU485" s="68"/>
      <c r="AV485" s="68"/>
      <c r="AW485" s="68"/>
      <c r="AX485" s="68"/>
    </row>
    <row r="486" spans="7:50" x14ac:dyDescent="0.25"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 s="68"/>
      <c r="AR486" s="68"/>
      <c r="AS486" s="68"/>
      <c r="AT486" s="68"/>
      <c r="AU486" s="68"/>
      <c r="AV486" s="68"/>
      <c r="AW486" s="68"/>
      <c r="AX486" s="68"/>
    </row>
    <row r="487" spans="7:50" x14ac:dyDescent="0.25"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 s="68"/>
      <c r="AR487" s="68"/>
      <c r="AS487" s="68"/>
      <c r="AT487" s="68"/>
      <c r="AU487" s="68"/>
      <c r="AV487" s="68"/>
      <c r="AW487" s="68"/>
      <c r="AX487" s="68"/>
    </row>
    <row r="488" spans="7:50" x14ac:dyDescent="0.25"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 s="68"/>
      <c r="AR488" s="68"/>
      <c r="AS488" s="68"/>
      <c r="AT488" s="68"/>
      <c r="AU488" s="68"/>
      <c r="AV488" s="68"/>
      <c r="AW488" s="68"/>
      <c r="AX488" s="68"/>
    </row>
    <row r="489" spans="7:50" x14ac:dyDescent="0.25"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 s="68"/>
      <c r="AR489" s="68"/>
      <c r="AS489" s="68"/>
      <c r="AT489" s="68"/>
      <c r="AU489" s="68"/>
      <c r="AV489" s="68"/>
      <c r="AW489" s="68"/>
      <c r="AX489" s="68"/>
    </row>
    <row r="490" spans="7:50" x14ac:dyDescent="0.25"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 s="68"/>
      <c r="AR490" s="68"/>
      <c r="AS490" s="68"/>
      <c r="AT490" s="68"/>
      <c r="AU490" s="68"/>
      <c r="AV490" s="68"/>
      <c r="AW490" s="68"/>
      <c r="AX490" s="68"/>
    </row>
    <row r="491" spans="7:50" x14ac:dyDescent="0.25"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 s="68"/>
      <c r="AR491" s="68"/>
      <c r="AS491" s="68"/>
      <c r="AT491" s="68"/>
      <c r="AU491" s="68"/>
      <c r="AV491" s="68"/>
      <c r="AW491" s="68"/>
      <c r="AX491" s="68"/>
    </row>
    <row r="492" spans="7:50" x14ac:dyDescent="0.25"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 s="68"/>
      <c r="AR492" s="68"/>
      <c r="AS492" s="68"/>
      <c r="AT492" s="68"/>
      <c r="AU492" s="68"/>
      <c r="AV492" s="68"/>
      <c r="AW492" s="68"/>
      <c r="AX492" s="68"/>
    </row>
    <row r="493" spans="7:50" x14ac:dyDescent="0.25"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 s="68"/>
      <c r="AR493" s="68"/>
      <c r="AS493" s="68"/>
      <c r="AT493" s="68"/>
      <c r="AU493" s="68"/>
      <c r="AV493" s="68"/>
      <c r="AW493" s="68"/>
      <c r="AX493" s="68"/>
    </row>
    <row r="494" spans="7:50" x14ac:dyDescent="0.25"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 s="68"/>
      <c r="AR494" s="68"/>
      <c r="AS494" s="68"/>
      <c r="AT494" s="68"/>
      <c r="AU494" s="68"/>
      <c r="AV494" s="68"/>
      <c r="AW494" s="68"/>
      <c r="AX494" s="68"/>
    </row>
    <row r="495" spans="7:50" x14ac:dyDescent="0.25"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 s="68"/>
      <c r="AR495" s="68"/>
      <c r="AS495" s="68"/>
      <c r="AT495" s="68"/>
      <c r="AU495" s="68"/>
      <c r="AV495" s="68"/>
      <c r="AW495" s="68"/>
      <c r="AX495" s="68"/>
    </row>
    <row r="496" spans="7:50" x14ac:dyDescent="0.25"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 s="68"/>
      <c r="AR496" s="68"/>
      <c r="AS496" s="68"/>
      <c r="AT496" s="68"/>
      <c r="AU496" s="68"/>
      <c r="AV496" s="68"/>
      <c r="AW496" s="68"/>
      <c r="AX496" s="68"/>
    </row>
    <row r="497" spans="7:50" x14ac:dyDescent="0.25"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 s="68"/>
      <c r="AR497" s="68"/>
      <c r="AS497" s="68"/>
      <c r="AT497" s="68"/>
      <c r="AU497" s="68"/>
      <c r="AV497" s="68"/>
      <c r="AW497" s="68"/>
      <c r="AX497" s="68"/>
    </row>
    <row r="498" spans="7:50" x14ac:dyDescent="0.25"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 s="68"/>
      <c r="AR498" s="68"/>
      <c r="AS498" s="68"/>
      <c r="AT498" s="68"/>
      <c r="AU498" s="68"/>
      <c r="AV498" s="68"/>
      <c r="AW498" s="68"/>
      <c r="AX498" s="68"/>
    </row>
    <row r="499" spans="7:50" x14ac:dyDescent="0.25"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 s="68"/>
      <c r="AR499" s="68"/>
      <c r="AS499" s="68"/>
      <c r="AT499" s="68"/>
      <c r="AU499" s="68"/>
      <c r="AV499" s="68"/>
      <c r="AW499" s="68"/>
      <c r="AX499" s="68"/>
    </row>
    <row r="500" spans="7:50" x14ac:dyDescent="0.25"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 s="68"/>
      <c r="AR500" s="68"/>
      <c r="AS500" s="68"/>
      <c r="AT500" s="68"/>
      <c r="AU500" s="68"/>
      <c r="AV500" s="68"/>
      <c r="AW500" s="68"/>
      <c r="AX500" s="68"/>
    </row>
    <row r="501" spans="7:50" x14ac:dyDescent="0.25"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 s="68"/>
      <c r="AR501" s="68"/>
      <c r="AS501" s="68"/>
      <c r="AT501" s="68"/>
      <c r="AU501" s="68"/>
      <c r="AV501" s="68"/>
      <c r="AW501" s="68"/>
      <c r="AX501" s="68"/>
    </row>
    <row r="502" spans="7:50" x14ac:dyDescent="0.25"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 s="68"/>
      <c r="AR502" s="68"/>
      <c r="AS502" s="68"/>
      <c r="AT502" s="68"/>
      <c r="AU502" s="68"/>
      <c r="AV502" s="68"/>
      <c r="AW502" s="68"/>
      <c r="AX502" s="68"/>
    </row>
    <row r="503" spans="7:50" x14ac:dyDescent="0.25"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 s="68"/>
      <c r="AR503" s="68"/>
      <c r="AS503" s="68"/>
      <c r="AT503" s="68"/>
      <c r="AU503" s="68"/>
      <c r="AV503" s="68"/>
      <c r="AW503" s="68"/>
      <c r="AX503" s="68"/>
    </row>
    <row r="504" spans="7:50" x14ac:dyDescent="0.25"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 s="68"/>
      <c r="AR504" s="68"/>
      <c r="AS504" s="68"/>
      <c r="AT504" s="68"/>
      <c r="AU504" s="68"/>
      <c r="AV504" s="68"/>
      <c r="AW504" s="68"/>
      <c r="AX504" s="68"/>
    </row>
    <row r="505" spans="7:50" x14ac:dyDescent="0.25"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 s="68"/>
      <c r="AR505" s="68"/>
      <c r="AS505" s="68"/>
      <c r="AT505" s="68"/>
      <c r="AU505" s="68"/>
      <c r="AV505" s="68"/>
      <c r="AW505" s="68"/>
      <c r="AX505" s="68"/>
    </row>
    <row r="506" spans="7:50" x14ac:dyDescent="0.25"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 s="68"/>
      <c r="AR506" s="68"/>
      <c r="AS506" s="68"/>
      <c r="AT506" s="68"/>
      <c r="AU506" s="68"/>
      <c r="AV506" s="68"/>
      <c r="AW506" s="68"/>
      <c r="AX506" s="68"/>
    </row>
    <row r="507" spans="7:50" x14ac:dyDescent="0.25"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 s="68"/>
      <c r="AR507" s="68"/>
      <c r="AS507" s="68"/>
      <c r="AT507" s="68"/>
      <c r="AU507" s="68"/>
      <c r="AV507" s="68"/>
      <c r="AW507" s="68"/>
      <c r="AX507" s="68"/>
    </row>
    <row r="508" spans="7:50" x14ac:dyDescent="0.25"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 s="68"/>
      <c r="AR508" s="68"/>
      <c r="AS508" s="68"/>
      <c r="AT508" s="68"/>
      <c r="AU508" s="68"/>
      <c r="AV508" s="68"/>
      <c r="AW508" s="68"/>
      <c r="AX508" s="68"/>
    </row>
    <row r="509" spans="7:50" x14ac:dyDescent="0.25"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 s="68"/>
      <c r="AR509" s="68"/>
      <c r="AS509" s="68"/>
      <c r="AT509" s="68"/>
      <c r="AU509" s="68"/>
      <c r="AV509" s="68"/>
      <c r="AW509" s="68"/>
      <c r="AX509" s="68"/>
    </row>
    <row r="510" spans="7:50" x14ac:dyDescent="0.25"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 s="68"/>
      <c r="AR510" s="68"/>
      <c r="AS510" s="68"/>
      <c r="AT510" s="68"/>
      <c r="AU510" s="68"/>
      <c r="AV510" s="68"/>
      <c r="AW510" s="68"/>
      <c r="AX510" s="68"/>
    </row>
    <row r="511" spans="7:50" x14ac:dyDescent="0.25"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 s="68"/>
      <c r="AR511" s="68"/>
      <c r="AS511" s="68"/>
      <c r="AT511" s="68"/>
      <c r="AU511" s="68"/>
      <c r="AV511" s="68"/>
      <c r="AW511" s="68"/>
      <c r="AX511" s="68"/>
    </row>
    <row r="512" spans="7:50" x14ac:dyDescent="0.25"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 s="68"/>
      <c r="AR512" s="68"/>
      <c r="AS512" s="68"/>
      <c r="AT512" s="68"/>
      <c r="AU512" s="68"/>
      <c r="AV512" s="68"/>
      <c r="AW512" s="68"/>
      <c r="AX512" s="68"/>
    </row>
    <row r="513" spans="7:50" x14ac:dyDescent="0.25"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 s="68"/>
      <c r="AR513" s="68"/>
      <c r="AS513" s="68"/>
      <c r="AT513" s="68"/>
      <c r="AU513" s="68"/>
      <c r="AV513" s="68"/>
      <c r="AW513" s="68"/>
      <c r="AX513" s="68"/>
    </row>
    <row r="514" spans="7:50" x14ac:dyDescent="0.25"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 s="68"/>
      <c r="AR514" s="68"/>
      <c r="AS514" s="68"/>
      <c r="AT514" s="68"/>
      <c r="AU514" s="68"/>
      <c r="AV514" s="68"/>
      <c r="AW514" s="68"/>
      <c r="AX514" s="68"/>
    </row>
    <row r="515" spans="7:50" x14ac:dyDescent="0.25"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 s="68"/>
      <c r="AR515" s="68"/>
      <c r="AS515" s="68"/>
      <c r="AT515" s="68"/>
      <c r="AU515" s="68"/>
      <c r="AV515" s="68"/>
      <c r="AW515" s="68"/>
      <c r="AX515" s="68"/>
    </row>
    <row r="516" spans="7:50" x14ac:dyDescent="0.25"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 s="68"/>
      <c r="AR516" s="68"/>
      <c r="AS516" s="68"/>
      <c r="AT516" s="68"/>
      <c r="AU516" s="68"/>
      <c r="AV516" s="68"/>
      <c r="AW516" s="68"/>
      <c r="AX516" s="68"/>
    </row>
    <row r="517" spans="7:50" x14ac:dyDescent="0.25"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 s="68"/>
      <c r="AR517" s="68"/>
      <c r="AS517" s="68"/>
      <c r="AT517" s="68"/>
      <c r="AU517" s="68"/>
      <c r="AV517" s="68"/>
      <c r="AW517" s="68"/>
      <c r="AX517" s="68"/>
    </row>
    <row r="518" spans="7:50" x14ac:dyDescent="0.25"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 s="68"/>
      <c r="AR518" s="68"/>
      <c r="AS518" s="68"/>
      <c r="AT518" s="68"/>
      <c r="AU518" s="68"/>
      <c r="AV518" s="68"/>
      <c r="AW518" s="68"/>
      <c r="AX518" s="68"/>
    </row>
    <row r="519" spans="7:50" x14ac:dyDescent="0.25"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 s="68"/>
      <c r="AR519" s="68"/>
      <c r="AS519" s="68"/>
      <c r="AT519" s="68"/>
      <c r="AU519" s="68"/>
      <c r="AV519" s="68"/>
      <c r="AW519" s="68"/>
      <c r="AX519" s="68"/>
    </row>
    <row r="520" spans="7:50" x14ac:dyDescent="0.25"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 s="68"/>
      <c r="AR520" s="68"/>
      <c r="AS520" s="68"/>
      <c r="AT520" s="68"/>
      <c r="AU520" s="68"/>
      <c r="AV520" s="68"/>
      <c r="AW520" s="68"/>
      <c r="AX520" s="68"/>
    </row>
    <row r="521" spans="7:50" x14ac:dyDescent="0.25"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 s="68"/>
      <c r="AR521" s="68"/>
      <c r="AS521" s="68"/>
      <c r="AT521" s="68"/>
      <c r="AU521" s="68"/>
      <c r="AV521" s="68"/>
      <c r="AW521" s="68"/>
      <c r="AX521" s="68"/>
    </row>
    <row r="522" spans="7:50" x14ac:dyDescent="0.25"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 s="68"/>
      <c r="AR522" s="68"/>
      <c r="AS522" s="68"/>
      <c r="AT522" s="68"/>
      <c r="AU522" s="68"/>
      <c r="AV522" s="68"/>
      <c r="AW522" s="68"/>
      <c r="AX522" s="68"/>
    </row>
    <row r="523" spans="7:50" x14ac:dyDescent="0.25"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 s="68"/>
      <c r="AR523" s="68"/>
      <c r="AS523" s="68"/>
      <c r="AT523" s="68"/>
      <c r="AU523" s="68"/>
      <c r="AV523" s="68"/>
      <c r="AW523" s="68"/>
      <c r="AX523" s="68"/>
    </row>
    <row r="524" spans="7:50" x14ac:dyDescent="0.25"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 s="68"/>
      <c r="AR524" s="68"/>
      <c r="AS524" s="68"/>
      <c r="AT524" s="68"/>
      <c r="AU524" s="68"/>
      <c r="AV524" s="68"/>
      <c r="AW524" s="68"/>
      <c r="AX524" s="68"/>
    </row>
    <row r="525" spans="7:50" x14ac:dyDescent="0.25"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 s="68"/>
      <c r="AR525" s="68"/>
      <c r="AS525" s="68"/>
      <c r="AT525" s="68"/>
      <c r="AU525" s="68"/>
      <c r="AV525" s="68"/>
      <c r="AW525" s="68"/>
      <c r="AX525" s="68"/>
    </row>
    <row r="526" spans="7:50" x14ac:dyDescent="0.25"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 s="68"/>
      <c r="AR526" s="68"/>
      <c r="AS526" s="68"/>
      <c r="AT526" s="68"/>
      <c r="AU526" s="68"/>
      <c r="AV526" s="68"/>
      <c r="AW526" s="68"/>
      <c r="AX526" s="68"/>
    </row>
    <row r="527" spans="7:50" x14ac:dyDescent="0.25"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 s="68"/>
      <c r="AR527" s="68"/>
      <c r="AS527" s="68"/>
      <c r="AT527" s="68"/>
      <c r="AU527" s="68"/>
      <c r="AV527" s="68"/>
      <c r="AW527" s="68"/>
      <c r="AX527" s="68"/>
    </row>
    <row r="528" spans="7:50" x14ac:dyDescent="0.25"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 s="68"/>
      <c r="AR528" s="68"/>
      <c r="AS528" s="68"/>
      <c r="AT528" s="68"/>
      <c r="AU528" s="68"/>
      <c r="AV528" s="68"/>
      <c r="AW528" s="68"/>
      <c r="AX528" s="68"/>
    </row>
    <row r="529" spans="7:50" x14ac:dyDescent="0.25"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 s="68"/>
      <c r="AR529" s="68"/>
      <c r="AS529" s="68"/>
      <c r="AT529" s="68"/>
      <c r="AU529" s="68"/>
      <c r="AV529" s="68"/>
      <c r="AW529" s="68"/>
      <c r="AX529" s="68"/>
    </row>
    <row r="530" spans="7:50" x14ac:dyDescent="0.25"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 s="68"/>
      <c r="AR530" s="68"/>
      <c r="AS530" s="68"/>
      <c r="AT530" s="68"/>
      <c r="AU530" s="68"/>
      <c r="AV530" s="68"/>
      <c r="AW530" s="68"/>
      <c r="AX530" s="68"/>
    </row>
    <row r="531" spans="7:50" x14ac:dyDescent="0.25"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 s="68"/>
      <c r="AR531" s="68"/>
      <c r="AS531" s="68"/>
      <c r="AT531" s="68"/>
      <c r="AU531" s="68"/>
      <c r="AV531" s="68"/>
      <c r="AW531" s="68"/>
      <c r="AX531" s="68"/>
    </row>
    <row r="532" spans="7:50" x14ac:dyDescent="0.25"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 s="68"/>
      <c r="AR532" s="68"/>
      <c r="AS532" s="68"/>
      <c r="AT532" s="68"/>
      <c r="AU532" s="68"/>
      <c r="AV532" s="68"/>
      <c r="AW532" s="68"/>
      <c r="AX532" s="68"/>
    </row>
    <row r="533" spans="7:50" x14ac:dyDescent="0.25"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 s="68"/>
      <c r="AR533" s="68"/>
      <c r="AS533" s="68"/>
      <c r="AT533" s="68"/>
      <c r="AU533" s="68"/>
      <c r="AV533" s="68"/>
      <c r="AW533" s="68"/>
      <c r="AX533" s="68"/>
    </row>
    <row r="534" spans="7:50" x14ac:dyDescent="0.25"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 s="68"/>
      <c r="AR534" s="68"/>
      <c r="AS534" s="68"/>
      <c r="AT534" s="68"/>
      <c r="AU534" s="68"/>
      <c r="AV534" s="68"/>
      <c r="AW534" s="68"/>
      <c r="AX534" s="68"/>
    </row>
    <row r="535" spans="7:50" x14ac:dyDescent="0.25"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 s="68"/>
      <c r="AR535" s="68"/>
      <c r="AS535" s="68"/>
      <c r="AT535" s="68"/>
      <c r="AU535" s="68"/>
      <c r="AV535" s="68"/>
      <c r="AW535" s="68"/>
      <c r="AX535" s="68"/>
    </row>
    <row r="536" spans="7:50" x14ac:dyDescent="0.25"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 s="68"/>
      <c r="AR536" s="68"/>
      <c r="AS536" s="68"/>
      <c r="AT536" s="68"/>
      <c r="AU536" s="68"/>
      <c r="AV536" s="68"/>
      <c r="AW536" s="68"/>
      <c r="AX536" s="68"/>
    </row>
    <row r="537" spans="7:50" x14ac:dyDescent="0.25"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 s="68"/>
      <c r="AR537" s="68"/>
      <c r="AS537" s="68"/>
      <c r="AT537" s="68"/>
      <c r="AU537" s="68"/>
      <c r="AV537" s="68"/>
      <c r="AW537" s="68"/>
      <c r="AX537" s="68"/>
    </row>
    <row r="538" spans="7:50" x14ac:dyDescent="0.25"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 s="68"/>
      <c r="AR538" s="68"/>
      <c r="AS538" s="68"/>
      <c r="AT538" s="68"/>
      <c r="AU538" s="68"/>
      <c r="AV538" s="68"/>
      <c r="AW538" s="68"/>
      <c r="AX538" s="68"/>
    </row>
    <row r="539" spans="7:50" x14ac:dyDescent="0.25"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 s="68"/>
      <c r="AR539" s="68"/>
      <c r="AS539" s="68"/>
      <c r="AT539" s="68"/>
      <c r="AU539" s="68"/>
      <c r="AV539" s="68"/>
      <c r="AW539" s="68"/>
      <c r="AX539" s="68"/>
    </row>
    <row r="540" spans="7:50" x14ac:dyDescent="0.25"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 s="68"/>
      <c r="AR540" s="68"/>
      <c r="AS540" s="68"/>
      <c r="AT540" s="68"/>
      <c r="AU540" s="68"/>
      <c r="AV540" s="68"/>
      <c r="AW540" s="68"/>
      <c r="AX540" s="68"/>
    </row>
    <row r="541" spans="7:50" x14ac:dyDescent="0.25"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 s="68"/>
      <c r="AR541" s="68"/>
      <c r="AS541" s="68"/>
      <c r="AT541" s="68"/>
      <c r="AU541" s="68"/>
      <c r="AV541" s="68"/>
      <c r="AW541" s="68"/>
      <c r="AX541" s="68"/>
    </row>
    <row r="542" spans="7:50" x14ac:dyDescent="0.25"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 s="68"/>
      <c r="AR542" s="68"/>
      <c r="AS542" s="68"/>
      <c r="AT542" s="68"/>
      <c r="AU542" s="68"/>
      <c r="AV542" s="68"/>
      <c r="AW542" s="68"/>
      <c r="AX542" s="68"/>
    </row>
    <row r="543" spans="7:50" x14ac:dyDescent="0.25"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 s="68"/>
      <c r="AR543" s="68"/>
      <c r="AS543" s="68"/>
      <c r="AT543" s="68"/>
      <c r="AU543" s="68"/>
      <c r="AV543" s="68"/>
      <c r="AW543" s="68"/>
      <c r="AX543" s="68"/>
    </row>
    <row r="544" spans="7:50" x14ac:dyDescent="0.25"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 s="68"/>
      <c r="AR544" s="68"/>
      <c r="AS544" s="68"/>
      <c r="AT544" s="68"/>
      <c r="AU544" s="68"/>
      <c r="AV544" s="68"/>
      <c r="AW544" s="68"/>
      <c r="AX544" s="68"/>
    </row>
    <row r="545" spans="7:50" x14ac:dyDescent="0.25"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 s="68"/>
      <c r="AR545" s="68"/>
      <c r="AS545" s="68"/>
      <c r="AT545" s="68"/>
      <c r="AU545" s="68"/>
      <c r="AV545" s="68"/>
      <c r="AW545" s="68"/>
      <c r="AX545" s="68"/>
    </row>
    <row r="546" spans="7:50" x14ac:dyDescent="0.25"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 s="68"/>
      <c r="AR546" s="68"/>
      <c r="AS546" s="68"/>
      <c r="AT546" s="68"/>
      <c r="AU546" s="68"/>
      <c r="AV546" s="68"/>
      <c r="AW546" s="68"/>
      <c r="AX546" s="68"/>
    </row>
    <row r="547" spans="7:50" x14ac:dyDescent="0.25"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 s="68"/>
      <c r="AR547" s="68"/>
      <c r="AS547" s="68"/>
      <c r="AT547" s="68"/>
      <c r="AU547" s="68"/>
      <c r="AV547" s="68"/>
      <c r="AW547" s="68"/>
      <c r="AX547" s="68"/>
    </row>
    <row r="548" spans="7:50" x14ac:dyDescent="0.25"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 s="68"/>
      <c r="AR548" s="68"/>
      <c r="AS548" s="68"/>
      <c r="AT548" s="68"/>
      <c r="AU548" s="68"/>
      <c r="AV548" s="68"/>
      <c r="AW548" s="68"/>
      <c r="AX548" s="68"/>
    </row>
    <row r="549" spans="7:50" x14ac:dyDescent="0.25"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 s="68"/>
      <c r="AR549" s="68"/>
      <c r="AS549" s="68"/>
      <c r="AT549" s="68"/>
      <c r="AU549" s="68"/>
      <c r="AV549" s="68"/>
      <c r="AW549" s="68"/>
      <c r="AX549" s="68"/>
    </row>
    <row r="550" spans="7:50" x14ac:dyDescent="0.25"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 s="68"/>
      <c r="AR550" s="68"/>
      <c r="AS550" s="68"/>
      <c r="AT550" s="68"/>
      <c r="AU550" s="68"/>
      <c r="AV550" s="68"/>
      <c r="AW550" s="68"/>
      <c r="AX550" s="68"/>
    </row>
    <row r="551" spans="7:50" x14ac:dyDescent="0.25"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 s="68"/>
      <c r="AR551" s="68"/>
      <c r="AS551" s="68"/>
      <c r="AT551" s="68"/>
      <c r="AU551" s="68"/>
      <c r="AV551" s="68"/>
      <c r="AW551" s="68"/>
      <c r="AX551" s="68"/>
    </row>
    <row r="552" spans="7:50" x14ac:dyDescent="0.25"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 s="68"/>
      <c r="AR552" s="68"/>
      <c r="AS552" s="68"/>
      <c r="AT552" s="68"/>
      <c r="AU552" s="68"/>
      <c r="AV552" s="68"/>
      <c r="AW552" s="68"/>
      <c r="AX552" s="68"/>
    </row>
    <row r="553" spans="7:50" x14ac:dyDescent="0.25"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 s="68"/>
      <c r="AR553" s="68"/>
      <c r="AS553" s="68"/>
      <c r="AT553" s="68"/>
      <c r="AU553" s="68"/>
      <c r="AV553" s="68"/>
      <c r="AW553" s="68"/>
      <c r="AX553" s="68"/>
    </row>
    <row r="554" spans="7:50" x14ac:dyDescent="0.25"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 s="68"/>
      <c r="AR554" s="68"/>
      <c r="AS554" s="68"/>
      <c r="AT554" s="68"/>
      <c r="AU554" s="68"/>
      <c r="AV554" s="68"/>
      <c r="AW554" s="68"/>
      <c r="AX554" s="68"/>
    </row>
    <row r="555" spans="7:50" x14ac:dyDescent="0.25"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 s="68"/>
      <c r="AR555" s="68"/>
      <c r="AS555" s="68"/>
      <c r="AT555" s="68"/>
      <c r="AU555" s="68"/>
      <c r="AV555" s="68"/>
      <c r="AW555" s="68"/>
      <c r="AX555" s="68"/>
    </row>
    <row r="556" spans="7:50" x14ac:dyDescent="0.25"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 s="68"/>
      <c r="AR556" s="68"/>
      <c r="AS556" s="68"/>
      <c r="AT556" s="68"/>
      <c r="AU556" s="68"/>
      <c r="AV556" s="68"/>
      <c r="AW556" s="68"/>
      <c r="AX556" s="68"/>
    </row>
    <row r="557" spans="7:50" x14ac:dyDescent="0.25"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 s="68"/>
      <c r="AR557" s="68"/>
      <c r="AS557" s="68"/>
      <c r="AT557" s="68"/>
      <c r="AU557" s="68"/>
      <c r="AV557" s="68"/>
      <c r="AW557" s="68"/>
      <c r="AX557" s="68"/>
    </row>
    <row r="558" spans="7:50" x14ac:dyDescent="0.25"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 s="68"/>
      <c r="AR558" s="68"/>
      <c r="AS558" s="68"/>
      <c r="AT558" s="68"/>
      <c r="AU558" s="68"/>
      <c r="AV558" s="68"/>
      <c r="AW558" s="68"/>
      <c r="AX558" s="68"/>
    </row>
    <row r="559" spans="7:50" x14ac:dyDescent="0.25"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 s="68"/>
      <c r="AR559" s="68"/>
      <c r="AS559" s="68"/>
      <c r="AT559" s="68"/>
      <c r="AU559" s="68"/>
      <c r="AV559" s="68"/>
      <c r="AW559" s="68"/>
      <c r="AX559" s="68"/>
    </row>
    <row r="560" spans="7:50" x14ac:dyDescent="0.25"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 s="68"/>
      <c r="AR560" s="68"/>
      <c r="AS560" s="68"/>
      <c r="AT560" s="68"/>
      <c r="AU560" s="68"/>
      <c r="AV560" s="68"/>
      <c r="AW560" s="68"/>
      <c r="AX560" s="68"/>
    </row>
    <row r="561" spans="7:50" x14ac:dyDescent="0.25"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 s="68"/>
      <c r="AR561" s="68"/>
      <c r="AS561" s="68"/>
      <c r="AT561" s="68"/>
      <c r="AU561" s="68"/>
      <c r="AV561" s="68"/>
      <c r="AW561" s="68"/>
      <c r="AX561" s="68"/>
    </row>
    <row r="562" spans="7:50" x14ac:dyDescent="0.25"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 s="68"/>
      <c r="AR562" s="68"/>
      <c r="AS562" s="68"/>
      <c r="AT562" s="68"/>
      <c r="AU562" s="68"/>
      <c r="AV562" s="68"/>
      <c r="AW562" s="68"/>
      <c r="AX562" s="68"/>
    </row>
    <row r="563" spans="7:50" x14ac:dyDescent="0.25"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 s="68"/>
      <c r="AR563" s="68"/>
      <c r="AS563" s="68"/>
      <c r="AT563" s="68"/>
      <c r="AU563" s="68"/>
      <c r="AV563" s="68"/>
      <c r="AW563" s="68"/>
      <c r="AX563" s="68"/>
    </row>
    <row r="564" spans="7:50" x14ac:dyDescent="0.25"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 s="68"/>
      <c r="AR564" s="68"/>
      <c r="AS564" s="68"/>
      <c r="AT564" s="68"/>
      <c r="AU564" s="68"/>
      <c r="AV564" s="68"/>
      <c r="AW564" s="68"/>
      <c r="AX564" s="68"/>
    </row>
    <row r="565" spans="7:50" x14ac:dyDescent="0.25"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 s="68"/>
      <c r="AR565" s="68"/>
      <c r="AS565" s="68"/>
      <c r="AT565" s="68"/>
      <c r="AU565" s="68"/>
      <c r="AV565" s="68"/>
      <c r="AW565" s="68"/>
      <c r="AX565" s="68"/>
    </row>
    <row r="566" spans="7:50" x14ac:dyDescent="0.25"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 s="68"/>
      <c r="AR566" s="68"/>
      <c r="AS566" s="68"/>
      <c r="AT566" s="68"/>
      <c r="AU566" s="68"/>
      <c r="AV566" s="68"/>
      <c r="AW566" s="68"/>
      <c r="AX566" s="68"/>
    </row>
    <row r="567" spans="7:50" x14ac:dyDescent="0.25"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 s="68"/>
      <c r="AR567" s="68"/>
      <c r="AS567" s="68"/>
      <c r="AT567" s="68"/>
      <c r="AU567" s="68"/>
      <c r="AV567" s="68"/>
      <c r="AW567" s="68"/>
      <c r="AX567" s="68"/>
    </row>
    <row r="568" spans="7:50" x14ac:dyDescent="0.25"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 s="68"/>
      <c r="AR568" s="68"/>
      <c r="AS568" s="68"/>
      <c r="AT568" s="68"/>
      <c r="AU568" s="68"/>
      <c r="AV568" s="68"/>
      <c r="AW568" s="68"/>
      <c r="AX568" s="68"/>
    </row>
    <row r="569" spans="7:50" x14ac:dyDescent="0.25"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 s="68"/>
      <c r="AR569" s="68"/>
      <c r="AS569" s="68"/>
      <c r="AT569" s="68"/>
      <c r="AU569" s="68"/>
      <c r="AV569" s="68"/>
      <c r="AW569" s="68"/>
      <c r="AX569" s="68"/>
    </row>
    <row r="570" spans="7:50" x14ac:dyDescent="0.25"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 s="68"/>
      <c r="AR570" s="68"/>
      <c r="AS570" s="68"/>
      <c r="AT570" s="68"/>
      <c r="AU570" s="68"/>
      <c r="AV570" s="68"/>
      <c r="AW570" s="68"/>
      <c r="AX570" s="68"/>
    </row>
    <row r="571" spans="7:50" x14ac:dyDescent="0.25"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 s="68"/>
      <c r="AR571" s="68"/>
      <c r="AS571" s="68"/>
      <c r="AT571" s="68"/>
      <c r="AU571" s="68"/>
      <c r="AV571" s="68"/>
      <c r="AW571" s="68"/>
      <c r="AX571" s="68"/>
    </row>
    <row r="572" spans="7:50" x14ac:dyDescent="0.25"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 s="68"/>
      <c r="AR572" s="68"/>
      <c r="AS572" s="68"/>
      <c r="AT572" s="68"/>
      <c r="AU572" s="68"/>
      <c r="AV572" s="68"/>
      <c r="AW572" s="68"/>
      <c r="AX572" s="68"/>
    </row>
    <row r="573" spans="7:50" x14ac:dyDescent="0.25"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 s="68"/>
      <c r="AR573" s="68"/>
      <c r="AS573" s="68"/>
      <c r="AT573" s="68"/>
      <c r="AU573" s="68"/>
      <c r="AV573" s="68"/>
      <c r="AW573" s="68"/>
      <c r="AX573" s="68"/>
    </row>
    <row r="574" spans="7:50" x14ac:dyDescent="0.25"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 s="68"/>
      <c r="AR574" s="68"/>
      <c r="AS574" s="68"/>
      <c r="AT574" s="68"/>
      <c r="AU574" s="68"/>
      <c r="AV574" s="68"/>
      <c r="AW574" s="68"/>
      <c r="AX574" s="68"/>
    </row>
    <row r="575" spans="7:50" x14ac:dyDescent="0.25"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 s="68"/>
      <c r="AR575" s="68"/>
      <c r="AS575" s="68"/>
      <c r="AT575" s="68"/>
      <c r="AU575" s="68"/>
      <c r="AV575" s="68"/>
      <c r="AW575" s="68"/>
      <c r="AX575" s="68"/>
    </row>
    <row r="576" spans="7:50" x14ac:dyDescent="0.25"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 s="68"/>
      <c r="AR576" s="68"/>
      <c r="AS576" s="68"/>
      <c r="AT576" s="68"/>
      <c r="AU576" s="68"/>
      <c r="AV576" s="68"/>
      <c r="AW576" s="68"/>
      <c r="AX576" s="68"/>
    </row>
    <row r="577" spans="7:50" x14ac:dyDescent="0.25"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 s="68"/>
      <c r="AR577" s="68"/>
      <c r="AS577" s="68"/>
      <c r="AT577" s="68"/>
      <c r="AU577" s="68"/>
      <c r="AV577" s="68"/>
      <c r="AW577" s="68"/>
      <c r="AX577" s="68"/>
    </row>
    <row r="578" spans="7:50" x14ac:dyDescent="0.25"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 s="68"/>
      <c r="AR578" s="68"/>
      <c r="AS578" s="68"/>
      <c r="AT578" s="68"/>
      <c r="AU578" s="68"/>
      <c r="AV578" s="68"/>
      <c r="AW578" s="68"/>
      <c r="AX578" s="68"/>
    </row>
    <row r="579" spans="7:50" x14ac:dyDescent="0.25"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 s="68"/>
      <c r="AR579" s="68"/>
      <c r="AS579" s="68"/>
      <c r="AT579" s="68"/>
      <c r="AU579" s="68"/>
      <c r="AV579" s="68"/>
      <c r="AW579" s="68"/>
      <c r="AX579" s="68"/>
    </row>
    <row r="580" spans="7:50" x14ac:dyDescent="0.25"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 s="68"/>
      <c r="AR580" s="68"/>
      <c r="AS580" s="68"/>
      <c r="AT580" s="68"/>
      <c r="AU580" s="68"/>
      <c r="AV580" s="68"/>
      <c r="AW580" s="68"/>
      <c r="AX580" s="68"/>
    </row>
    <row r="581" spans="7:50" x14ac:dyDescent="0.25"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 s="68"/>
      <c r="AR581" s="68"/>
      <c r="AS581" s="68"/>
      <c r="AT581" s="68"/>
      <c r="AU581" s="68"/>
      <c r="AV581" s="68"/>
      <c r="AW581" s="68"/>
      <c r="AX581" s="68"/>
    </row>
    <row r="582" spans="7:50" x14ac:dyDescent="0.25"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 s="68"/>
      <c r="AR582" s="68"/>
      <c r="AS582" s="68"/>
      <c r="AT582" s="68"/>
      <c r="AU582" s="68"/>
      <c r="AV582" s="68"/>
      <c r="AW582" s="68"/>
      <c r="AX582" s="68"/>
    </row>
    <row r="583" spans="7:50" x14ac:dyDescent="0.25"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 s="68"/>
      <c r="AR583" s="68"/>
      <c r="AS583" s="68"/>
      <c r="AT583" s="68"/>
      <c r="AU583" s="68"/>
      <c r="AV583" s="68"/>
      <c r="AW583" s="68"/>
      <c r="AX583" s="68"/>
    </row>
    <row r="584" spans="7:50" x14ac:dyDescent="0.25"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 s="68"/>
      <c r="AR584" s="68"/>
      <c r="AS584" s="68"/>
      <c r="AT584" s="68"/>
      <c r="AU584" s="68"/>
      <c r="AV584" s="68"/>
      <c r="AW584" s="68"/>
      <c r="AX584" s="68"/>
    </row>
    <row r="585" spans="7:50" x14ac:dyDescent="0.25"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 s="68"/>
      <c r="AR585" s="68"/>
      <c r="AS585" s="68"/>
      <c r="AT585" s="68"/>
      <c r="AU585" s="68"/>
      <c r="AV585" s="68"/>
      <c r="AW585" s="68"/>
      <c r="AX585" s="68"/>
    </row>
    <row r="586" spans="7:50" x14ac:dyDescent="0.25"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 s="68"/>
      <c r="AR586" s="68"/>
      <c r="AS586" s="68"/>
      <c r="AT586" s="68"/>
      <c r="AU586" s="68"/>
      <c r="AV586" s="68"/>
      <c r="AW586" s="68"/>
      <c r="AX586" s="68"/>
    </row>
    <row r="587" spans="7:50" x14ac:dyDescent="0.25"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 s="68"/>
      <c r="AR587" s="68"/>
      <c r="AS587" s="68"/>
      <c r="AT587" s="68"/>
      <c r="AU587" s="68"/>
      <c r="AV587" s="68"/>
      <c r="AW587" s="68"/>
      <c r="AX587" s="68"/>
    </row>
    <row r="588" spans="7:50" x14ac:dyDescent="0.25"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 s="68"/>
      <c r="AR588" s="68"/>
      <c r="AS588" s="68"/>
      <c r="AT588" s="68"/>
      <c r="AU588" s="68"/>
      <c r="AV588" s="68"/>
      <c r="AW588" s="68"/>
      <c r="AX588" s="68"/>
    </row>
    <row r="589" spans="7:50" x14ac:dyDescent="0.25"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 s="68"/>
      <c r="AR589" s="68"/>
      <c r="AS589" s="68"/>
      <c r="AT589" s="68"/>
      <c r="AU589" s="68"/>
      <c r="AV589" s="68"/>
      <c r="AW589" s="68"/>
      <c r="AX589" s="68"/>
    </row>
    <row r="590" spans="7:50" x14ac:dyDescent="0.25"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 s="68"/>
      <c r="AR590" s="68"/>
      <c r="AS590" s="68"/>
      <c r="AT590" s="68"/>
      <c r="AU590" s="68"/>
      <c r="AV590" s="68"/>
      <c r="AW590" s="68"/>
      <c r="AX590" s="68"/>
    </row>
    <row r="591" spans="7:50" x14ac:dyDescent="0.25"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 s="68"/>
      <c r="AR591" s="68"/>
      <c r="AS591" s="68"/>
      <c r="AT591" s="68"/>
      <c r="AU591" s="68"/>
      <c r="AV591" s="68"/>
      <c r="AW591" s="68"/>
      <c r="AX591" s="68"/>
    </row>
    <row r="592" spans="7:50" x14ac:dyDescent="0.25"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 s="68"/>
      <c r="AR592" s="68"/>
      <c r="AS592" s="68"/>
      <c r="AT592" s="68"/>
      <c r="AU592" s="68"/>
      <c r="AV592" s="68"/>
      <c r="AW592" s="68"/>
      <c r="AX592" s="68"/>
    </row>
    <row r="593" spans="7:50" x14ac:dyDescent="0.25"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 s="68"/>
      <c r="AR593" s="68"/>
      <c r="AS593" s="68"/>
      <c r="AT593" s="68"/>
      <c r="AU593" s="68"/>
      <c r="AV593" s="68"/>
      <c r="AW593" s="68"/>
      <c r="AX593" s="68"/>
    </row>
    <row r="594" spans="7:50" x14ac:dyDescent="0.25"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 s="68"/>
      <c r="AR594" s="68"/>
      <c r="AS594" s="68"/>
      <c r="AT594" s="68"/>
      <c r="AU594" s="68"/>
      <c r="AV594" s="68"/>
      <c r="AW594" s="68"/>
      <c r="AX594" s="68"/>
    </row>
    <row r="595" spans="7:50" x14ac:dyDescent="0.25"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 s="68"/>
      <c r="AR595" s="68"/>
      <c r="AS595" s="68"/>
      <c r="AT595" s="68"/>
      <c r="AU595" s="68"/>
      <c r="AV595" s="68"/>
      <c r="AW595" s="68"/>
      <c r="AX595" s="68"/>
    </row>
    <row r="596" spans="7:50" x14ac:dyDescent="0.25"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 s="68"/>
      <c r="AR596" s="68"/>
      <c r="AS596" s="68"/>
      <c r="AT596" s="68"/>
      <c r="AU596" s="68"/>
      <c r="AV596" s="68"/>
      <c r="AW596" s="68"/>
      <c r="AX596" s="68"/>
    </row>
    <row r="597" spans="7:50" x14ac:dyDescent="0.25"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 s="68"/>
      <c r="AR597" s="68"/>
      <c r="AS597" s="68"/>
      <c r="AT597" s="68"/>
      <c r="AU597" s="68"/>
      <c r="AV597" s="68"/>
      <c r="AW597" s="68"/>
      <c r="AX597" s="68"/>
    </row>
    <row r="598" spans="7:50" x14ac:dyDescent="0.25"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 s="68"/>
      <c r="AR598" s="68"/>
      <c r="AS598" s="68"/>
      <c r="AT598" s="68"/>
      <c r="AU598" s="68"/>
      <c r="AV598" s="68"/>
      <c r="AW598" s="68"/>
      <c r="AX598" s="68"/>
    </row>
    <row r="599" spans="7:50" x14ac:dyDescent="0.25"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 s="68"/>
      <c r="AR599" s="68"/>
      <c r="AS599" s="68"/>
      <c r="AT599" s="68"/>
      <c r="AU599" s="68"/>
      <c r="AV599" s="68"/>
      <c r="AW599" s="68"/>
      <c r="AX599" s="68"/>
    </row>
    <row r="600" spans="7:50" x14ac:dyDescent="0.25"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 s="68"/>
      <c r="AR600" s="68"/>
      <c r="AS600" s="68"/>
      <c r="AT600" s="68"/>
      <c r="AU600" s="68"/>
      <c r="AV600" s="68"/>
      <c r="AW600" s="68"/>
      <c r="AX600" s="68"/>
    </row>
    <row r="601" spans="7:50" x14ac:dyDescent="0.25"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 s="68"/>
      <c r="AR601" s="68"/>
      <c r="AS601" s="68"/>
      <c r="AT601" s="68"/>
      <c r="AU601" s="68"/>
      <c r="AV601" s="68"/>
      <c r="AW601" s="68"/>
      <c r="AX601" s="68"/>
    </row>
    <row r="602" spans="7:50" x14ac:dyDescent="0.25"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 s="68"/>
      <c r="AR602" s="68"/>
      <c r="AS602" s="68"/>
      <c r="AT602" s="68"/>
      <c r="AU602" s="68"/>
      <c r="AV602" s="68"/>
      <c r="AW602" s="68"/>
      <c r="AX602" s="68"/>
    </row>
    <row r="603" spans="7:50" x14ac:dyDescent="0.25"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 s="68"/>
      <c r="AR603" s="68"/>
      <c r="AS603" s="68"/>
      <c r="AT603" s="68"/>
      <c r="AU603" s="68"/>
      <c r="AV603" s="68"/>
      <c r="AW603" s="68"/>
      <c r="AX603" s="68"/>
    </row>
    <row r="604" spans="7:50" x14ac:dyDescent="0.25"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 s="68"/>
      <c r="AR604" s="68"/>
      <c r="AS604" s="68"/>
      <c r="AT604" s="68"/>
      <c r="AU604" s="68"/>
      <c r="AV604" s="68"/>
      <c r="AW604" s="68"/>
      <c r="AX604" s="68"/>
    </row>
    <row r="605" spans="7:50" x14ac:dyDescent="0.25"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 s="68"/>
      <c r="AR605" s="68"/>
      <c r="AS605" s="68"/>
      <c r="AT605" s="68"/>
      <c r="AU605" s="68"/>
      <c r="AV605" s="68"/>
      <c r="AW605" s="68"/>
      <c r="AX605" s="68"/>
    </row>
    <row r="606" spans="7:50" x14ac:dyDescent="0.25"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 s="68"/>
      <c r="AR606" s="68"/>
      <c r="AS606" s="68"/>
      <c r="AT606" s="68"/>
      <c r="AU606" s="68"/>
      <c r="AV606" s="68"/>
      <c r="AW606" s="68"/>
      <c r="AX606" s="68"/>
    </row>
    <row r="607" spans="7:50" x14ac:dyDescent="0.25"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 s="68"/>
      <c r="AR607" s="68"/>
      <c r="AS607" s="68"/>
      <c r="AT607" s="68"/>
      <c r="AU607" s="68"/>
      <c r="AV607" s="68"/>
      <c r="AW607" s="68"/>
      <c r="AX607" s="68"/>
    </row>
    <row r="608" spans="7:50" x14ac:dyDescent="0.25"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 s="68"/>
      <c r="AR608" s="68"/>
      <c r="AS608" s="68"/>
      <c r="AT608" s="68"/>
      <c r="AU608" s="68"/>
      <c r="AV608" s="68"/>
      <c r="AW608" s="68"/>
      <c r="AX608" s="68"/>
    </row>
    <row r="609" spans="7:50" x14ac:dyDescent="0.25"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 s="68"/>
      <c r="AR609" s="68"/>
      <c r="AS609" s="68"/>
      <c r="AT609" s="68"/>
      <c r="AU609" s="68"/>
      <c r="AV609" s="68"/>
      <c r="AW609" s="68"/>
      <c r="AX609" s="68"/>
    </row>
    <row r="610" spans="7:50" x14ac:dyDescent="0.25"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 s="68"/>
      <c r="AR610" s="68"/>
      <c r="AS610" s="68"/>
      <c r="AT610" s="68"/>
      <c r="AU610" s="68"/>
      <c r="AV610" s="68"/>
      <c r="AW610" s="68"/>
      <c r="AX610" s="68"/>
    </row>
    <row r="611" spans="7:50" x14ac:dyDescent="0.25"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 s="68"/>
      <c r="AR611" s="68"/>
      <c r="AS611" s="68"/>
      <c r="AT611" s="68"/>
      <c r="AU611" s="68"/>
      <c r="AV611" s="68"/>
      <c r="AW611" s="68"/>
      <c r="AX611" s="68"/>
    </row>
    <row r="612" spans="7:50" x14ac:dyDescent="0.25"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 s="68"/>
      <c r="AR612" s="68"/>
      <c r="AS612" s="68"/>
      <c r="AT612" s="68"/>
      <c r="AU612" s="68"/>
      <c r="AV612" s="68"/>
      <c r="AW612" s="68"/>
      <c r="AX612" s="68"/>
    </row>
    <row r="613" spans="7:50" x14ac:dyDescent="0.25"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 s="68"/>
      <c r="AR613" s="68"/>
      <c r="AS613" s="68"/>
      <c r="AT613" s="68"/>
      <c r="AU613" s="68"/>
      <c r="AV613" s="68"/>
      <c r="AW613" s="68"/>
      <c r="AX613" s="68"/>
    </row>
    <row r="614" spans="7:50" x14ac:dyDescent="0.25"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 s="68"/>
      <c r="AR614" s="68"/>
      <c r="AS614" s="68"/>
      <c r="AT614" s="68"/>
      <c r="AU614" s="68"/>
      <c r="AV614" s="68"/>
      <c r="AW614" s="68"/>
      <c r="AX614" s="68"/>
    </row>
    <row r="615" spans="7:50" x14ac:dyDescent="0.25"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 s="68"/>
      <c r="AR615" s="68"/>
      <c r="AS615" s="68"/>
      <c r="AT615" s="68"/>
      <c r="AU615" s="68"/>
      <c r="AV615" s="68"/>
      <c r="AW615" s="68"/>
      <c r="AX615" s="68"/>
    </row>
    <row r="616" spans="7:50" x14ac:dyDescent="0.25"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 s="68"/>
      <c r="AR616" s="68"/>
      <c r="AS616" s="68"/>
      <c r="AT616" s="68"/>
      <c r="AU616" s="68"/>
      <c r="AV616" s="68"/>
      <c r="AW616" s="68"/>
      <c r="AX616" s="68"/>
    </row>
    <row r="617" spans="7:50" x14ac:dyDescent="0.25"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 s="68"/>
      <c r="AR617" s="68"/>
      <c r="AS617" s="68"/>
      <c r="AT617" s="68"/>
      <c r="AU617" s="68"/>
      <c r="AV617" s="68"/>
      <c r="AW617" s="68"/>
      <c r="AX617" s="68"/>
    </row>
    <row r="618" spans="7:50" x14ac:dyDescent="0.25"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 s="68"/>
      <c r="AR618" s="68"/>
      <c r="AS618" s="68"/>
      <c r="AT618" s="68"/>
      <c r="AU618" s="68"/>
      <c r="AV618" s="68"/>
      <c r="AW618" s="68"/>
      <c r="AX618" s="68"/>
    </row>
    <row r="619" spans="7:50" x14ac:dyDescent="0.25"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 s="68"/>
      <c r="AR619" s="68"/>
      <c r="AS619" s="68"/>
      <c r="AT619" s="68"/>
      <c r="AU619" s="68"/>
      <c r="AV619" s="68"/>
      <c r="AW619" s="68"/>
      <c r="AX619" s="68"/>
    </row>
    <row r="620" spans="7:50" x14ac:dyDescent="0.25"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 s="68"/>
      <c r="AR620" s="68"/>
      <c r="AS620" s="68"/>
      <c r="AT620" s="68"/>
      <c r="AU620" s="68"/>
      <c r="AV620" s="68"/>
      <c r="AW620" s="68"/>
      <c r="AX620" s="68"/>
    </row>
    <row r="621" spans="7:50" x14ac:dyDescent="0.25"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 s="68"/>
      <c r="AR621" s="68"/>
      <c r="AS621" s="68"/>
      <c r="AT621" s="68"/>
      <c r="AU621" s="68"/>
      <c r="AV621" s="68"/>
      <c r="AW621" s="68"/>
      <c r="AX621" s="68"/>
    </row>
    <row r="622" spans="7:50" x14ac:dyDescent="0.25"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 s="68"/>
      <c r="AR622" s="68"/>
      <c r="AS622" s="68"/>
      <c r="AT622" s="68"/>
      <c r="AU622" s="68"/>
      <c r="AV622" s="68"/>
      <c r="AW622" s="68"/>
      <c r="AX622" s="68"/>
    </row>
    <row r="623" spans="7:50" x14ac:dyDescent="0.25"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 s="68"/>
      <c r="AR623" s="68"/>
      <c r="AS623" s="68"/>
      <c r="AT623" s="68"/>
      <c r="AU623" s="68"/>
      <c r="AV623" s="68"/>
      <c r="AW623" s="68"/>
      <c r="AX623" s="68"/>
    </row>
    <row r="624" spans="7:50" x14ac:dyDescent="0.25"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 s="68"/>
      <c r="AR624" s="68"/>
      <c r="AS624" s="68"/>
      <c r="AT624" s="68"/>
      <c r="AU624" s="68"/>
      <c r="AV624" s="68"/>
      <c r="AW624" s="68"/>
      <c r="AX624" s="68"/>
    </row>
    <row r="625" spans="7:50" x14ac:dyDescent="0.25"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 s="68"/>
      <c r="AR625" s="68"/>
      <c r="AS625" s="68"/>
      <c r="AT625" s="68"/>
      <c r="AU625" s="68"/>
      <c r="AV625" s="68"/>
      <c r="AW625" s="68"/>
      <c r="AX625" s="68"/>
    </row>
    <row r="626" spans="7:50" x14ac:dyDescent="0.25"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 s="68"/>
      <c r="AR626" s="68"/>
      <c r="AS626" s="68"/>
      <c r="AT626" s="68"/>
      <c r="AU626" s="68"/>
      <c r="AV626" s="68"/>
      <c r="AW626" s="68"/>
      <c r="AX626" s="68"/>
    </row>
    <row r="627" spans="7:50" x14ac:dyDescent="0.25"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 s="68"/>
      <c r="AR627" s="68"/>
      <c r="AS627" s="68"/>
      <c r="AT627" s="68"/>
      <c r="AU627" s="68"/>
      <c r="AV627" s="68"/>
      <c r="AW627" s="68"/>
      <c r="AX627" s="68"/>
    </row>
    <row r="628" spans="7:50" x14ac:dyDescent="0.25"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 s="68"/>
      <c r="AR628" s="68"/>
      <c r="AS628" s="68"/>
      <c r="AT628" s="68"/>
      <c r="AU628" s="68"/>
      <c r="AV628" s="68"/>
      <c r="AW628" s="68"/>
      <c r="AX628" s="68"/>
    </row>
    <row r="629" spans="7:50" x14ac:dyDescent="0.25"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 s="68"/>
      <c r="AR629" s="68"/>
      <c r="AS629" s="68"/>
      <c r="AT629" s="68"/>
      <c r="AU629" s="68"/>
      <c r="AV629" s="68"/>
      <c r="AW629" s="68"/>
      <c r="AX629" s="68"/>
    </row>
    <row r="630" spans="7:50" x14ac:dyDescent="0.25"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 s="68"/>
      <c r="AR630" s="68"/>
      <c r="AS630" s="68"/>
      <c r="AT630" s="68"/>
      <c r="AU630" s="68"/>
      <c r="AV630" s="68"/>
      <c r="AW630" s="68"/>
      <c r="AX630" s="68"/>
    </row>
    <row r="631" spans="7:50" x14ac:dyDescent="0.25"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 s="68"/>
      <c r="AR631" s="68"/>
      <c r="AS631" s="68"/>
      <c r="AT631" s="68"/>
      <c r="AU631" s="68"/>
      <c r="AV631" s="68"/>
      <c r="AW631" s="68"/>
      <c r="AX631" s="68"/>
    </row>
    <row r="632" spans="7:50" x14ac:dyDescent="0.25"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 s="68"/>
      <c r="AR632" s="68"/>
      <c r="AS632" s="68"/>
      <c r="AT632" s="68"/>
      <c r="AU632" s="68"/>
      <c r="AV632" s="68"/>
      <c r="AW632" s="68"/>
      <c r="AX632" s="68"/>
    </row>
    <row r="633" spans="7:50" x14ac:dyDescent="0.25"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 s="68"/>
      <c r="AR633" s="68"/>
      <c r="AS633" s="68"/>
      <c r="AT633" s="68"/>
      <c r="AU633" s="68"/>
      <c r="AV633" s="68"/>
      <c r="AW633" s="68"/>
      <c r="AX633" s="68"/>
    </row>
    <row r="634" spans="7:50" x14ac:dyDescent="0.25"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 s="68"/>
      <c r="AR634" s="68"/>
      <c r="AS634" s="68"/>
      <c r="AT634" s="68"/>
      <c r="AU634" s="68"/>
      <c r="AV634" s="68"/>
      <c r="AW634" s="68"/>
      <c r="AX634" s="68"/>
    </row>
    <row r="635" spans="7:50" x14ac:dyDescent="0.25"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 s="68"/>
      <c r="AR635" s="68"/>
      <c r="AS635" s="68"/>
      <c r="AT635" s="68"/>
      <c r="AU635" s="68"/>
      <c r="AV635" s="68"/>
      <c r="AW635" s="68"/>
      <c r="AX635" s="68"/>
    </row>
    <row r="636" spans="7:50" x14ac:dyDescent="0.25"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 s="68"/>
      <c r="AR636" s="68"/>
      <c r="AS636" s="68"/>
      <c r="AT636" s="68"/>
      <c r="AU636" s="68"/>
      <c r="AV636" s="68"/>
      <c r="AW636" s="68"/>
      <c r="AX636" s="68"/>
    </row>
    <row r="637" spans="7:50" x14ac:dyDescent="0.25"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 s="68"/>
      <c r="AR637" s="68"/>
      <c r="AS637" s="68"/>
      <c r="AT637" s="68"/>
      <c r="AU637" s="68"/>
      <c r="AV637" s="68"/>
      <c r="AW637" s="68"/>
      <c r="AX637" s="68"/>
    </row>
    <row r="638" spans="7:50" x14ac:dyDescent="0.25"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 s="68"/>
      <c r="AR638" s="68"/>
      <c r="AS638" s="68"/>
      <c r="AT638" s="68"/>
      <c r="AU638" s="68"/>
      <c r="AV638" s="68"/>
      <c r="AW638" s="68"/>
      <c r="AX638" s="68"/>
    </row>
    <row r="639" spans="7:50" x14ac:dyDescent="0.25"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 s="68"/>
      <c r="AR639" s="68"/>
      <c r="AS639" s="68"/>
      <c r="AT639" s="68"/>
      <c r="AU639" s="68"/>
      <c r="AV639" s="68"/>
      <c r="AW639" s="68"/>
      <c r="AX639" s="68"/>
    </row>
    <row r="640" spans="7:50" x14ac:dyDescent="0.25"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 s="68"/>
      <c r="AR640" s="68"/>
      <c r="AS640" s="68"/>
      <c r="AT640" s="68"/>
      <c r="AU640" s="68"/>
      <c r="AV640" s="68"/>
      <c r="AW640" s="68"/>
      <c r="AX640" s="68"/>
    </row>
    <row r="641" spans="7:50" x14ac:dyDescent="0.25"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 s="68"/>
      <c r="AR641" s="68"/>
      <c r="AS641" s="68"/>
      <c r="AT641" s="68"/>
      <c r="AU641" s="68"/>
      <c r="AV641" s="68"/>
      <c r="AW641" s="68"/>
      <c r="AX641" s="68"/>
    </row>
    <row r="642" spans="7:50" x14ac:dyDescent="0.25"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 s="68"/>
      <c r="AR642" s="68"/>
      <c r="AS642" s="68"/>
      <c r="AT642" s="68"/>
      <c r="AU642" s="68"/>
      <c r="AV642" s="68"/>
      <c r="AW642" s="68"/>
      <c r="AX642" s="68"/>
    </row>
    <row r="643" spans="7:50" x14ac:dyDescent="0.25"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 s="68"/>
      <c r="AR643" s="68"/>
      <c r="AS643" s="68"/>
      <c r="AT643" s="68"/>
      <c r="AU643" s="68"/>
      <c r="AV643" s="68"/>
      <c r="AW643" s="68"/>
      <c r="AX643" s="68"/>
    </row>
    <row r="644" spans="7:50" x14ac:dyDescent="0.25"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 s="68"/>
      <c r="AR644" s="68"/>
      <c r="AS644" s="68"/>
      <c r="AT644" s="68"/>
      <c r="AU644" s="68"/>
      <c r="AV644" s="68"/>
      <c r="AW644" s="68"/>
      <c r="AX644" s="68"/>
    </row>
    <row r="645" spans="7:50" x14ac:dyDescent="0.25"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 s="68"/>
      <c r="AR645" s="68"/>
      <c r="AS645" s="68"/>
      <c r="AT645" s="68"/>
      <c r="AU645" s="68"/>
      <c r="AV645" s="68"/>
      <c r="AW645" s="68"/>
      <c r="AX645" s="68"/>
    </row>
    <row r="646" spans="7:50" x14ac:dyDescent="0.25"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 s="68"/>
      <c r="AR646" s="68"/>
      <c r="AS646" s="68"/>
      <c r="AT646" s="68"/>
      <c r="AU646" s="68"/>
      <c r="AV646" s="68"/>
      <c r="AW646" s="68"/>
      <c r="AX646" s="68"/>
    </row>
    <row r="647" spans="7:50" x14ac:dyDescent="0.25"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 s="68"/>
      <c r="AR647" s="68"/>
      <c r="AS647" s="68"/>
      <c r="AT647" s="68"/>
      <c r="AU647" s="68"/>
      <c r="AV647" s="68"/>
      <c r="AW647" s="68"/>
      <c r="AX647" s="68"/>
    </row>
    <row r="648" spans="7:50" x14ac:dyDescent="0.25"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 s="68"/>
      <c r="AR648" s="68"/>
      <c r="AS648" s="68"/>
      <c r="AT648" s="68"/>
      <c r="AU648" s="68"/>
      <c r="AV648" s="68"/>
      <c r="AW648" s="68"/>
      <c r="AX648" s="68"/>
    </row>
    <row r="649" spans="7:50" x14ac:dyDescent="0.25"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 s="68"/>
      <c r="AR649" s="68"/>
      <c r="AS649" s="68"/>
      <c r="AT649" s="68"/>
      <c r="AU649" s="68"/>
      <c r="AV649" s="68"/>
      <c r="AW649" s="68"/>
      <c r="AX649" s="68"/>
    </row>
    <row r="650" spans="7:50" x14ac:dyDescent="0.25"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 s="68"/>
      <c r="AR650" s="68"/>
      <c r="AS650" s="68"/>
      <c r="AT650" s="68"/>
      <c r="AU650" s="68"/>
      <c r="AV650" s="68"/>
      <c r="AW650" s="68"/>
      <c r="AX650" s="68"/>
    </row>
    <row r="651" spans="7:50" x14ac:dyDescent="0.25"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 s="68"/>
      <c r="AR651" s="68"/>
      <c r="AS651" s="68"/>
      <c r="AT651" s="68"/>
      <c r="AU651" s="68"/>
      <c r="AV651" s="68"/>
      <c r="AW651" s="68"/>
      <c r="AX651" s="68"/>
    </row>
    <row r="652" spans="7:50" x14ac:dyDescent="0.25"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 s="68"/>
      <c r="AR652" s="68"/>
      <c r="AS652" s="68"/>
      <c r="AT652" s="68"/>
      <c r="AU652" s="68"/>
      <c r="AV652" s="68"/>
      <c r="AW652" s="68"/>
      <c r="AX652" s="68"/>
    </row>
    <row r="653" spans="7:50" x14ac:dyDescent="0.25"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 s="68"/>
      <c r="AR653" s="68"/>
      <c r="AS653" s="68"/>
      <c r="AT653" s="68"/>
      <c r="AU653" s="68"/>
      <c r="AV653" s="68"/>
      <c r="AW653" s="68"/>
      <c r="AX653" s="68"/>
    </row>
    <row r="654" spans="7:50" x14ac:dyDescent="0.25"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 s="68"/>
      <c r="AR654" s="68"/>
      <c r="AS654" s="68"/>
      <c r="AT654" s="68"/>
      <c r="AU654" s="68"/>
      <c r="AV654" s="68"/>
      <c r="AW654" s="68"/>
      <c r="AX654" s="68"/>
    </row>
    <row r="655" spans="7:50" x14ac:dyDescent="0.25"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 s="68"/>
      <c r="AR655" s="68"/>
      <c r="AS655" s="68"/>
      <c r="AT655" s="68"/>
      <c r="AU655" s="68"/>
      <c r="AV655" s="68"/>
      <c r="AW655" s="68"/>
      <c r="AX655" s="68"/>
    </row>
    <row r="656" spans="7:50" x14ac:dyDescent="0.25"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 s="68"/>
      <c r="AR656" s="68"/>
      <c r="AS656" s="68"/>
      <c r="AT656" s="68"/>
      <c r="AU656" s="68"/>
      <c r="AV656" s="68"/>
      <c r="AW656" s="68"/>
      <c r="AX656" s="68"/>
    </row>
    <row r="657" spans="7:50" x14ac:dyDescent="0.25"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 s="68"/>
      <c r="AR657" s="68"/>
      <c r="AS657" s="68"/>
      <c r="AT657" s="68"/>
      <c r="AU657" s="68"/>
      <c r="AV657" s="68"/>
      <c r="AW657" s="68"/>
      <c r="AX657" s="68"/>
    </row>
    <row r="658" spans="7:50" x14ac:dyDescent="0.25"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 s="68"/>
      <c r="AR658" s="68"/>
      <c r="AS658" s="68"/>
      <c r="AT658" s="68"/>
      <c r="AU658" s="68"/>
      <c r="AV658" s="68"/>
      <c r="AW658" s="68"/>
      <c r="AX658" s="68"/>
    </row>
    <row r="659" spans="7:50" x14ac:dyDescent="0.25"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 s="68"/>
      <c r="AR659" s="68"/>
      <c r="AS659" s="68"/>
      <c r="AT659" s="68"/>
      <c r="AU659" s="68"/>
      <c r="AV659" s="68"/>
      <c r="AW659" s="68"/>
      <c r="AX659" s="68"/>
    </row>
    <row r="660" spans="7:50" x14ac:dyDescent="0.25"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 s="68"/>
      <c r="AR660" s="68"/>
      <c r="AS660" s="68"/>
      <c r="AT660" s="68"/>
      <c r="AU660" s="68"/>
      <c r="AV660" s="68"/>
      <c r="AW660" s="68"/>
      <c r="AX660" s="68"/>
    </row>
    <row r="661" spans="7:50" x14ac:dyDescent="0.25"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 s="68"/>
      <c r="AR661" s="68"/>
      <c r="AS661" s="68"/>
      <c r="AT661" s="68"/>
      <c r="AU661" s="68"/>
      <c r="AV661" s="68"/>
      <c r="AW661" s="68"/>
      <c r="AX661" s="68"/>
    </row>
    <row r="662" spans="7:50" x14ac:dyDescent="0.25"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 s="68"/>
      <c r="AR662" s="68"/>
      <c r="AS662" s="68"/>
      <c r="AT662" s="68"/>
      <c r="AU662" s="68"/>
      <c r="AV662" s="68"/>
      <c r="AW662" s="68"/>
      <c r="AX662" s="68"/>
    </row>
    <row r="663" spans="7:50" x14ac:dyDescent="0.25"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 s="68"/>
      <c r="AR663" s="68"/>
      <c r="AS663" s="68"/>
      <c r="AT663" s="68"/>
      <c r="AU663" s="68"/>
      <c r="AV663" s="68"/>
      <c r="AW663" s="68"/>
      <c r="AX663" s="68"/>
    </row>
    <row r="664" spans="7:50" x14ac:dyDescent="0.25"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 s="68"/>
      <c r="AR664" s="68"/>
      <c r="AS664" s="68"/>
      <c r="AT664" s="68"/>
      <c r="AU664" s="68"/>
      <c r="AV664" s="68"/>
      <c r="AW664" s="68"/>
      <c r="AX664" s="68"/>
    </row>
    <row r="665" spans="7:50" x14ac:dyDescent="0.25"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 s="68"/>
      <c r="AR665" s="68"/>
      <c r="AS665" s="68"/>
      <c r="AT665" s="68"/>
      <c r="AU665" s="68"/>
      <c r="AV665" s="68"/>
      <c r="AW665" s="68"/>
      <c r="AX665" s="68"/>
    </row>
    <row r="666" spans="7:50" x14ac:dyDescent="0.25"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 s="68"/>
      <c r="AR666" s="68"/>
      <c r="AS666" s="68"/>
      <c r="AT666" s="68"/>
      <c r="AU666" s="68"/>
      <c r="AV666" s="68"/>
      <c r="AW666" s="68"/>
      <c r="AX666" s="68"/>
    </row>
    <row r="667" spans="7:50" x14ac:dyDescent="0.25"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 s="68"/>
      <c r="AR667" s="68"/>
      <c r="AS667" s="68"/>
      <c r="AT667" s="68"/>
      <c r="AU667" s="68"/>
      <c r="AV667" s="68"/>
      <c r="AW667" s="68"/>
      <c r="AX667" s="68"/>
    </row>
    <row r="668" spans="7:50" x14ac:dyDescent="0.25"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 s="68"/>
      <c r="AR668" s="68"/>
      <c r="AS668" s="68"/>
      <c r="AT668" s="68"/>
      <c r="AU668" s="68"/>
      <c r="AV668" s="68"/>
      <c r="AW668" s="68"/>
      <c r="AX668" s="68"/>
    </row>
    <row r="669" spans="7:50" x14ac:dyDescent="0.25"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 s="68"/>
      <c r="AR669" s="68"/>
      <c r="AS669" s="68"/>
      <c r="AT669" s="68"/>
      <c r="AU669" s="68"/>
      <c r="AV669" s="68"/>
      <c r="AW669" s="68"/>
      <c r="AX669" s="68"/>
    </row>
    <row r="670" spans="7:50" x14ac:dyDescent="0.25"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 s="68"/>
      <c r="AR670" s="68"/>
      <c r="AS670" s="68"/>
      <c r="AT670" s="68"/>
      <c r="AU670" s="68"/>
      <c r="AV670" s="68"/>
      <c r="AW670" s="68"/>
      <c r="AX670" s="68"/>
    </row>
    <row r="671" spans="7:50" x14ac:dyDescent="0.25"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 s="68"/>
      <c r="AR671" s="68"/>
      <c r="AS671" s="68"/>
      <c r="AT671" s="68"/>
      <c r="AU671" s="68"/>
      <c r="AV671" s="68"/>
      <c r="AW671" s="68"/>
      <c r="AX671" s="68"/>
    </row>
    <row r="672" spans="7:50" x14ac:dyDescent="0.25"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 s="68"/>
      <c r="AR672" s="68"/>
      <c r="AS672" s="68"/>
      <c r="AT672" s="68"/>
      <c r="AU672" s="68"/>
      <c r="AV672" s="68"/>
      <c r="AW672" s="68"/>
      <c r="AX672" s="68"/>
    </row>
    <row r="673" spans="7:50" x14ac:dyDescent="0.25"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 s="68"/>
      <c r="AR673" s="68"/>
      <c r="AS673" s="68"/>
      <c r="AT673" s="68"/>
      <c r="AU673" s="68"/>
      <c r="AV673" s="68"/>
      <c r="AW673" s="68"/>
      <c r="AX673" s="68"/>
    </row>
    <row r="674" spans="7:50" x14ac:dyDescent="0.25"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 s="68"/>
      <c r="AR674" s="68"/>
      <c r="AS674" s="68"/>
      <c r="AT674" s="68"/>
      <c r="AU674" s="68"/>
      <c r="AV674" s="68"/>
      <c r="AW674" s="68"/>
      <c r="AX674" s="68"/>
    </row>
    <row r="675" spans="7:50" x14ac:dyDescent="0.25"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 s="68"/>
      <c r="AR675" s="68"/>
      <c r="AS675" s="68"/>
      <c r="AT675" s="68"/>
      <c r="AU675" s="68"/>
      <c r="AV675" s="68"/>
      <c r="AW675" s="68"/>
      <c r="AX675" s="68"/>
    </row>
    <row r="676" spans="7:50" x14ac:dyDescent="0.25"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 s="68"/>
      <c r="AR676" s="68"/>
      <c r="AS676" s="68"/>
      <c r="AT676" s="68"/>
      <c r="AU676" s="68"/>
      <c r="AV676" s="68"/>
      <c r="AW676" s="68"/>
      <c r="AX676" s="68"/>
    </row>
    <row r="677" spans="7:50" x14ac:dyDescent="0.25"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 s="68"/>
      <c r="AR677" s="68"/>
      <c r="AS677" s="68"/>
      <c r="AT677" s="68"/>
      <c r="AU677" s="68"/>
      <c r="AV677" s="68"/>
      <c r="AW677" s="68"/>
      <c r="AX677" s="68"/>
    </row>
    <row r="678" spans="7:50" x14ac:dyDescent="0.25"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 s="68"/>
      <c r="AR678" s="68"/>
      <c r="AS678" s="68"/>
      <c r="AT678" s="68"/>
      <c r="AU678" s="68"/>
      <c r="AV678" s="68"/>
      <c r="AW678" s="68"/>
      <c r="AX678" s="68"/>
    </row>
    <row r="679" spans="7:50" x14ac:dyDescent="0.25"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 s="68"/>
      <c r="AR679" s="68"/>
      <c r="AS679" s="68"/>
      <c r="AT679" s="68"/>
      <c r="AU679" s="68"/>
      <c r="AV679" s="68"/>
      <c r="AW679" s="68"/>
      <c r="AX679" s="68"/>
    </row>
    <row r="680" spans="7:50" x14ac:dyDescent="0.25"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 s="68"/>
      <c r="AR680" s="68"/>
      <c r="AS680" s="68"/>
      <c r="AT680" s="68"/>
      <c r="AU680" s="68"/>
      <c r="AV680" s="68"/>
      <c r="AW680" s="68"/>
      <c r="AX680" s="68"/>
    </row>
    <row r="681" spans="7:50" x14ac:dyDescent="0.25"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 s="68"/>
      <c r="AR681" s="68"/>
      <c r="AS681" s="68"/>
      <c r="AT681" s="68"/>
      <c r="AU681" s="68"/>
      <c r="AV681" s="68"/>
      <c r="AW681" s="68"/>
      <c r="AX681" s="68"/>
    </row>
    <row r="682" spans="7:50" x14ac:dyDescent="0.25"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 s="68"/>
      <c r="AR682" s="68"/>
      <c r="AS682" s="68"/>
      <c r="AT682" s="68"/>
      <c r="AU682" s="68"/>
      <c r="AV682" s="68"/>
      <c r="AW682" s="68"/>
      <c r="AX682" s="68"/>
    </row>
    <row r="683" spans="7:50" x14ac:dyDescent="0.25"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 s="68"/>
      <c r="AR683" s="68"/>
      <c r="AS683" s="68"/>
      <c r="AT683" s="68"/>
      <c r="AU683" s="68"/>
      <c r="AV683" s="68"/>
      <c r="AW683" s="68"/>
      <c r="AX683" s="68"/>
    </row>
    <row r="684" spans="7:50" x14ac:dyDescent="0.25"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 s="68"/>
      <c r="AR684" s="68"/>
      <c r="AS684" s="68"/>
      <c r="AT684" s="68"/>
      <c r="AU684" s="68"/>
      <c r="AV684" s="68"/>
      <c r="AW684" s="68"/>
      <c r="AX684" s="68"/>
    </row>
    <row r="685" spans="7:50" x14ac:dyDescent="0.25"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 s="68"/>
      <c r="AR685" s="68"/>
      <c r="AS685" s="68"/>
      <c r="AT685" s="68"/>
      <c r="AU685" s="68"/>
      <c r="AV685" s="68"/>
      <c r="AW685" s="68"/>
      <c r="AX685" s="68"/>
    </row>
    <row r="686" spans="7:50" x14ac:dyDescent="0.25"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 s="68"/>
      <c r="AR686" s="68"/>
      <c r="AS686" s="68"/>
      <c r="AT686" s="68"/>
      <c r="AU686" s="68"/>
      <c r="AV686" s="68"/>
      <c r="AW686" s="68"/>
      <c r="AX686" s="68"/>
    </row>
    <row r="687" spans="7:50" x14ac:dyDescent="0.25"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 s="68"/>
      <c r="AR687" s="68"/>
      <c r="AS687" s="68"/>
      <c r="AT687" s="68"/>
      <c r="AU687" s="68"/>
      <c r="AV687" s="68"/>
      <c r="AW687" s="68"/>
      <c r="AX687" s="68"/>
    </row>
    <row r="688" spans="7:50" x14ac:dyDescent="0.25"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 s="68"/>
      <c r="AR688" s="68"/>
      <c r="AS688" s="68"/>
      <c r="AT688" s="68"/>
      <c r="AU688" s="68"/>
      <c r="AV688" s="68"/>
      <c r="AW688" s="68"/>
      <c r="AX688" s="68"/>
    </row>
    <row r="689" spans="7:50" x14ac:dyDescent="0.25"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 s="68"/>
      <c r="AR689" s="68"/>
      <c r="AS689" s="68"/>
      <c r="AT689" s="68"/>
      <c r="AU689" s="68"/>
      <c r="AV689" s="68"/>
      <c r="AW689" s="68"/>
      <c r="AX689" s="68"/>
    </row>
    <row r="690" spans="7:50" x14ac:dyDescent="0.25"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 s="68"/>
      <c r="AR690" s="68"/>
      <c r="AS690" s="68"/>
      <c r="AT690" s="68"/>
      <c r="AU690" s="68"/>
      <c r="AV690" s="68"/>
      <c r="AW690" s="68"/>
      <c r="AX690" s="68"/>
    </row>
    <row r="691" spans="7:50" x14ac:dyDescent="0.25"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 s="68"/>
      <c r="AR691" s="68"/>
      <c r="AS691" s="68"/>
      <c r="AT691" s="68"/>
      <c r="AU691" s="68"/>
      <c r="AV691" s="68"/>
      <c r="AW691" s="68"/>
      <c r="AX691" s="68"/>
    </row>
    <row r="692" spans="7:50" x14ac:dyDescent="0.25"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 s="68"/>
      <c r="AR692" s="68"/>
      <c r="AS692" s="68"/>
      <c r="AT692" s="68"/>
      <c r="AU692" s="68"/>
      <c r="AV692" s="68"/>
      <c r="AW692" s="68"/>
      <c r="AX692" s="68"/>
    </row>
    <row r="693" spans="7:50" x14ac:dyDescent="0.25"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 s="68"/>
      <c r="AR693" s="68"/>
      <c r="AS693" s="68"/>
      <c r="AT693" s="68"/>
      <c r="AU693" s="68"/>
      <c r="AV693" s="68"/>
      <c r="AW693" s="68"/>
      <c r="AX693" s="68"/>
    </row>
    <row r="694" spans="7:50" x14ac:dyDescent="0.25"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 s="68"/>
      <c r="AR694" s="68"/>
      <c r="AS694" s="68"/>
      <c r="AT694" s="68"/>
      <c r="AU694" s="68"/>
      <c r="AV694" s="68"/>
      <c r="AW694" s="68"/>
      <c r="AX694" s="68"/>
    </row>
    <row r="695" spans="7:50" x14ac:dyDescent="0.25"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 s="68"/>
      <c r="AR695" s="68"/>
      <c r="AS695" s="68"/>
      <c r="AT695" s="68"/>
      <c r="AU695" s="68"/>
      <c r="AV695" s="68"/>
      <c r="AW695" s="68"/>
      <c r="AX695" s="68"/>
    </row>
    <row r="696" spans="7:50" x14ac:dyDescent="0.25"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 s="68"/>
      <c r="AR696" s="68"/>
      <c r="AS696" s="68"/>
      <c r="AT696" s="68"/>
      <c r="AU696" s="68"/>
      <c r="AV696" s="68"/>
      <c r="AW696" s="68"/>
      <c r="AX696" s="68"/>
    </row>
    <row r="697" spans="7:50" x14ac:dyDescent="0.25"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 s="68"/>
      <c r="AR697" s="68"/>
      <c r="AS697" s="68"/>
      <c r="AT697" s="68"/>
      <c r="AU697" s="68"/>
      <c r="AV697" s="68"/>
      <c r="AW697" s="68"/>
      <c r="AX697" s="68"/>
    </row>
    <row r="698" spans="7:50" x14ac:dyDescent="0.25"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 s="68"/>
      <c r="AR698" s="68"/>
      <c r="AS698" s="68"/>
      <c r="AT698" s="68"/>
      <c r="AU698" s="68"/>
      <c r="AV698" s="68"/>
      <c r="AW698" s="68"/>
      <c r="AX698" s="68"/>
    </row>
    <row r="699" spans="7:50" x14ac:dyDescent="0.25"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 s="68"/>
      <c r="AR699" s="68"/>
      <c r="AS699" s="68"/>
      <c r="AT699" s="68"/>
      <c r="AU699" s="68"/>
      <c r="AV699" s="68"/>
      <c r="AW699" s="68"/>
      <c r="AX699" s="68"/>
    </row>
    <row r="700" spans="7:50" x14ac:dyDescent="0.25"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 s="68"/>
      <c r="AR700" s="68"/>
      <c r="AS700" s="68"/>
      <c r="AT700" s="68"/>
      <c r="AU700" s="68"/>
      <c r="AV700" s="68"/>
      <c r="AW700" s="68"/>
      <c r="AX700" s="68"/>
    </row>
    <row r="701" spans="7:50" x14ac:dyDescent="0.25"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 s="68"/>
      <c r="AR701" s="68"/>
      <c r="AS701" s="68"/>
      <c r="AT701" s="68"/>
      <c r="AU701" s="68"/>
      <c r="AV701" s="68"/>
      <c r="AW701" s="68"/>
      <c r="AX701" s="68"/>
    </row>
    <row r="702" spans="7:50" x14ac:dyDescent="0.25"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 s="68"/>
      <c r="AR702" s="68"/>
      <c r="AS702" s="68"/>
      <c r="AT702" s="68"/>
      <c r="AU702" s="68"/>
      <c r="AV702" s="68"/>
      <c r="AW702" s="68"/>
      <c r="AX702" s="68"/>
    </row>
    <row r="703" spans="7:50" x14ac:dyDescent="0.25"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 s="68"/>
      <c r="AR703" s="68"/>
      <c r="AS703" s="68"/>
      <c r="AT703" s="68"/>
      <c r="AU703" s="68"/>
      <c r="AV703" s="68"/>
      <c r="AW703" s="68"/>
      <c r="AX703" s="68"/>
    </row>
    <row r="704" spans="7:50" x14ac:dyDescent="0.25"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 s="68"/>
      <c r="AR704" s="68"/>
      <c r="AS704" s="68"/>
      <c r="AT704" s="68"/>
      <c r="AU704" s="68"/>
      <c r="AV704" s="68"/>
      <c r="AW704" s="68"/>
      <c r="AX704" s="68"/>
    </row>
    <row r="705" spans="7:50" x14ac:dyDescent="0.25"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 s="68"/>
      <c r="AR705" s="68"/>
      <c r="AS705" s="68"/>
      <c r="AT705" s="68"/>
      <c r="AU705" s="68"/>
      <c r="AV705" s="68"/>
      <c r="AW705" s="68"/>
      <c r="AX705" s="68"/>
    </row>
    <row r="706" spans="7:50" x14ac:dyDescent="0.25"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 s="68"/>
      <c r="AR706" s="68"/>
      <c r="AS706" s="68"/>
      <c r="AT706" s="68"/>
      <c r="AU706" s="68"/>
      <c r="AV706" s="68"/>
      <c r="AW706" s="68"/>
      <c r="AX706" s="68"/>
    </row>
    <row r="707" spans="7:50" x14ac:dyDescent="0.25"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 s="68"/>
      <c r="AR707" s="68"/>
      <c r="AS707" s="68"/>
      <c r="AT707" s="68"/>
      <c r="AU707" s="68"/>
      <c r="AV707" s="68"/>
      <c r="AW707" s="68"/>
      <c r="AX707" s="68"/>
    </row>
    <row r="708" spans="7:50" x14ac:dyDescent="0.25"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 s="68"/>
      <c r="AR708" s="68"/>
      <c r="AS708" s="68"/>
      <c r="AT708" s="68"/>
      <c r="AU708" s="68"/>
      <c r="AV708" s="68"/>
      <c r="AW708" s="68"/>
      <c r="AX708" s="68"/>
    </row>
    <row r="709" spans="7:50" x14ac:dyDescent="0.25"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 s="68"/>
      <c r="AR709" s="68"/>
      <c r="AS709" s="68"/>
      <c r="AT709" s="68"/>
      <c r="AU709" s="68"/>
      <c r="AV709" s="68"/>
      <c r="AW709" s="68"/>
      <c r="AX709" s="68"/>
    </row>
    <row r="710" spans="7:50" x14ac:dyDescent="0.25"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 s="68"/>
      <c r="AR710" s="68"/>
      <c r="AS710" s="68"/>
      <c r="AT710" s="68"/>
      <c r="AU710" s="68"/>
      <c r="AV710" s="68"/>
      <c r="AW710" s="68"/>
      <c r="AX710" s="68"/>
    </row>
    <row r="711" spans="7:50" x14ac:dyDescent="0.25"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 s="68"/>
      <c r="AR711" s="68"/>
      <c r="AS711" s="68"/>
      <c r="AT711" s="68"/>
      <c r="AU711" s="68"/>
      <c r="AV711" s="68"/>
      <c r="AW711" s="68"/>
      <c r="AX711" s="68"/>
    </row>
    <row r="712" spans="7:50" x14ac:dyDescent="0.25"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 s="68"/>
      <c r="AR712" s="68"/>
      <c r="AS712" s="68"/>
      <c r="AT712" s="68"/>
      <c r="AU712" s="68"/>
      <c r="AV712" s="68"/>
      <c r="AW712" s="68"/>
      <c r="AX712" s="68"/>
    </row>
    <row r="713" spans="7:50" x14ac:dyDescent="0.25"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 s="68"/>
      <c r="AR713" s="68"/>
      <c r="AS713" s="68"/>
      <c r="AT713" s="68"/>
      <c r="AU713" s="68"/>
      <c r="AV713" s="68"/>
      <c r="AW713" s="68"/>
      <c r="AX713" s="68"/>
    </row>
    <row r="714" spans="7:50" x14ac:dyDescent="0.25"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 s="68"/>
      <c r="AR714" s="68"/>
      <c r="AS714" s="68"/>
      <c r="AT714" s="68"/>
      <c r="AU714" s="68"/>
      <c r="AV714" s="68"/>
      <c r="AW714" s="68"/>
      <c r="AX714" s="68"/>
    </row>
    <row r="715" spans="7:50" x14ac:dyDescent="0.25"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 s="68"/>
      <c r="AR715" s="68"/>
      <c r="AS715" s="68"/>
      <c r="AT715" s="68"/>
      <c r="AU715" s="68"/>
      <c r="AV715" s="68"/>
      <c r="AW715" s="68"/>
      <c r="AX715" s="68"/>
    </row>
    <row r="716" spans="7:50" x14ac:dyDescent="0.25"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 s="68"/>
      <c r="AR716" s="68"/>
      <c r="AS716" s="68"/>
      <c r="AT716" s="68"/>
      <c r="AU716" s="68"/>
      <c r="AV716" s="68"/>
      <c r="AW716" s="68"/>
      <c r="AX716" s="68"/>
    </row>
    <row r="717" spans="7:50" x14ac:dyDescent="0.25"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 s="68"/>
      <c r="AR717" s="68"/>
      <c r="AS717" s="68"/>
      <c r="AT717" s="68"/>
      <c r="AU717" s="68"/>
      <c r="AV717" s="68"/>
      <c r="AW717" s="68"/>
      <c r="AX717" s="68"/>
    </row>
    <row r="718" spans="7:50" x14ac:dyDescent="0.25"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 s="68"/>
      <c r="AR718" s="68"/>
      <c r="AS718" s="68"/>
      <c r="AT718" s="68"/>
      <c r="AU718" s="68"/>
      <c r="AV718" s="68"/>
      <c r="AW718" s="68"/>
      <c r="AX718" s="68"/>
    </row>
    <row r="719" spans="7:50" x14ac:dyDescent="0.25"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 s="68"/>
      <c r="AR719" s="68"/>
      <c r="AS719" s="68"/>
      <c r="AT719" s="68"/>
      <c r="AU719" s="68"/>
      <c r="AV719" s="68"/>
      <c r="AW719" s="68"/>
      <c r="AX719" s="68"/>
    </row>
    <row r="720" spans="7:50" x14ac:dyDescent="0.25"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 s="68"/>
      <c r="AR720" s="68"/>
      <c r="AS720" s="68"/>
      <c r="AT720" s="68"/>
      <c r="AU720" s="68"/>
      <c r="AV720" s="68"/>
      <c r="AW720" s="68"/>
      <c r="AX720" s="68"/>
    </row>
    <row r="721" spans="7:50" x14ac:dyDescent="0.25"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 s="68"/>
      <c r="AR721" s="68"/>
      <c r="AS721" s="68"/>
      <c r="AT721" s="68"/>
      <c r="AU721" s="68"/>
      <c r="AV721" s="68"/>
      <c r="AW721" s="68"/>
      <c r="AX721" s="68"/>
    </row>
    <row r="722" spans="7:50" x14ac:dyDescent="0.25"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 s="68"/>
      <c r="AR722" s="68"/>
      <c r="AS722" s="68"/>
      <c r="AT722" s="68"/>
      <c r="AU722" s="68"/>
      <c r="AV722" s="68"/>
      <c r="AW722" s="68"/>
      <c r="AX722" s="68"/>
    </row>
    <row r="723" spans="7:50" x14ac:dyDescent="0.25"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 s="68"/>
      <c r="AR723" s="68"/>
      <c r="AS723" s="68"/>
      <c r="AT723" s="68"/>
      <c r="AU723" s="68"/>
      <c r="AV723" s="68"/>
      <c r="AW723" s="68"/>
      <c r="AX723" s="68"/>
    </row>
    <row r="724" spans="7:50" x14ac:dyDescent="0.25"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 s="68"/>
      <c r="AR724" s="68"/>
      <c r="AS724" s="68"/>
      <c r="AT724" s="68"/>
      <c r="AU724" s="68"/>
      <c r="AV724" s="68"/>
      <c r="AW724" s="68"/>
      <c r="AX724" s="68"/>
    </row>
    <row r="725" spans="7:50" x14ac:dyDescent="0.25"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 s="68"/>
      <c r="AR725" s="68"/>
      <c r="AS725" s="68"/>
      <c r="AT725" s="68"/>
      <c r="AU725" s="68"/>
      <c r="AV725" s="68"/>
      <c r="AW725" s="68"/>
      <c r="AX725" s="68"/>
    </row>
    <row r="726" spans="7:50" x14ac:dyDescent="0.25"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 s="68"/>
      <c r="AR726" s="68"/>
      <c r="AS726" s="68"/>
      <c r="AT726" s="68"/>
      <c r="AU726" s="68"/>
      <c r="AV726" s="68"/>
      <c r="AW726" s="68"/>
      <c r="AX726" s="68"/>
    </row>
    <row r="727" spans="7:50" x14ac:dyDescent="0.25"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 s="68"/>
      <c r="AR727" s="68"/>
      <c r="AS727" s="68"/>
      <c r="AT727" s="68"/>
      <c r="AU727" s="68"/>
      <c r="AV727" s="68"/>
      <c r="AW727" s="68"/>
      <c r="AX727" s="68"/>
    </row>
    <row r="728" spans="7:50" x14ac:dyDescent="0.25"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 s="68"/>
      <c r="AR728" s="68"/>
      <c r="AS728" s="68"/>
      <c r="AT728" s="68"/>
      <c r="AU728" s="68"/>
      <c r="AV728" s="68"/>
      <c r="AW728" s="68"/>
      <c r="AX728" s="68"/>
    </row>
    <row r="729" spans="7:50" x14ac:dyDescent="0.25"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 s="68"/>
      <c r="AR729" s="68"/>
      <c r="AS729" s="68"/>
      <c r="AT729" s="68"/>
      <c r="AU729" s="68"/>
      <c r="AV729" s="68"/>
      <c r="AW729" s="68"/>
      <c r="AX729" s="68"/>
    </row>
    <row r="730" spans="7:50" x14ac:dyDescent="0.25"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 s="68"/>
      <c r="AR730" s="68"/>
      <c r="AS730" s="68"/>
      <c r="AT730" s="68"/>
      <c r="AU730" s="68"/>
      <c r="AV730" s="68"/>
      <c r="AW730" s="68"/>
      <c r="AX730" s="68"/>
    </row>
    <row r="731" spans="7:50" x14ac:dyDescent="0.25"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 s="68"/>
      <c r="AR731" s="68"/>
      <c r="AS731" s="68"/>
      <c r="AT731" s="68"/>
      <c r="AU731" s="68"/>
      <c r="AV731" s="68"/>
      <c r="AW731" s="68"/>
      <c r="AX731" s="68"/>
    </row>
    <row r="732" spans="7:50" x14ac:dyDescent="0.25"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 s="68"/>
      <c r="AR732" s="68"/>
      <c r="AS732" s="68"/>
      <c r="AT732" s="68"/>
      <c r="AU732" s="68"/>
      <c r="AV732" s="68"/>
      <c r="AW732" s="68"/>
      <c r="AX732" s="68"/>
    </row>
    <row r="733" spans="7:50" x14ac:dyDescent="0.25"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 s="68"/>
      <c r="AR733" s="68"/>
      <c r="AS733" s="68"/>
      <c r="AT733" s="68"/>
      <c r="AU733" s="68"/>
      <c r="AV733" s="68"/>
      <c r="AW733" s="68"/>
      <c r="AX733" s="68"/>
    </row>
    <row r="734" spans="7:50" x14ac:dyDescent="0.25"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 s="68"/>
      <c r="AR734" s="68"/>
      <c r="AS734" s="68"/>
      <c r="AT734" s="68"/>
      <c r="AU734" s="68"/>
      <c r="AV734" s="68"/>
      <c r="AW734" s="68"/>
      <c r="AX734" s="68"/>
    </row>
    <row r="735" spans="7:50" x14ac:dyDescent="0.25"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 s="68"/>
      <c r="AR735" s="68"/>
      <c r="AS735" s="68"/>
      <c r="AT735" s="68"/>
      <c r="AU735" s="68"/>
      <c r="AV735" s="68"/>
      <c r="AW735" s="68"/>
      <c r="AX735" s="68"/>
    </row>
    <row r="736" spans="7:50" x14ac:dyDescent="0.25"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 s="68"/>
      <c r="AR736" s="68"/>
      <c r="AS736" s="68"/>
      <c r="AT736" s="68"/>
      <c r="AU736" s="68"/>
      <c r="AV736" s="68"/>
      <c r="AW736" s="68"/>
      <c r="AX736" s="68"/>
    </row>
    <row r="737" spans="7:50" x14ac:dyDescent="0.25"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 s="68"/>
      <c r="AR737" s="68"/>
      <c r="AS737" s="68"/>
      <c r="AT737" s="68"/>
      <c r="AU737" s="68"/>
      <c r="AV737" s="68"/>
      <c r="AW737" s="68"/>
      <c r="AX737" s="68"/>
    </row>
    <row r="738" spans="7:50" x14ac:dyDescent="0.25"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 s="68"/>
      <c r="AR738" s="68"/>
      <c r="AS738" s="68"/>
      <c r="AT738" s="68"/>
      <c r="AU738" s="68"/>
      <c r="AV738" s="68"/>
      <c r="AW738" s="68"/>
      <c r="AX738" s="68"/>
    </row>
    <row r="739" spans="7:50" x14ac:dyDescent="0.25"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 s="68"/>
      <c r="AR739" s="68"/>
      <c r="AS739" s="68"/>
      <c r="AT739" s="68"/>
      <c r="AU739" s="68"/>
      <c r="AV739" s="68"/>
      <c r="AW739" s="68"/>
      <c r="AX739" s="68"/>
    </row>
    <row r="740" spans="7:50" x14ac:dyDescent="0.25"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 s="68"/>
      <c r="AR740" s="68"/>
      <c r="AS740" s="68"/>
      <c r="AT740" s="68"/>
      <c r="AU740" s="68"/>
      <c r="AV740" s="68"/>
      <c r="AW740" s="68"/>
      <c r="AX740" s="68"/>
    </row>
    <row r="741" spans="7:50" x14ac:dyDescent="0.25"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 s="68"/>
      <c r="AR741" s="68"/>
      <c r="AS741" s="68"/>
      <c r="AT741" s="68"/>
      <c r="AU741" s="68"/>
      <c r="AV741" s="68"/>
      <c r="AW741" s="68"/>
      <c r="AX741" s="68"/>
    </row>
    <row r="742" spans="7:50" x14ac:dyDescent="0.25"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 s="68"/>
      <c r="AR742" s="68"/>
      <c r="AS742" s="68"/>
      <c r="AT742" s="68"/>
      <c r="AU742" s="68"/>
      <c r="AV742" s="68"/>
      <c r="AW742" s="68"/>
      <c r="AX742" s="68"/>
    </row>
    <row r="743" spans="7:50" x14ac:dyDescent="0.25"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 s="68"/>
      <c r="AR743" s="68"/>
      <c r="AS743" s="68"/>
      <c r="AT743" s="68"/>
      <c r="AU743" s="68"/>
      <c r="AV743" s="68"/>
      <c r="AW743" s="68"/>
      <c r="AX743" s="68"/>
    </row>
    <row r="744" spans="7:50" x14ac:dyDescent="0.25"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 s="68"/>
      <c r="AR744" s="68"/>
      <c r="AS744" s="68"/>
      <c r="AT744" s="68"/>
      <c r="AU744" s="68"/>
      <c r="AV744" s="68"/>
      <c r="AW744" s="68"/>
      <c r="AX744" s="68"/>
    </row>
    <row r="745" spans="7:50" x14ac:dyDescent="0.25"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 s="68"/>
      <c r="AR745" s="68"/>
      <c r="AS745" s="68"/>
      <c r="AT745" s="68"/>
      <c r="AU745" s="68"/>
      <c r="AV745" s="68"/>
      <c r="AW745" s="68"/>
      <c r="AX745" s="68"/>
    </row>
    <row r="746" spans="7:50" x14ac:dyDescent="0.25"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 s="68"/>
      <c r="AR746" s="68"/>
      <c r="AS746" s="68"/>
      <c r="AT746" s="68"/>
      <c r="AU746" s="68"/>
      <c r="AV746" s="68"/>
      <c r="AW746" s="68"/>
      <c r="AX746" s="68"/>
    </row>
    <row r="747" spans="7:50" x14ac:dyDescent="0.25"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 s="68"/>
      <c r="AR747" s="68"/>
      <c r="AS747" s="68"/>
      <c r="AT747" s="68"/>
      <c r="AU747" s="68"/>
      <c r="AV747" s="68"/>
      <c r="AW747" s="68"/>
      <c r="AX747" s="68"/>
    </row>
    <row r="748" spans="7:50" x14ac:dyDescent="0.25"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 s="68"/>
      <c r="AR748" s="68"/>
      <c r="AS748" s="68"/>
      <c r="AT748" s="68"/>
      <c r="AU748" s="68"/>
      <c r="AV748" s="68"/>
      <c r="AW748" s="68"/>
      <c r="AX748" s="68"/>
    </row>
    <row r="749" spans="7:50" x14ac:dyDescent="0.25"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 s="68"/>
      <c r="AR749" s="68"/>
      <c r="AS749" s="68"/>
      <c r="AT749" s="68"/>
      <c r="AU749" s="68"/>
      <c r="AV749" s="68"/>
      <c r="AW749" s="68"/>
      <c r="AX749" s="68"/>
    </row>
    <row r="750" spans="7:50" x14ac:dyDescent="0.25"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 s="68"/>
      <c r="AR750" s="68"/>
      <c r="AS750" s="68"/>
      <c r="AT750" s="68"/>
      <c r="AU750" s="68"/>
      <c r="AV750" s="68"/>
      <c r="AW750" s="68"/>
      <c r="AX750" s="68"/>
    </row>
    <row r="751" spans="7:50" x14ac:dyDescent="0.25"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 s="68"/>
      <c r="AR751" s="68"/>
      <c r="AS751" s="68"/>
      <c r="AT751" s="68"/>
      <c r="AU751" s="68"/>
      <c r="AV751" s="68"/>
      <c r="AW751" s="68"/>
      <c r="AX751" s="68"/>
    </row>
    <row r="752" spans="7:50" x14ac:dyDescent="0.25"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 s="68"/>
      <c r="AR752" s="68"/>
      <c r="AS752" s="68"/>
      <c r="AT752" s="68"/>
      <c r="AU752" s="68"/>
      <c r="AV752" s="68"/>
      <c r="AW752" s="68"/>
      <c r="AX752" s="68"/>
    </row>
    <row r="753" spans="7:50" x14ac:dyDescent="0.25"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 s="68"/>
      <c r="AR753" s="68"/>
      <c r="AS753" s="68"/>
      <c r="AT753" s="68"/>
      <c r="AU753" s="68"/>
      <c r="AV753" s="68"/>
      <c r="AW753" s="68"/>
      <c r="AX753" s="68"/>
    </row>
    <row r="754" spans="7:50" x14ac:dyDescent="0.25"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 s="68"/>
      <c r="AR754" s="68"/>
      <c r="AS754" s="68"/>
      <c r="AT754" s="68"/>
      <c r="AU754" s="68"/>
      <c r="AV754" s="68"/>
      <c r="AW754" s="68"/>
      <c r="AX754" s="68"/>
    </row>
    <row r="755" spans="7:50" x14ac:dyDescent="0.25"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 s="68"/>
      <c r="AR755" s="68"/>
      <c r="AS755" s="68"/>
      <c r="AT755" s="68"/>
      <c r="AU755" s="68"/>
      <c r="AV755" s="68"/>
      <c r="AW755" s="68"/>
      <c r="AX755" s="68"/>
    </row>
    <row r="756" spans="7:50" x14ac:dyDescent="0.25"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 s="68"/>
      <c r="AR756" s="68"/>
      <c r="AS756" s="68"/>
      <c r="AT756" s="68"/>
      <c r="AU756" s="68"/>
      <c r="AV756" s="68"/>
      <c r="AW756" s="68"/>
      <c r="AX756" s="68"/>
    </row>
    <row r="757" spans="7:50" x14ac:dyDescent="0.25"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 s="68"/>
      <c r="AR757" s="68"/>
      <c r="AS757" s="68"/>
      <c r="AT757" s="68"/>
      <c r="AU757" s="68"/>
      <c r="AV757" s="68"/>
      <c r="AW757" s="68"/>
      <c r="AX757" s="68"/>
    </row>
    <row r="758" spans="7:50" x14ac:dyDescent="0.25"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 s="68"/>
      <c r="AR758" s="68"/>
      <c r="AS758" s="68"/>
      <c r="AT758" s="68"/>
      <c r="AU758" s="68"/>
      <c r="AV758" s="68"/>
      <c r="AW758" s="68"/>
      <c r="AX758" s="68"/>
    </row>
    <row r="759" spans="7:50" x14ac:dyDescent="0.25"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 s="68"/>
      <c r="AR759" s="68"/>
      <c r="AS759" s="68"/>
      <c r="AT759" s="68"/>
      <c r="AU759" s="68"/>
      <c r="AV759" s="68"/>
      <c r="AW759" s="68"/>
      <c r="AX759" s="68"/>
    </row>
    <row r="760" spans="7:50" x14ac:dyDescent="0.25"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 s="68"/>
      <c r="AR760" s="68"/>
      <c r="AS760" s="68"/>
      <c r="AT760" s="68"/>
      <c r="AU760" s="68"/>
      <c r="AV760" s="68"/>
      <c r="AW760" s="68"/>
      <c r="AX760" s="68"/>
    </row>
    <row r="761" spans="7:50" x14ac:dyDescent="0.25"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 s="68"/>
      <c r="AR761" s="68"/>
      <c r="AS761" s="68"/>
      <c r="AT761" s="68"/>
      <c r="AU761" s="68"/>
      <c r="AV761" s="68"/>
      <c r="AW761" s="68"/>
      <c r="AX761" s="68"/>
    </row>
    <row r="762" spans="7:50" x14ac:dyDescent="0.25"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 s="68"/>
      <c r="AR762" s="68"/>
      <c r="AS762" s="68"/>
      <c r="AT762" s="68"/>
      <c r="AU762" s="68"/>
      <c r="AV762" s="68"/>
      <c r="AW762" s="68"/>
      <c r="AX762" s="68"/>
    </row>
    <row r="763" spans="7:50" x14ac:dyDescent="0.25"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 s="68"/>
      <c r="AR763" s="68"/>
      <c r="AS763" s="68"/>
      <c r="AT763" s="68"/>
      <c r="AU763" s="68"/>
      <c r="AV763" s="68"/>
      <c r="AW763" s="68"/>
      <c r="AX763" s="68"/>
    </row>
    <row r="764" spans="7:50" x14ac:dyDescent="0.25"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 s="68"/>
      <c r="AR764" s="68"/>
      <c r="AS764" s="68"/>
      <c r="AT764" s="68"/>
      <c r="AU764" s="68"/>
      <c r="AV764" s="68"/>
      <c r="AW764" s="68"/>
      <c r="AX764" s="68"/>
    </row>
    <row r="765" spans="7:50" x14ac:dyDescent="0.25"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 s="68"/>
      <c r="AR765" s="68"/>
      <c r="AS765" s="68"/>
      <c r="AT765" s="68"/>
      <c r="AU765" s="68"/>
      <c r="AV765" s="68"/>
      <c r="AW765" s="68"/>
      <c r="AX765" s="68"/>
    </row>
    <row r="766" spans="7:50" x14ac:dyDescent="0.25"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 s="68"/>
      <c r="AR766" s="68"/>
      <c r="AS766" s="68"/>
      <c r="AT766" s="68"/>
      <c r="AU766" s="68"/>
      <c r="AV766" s="68"/>
      <c r="AW766" s="68"/>
      <c r="AX766" s="68"/>
    </row>
    <row r="767" spans="7:50" x14ac:dyDescent="0.25"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 s="68"/>
      <c r="AR767" s="68"/>
      <c r="AS767" s="68"/>
      <c r="AT767" s="68"/>
      <c r="AU767" s="68"/>
      <c r="AV767" s="68"/>
      <c r="AW767" s="68"/>
      <c r="AX767" s="68"/>
    </row>
    <row r="768" spans="7:50" x14ac:dyDescent="0.25"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 s="68"/>
      <c r="AR768" s="68"/>
      <c r="AS768" s="68"/>
      <c r="AT768" s="68"/>
      <c r="AU768" s="68"/>
      <c r="AV768" s="68"/>
      <c r="AW768" s="68"/>
      <c r="AX768" s="68"/>
    </row>
    <row r="769" spans="7:50" x14ac:dyDescent="0.25"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 s="68"/>
      <c r="AR769" s="68"/>
      <c r="AS769" s="68"/>
      <c r="AT769" s="68"/>
      <c r="AU769" s="68"/>
      <c r="AV769" s="68"/>
      <c r="AW769" s="68"/>
      <c r="AX769" s="68"/>
    </row>
    <row r="770" spans="7:50" x14ac:dyDescent="0.25"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 s="68"/>
      <c r="AR770" s="68"/>
      <c r="AS770" s="68"/>
      <c r="AT770" s="68"/>
      <c r="AU770" s="68"/>
      <c r="AV770" s="68"/>
      <c r="AW770" s="68"/>
      <c r="AX770" s="68"/>
    </row>
    <row r="771" spans="7:50" x14ac:dyDescent="0.25"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 s="68"/>
      <c r="AR771" s="68"/>
      <c r="AS771" s="68"/>
      <c r="AT771" s="68"/>
      <c r="AU771" s="68"/>
      <c r="AV771" s="68"/>
      <c r="AW771" s="68"/>
      <c r="AX771" s="68"/>
    </row>
    <row r="772" spans="7:50" x14ac:dyDescent="0.25"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 s="68"/>
      <c r="AR772" s="68"/>
      <c r="AS772" s="68"/>
      <c r="AT772" s="68"/>
      <c r="AU772" s="68"/>
      <c r="AV772" s="68"/>
      <c r="AW772" s="68"/>
      <c r="AX772" s="68"/>
    </row>
    <row r="773" spans="7:50" x14ac:dyDescent="0.25"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 s="68"/>
      <c r="AR773" s="68"/>
      <c r="AS773" s="68"/>
      <c r="AT773" s="68"/>
      <c r="AU773" s="68"/>
      <c r="AV773" s="68"/>
      <c r="AW773" s="68"/>
      <c r="AX773" s="68"/>
    </row>
    <row r="774" spans="7:50" x14ac:dyDescent="0.25"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 s="68"/>
      <c r="AR774" s="68"/>
      <c r="AS774" s="68"/>
      <c r="AT774" s="68"/>
      <c r="AU774" s="68"/>
      <c r="AV774" s="68"/>
      <c r="AW774" s="68"/>
      <c r="AX774" s="68"/>
    </row>
    <row r="775" spans="7:50" x14ac:dyDescent="0.25"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 s="68"/>
      <c r="AR775" s="68"/>
      <c r="AS775" s="68"/>
      <c r="AT775" s="68"/>
      <c r="AU775" s="68"/>
      <c r="AV775" s="68"/>
      <c r="AW775" s="68"/>
      <c r="AX775" s="68"/>
    </row>
    <row r="776" spans="7:50" x14ac:dyDescent="0.25"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 s="68"/>
      <c r="AR776" s="68"/>
      <c r="AS776" s="68"/>
      <c r="AT776" s="68"/>
      <c r="AU776" s="68"/>
      <c r="AV776" s="68"/>
      <c r="AW776" s="68"/>
      <c r="AX776" s="68"/>
    </row>
    <row r="777" spans="7:50" x14ac:dyDescent="0.25"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 s="68"/>
      <c r="AR777" s="68"/>
      <c r="AS777" s="68"/>
      <c r="AT777" s="68"/>
      <c r="AU777" s="68"/>
      <c r="AV777" s="68"/>
      <c r="AW777" s="68"/>
      <c r="AX777" s="68"/>
    </row>
    <row r="778" spans="7:50" x14ac:dyDescent="0.25"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 s="68"/>
      <c r="AR778" s="68"/>
      <c r="AS778" s="68"/>
      <c r="AT778" s="68"/>
      <c r="AU778" s="68"/>
      <c r="AV778" s="68"/>
      <c r="AW778" s="68"/>
      <c r="AX778" s="68"/>
    </row>
    <row r="779" spans="7:50" x14ac:dyDescent="0.25"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 s="68"/>
      <c r="AR779" s="68"/>
      <c r="AS779" s="68"/>
      <c r="AT779" s="68"/>
      <c r="AU779" s="68"/>
      <c r="AV779" s="68"/>
      <c r="AW779" s="68"/>
      <c r="AX779" s="68"/>
    </row>
    <row r="780" spans="7:50" x14ac:dyDescent="0.25"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 s="68"/>
      <c r="AR780" s="68"/>
      <c r="AS780" s="68"/>
      <c r="AT780" s="68"/>
      <c r="AU780" s="68"/>
      <c r="AV780" s="68"/>
      <c r="AW780" s="68"/>
      <c r="AX780" s="68"/>
    </row>
    <row r="781" spans="7:50" x14ac:dyDescent="0.25"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 s="68"/>
      <c r="AR781" s="68"/>
      <c r="AS781" s="68"/>
      <c r="AT781" s="68"/>
      <c r="AU781" s="68"/>
      <c r="AV781" s="68"/>
      <c r="AW781" s="68"/>
      <c r="AX781" s="68"/>
    </row>
    <row r="782" spans="7:50" x14ac:dyDescent="0.25"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 s="68"/>
      <c r="AR782" s="68"/>
      <c r="AS782" s="68"/>
      <c r="AT782" s="68"/>
      <c r="AU782" s="68"/>
      <c r="AV782" s="68"/>
      <c r="AW782" s="68"/>
      <c r="AX782" s="68"/>
    </row>
    <row r="783" spans="7:50" x14ac:dyDescent="0.25"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 s="68"/>
      <c r="AR783" s="68"/>
      <c r="AS783" s="68"/>
      <c r="AT783" s="68"/>
      <c r="AU783" s="68"/>
      <c r="AV783" s="68"/>
      <c r="AW783" s="68"/>
      <c r="AX783" s="68"/>
    </row>
    <row r="784" spans="7:50" x14ac:dyDescent="0.25"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 s="68"/>
      <c r="AR784" s="68"/>
      <c r="AS784" s="68"/>
      <c r="AT784" s="68"/>
      <c r="AU784" s="68"/>
      <c r="AV784" s="68"/>
      <c r="AW784" s="68"/>
      <c r="AX784" s="68"/>
    </row>
    <row r="785" spans="7:50" x14ac:dyDescent="0.25"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 s="68"/>
      <c r="AR785" s="68"/>
      <c r="AS785" s="68"/>
      <c r="AT785" s="68"/>
      <c r="AU785" s="68"/>
      <c r="AV785" s="68"/>
      <c r="AW785" s="68"/>
      <c r="AX785" s="68"/>
    </row>
    <row r="786" spans="7:50" x14ac:dyDescent="0.25"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 s="68"/>
      <c r="AR786" s="68"/>
      <c r="AS786" s="68"/>
      <c r="AT786" s="68"/>
      <c r="AU786" s="68"/>
      <c r="AV786" s="68"/>
      <c r="AW786" s="68"/>
      <c r="AX786" s="68"/>
    </row>
    <row r="787" spans="7:50" x14ac:dyDescent="0.25"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 s="68"/>
      <c r="AR787" s="68"/>
      <c r="AS787" s="68"/>
      <c r="AT787" s="68"/>
      <c r="AU787" s="68"/>
      <c r="AV787" s="68"/>
      <c r="AW787" s="68"/>
      <c r="AX787" s="68"/>
    </row>
    <row r="788" spans="7:50" x14ac:dyDescent="0.25"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 s="68"/>
      <c r="AR788" s="68"/>
      <c r="AS788" s="68"/>
      <c r="AT788" s="68"/>
      <c r="AU788" s="68"/>
      <c r="AV788" s="68"/>
      <c r="AW788" s="68"/>
      <c r="AX788" s="68"/>
    </row>
    <row r="789" spans="7:50" x14ac:dyDescent="0.25"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 s="68"/>
      <c r="AR789" s="68"/>
      <c r="AS789" s="68"/>
      <c r="AT789" s="68"/>
      <c r="AU789" s="68"/>
      <c r="AV789" s="68"/>
      <c r="AW789" s="68"/>
      <c r="AX789" s="68"/>
    </row>
    <row r="790" spans="7:50" x14ac:dyDescent="0.25"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 s="68"/>
      <c r="AR790" s="68"/>
      <c r="AS790" s="68"/>
      <c r="AT790" s="68"/>
      <c r="AU790" s="68"/>
      <c r="AV790" s="68"/>
      <c r="AW790" s="68"/>
      <c r="AX790" s="68"/>
    </row>
    <row r="791" spans="7:50" x14ac:dyDescent="0.25"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 s="68"/>
      <c r="AR791" s="68"/>
      <c r="AS791" s="68"/>
      <c r="AT791" s="68"/>
      <c r="AU791" s="68"/>
      <c r="AV791" s="68"/>
      <c r="AW791" s="68"/>
      <c r="AX791" s="68"/>
    </row>
    <row r="792" spans="7:50" x14ac:dyDescent="0.25"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 s="68"/>
      <c r="AR792" s="68"/>
      <c r="AS792" s="68"/>
      <c r="AT792" s="68"/>
      <c r="AU792" s="68"/>
      <c r="AV792" s="68"/>
      <c r="AW792" s="68"/>
      <c r="AX792" s="68"/>
    </row>
    <row r="793" spans="7:50" x14ac:dyDescent="0.25"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 s="68"/>
      <c r="AR793" s="68"/>
      <c r="AS793" s="68"/>
      <c r="AT793" s="68"/>
      <c r="AU793" s="68"/>
      <c r="AV793" s="68"/>
      <c r="AW793" s="68"/>
      <c r="AX793" s="68"/>
    </row>
    <row r="794" spans="7:50" x14ac:dyDescent="0.25"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 s="68"/>
      <c r="AR794" s="68"/>
      <c r="AS794" s="68"/>
      <c r="AT794" s="68"/>
      <c r="AU794" s="68"/>
      <c r="AV794" s="68"/>
      <c r="AW794" s="68"/>
      <c r="AX794" s="68"/>
    </row>
    <row r="795" spans="7:50" x14ac:dyDescent="0.25"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 s="68"/>
      <c r="AR795" s="68"/>
      <c r="AS795" s="68"/>
      <c r="AT795" s="68"/>
      <c r="AU795" s="68"/>
      <c r="AV795" s="68"/>
      <c r="AW795" s="68"/>
      <c r="AX795" s="68"/>
    </row>
    <row r="796" spans="7:50" x14ac:dyDescent="0.25"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 s="68"/>
      <c r="AR796" s="68"/>
      <c r="AS796" s="68"/>
      <c r="AT796" s="68"/>
      <c r="AU796" s="68"/>
      <c r="AV796" s="68"/>
      <c r="AW796" s="68"/>
      <c r="AX796" s="68"/>
    </row>
    <row r="797" spans="7:50" x14ac:dyDescent="0.25"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 s="68"/>
      <c r="AR797" s="68"/>
      <c r="AS797" s="68"/>
      <c r="AT797" s="68"/>
      <c r="AU797" s="68"/>
      <c r="AV797" s="68"/>
      <c r="AW797" s="68"/>
      <c r="AX797" s="68"/>
    </row>
    <row r="798" spans="7:50" x14ac:dyDescent="0.25"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 s="68"/>
      <c r="AR798" s="68"/>
      <c r="AS798" s="68"/>
      <c r="AT798" s="68"/>
      <c r="AU798" s="68"/>
      <c r="AV798" s="68"/>
      <c r="AW798" s="68"/>
      <c r="AX798" s="68"/>
    </row>
    <row r="799" spans="7:50" x14ac:dyDescent="0.25"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 s="68"/>
      <c r="AR799" s="68"/>
      <c r="AS799" s="68"/>
      <c r="AT799" s="68"/>
      <c r="AU799" s="68"/>
      <c r="AV799" s="68"/>
      <c r="AW799" s="68"/>
      <c r="AX799" s="68"/>
    </row>
    <row r="800" spans="7:50" x14ac:dyDescent="0.25"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 s="68"/>
      <c r="AR800" s="68"/>
      <c r="AS800" s="68"/>
      <c r="AT800" s="68"/>
      <c r="AU800" s="68"/>
      <c r="AV800" s="68"/>
      <c r="AW800" s="68"/>
      <c r="AX800" s="68"/>
    </row>
    <row r="801" spans="7:50" x14ac:dyDescent="0.25"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 s="68"/>
      <c r="AR801" s="68"/>
      <c r="AS801" s="68"/>
      <c r="AT801" s="68"/>
      <c r="AU801" s="68"/>
      <c r="AV801" s="68"/>
      <c r="AW801" s="68"/>
      <c r="AX801" s="68"/>
    </row>
    <row r="802" spans="7:50" x14ac:dyDescent="0.25"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 s="68"/>
      <c r="AR802" s="68"/>
      <c r="AS802" s="68"/>
      <c r="AT802" s="68"/>
      <c r="AU802" s="68"/>
      <c r="AV802" s="68"/>
      <c r="AW802" s="68"/>
      <c r="AX802" s="68"/>
    </row>
    <row r="803" spans="7:50" x14ac:dyDescent="0.25"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 s="68"/>
      <c r="AR803" s="68"/>
      <c r="AS803" s="68"/>
      <c r="AT803" s="68"/>
      <c r="AU803" s="68"/>
      <c r="AV803" s="68"/>
      <c r="AW803" s="68"/>
      <c r="AX803" s="68"/>
    </row>
    <row r="804" spans="7:50" x14ac:dyDescent="0.25"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 s="68"/>
      <c r="AR804" s="68"/>
      <c r="AS804" s="68"/>
      <c r="AT804" s="68"/>
      <c r="AU804" s="68"/>
      <c r="AV804" s="68"/>
      <c r="AW804" s="68"/>
      <c r="AX804" s="68"/>
    </row>
    <row r="805" spans="7:50" x14ac:dyDescent="0.25"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 s="68"/>
      <c r="AR805" s="68"/>
      <c r="AS805" s="68"/>
      <c r="AT805" s="68"/>
      <c r="AU805" s="68"/>
      <c r="AV805" s="68"/>
      <c r="AW805" s="68"/>
      <c r="AX805" s="68"/>
    </row>
    <row r="806" spans="7:50" x14ac:dyDescent="0.25"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 s="68"/>
      <c r="AR806" s="68"/>
      <c r="AS806" s="68"/>
      <c r="AT806" s="68"/>
      <c r="AU806" s="68"/>
      <c r="AV806" s="68"/>
      <c r="AW806" s="68"/>
      <c r="AX806" s="68"/>
    </row>
    <row r="807" spans="7:50" x14ac:dyDescent="0.25"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 s="68"/>
      <c r="AR807" s="68"/>
      <c r="AS807" s="68"/>
      <c r="AT807" s="68"/>
      <c r="AU807" s="68"/>
      <c r="AV807" s="68"/>
      <c r="AW807" s="68"/>
      <c r="AX807" s="68"/>
    </row>
    <row r="808" spans="7:50" x14ac:dyDescent="0.25"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 s="68"/>
      <c r="AR808" s="68"/>
      <c r="AS808" s="68"/>
      <c r="AT808" s="68"/>
      <c r="AU808" s="68"/>
      <c r="AV808" s="68"/>
      <c r="AW808" s="68"/>
      <c r="AX808" s="68"/>
    </row>
    <row r="809" spans="7:50" x14ac:dyDescent="0.25"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 s="68"/>
      <c r="AR809" s="68"/>
      <c r="AS809" s="68"/>
      <c r="AT809" s="68"/>
      <c r="AU809" s="68"/>
      <c r="AV809" s="68"/>
      <c r="AW809" s="68"/>
      <c r="AX809" s="68"/>
    </row>
    <row r="810" spans="7:50" x14ac:dyDescent="0.25"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 s="68"/>
      <c r="AR810" s="68"/>
      <c r="AS810" s="68"/>
      <c r="AT810" s="68"/>
      <c r="AU810" s="68"/>
      <c r="AV810" s="68"/>
      <c r="AW810" s="68"/>
      <c r="AX810" s="68"/>
    </row>
    <row r="811" spans="7:50" x14ac:dyDescent="0.25"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 s="68"/>
      <c r="AR811" s="68"/>
      <c r="AS811" s="68"/>
      <c r="AT811" s="68"/>
      <c r="AU811" s="68"/>
      <c r="AV811" s="68"/>
      <c r="AW811" s="68"/>
      <c r="AX811" s="68"/>
    </row>
    <row r="812" spans="7:50" x14ac:dyDescent="0.25"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 s="68"/>
      <c r="AR812" s="68"/>
      <c r="AS812" s="68"/>
      <c r="AT812" s="68"/>
      <c r="AU812" s="68"/>
      <c r="AV812" s="68"/>
      <c r="AW812" s="68"/>
      <c r="AX812" s="68"/>
    </row>
    <row r="813" spans="7:50" x14ac:dyDescent="0.25"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 s="68"/>
      <c r="AR813" s="68"/>
      <c r="AS813" s="68"/>
      <c r="AT813" s="68"/>
      <c r="AU813" s="68"/>
      <c r="AV813" s="68"/>
      <c r="AW813" s="68"/>
      <c r="AX813" s="68"/>
    </row>
    <row r="814" spans="7:50" x14ac:dyDescent="0.25"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 s="68"/>
      <c r="AR814" s="68"/>
      <c r="AS814" s="68"/>
      <c r="AT814" s="68"/>
      <c r="AU814" s="68"/>
      <c r="AV814" s="68"/>
      <c r="AW814" s="68"/>
      <c r="AX814" s="68"/>
    </row>
    <row r="815" spans="7:50" x14ac:dyDescent="0.25"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 s="68"/>
      <c r="AR815" s="68"/>
      <c r="AS815" s="68"/>
      <c r="AT815" s="68"/>
      <c r="AU815" s="68"/>
      <c r="AV815" s="68"/>
      <c r="AW815" s="68"/>
      <c r="AX815" s="68"/>
    </row>
    <row r="816" spans="7:50" x14ac:dyDescent="0.25"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 s="68"/>
      <c r="AR816" s="68"/>
      <c r="AS816" s="68"/>
      <c r="AT816" s="68"/>
      <c r="AU816" s="68"/>
      <c r="AV816" s="68"/>
      <c r="AW816" s="68"/>
      <c r="AX816" s="68"/>
    </row>
    <row r="817" spans="7:50" x14ac:dyDescent="0.25"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 s="68"/>
      <c r="AR817" s="68"/>
      <c r="AS817" s="68"/>
      <c r="AT817" s="68"/>
      <c r="AU817" s="68"/>
      <c r="AV817" s="68"/>
      <c r="AW817" s="68"/>
      <c r="AX817" s="68"/>
    </row>
    <row r="818" spans="7:50" x14ac:dyDescent="0.25"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 s="68"/>
      <c r="AR818" s="68"/>
      <c r="AS818" s="68"/>
      <c r="AT818" s="68"/>
      <c r="AU818" s="68"/>
      <c r="AV818" s="68"/>
      <c r="AW818" s="68"/>
      <c r="AX818" s="68"/>
    </row>
    <row r="819" spans="7:50" x14ac:dyDescent="0.25"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 s="68"/>
      <c r="AR819" s="68"/>
      <c r="AS819" s="68"/>
      <c r="AT819" s="68"/>
      <c r="AU819" s="68"/>
      <c r="AV819" s="68"/>
      <c r="AW819" s="68"/>
      <c r="AX819" s="68"/>
    </row>
    <row r="820" spans="7:50" x14ac:dyDescent="0.25"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 s="68"/>
      <c r="AR820" s="68"/>
      <c r="AS820" s="68"/>
      <c r="AT820" s="68"/>
      <c r="AU820" s="68"/>
      <c r="AV820" s="68"/>
      <c r="AW820" s="68"/>
      <c r="AX820" s="68"/>
    </row>
    <row r="821" spans="7:50" x14ac:dyDescent="0.25"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 s="68"/>
      <c r="AR821" s="68"/>
      <c r="AS821" s="68"/>
      <c r="AT821" s="68"/>
      <c r="AU821" s="68"/>
      <c r="AV821" s="68"/>
      <c r="AW821" s="68"/>
      <c r="AX821" s="68"/>
    </row>
    <row r="822" spans="7:50" x14ac:dyDescent="0.25"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 s="68"/>
      <c r="AR822" s="68"/>
      <c r="AS822" s="68"/>
      <c r="AT822" s="68"/>
      <c r="AU822" s="68"/>
      <c r="AV822" s="68"/>
      <c r="AW822" s="68"/>
      <c r="AX822" s="68"/>
    </row>
    <row r="823" spans="7:50" x14ac:dyDescent="0.25"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 s="68"/>
      <c r="AR823" s="68"/>
      <c r="AS823" s="68"/>
      <c r="AT823" s="68"/>
      <c r="AU823" s="68"/>
      <c r="AV823" s="68"/>
      <c r="AW823" s="68"/>
      <c r="AX823" s="68"/>
    </row>
    <row r="824" spans="7:50" x14ac:dyDescent="0.25"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 s="68"/>
      <c r="AR824" s="68"/>
      <c r="AS824" s="68"/>
      <c r="AT824" s="68"/>
      <c r="AU824" s="68"/>
      <c r="AV824" s="68"/>
      <c r="AW824" s="68"/>
      <c r="AX824" s="68"/>
    </row>
    <row r="825" spans="7:50" x14ac:dyDescent="0.25"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 s="68"/>
      <c r="AR825" s="68"/>
      <c r="AS825" s="68"/>
      <c r="AT825" s="68"/>
      <c r="AU825" s="68"/>
      <c r="AV825" s="68"/>
      <c r="AW825" s="68"/>
      <c r="AX825" s="68"/>
    </row>
    <row r="826" spans="7:50" x14ac:dyDescent="0.25"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 s="68"/>
      <c r="AR826" s="68"/>
      <c r="AS826" s="68"/>
      <c r="AT826" s="68"/>
      <c r="AU826" s="68"/>
      <c r="AV826" s="68"/>
      <c r="AW826" s="68"/>
      <c r="AX826" s="68"/>
    </row>
    <row r="827" spans="7:50" x14ac:dyDescent="0.25"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 s="68"/>
      <c r="AR827" s="68"/>
      <c r="AS827" s="68"/>
      <c r="AT827" s="68"/>
      <c r="AU827" s="68"/>
      <c r="AV827" s="68"/>
      <c r="AW827" s="68"/>
      <c r="AX827" s="68"/>
    </row>
    <row r="828" spans="7:50" x14ac:dyDescent="0.25"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 s="68"/>
      <c r="AR828" s="68"/>
      <c r="AS828" s="68"/>
      <c r="AT828" s="68"/>
      <c r="AU828" s="68"/>
      <c r="AV828" s="68"/>
      <c r="AW828" s="68"/>
      <c r="AX828" s="68"/>
    </row>
    <row r="829" spans="7:50" x14ac:dyDescent="0.25"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 s="68"/>
      <c r="AR829" s="68"/>
      <c r="AS829" s="68"/>
      <c r="AT829" s="68"/>
      <c r="AU829" s="68"/>
      <c r="AV829" s="68"/>
      <c r="AW829" s="68"/>
      <c r="AX829" s="68"/>
    </row>
    <row r="830" spans="7:50" x14ac:dyDescent="0.25"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 s="68"/>
      <c r="AR830" s="68"/>
      <c r="AS830" s="68"/>
      <c r="AT830" s="68"/>
      <c r="AU830" s="68"/>
      <c r="AV830" s="68"/>
      <c r="AW830" s="68"/>
      <c r="AX830" s="68"/>
    </row>
    <row r="831" spans="7:50" x14ac:dyDescent="0.25"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 s="68"/>
      <c r="AR831" s="68"/>
      <c r="AS831" s="68"/>
      <c r="AT831" s="68"/>
      <c r="AU831" s="68"/>
      <c r="AV831" s="68"/>
      <c r="AW831" s="68"/>
      <c r="AX831" s="68"/>
    </row>
    <row r="832" spans="7:50" x14ac:dyDescent="0.25"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 s="68"/>
      <c r="AR832" s="68"/>
      <c r="AS832" s="68"/>
      <c r="AT832" s="68"/>
      <c r="AU832" s="68"/>
      <c r="AV832" s="68"/>
      <c r="AW832" s="68"/>
      <c r="AX832" s="68"/>
    </row>
    <row r="833" spans="7:50" x14ac:dyDescent="0.25"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 s="68"/>
      <c r="AR833" s="68"/>
      <c r="AS833" s="68"/>
      <c r="AT833" s="68"/>
      <c r="AU833" s="68"/>
      <c r="AV833" s="68"/>
      <c r="AW833" s="68"/>
      <c r="AX833" s="68"/>
    </row>
    <row r="834" spans="7:50" x14ac:dyDescent="0.25"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 s="68"/>
      <c r="AR834" s="68"/>
      <c r="AS834" s="68"/>
      <c r="AT834" s="68"/>
      <c r="AU834" s="68"/>
      <c r="AV834" s="68"/>
      <c r="AW834" s="68"/>
      <c r="AX834" s="68"/>
    </row>
    <row r="835" spans="7:50" x14ac:dyDescent="0.25"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 s="68"/>
      <c r="AR835" s="68"/>
      <c r="AS835" s="68"/>
      <c r="AT835" s="68"/>
      <c r="AU835" s="68"/>
      <c r="AV835" s="68"/>
      <c r="AW835" s="68"/>
      <c r="AX835" s="68"/>
    </row>
    <row r="836" spans="7:50" x14ac:dyDescent="0.25"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 s="68"/>
      <c r="AR836" s="68"/>
      <c r="AS836" s="68"/>
      <c r="AT836" s="68"/>
      <c r="AU836" s="68"/>
      <c r="AV836" s="68"/>
      <c r="AW836" s="68"/>
      <c r="AX836" s="68"/>
    </row>
    <row r="837" spans="7:50" x14ac:dyDescent="0.25"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 s="68"/>
      <c r="AR837" s="68"/>
      <c r="AS837" s="68"/>
      <c r="AT837" s="68"/>
      <c r="AU837" s="68"/>
      <c r="AV837" s="68"/>
      <c r="AW837" s="68"/>
      <c r="AX837" s="68"/>
    </row>
    <row r="838" spans="7:50" x14ac:dyDescent="0.25"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 s="68"/>
      <c r="AR838" s="68"/>
      <c r="AS838" s="68"/>
      <c r="AT838" s="68"/>
      <c r="AU838" s="68"/>
      <c r="AV838" s="68"/>
      <c r="AW838" s="68"/>
      <c r="AX838" s="68"/>
    </row>
    <row r="839" spans="7:50" x14ac:dyDescent="0.25"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 s="68"/>
      <c r="AR839" s="68"/>
      <c r="AS839" s="68"/>
      <c r="AT839" s="68"/>
      <c r="AU839" s="68"/>
      <c r="AV839" s="68"/>
      <c r="AW839" s="68"/>
      <c r="AX839" s="68"/>
    </row>
    <row r="840" spans="7:50" x14ac:dyDescent="0.25"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 s="68"/>
      <c r="AR840" s="68"/>
      <c r="AS840" s="68"/>
      <c r="AT840" s="68"/>
      <c r="AU840" s="68"/>
      <c r="AV840" s="68"/>
      <c r="AW840" s="68"/>
      <c r="AX840" s="68"/>
    </row>
    <row r="841" spans="7:50" x14ac:dyDescent="0.25"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 s="68"/>
      <c r="AR841" s="68"/>
      <c r="AS841" s="68"/>
      <c r="AT841" s="68"/>
      <c r="AU841" s="68"/>
      <c r="AV841" s="68"/>
      <c r="AW841" s="68"/>
      <c r="AX841" s="68"/>
    </row>
    <row r="842" spans="7:50" x14ac:dyDescent="0.25"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 s="68"/>
      <c r="AR842" s="68"/>
      <c r="AS842" s="68"/>
      <c r="AT842" s="68"/>
      <c r="AU842" s="68"/>
      <c r="AV842" s="68"/>
      <c r="AW842" s="68"/>
      <c r="AX842" s="68"/>
    </row>
    <row r="843" spans="7:50" x14ac:dyDescent="0.25"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 s="68"/>
      <c r="AR843" s="68"/>
      <c r="AS843" s="68"/>
      <c r="AT843" s="68"/>
      <c r="AU843" s="68"/>
      <c r="AV843" s="68"/>
      <c r="AW843" s="68"/>
      <c r="AX843" s="68"/>
    </row>
    <row r="844" spans="7:50" x14ac:dyDescent="0.25"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 s="68"/>
      <c r="AR844" s="68"/>
      <c r="AS844" s="68"/>
      <c r="AT844" s="68"/>
      <c r="AU844" s="68"/>
      <c r="AV844" s="68"/>
      <c r="AW844" s="68"/>
      <c r="AX844" s="68"/>
    </row>
    <row r="845" spans="7:50" x14ac:dyDescent="0.25"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 s="68"/>
      <c r="AR845" s="68"/>
      <c r="AS845" s="68"/>
      <c r="AT845" s="68"/>
      <c r="AU845" s="68"/>
      <c r="AV845" s="68"/>
      <c r="AW845" s="68"/>
      <c r="AX845" s="68"/>
    </row>
    <row r="846" spans="7:50" x14ac:dyDescent="0.25"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 s="68"/>
      <c r="AR846" s="68"/>
      <c r="AS846" s="68"/>
      <c r="AT846" s="68"/>
      <c r="AU846" s="68"/>
      <c r="AV846" s="68"/>
      <c r="AW846" s="68"/>
      <c r="AX846" s="68"/>
    </row>
    <row r="847" spans="7:50" x14ac:dyDescent="0.25"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 s="68"/>
      <c r="AR847" s="68"/>
      <c r="AS847" s="68"/>
      <c r="AT847" s="68"/>
      <c r="AU847" s="68"/>
      <c r="AV847" s="68"/>
      <c r="AW847" s="68"/>
      <c r="AX847" s="68"/>
    </row>
    <row r="848" spans="7:50" x14ac:dyDescent="0.25"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 s="68"/>
      <c r="AR848" s="68"/>
      <c r="AS848" s="68"/>
      <c r="AT848" s="68"/>
      <c r="AU848" s="68"/>
      <c r="AV848" s="68"/>
      <c r="AW848" s="68"/>
      <c r="AX848" s="68"/>
    </row>
    <row r="849" spans="7:50" x14ac:dyDescent="0.25"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 s="68"/>
      <c r="AR849" s="68"/>
      <c r="AS849" s="68"/>
      <c r="AT849" s="68"/>
      <c r="AU849" s="68"/>
      <c r="AV849" s="68"/>
      <c r="AW849" s="68"/>
      <c r="AX849" s="68"/>
    </row>
    <row r="850" spans="7:50" x14ac:dyDescent="0.25"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 s="68"/>
      <c r="AR850" s="68"/>
      <c r="AS850" s="68"/>
      <c r="AT850" s="68"/>
      <c r="AU850" s="68"/>
      <c r="AV850" s="68"/>
      <c r="AW850" s="68"/>
      <c r="AX850" s="68"/>
    </row>
    <row r="851" spans="7:50" x14ac:dyDescent="0.25"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 s="68"/>
      <c r="AR851" s="68"/>
      <c r="AS851" s="68"/>
      <c r="AT851" s="68"/>
      <c r="AU851" s="68"/>
      <c r="AV851" s="68"/>
      <c r="AW851" s="68"/>
      <c r="AX851" s="68"/>
    </row>
    <row r="852" spans="7:50" x14ac:dyDescent="0.25"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 s="68"/>
      <c r="AR852" s="68"/>
      <c r="AS852" s="68"/>
      <c r="AT852" s="68"/>
      <c r="AU852" s="68"/>
      <c r="AV852" s="68"/>
      <c r="AW852" s="68"/>
      <c r="AX852" s="68"/>
    </row>
    <row r="853" spans="7:50" x14ac:dyDescent="0.25"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 s="68"/>
      <c r="AR853" s="68"/>
      <c r="AS853" s="68"/>
      <c r="AT853" s="68"/>
      <c r="AU853" s="68"/>
      <c r="AV853" s="68"/>
      <c r="AW853" s="68"/>
      <c r="AX853" s="68"/>
    </row>
    <row r="854" spans="7:50" x14ac:dyDescent="0.25"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 s="68"/>
      <c r="AR854" s="68"/>
      <c r="AS854" s="68"/>
      <c r="AT854" s="68"/>
      <c r="AU854" s="68"/>
      <c r="AV854" s="68"/>
      <c r="AW854" s="68"/>
      <c r="AX854" s="68"/>
    </row>
    <row r="855" spans="7:50" x14ac:dyDescent="0.25"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 s="68"/>
      <c r="AR855" s="68"/>
      <c r="AS855" s="68"/>
      <c r="AT855" s="68"/>
      <c r="AU855" s="68"/>
      <c r="AV855" s="68"/>
      <c r="AW855" s="68"/>
      <c r="AX855" s="68"/>
    </row>
    <row r="856" spans="7:50" x14ac:dyDescent="0.25"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 s="68"/>
      <c r="AR856" s="68"/>
      <c r="AS856" s="68"/>
      <c r="AT856" s="68"/>
      <c r="AU856" s="68"/>
      <c r="AV856" s="68"/>
      <c r="AW856" s="68"/>
      <c r="AX856" s="68"/>
    </row>
    <row r="857" spans="7:50" x14ac:dyDescent="0.25"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 s="68"/>
      <c r="AR857" s="68"/>
      <c r="AS857" s="68"/>
      <c r="AT857" s="68"/>
      <c r="AU857" s="68"/>
      <c r="AV857" s="68"/>
      <c r="AW857" s="68"/>
      <c r="AX857" s="68"/>
    </row>
    <row r="858" spans="7:50" x14ac:dyDescent="0.25"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 s="68"/>
      <c r="AR858" s="68"/>
      <c r="AS858" s="68"/>
      <c r="AT858" s="68"/>
      <c r="AU858" s="68"/>
      <c r="AV858" s="68"/>
      <c r="AW858" s="68"/>
      <c r="AX858" s="68"/>
    </row>
    <row r="859" spans="7:50" x14ac:dyDescent="0.25"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 s="68"/>
      <c r="AR859" s="68"/>
      <c r="AS859" s="68"/>
      <c r="AT859" s="68"/>
      <c r="AU859" s="68"/>
      <c r="AV859" s="68"/>
      <c r="AW859" s="68"/>
      <c r="AX859" s="68"/>
    </row>
    <row r="860" spans="7:50" x14ac:dyDescent="0.25"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 s="68"/>
      <c r="AR860" s="68"/>
      <c r="AS860" s="68"/>
      <c r="AT860" s="68"/>
      <c r="AU860" s="68"/>
      <c r="AV860" s="68"/>
      <c r="AW860" s="68"/>
      <c r="AX860" s="68"/>
    </row>
    <row r="861" spans="7:50" x14ac:dyDescent="0.25"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 s="68"/>
      <c r="AR861" s="68"/>
      <c r="AS861" s="68"/>
      <c r="AT861" s="68"/>
      <c r="AU861" s="68"/>
      <c r="AV861" s="68"/>
      <c r="AW861" s="68"/>
      <c r="AX861" s="68"/>
    </row>
    <row r="862" spans="7:50" x14ac:dyDescent="0.25"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 s="68"/>
      <c r="AR862" s="68"/>
      <c r="AS862" s="68"/>
      <c r="AT862" s="68"/>
      <c r="AU862" s="68"/>
      <c r="AV862" s="68"/>
      <c r="AW862" s="68"/>
      <c r="AX862" s="68"/>
    </row>
    <row r="863" spans="7:50" x14ac:dyDescent="0.25"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 s="68"/>
      <c r="AR863" s="68"/>
      <c r="AS863" s="68"/>
      <c r="AT863" s="68"/>
      <c r="AU863" s="68"/>
      <c r="AV863" s="68"/>
      <c r="AW863" s="68"/>
      <c r="AX863" s="68"/>
    </row>
    <row r="864" spans="7:50" x14ac:dyDescent="0.25"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 s="68"/>
      <c r="AR864" s="68"/>
      <c r="AS864" s="68"/>
      <c r="AT864" s="68"/>
      <c r="AU864" s="68"/>
      <c r="AV864" s="68"/>
      <c r="AW864" s="68"/>
      <c r="AX864" s="68"/>
    </row>
    <row r="865" spans="7:50" x14ac:dyDescent="0.25"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 s="68"/>
      <c r="AR865" s="68"/>
      <c r="AS865" s="68"/>
      <c r="AT865" s="68"/>
      <c r="AU865" s="68"/>
      <c r="AV865" s="68"/>
      <c r="AW865" s="68"/>
      <c r="AX865" s="68"/>
    </row>
    <row r="866" spans="7:50" x14ac:dyDescent="0.25"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 s="68"/>
      <c r="AR866" s="68"/>
      <c r="AS866" s="68"/>
      <c r="AT866" s="68"/>
      <c r="AU866" s="68"/>
      <c r="AV866" s="68"/>
      <c r="AW866" s="68"/>
      <c r="AX866" s="68"/>
    </row>
    <row r="867" spans="7:50" x14ac:dyDescent="0.25"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 s="68"/>
      <c r="AR867" s="68"/>
      <c r="AS867" s="68"/>
      <c r="AT867" s="68"/>
      <c r="AU867" s="68"/>
      <c r="AV867" s="68"/>
      <c r="AW867" s="68"/>
      <c r="AX867" s="68"/>
    </row>
    <row r="868" spans="7:50" x14ac:dyDescent="0.25"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 s="68"/>
      <c r="AR868" s="68"/>
      <c r="AS868" s="68"/>
      <c r="AT868" s="68"/>
      <c r="AU868" s="68"/>
      <c r="AV868" s="68"/>
      <c r="AW868" s="68"/>
      <c r="AX868" s="68"/>
    </row>
    <row r="869" spans="7:50" x14ac:dyDescent="0.25"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 s="68"/>
      <c r="AR869" s="68"/>
      <c r="AS869" s="68"/>
      <c r="AT869" s="68"/>
      <c r="AU869" s="68"/>
      <c r="AV869" s="68"/>
      <c r="AW869" s="68"/>
      <c r="AX869" s="68"/>
    </row>
    <row r="870" spans="7:50" x14ac:dyDescent="0.25"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 s="68"/>
      <c r="AR870" s="68"/>
      <c r="AS870" s="68"/>
      <c r="AT870" s="68"/>
      <c r="AU870" s="68"/>
      <c r="AV870" s="68"/>
      <c r="AW870" s="68"/>
      <c r="AX870" s="68"/>
    </row>
    <row r="871" spans="7:50" x14ac:dyDescent="0.25"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 s="68"/>
      <c r="AR871" s="68"/>
      <c r="AS871" s="68"/>
      <c r="AT871" s="68"/>
      <c r="AU871" s="68"/>
      <c r="AV871" s="68"/>
      <c r="AW871" s="68"/>
      <c r="AX871" s="68"/>
    </row>
    <row r="872" spans="7:50" x14ac:dyDescent="0.25"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 s="68"/>
      <c r="AR872" s="68"/>
      <c r="AS872" s="68"/>
      <c r="AT872" s="68"/>
      <c r="AU872" s="68"/>
      <c r="AV872" s="68"/>
      <c r="AW872" s="68"/>
      <c r="AX872" s="68"/>
    </row>
    <row r="873" spans="7:50" x14ac:dyDescent="0.25"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 s="68"/>
      <c r="AR873" s="68"/>
      <c r="AS873" s="68"/>
      <c r="AT873" s="68"/>
      <c r="AU873" s="68"/>
      <c r="AV873" s="68"/>
      <c r="AW873" s="68"/>
      <c r="AX873" s="68"/>
    </row>
    <row r="874" spans="7:50" x14ac:dyDescent="0.25"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 s="68"/>
      <c r="AR874" s="68"/>
      <c r="AS874" s="68"/>
      <c r="AT874" s="68"/>
      <c r="AU874" s="68"/>
      <c r="AV874" s="68"/>
      <c r="AW874" s="68"/>
      <c r="AX874" s="68"/>
    </row>
    <row r="875" spans="7:50" x14ac:dyDescent="0.25"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 s="68"/>
      <c r="AR875" s="68"/>
      <c r="AS875" s="68"/>
      <c r="AT875" s="68"/>
      <c r="AU875" s="68"/>
      <c r="AV875" s="68"/>
      <c r="AW875" s="68"/>
      <c r="AX875" s="68"/>
    </row>
    <row r="876" spans="7:50" x14ac:dyDescent="0.25"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 s="68"/>
      <c r="AR876" s="68"/>
      <c r="AS876" s="68"/>
      <c r="AT876" s="68"/>
      <c r="AU876" s="68"/>
      <c r="AV876" s="68"/>
      <c r="AW876" s="68"/>
      <c r="AX876" s="68"/>
    </row>
    <row r="877" spans="7:50" x14ac:dyDescent="0.25"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 s="68"/>
      <c r="AR877" s="68"/>
      <c r="AS877" s="68"/>
      <c r="AT877" s="68"/>
      <c r="AU877" s="68"/>
      <c r="AV877" s="68"/>
      <c r="AW877" s="68"/>
      <c r="AX877" s="68"/>
    </row>
    <row r="878" spans="7:50" x14ac:dyDescent="0.25"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 s="68"/>
      <c r="AR878" s="68"/>
      <c r="AS878" s="68"/>
      <c r="AT878" s="68"/>
      <c r="AU878" s="68"/>
      <c r="AV878" s="68"/>
      <c r="AW878" s="68"/>
      <c r="AX878" s="68"/>
    </row>
    <row r="879" spans="7:50" x14ac:dyDescent="0.25"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 s="68"/>
      <c r="AR879" s="68"/>
      <c r="AS879" s="68"/>
      <c r="AT879" s="68"/>
      <c r="AU879" s="68"/>
      <c r="AV879" s="68"/>
      <c r="AW879" s="68"/>
      <c r="AX879" s="68"/>
    </row>
    <row r="880" spans="7:50" x14ac:dyDescent="0.25"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 s="68"/>
      <c r="AR880" s="68"/>
      <c r="AS880" s="68"/>
      <c r="AT880" s="68"/>
      <c r="AU880" s="68"/>
      <c r="AV880" s="68"/>
      <c r="AW880" s="68"/>
      <c r="AX880" s="68"/>
    </row>
    <row r="881" spans="7:50" x14ac:dyDescent="0.25"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 s="68"/>
      <c r="AR881" s="68"/>
      <c r="AS881" s="68"/>
      <c r="AT881" s="68"/>
      <c r="AU881" s="68"/>
      <c r="AV881" s="68"/>
      <c r="AW881" s="68"/>
      <c r="AX881" s="68"/>
    </row>
    <row r="882" spans="7:50" x14ac:dyDescent="0.25"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 s="68"/>
      <c r="AR882" s="68"/>
      <c r="AS882" s="68"/>
      <c r="AT882" s="68"/>
      <c r="AU882" s="68"/>
      <c r="AV882" s="68"/>
      <c r="AW882" s="68"/>
      <c r="AX882" s="68"/>
    </row>
    <row r="883" spans="7:50" x14ac:dyDescent="0.25"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 s="68"/>
      <c r="AR883" s="68"/>
      <c r="AS883" s="68"/>
      <c r="AT883" s="68"/>
      <c r="AU883" s="68"/>
      <c r="AV883" s="68"/>
      <c r="AW883" s="68"/>
      <c r="AX883" s="68"/>
    </row>
    <row r="884" spans="7:50" x14ac:dyDescent="0.25"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 s="68"/>
      <c r="AR884" s="68"/>
      <c r="AS884" s="68"/>
      <c r="AT884" s="68"/>
      <c r="AU884" s="68"/>
      <c r="AV884" s="68"/>
      <c r="AW884" s="68"/>
      <c r="AX884" s="68"/>
    </row>
    <row r="885" spans="7:50" x14ac:dyDescent="0.25"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 s="68"/>
      <c r="AR885" s="68"/>
      <c r="AS885" s="68"/>
      <c r="AT885" s="68"/>
      <c r="AU885" s="68"/>
      <c r="AV885" s="68"/>
      <c r="AW885" s="68"/>
      <c r="AX885" s="68"/>
    </row>
    <row r="886" spans="7:50" x14ac:dyDescent="0.25"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 s="68"/>
      <c r="AR886" s="68"/>
      <c r="AS886" s="68"/>
      <c r="AT886" s="68"/>
      <c r="AU886" s="68"/>
      <c r="AV886" s="68"/>
      <c r="AW886" s="68"/>
      <c r="AX886" s="68"/>
    </row>
    <row r="887" spans="7:50" x14ac:dyDescent="0.25"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 s="68"/>
      <c r="AR887" s="68"/>
      <c r="AS887" s="68"/>
      <c r="AT887" s="68"/>
      <c r="AU887" s="68"/>
      <c r="AV887" s="68"/>
      <c r="AW887" s="68"/>
      <c r="AX887" s="68"/>
    </row>
    <row r="888" spans="7:50" x14ac:dyDescent="0.25"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 s="68"/>
      <c r="AR888" s="68"/>
      <c r="AS888" s="68"/>
      <c r="AT888" s="68"/>
      <c r="AU888" s="68"/>
      <c r="AV888" s="68"/>
      <c r="AW888" s="68"/>
      <c r="AX888" s="68"/>
    </row>
    <row r="889" spans="7:50" x14ac:dyDescent="0.25"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 s="68"/>
      <c r="AR889" s="68"/>
      <c r="AS889" s="68"/>
      <c r="AT889" s="68"/>
      <c r="AU889" s="68"/>
      <c r="AV889" s="68"/>
      <c r="AW889" s="68"/>
      <c r="AX889" s="68"/>
    </row>
    <row r="890" spans="7:50" x14ac:dyDescent="0.25"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 s="68"/>
      <c r="AR890" s="68"/>
      <c r="AS890" s="68"/>
      <c r="AT890" s="68"/>
      <c r="AU890" s="68"/>
      <c r="AV890" s="68"/>
      <c r="AW890" s="68"/>
      <c r="AX890" s="68"/>
    </row>
    <row r="891" spans="7:50" x14ac:dyDescent="0.25"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 s="68"/>
      <c r="AR891" s="68"/>
      <c r="AS891" s="68"/>
      <c r="AT891" s="68"/>
      <c r="AU891" s="68"/>
      <c r="AV891" s="68"/>
      <c r="AW891" s="68"/>
      <c r="AX891" s="68"/>
    </row>
    <row r="892" spans="7:50" x14ac:dyDescent="0.25"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 s="68"/>
      <c r="AR892" s="68"/>
      <c r="AS892" s="68"/>
      <c r="AT892" s="68"/>
      <c r="AU892" s="68"/>
      <c r="AV892" s="68"/>
      <c r="AW892" s="68"/>
      <c r="AX892" s="68"/>
    </row>
    <row r="893" spans="7:50" x14ac:dyDescent="0.25"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 s="68"/>
      <c r="AR893" s="68"/>
      <c r="AS893" s="68"/>
      <c r="AT893" s="68"/>
      <c r="AU893" s="68"/>
      <c r="AV893" s="68"/>
      <c r="AW893" s="68"/>
      <c r="AX893" s="68"/>
    </row>
    <row r="894" spans="7:50" x14ac:dyDescent="0.25"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 s="68"/>
      <c r="AR894" s="68"/>
      <c r="AS894" s="68"/>
      <c r="AT894" s="68"/>
      <c r="AU894" s="68"/>
      <c r="AV894" s="68"/>
      <c r="AW894" s="68"/>
      <c r="AX894" s="68"/>
    </row>
    <row r="895" spans="7:50" x14ac:dyDescent="0.25"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 s="68"/>
      <c r="AR895" s="68"/>
      <c r="AS895" s="68"/>
      <c r="AT895" s="68"/>
      <c r="AU895" s="68"/>
      <c r="AV895" s="68"/>
      <c r="AW895" s="68"/>
      <c r="AX895" s="68"/>
    </row>
    <row r="896" spans="7:50" x14ac:dyDescent="0.25"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 s="68"/>
      <c r="AR896" s="68"/>
      <c r="AS896" s="68"/>
      <c r="AT896" s="68"/>
      <c r="AU896" s="68"/>
      <c r="AV896" s="68"/>
      <c r="AW896" s="68"/>
      <c r="AX896" s="68"/>
    </row>
    <row r="897" spans="7:50" x14ac:dyDescent="0.25"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 s="68"/>
      <c r="AR897" s="68"/>
      <c r="AS897" s="68"/>
      <c r="AT897" s="68"/>
      <c r="AU897" s="68"/>
      <c r="AV897" s="68"/>
      <c r="AW897" s="68"/>
      <c r="AX897" s="68"/>
    </row>
    <row r="898" spans="7:50" x14ac:dyDescent="0.25"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 s="68"/>
      <c r="AR898" s="68"/>
      <c r="AS898" s="68"/>
      <c r="AT898" s="68"/>
      <c r="AU898" s="68"/>
      <c r="AV898" s="68"/>
      <c r="AW898" s="68"/>
      <c r="AX898" s="68"/>
    </row>
    <row r="899" spans="7:50" x14ac:dyDescent="0.25"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 s="68"/>
      <c r="AR899" s="68"/>
      <c r="AS899" s="68"/>
      <c r="AT899" s="68"/>
      <c r="AU899" s="68"/>
      <c r="AV899" s="68"/>
      <c r="AW899" s="68"/>
      <c r="AX899" s="68"/>
    </row>
    <row r="900" spans="7:50" x14ac:dyDescent="0.25"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 s="68"/>
      <c r="AR900" s="68"/>
      <c r="AS900" s="68"/>
      <c r="AT900" s="68"/>
      <c r="AU900" s="68"/>
      <c r="AV900" s="68"/>
      <c r="AW900" s="68"/>
      <c r="AX900" s="68"/>
    </row>
    <row r="901" spans="7:50" x14ac:dyDescent="0.25"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 s="68"/>
      <c r="AR901" s="68"/>
      <c r="AS901" s="68"/>
      <c r="AT901" s="68"/>
      <c r="AU901" s="68"/>
      <c r="AV901" s="68"/>
      <c r="AW901" s="68"/>
      <c r="AX901" s="68"/>
    </row>
    <row r="902" spans="7:50" x14ac:dyDescent="0.25"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 s="68"/>
      <c r="AR902" s="68"/>
      <c r="AS902" s="68"/>
      <c r="AT902" s="68"/>
      <c r="AU902" s="68"/>
      <c r="AV902" s="68"/>
      <c r="AW902" s="68"/>
      <c r="AX902" s="68"/>
    </row>
    <row r="903" spans="7:50" x14ac:dyDescent="0.25"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 s="68"/>
      <c r="AR903" s="68"/>
      <c r="AS903" s="68"/>
      <c r="AT903" s="68"/>
      <c r="AU903" s="68"/>
      <c r="AV903" s="68"/>
      <c r="AW903" s="68"/>
      <c r="AX903" s="68"/>
    </row>
    <row r="904" spans="7:50" x14ac:dyDescent="0.25"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 s="68"/>
      <c r="AR904" s="68"/>
      <c r="AS904" s="68"/>
      <c r="AT904" s="68"/>
      <c r="AU904" s="68"/>
      <c r="AV904" s="68"/>
      <c r="AW904" s="68"/>
      <c r="AX904" s="68"/>
    </row>
    <row r="905" spans="7:50" x14ac:dyDescent="0.25"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 s="68"/>
      <c r="AR905" s="68"/>
      <c r="AS905" s="68"/>
      <c r="AT905" s="68"/>
      <c r="AU905" s="68"/>
      <c r="AV905" s="68"/>
      <c r="AW905" s="68"/>
      <c r="AX905" s="68"/>
    </row>
    <row r="906" spans="7:50" x14ac:dyDescent="0.25"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 s="68"/>
      <c r="AR906" s="68"/>
      <c r="AS906" s="68"/>
      <c r="AT906" s="68"/>
      <c r="AU906" s="68"/>
      <c r="AV906" s="68"/>
      <c r="AW906" s="68"/>
      <c r="AX906" s="68"/>
    </row>
    <row r="907" spans="7:50" x14ac:dyDescent="0.25"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 s="68"/>
      <c r="AR907" s="68"/>
      <c r="AS907" s="68"/>
      <c r="AT907" s="68"/>
      <c r="AU907" s="68"/>
      <c r="AV907" s="68"/>
      <c r="AW907" s="68"/>
      <c r="AX907" s="68"/>
    </row>
    <row r="908" spans="7:50" x14ac:dyDescent="0.25"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 s="68"/>
      <c r="AR908" s="68"/>
      <c r="AS908" s="68"/>
      <c r="AT908" s="68"/>
      <c r="AU908" s="68"/>
      <c r="AV908" s="68"/>
      <c r="AW908" s="68"/>
      <c r="AX908" s="68"/>
    </row>
    <row r="909" spans="7:50" x14ac:dyDescent="0.25"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 s="68"/>
      <c r="AR909" s="68"/>
      <c r="AS909" s="68"/>
      <c r="AT909" s="68"/>
      <c r="AU909" s="68"/>
      <c r="AV909" s="68"/>
      <c r="AW909" s="68"/>
      <c r="AX909" s="68"/>
    </row>
    <row r="910" spans="7:50" x14ac:dyDescent="0.25"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 s="68"/>
      <c r="AR910" s="68"/>
      <c r="AS910" s="68"/>
      <c r="AT910" s="68"/>
      <c r="AU910" s="68"/>
      <c r="AV910" s="68"/>
      <c r="AW910" s="68"/>
      <c r="AX910" s="68"/>
    </row>
    <row r="911" spans="7:50" x14ac:dyDescent="0.25"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 s="68"/>
      <c r="AR911" s="68"/>
      <c r="AS911" s="68"/>
      <c r="AT911" s="68"/>
      <c r="AU911" s="68"/>
      <c r="AV911" s="68"/>
      <c r="AW911" s="68"/>
      <c r="AX911" s="68"/>
    </row>
    <row r="912" spans="7:50" x14ac:dyDescent="0.25"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 s="68"/>
      <c r="AR912" s="68"/>
      <c r="AS912" s="68"/>
      <c r="AT912" s="68"/>
      <c r="AU912" s="68"/>
      <c r="AV912" s="68"/>
      <c r="AW912" s="68"/>
      <c r="AX912" s="68"/>
    </row>
    <row r="913" spans="7:50" x14ac:dyDescent="0.25"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 s="68"/>
      <c r="AR913" s="68"/>
      <c r="AS913" s="68"/>
      <c r="AT913" s="68"/>
      <c r="AU913" s="68"/>
      <c r="AV913" s="68"/>
      <c r="AW913" s="68"/>
      <c r="AX913" s="68"/>
    </row>
    <row r="914" spans="7:50" x14ac:dyDescent="0.25"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 s="68"/>
      <c r="AR914" s="68"/>
      <c r="AS914" s="68"/>
      <c r="AT914" s="68"/>
      <c r="AU914" s="68"/>
      <c r="AV914" s="68"/>
      <c r="AW914" s="68"/>
      <c r="AX914" s="68"/>
    </row>
    <row r="915" spans="7:50" x14ac:dyDescent="0.25"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 s="68"/>
      <c r="AR915" s="68"/>
      <c r="AS915" s="68"/>
      <c r="AT915" s="68"/>
      <c r="AU915" s="68"/>
      <c r="AV915" s="68"/>
      <c r="AW915" s="68"/>
      <c r="AX915" s="68"/>
    </row>
    <row r="916" spans="7:50" x14ac:dyDescent="0.25"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 s="68"/>
      <c r="AR916" s="68"/>
      <c r="AS916" s="68"/>
      <c r="AT916" s="68"/>
      <c r="AU916" s="68"/>
      <c r="AV916" s="68"/>
      <c r="AW916" s="68"/>
      <c r="AX916" s="68"/>
    </row>
    <row r="917" spans="7:50" x14ac:dyDescent="0.25"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 s="68"/>
      <c r="AR917" s="68"/>
      <c r="AS917" s="68"/>
      <c r="AT917" s="68"/>
      <c r="AU917" s="68"/>
      <c r="AV917" s="68"/>
      <c r="AW917" s="68"/>
      <c r="AX917" s="68"/>
    </row>
    <row r="918" spans="7:50" x14ac:dyDescent="0.25"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 s="68"/>
      <c r="AR918" s="68"/>
      <c r="AS918" s="68"/>
      <c r="AT918" s="68"/>
      <c r="AU918" s="68"/>
      <c r="AV918" s="68"/>
      <c r="AW918" s="68"/>
      <c r="AX918" s="68"/>
    </row>
    <row r="919" spans="7:50" x14ac:dyDescent="0.25"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 s="68"/>
      <c r="AR919" s="68"/>
      <c r="AS919" s="68"/>
      <c r="AT919" s="68"/>
      <c r="AU919" s="68"/>
      <c r="AV919" s="68"/>
      <c r="AW919" s="68"/>
      <c r="AX919" s="68"/>
    </row>
    <row r="920" spans="7:50" x14ac:dyDescent="0.25"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 s="68"/>
      <c r="AR920" s="68"/>
      <c r="AS920" s="68"/>
      <c r="AT920" s="68"/>
      <c r="AU920" s="68"/>
      <c r="AV920" s="68"/>
      <c r="AW920" s="68"/>
      <c r="AX920" s="68"/>
    </row>
    <row r="921" spans="7:50" x14ac:dyDescent="0.25"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 s="68"/>
      <c r="AR921" s="68"/>
      <c r="AS921" s="68"/>
      <c r="AT921" s="68"/>
      <c r="AU921" s="68"/>
      <c r="AV921" s="68"/>
      <c r="AW921" s="68"/>
      <c r="AX921" s="68"/>
    </row>
    <row r="922" spans="7:50" x14ac:dyDescent="0.25"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 s="68"/>
      <c r="AR922" s="68"/>
      <c r="AS922" s="68"/>
      <c r="AT922" s="68"/>
      <c r="AU922" s="68"/>
      <c r="AV922" s="68"/>
      <c r="AW922" s="68"/>
      <c r="AX922" s="68"/>
    </row>
    <row r="923" spans="7:50" x14ac:dyDescent="0.25"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 s="68"/>
      <c r="AR923" s="68"/>
      <c r="AS923" s="68"/>
      <c r="AT923" s="68"/>
      <c r="AU923" s="68"/>
      <c r="AV923" s="68"/>
      <c r="AW923" s="68"/>
      <c r="AX923" s="68"/>
    </row>
    <row r="924" spans="7:50" x14ac:dyDescent="0.25"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 s="68"/>
      <c r="AR924" s="68"/>
      <c r="AS924" s="68"/>
      <c r="AT924" s="68"/>
      <c r="AU924" s="68"/>
      <c r="AV924" s="68"/>
      <c r="AW924" s="68"/>
      <c r="AX924" s="68"/>
    </row>
    <row r="925" spans="7:50" x14ac:dyDescent="0.25"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 s="68"/>
      <c r="AR925" s="68"/>
      <c r="AS925" s="68"/>
      <c r="AT925" s="68"/>
      <c r="AU925" s="68"/>
      <c r="AV925" s="68"/>
      <c r="AW925" s="68"/>
      <c r="AX925" s="68"/>
    </row>
    <row r="926" spans="7:50" x14ac:dyDescent="0.25"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 s="68"/>
      <c r="AR926" s="68"/>
      <c r="AS926" s="68"/>
      <c r="AT926" s="68"/>
      <c r="AU926" s="68"/>
      <c r="AV926" s="68"/>
      <c r="AW926" s="68"/>
      <c r="AX926" s="68"/>
    </row>
    <row r="927" spans="7:50" x14ac:dyDescent="0.25"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 s="68"/>
      <c r="AR927" s="68"/>
      <c r="AS927" s="68"/>
      <c r="AT927" s="68"/>
      <c r="AU927" s="68"/>
      <c r="AV927" s="68"/>
      <c r="AW927" s="68"/>
      <c r="AX927" s="68"/>
    </row>
    <row r="928" spans="7:50" x14ac:dyDescent="0.25"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 s="68"/>
      <c r="AR928" s="68"/>
      <c r="AS928" s="68"/>
      <c r="AT928" s="68"/>
      <c r="AU928" s="68"/>
      <c r="AV928" s="68"/>
      <c r="AW928" s="68"/>
      <c r="AX928" s="68"/>
    </row>
    <row r="929" spans="7:50" x14ac:dyDescent="0.25"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 s="68"/>
      <c r="AR929" s="68"/>
      <c r="AS929" s="68"/>
      <c r="AT929" s="68"/>
      <c r="AU929" s="68"/>
      <c r="AV929" s="68"/>
      <c r="AW929" s="68"/>
      <c r="AX929" s="68"/>
    </row>
    <row r="930" spans="7:50" x14ac:dyDescent="0.25"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 s="68"/>
      <c r="AR930" s="68"/>
      <c r="AS930" s="68"/>
      <c r="AT930" s="68"/>
      <c r="AU930" s="68"/>
      <c r="AV930" s="68"/>
      <c r="AW930" s="68"/>
      <c r="AX930" s="68"/>
    </row>
    <row r="931" spans="7:50" x14ac:dyDescent="0.25"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 s="68"/>
      <c r="AR931" s="68"/>
      <c r="AS931" s="68"/>
      <c r="AT931" s="68"/>
      <c r="AU931" s="68"/>
      <c r="AV931" s="68"/>
      <c r="AW931" s="68"/>
      <c r="AX931" s="68"/>
    </row>
    <row r="932" spans="7:50" x14ac:dyDescent="0.25"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 s="68"/>
      <c r="AR932" s="68"/>
      <c r="AS932" s="68"/>
      <c r="AT932" s="68"/>
      <c r="AU932" s="68"/>
      <c r="AV932" s="68"/>
      <c r="AW932" s="68"/>
      <c r="AX932" s="68"/>
    </row>
    <row r="933" spans="7:50" x14ac:dyDescent="0.25"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 s="68"/>
      <c r="AR933" s="68"/>
      <c r="AS933" s="68"/>
      <c r="AT933" s="68"/>
      <c r="AU933" s="68"/>
      <c r="AV933" s="68"/>
      <c r="AW933" s="68"/>
      <c r="AX933" s="68"/>
    </row>
    <row r="934" spans="7:50" x14ac:dyDescent="0.25"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 s="68"/>
      <c r="AR934" s="68"/>
      <c r="AS934" s="68"/>
      <c r="AT934" s="68"/>
      <c r="AU934" s="68"/>
      <c r="AV934" s="68"/>
      <c r="AW934" s="68"/>
      <c r="AX934" s="68"/>
    </row>
    <row r="935" spans="7:50" x14ac:dyDescent="0.25"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 s="68"/>
      <c r="AR935" s="68"/>
      <c r="AS935" s="68"/>
      <c r="AT935" s="68"/>
      <c r="AU935" s="68"/>
      <c r="AV935" s="68"/>
      <c r="AW935" s="68"/>
      <c r="AX935" s="68"/>
    </row>
    <row r="936" spans="7:50" x14ac:dyDescent="0.25"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 s="68"/>
      <c r="AR936" s="68"/>
      <c r="AS936" s="68"/>
      <c r="AT936" s="68"/>
      <c r="AU936" s="68"/>
      <c r="AV936" s="68"/>
      <c r="AW936" s="68"/>
      <c r="AX936" s="68"/>
    </row>
    <row r="937" spans="7:50" x14ac:dyDescent="0.25"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 s="68"/>
      <c r="AR937" s="68"/>
      <c r="AS937" s="68"/>
      <c r="AT937" s="68"/>
      <c r="AU937" s="68"/>
      <c r="AV937" s="68"/>
      <c r="AW937" s="68"/>
      <c r="AX937" s="68"/>
    </row>
    <row r="938" spans="7:50" x14ac:dyDescent="0.25"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 s="68"/>
      <c r="AR938" s="68"/>
      <c r="AS938" s="68"/>
      <c r="AT938" s="68"/>
      <c r="AU938" s="68"/>
      <c r="AV938" s="68"/>
      <c r="AW938" s="68"/>
      <c r="AX938" s="68"/>
    </row>
    <row r="939" spans="7:50" x14ac:dyDescent="0.25"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 s="68"/>
      <c r="AR939" s="68"/>
      <c r="AS939" s="68"/>
      <c r="AT939" s="68"/>
      <c r="AU939" s="68"/>
      <c r="AV939" s="68"/>
      <c r="AW939" s="68"/>
      <c r="AX939" s="68"/>
    </row>
    <row r="940" spans="7:50" x14ac:dyDescent="0.25"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 s="68"/>
      <c r="AR940" s="68"/>
      <c r="AS940" s="68"/>
      <c r="AT940" s="68"/>
      <c r="AU940" s="68"/>
      <c r="AV940" s="68"/>
      <c r="AW940" s="68"/>
      <c r="AX940" s="68"/>
    </row>
    <row r="941" spans="7:50" x14ac:dyDescent="0.25"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 s="68"/>
      <c r="AR941" s="68"/>
      <c r="AS941" s="68"/>
      <c r="AT941" s="68"/>
      <c r="AU941" s="68"/>
      <c r="AV941" s="68"/>
      <c r="AW941" s="68"/>
      <c r="AX941" s="68"/>
    </row>
    <row r="942" spans="7:50" x14ac:dyDescent="0.25"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 s="68"/>
      <c r="AR942" s="68"/>
      <c r="AS942" s="68"/>
      <c r="AT942" s="68"/>
      <c r="AU942" s="68"/>
      <c r="AV942" s="68"/>
      <c r="AW942" s="68"/>
      <c r="AX942" s="68"/>
    </row>
    <row r="943" spans="7:50" x14ac:dyDescent="0.25"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 s="68"/>
      <c r="AR943" s="68"/>
      <c r="AS943" s="68"/>
      <c r="AT943" s="68"/>
      <c r="AU943" s="68"/>
      <c r="AV943" s="68"/>
      <c r="AW943" s="68"/>
      <c r="AX943" s="68"/>
    </row>
    <row r="944" spans="7:50" x14ac:dyDescent="0.25"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 s="68"/>
      <c r="AR944" s="68"/>
      <c r="AS944" s="68"/>
      <c r="AT944" s="68"/>
      <c r="AU944" s="68"/>
      <c r="AV944" s="68"/>
      <c r="AW944" s="68"/>
      <c r="AX944" s="68"/>
    </row>
    <row r="945" spans="7:50" x14ac:dyDescent="0.25"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 s="68"/>
      <c r="AR945" s="68"/>
      <c r="AS945" s="68"/>
      <c r="AT945" s="68"/>
      <c r="AU945" s="68"/>
      <c r="AV945" s="68"/>
      <c r="AW945" s="68"/>
      <c r="AX945" s="68"/>
    </row>
    <row r="946" spans="7:50" x14ac:dyDescent="0.25"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 s="68"/>
      <c r="AR946" s="68"/>
      <c r="AS946" s="68"/>
      <c r="AT946" s="68"/>
      <c r="AU946" s="68"/>
      <c r="AV946" s="68"/>
      <c r="AW946" s="68"/>
      <c r="AX946" s="68"/>
    </row>
    <row r="947" spans="7:50" x14ac:dyDescent="0.25"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 s="68"/>
      <c r="AR947" s="68"/>
      <c r="AS947" s="68"/>
      <c r="AT947" s="68"/>
      <c r="AU947" s="68"/>
      <c r="AV947" s="68"/>
      <c r="AW947" s="68"/>
      <c r="AX947" s="68"/>
    </row>
    <row r="948" spans="7:50" x14ac:dyDescent="0.25"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 s="68"/>
      <c r="AR948" s="68"/>
      <c r="AS948" s="68"/>
      <c r="AT948" s="68"/>
      <c r="AU948" s="68"/>
      <c r="AV948" s="68"/>
      <c r="AW948" s="68"/>
      <c r="AX948" s="68"/>
    </row>
    <row r="949" spans="7:50" x14ac:dyDescent="0.25"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 s="68"/>
      <c r="AR949" s="68"/>
      <c r="AS949" s="68"/>
      <c r="AT949" s="68"/>
      <c r="AU949" s="68"/>
      <c r="AV949" s="68"/>
      <c r="AW949" s="68"/>
      <c r="AX949" s="68"/>
    </row>
    <row r="950" spans="7:50" x14ac:dyDescent="0.25"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 s="68"/>
      <c r="AR950" s="68"/>
      <c r="AS950" s="68"/>
      <c r="AT950" s="68"/>
      <c r="AU950" s="68"/>
      <c r="AV950" s="68"/>
      <c r="AW950" s="68"/>
      <c r="AX950" s="68"/>
    </row>
    <row r="951" spans="7:50" x14ac:dyDescent="0.25"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 s="68"/>
      <c r="AR951" s="68"/>
      <c r="AS951" s="68"/>
      <c r="AT951" s="68"/>
      <c r="AU951" s="68"/>
      <c r="AV951" s="68"/>
      <c r="AW951" s="68"/>
      <c r="AX951" s="68"/>
    </row>
    <row r="952" spans="7:50" x14ac:dyDescent="0.25"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 s="68"/>
      <c r="AR952" s="68"/>
      <c r="AS952" s="68"/>
      <c r="AT952" s="68"/>
      <c r="AU952" s="68"/>
      <c r="AV952" s="68"/>
      <c r="AW952" s="68"/>
      <c r="AX952" s="68"/>
    </row>
    <row r="953" spans="7:50" x14ac:dyDescent="0.25"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 s="68"/>
      <c r="AR953" s="68"/>
      <c r="AS953" s="68"/>
      <c r="AT953" s="68"/>
      <c r="AU953" s="68"/>
      <c r="AV953" s="68"/>
      <c r="AW953" s="68"/>
      <c r="AX953" s="68"/>
    </row>
    <row r="954" spans="7:50" x14ac:dyDescent="0.25"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 s="68"/>
      <c r="AR954" s="68"/>
      <c r="AS954" s="68"/>
      <c r="AT954" s="68"/>
      <c r="AU954" s="68"/>
      <c r="AV954" s="68"/>
      <c r="AW954" s="68"/>
      <c r="AX954" s="68"/>
    </row>
    <row r="955" spans="7:50" x14ac:dyDescent="0.25"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 s="68"/>
      <c r="AR955" s="68"/>
      <c r="AS955" s="68"/>
      <c r="AT955" s="68"/>
      <c r="AU955" s="68"/>
      <c r="AV955" s="68"/>
      <c r="AW955" s="68"/>
      <c r="AX955" s="68"/>
    </row>
    <row r="956" spans="7:50" x14ac:dyDescent="0.25"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 s="68"/>
      <c r="AR956" s="68"/>
      <c r="AS956" s="68"/>
      <c r="AT956" s="68"/>
      <c r="AU956" s="68"/>
      <c r="AV956" s="68"/>
      <c r="AW956" s="68"/>
      <c r="AX956" s="68"/>
    </row>
    <row r="957" spans="7:50" x14ac:dyDescent="0.25"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 s="68"/>
      <c r="AR957" s="68"/>
      <c r="AS957" s="68"/>
      <c r="AT957" s="68"/>
      <c r="AU957" s="68"/>
      <c r="AV957" s="68"/>
      <c r="AW957" s="68"/>
      <c r="AX957" s="68"/>
    </row>
    <row r="958" spans="7:50" x14ac:dyDescent="0.25"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 s="68"/>
      <c r="AR958" s="68"/>
      <c r="AS958" s="68"/>
      <c r="AT958" s="68"/>
      <c r="AU958" s="68"/>
      <c r="AV958" s="68"/>
      <c r="AW958" s="68"/>
      <c r="AX958" s="68"/>
    </row>
    <row r="959" spans="7:50" x14ac:dyDescent="0.25"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 s="68"/>
      <c r="AR959" s="68"/>
      <c r="AS959" s="68"/>
      <c r="AT959" s="68"/>
      <c r="AU959" s="68"/>
      <c r="AV959" s="68"/>
      <c r="AW959" s="68"/>
      <c r="AX959" s="68"/>
    </row>
    <row r="960" spans="7:50" x14ac:dyDescent="0.25"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 s="68"/>
      <c r="AR960" s="68"/>
      <c r="AS960" s="68"/>
      <c r="AT960" s="68"/>
      <c r="AU960" s="68"/>
      <c r="AV960" s="68"/>
      <c r="AW960" s="68"/>
      <c r="AX960" s="68"/>
    </row>
    <row r="961" spans="7:50" x14ac:dyDescent="0.25"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 s="68"/>
      <c r="AR961" s="68"/>
      <c r="AS961" s="68"/>
      <c r="AT961" s="68"/>
      <c r="AU961" s="68"/>
      <c r="AV961" s="68"/>
      <c r="AW961" s="68"/>
      <c r="AX961" s="68"/>
    </row>
    <row r="962" spans="7:50" x14ac:dyDescent="0.25"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 s="68"/>
      <c r="AR962" s="68"/>
      <c r="AS962" s="68"/>
      <c r="AT962" s="68"/>
      <c r="AU962" s="68"/>
      <c r="AV962" s="68"/>
      <c r="AW962" s="68"/>
      <c r="AX962" s="68"/>
    </row>
    <row r="963" spans="7:50" x14ac:dyDescent="0.25"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 s="68"/>
      <c r="AR963" s="68"/>
      <c r="AS963" s="68"/>
      <c r="AT963" s="68"/>
      <c r="AU963" s="68"/>
      <c r="AV963" s="68"/>
      <c r="AW963" s="68"/>
      <c r="AX963" s="68"/>
    </row>
    <row r="964" spans="7:50" x14ac:dyDescent="0.25"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 s="68"/>
      <c r="AR964" s="68"/>
      <c r="AS964" s="68"/>
      <c r="AT964" s="68"/>
      <c r="AU964" s="68"/>
      <c r="AV964" s="68"/>
      <c r="AW964" s="68"/>
      <c r="AX964" s="68"/>
    </row>
    <row r="965" spans="7:50" x14ac:dyDescent="0.25"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 s="68"/>
      <c r="AR965" s="68"/>
      <c r="AS965" s="68"/>
      <c r="AT965" s="68"/>
      <c r="AU965" s="68"/>
      <c r="AV965" s="68"/>
      <c r="AW965" s="68"/>
      <c r="AX965" s="68"/>
    </row>
    <row r="966" spans="7:50" x14ac:dyDescent="0.25"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 s="68"/>
      <c r="AR966" s="68"/>
      <c r="AS966" s="68"/>
      <c r="AT966" s="68"/>
      <c r="AU966" s="68"/>
      <c r="AV966" s="68"/>
      <c r="AW966" s="68"/>
      <c r="AX966" s="68"/>
    </row>
    <row r="967" spans="7:50" x14ac:dyDescent="0.25"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 s="68"/>
      <c r="AR967" s="68"/>
      <c r="AS967" s="68"/>
      <c r="AT967" s="68"/>
      <c r="AU967" s="68"/>
      <c r="AV967" s="68"/>
      <c r="AW967" s="68"/>
      <c r="AX967" s="68"/>
    </row>
    <row r="968" spans="7:50" x14ac:dyDescent="0.25"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 s="68"/>
      <c r="AR968" s="68"/>
      <c r="AS968" s="68"/>
      <c r="AT968" s="68"/>
      <c r="AU968" s="68"/>
      <c r="AV968" s="68"/>
      <c r="AW968" s="68"/>
      <c r="AX968" s="68"/>
    </row>
    <row r="969" spans="7:50" x14ac:dyDescent="0.25"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 s="68"/>
      <c r="AR969" s="68"/>
      <c r="AS969" s="68"/>
      <c r="AT969" s="68"/>
      <c r="AU969" s="68"/>
      <c r="AV969" s="68"/>
      <c r="AW969" s="68"/>
      <c r="AX969" s="68"/>
    </row>
    <row r="970" spans="7:50" x14ac:dyDescent="0.25"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 s="68"/>
      <c r="AR970" s="68"/>
      <c r="AS970" s="68"/>
      <c r="AT970" s="68"/>
      <c r="AU970" s="68"/>
      <c r="AV970" s="68"/>
      <c r="AW970" s="68"/>
      <c r="AX970" s="68"/>
    </row>
    <row r="971" spans="7:50" x14ac:dyDescent="0.25"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 s="68"/>
      <c r="AR971" s="68"/>
      <c r="AS971" s="68"/>
      <c r="AT971" s="68"/>
      <c r="AU971" s="68"/>
      <c r="AV971" s="68"/>
      <c r="AW971" s="68"/>
      <c r="AX971" s="68"/>
    </row>
    <row r="972" spans="7:50" x14ac:dyDescent="0.25"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 s="68"/>
      <c r="AR972" s="68"/>
      <c r="AS972" s="68"/>
      <c r="AT972" s="68"/>
      <c r="AU972" s="68"/>
      <c r="AV972" s="68"/>
      <c r="AW972" s="68"/>
      <c r="AX972" s="68"/>
    </row>
    <row r="973" spans="7:50" x14ac:dyDescent="0.25"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 s="68"/>
      <c r="AR973" s="68"/>
      <c r="AS973" s="68"/>
      <c r="AT973" s="68"/>
      <c r="AU973" s="68"/>
      <c r="AV973" s="68"/>
      <c r="AW973" s="68"/>
      <c r="AX973" s="68"/>
    </row>
    <row r="974" spans="7:50" x14ac:dyDescent="0.25"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 s="68"/>
      <c r="AR974" s="68"/>
      <c r="AS974" s="68"/>
      <c r="AT974" s="68"/>
      <c r="AU974" s="68"/>
      <c r="AV974" s="68"/>
      <c r="AW974" s="68"/>
      <c r="AX974" s="68"/>
    </row>
    <row r="975" spans="7:50" x14ac:dyDescent="0.25"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 s="68"/>
      <c r="AR975" s="68"/>
      <c r="AS975" s="68"/>
      <c r="AT975" s="68"/>
      <c r="AU975" s="68"/>
      <c r="AV975" s="68"/>
      <c r="AW975" s="68"/>
      <c r="AX975" s="68"/>
    </row>
    <row r="976" spans="7:50" x14ac:dyDescent="0.25"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 s="68"/>
      <c r="AR976" s="68"/>
      <c r="AS976" s="68"/>
      <c r="AT976" s="68"/>
      <c r="AU976" s="68"/>
      <c r="AV976" s="68"/>
      <c r="AW976" s="68"/>
      <c r="AX976" s="68"/>
    </row>
    <row r="977" spans="7:50" x14ac:dyDescent="0.25"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 s="68"/>
      <c r="AR977" s="68"/>
      <c r="AS977" s="68"/>
      <c r="AT977" s="68"/>
      <c r="AU977" s="68"/>
      <c r="AV977" s="68"/>
      <c r="AW977" s="68"/>
      <c r="AX977" s="68"/>
    </row>
    <row r="978" spans="7:50" x14ac:dyDescent="0.25"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 s="68"/>
      <c r="AR978" s="68"/>
      <c r="AS978" s="68"/>
      <c r="AT978" s="68"/>
      <c r="AU978" s="68"/>
      <c r="AV978" s="68"/>
      <c r="AW978" s="68"/>
      <c r="AX978" s="68"/>
    </row>
    <row r="979" spans="7:50" x14ac:dyDescent="0.25"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 s="68"/>
      <c r="AR979" s="68"/>
      <c r="AS979" s="68"/>
      <c r="AT979" s="68"/>
      <c r="AU979" s="68"/>
      <c r="AV979" s="68"/>
      <c r="AW979" s="68"/>
      <c r="AX979" s="68"/>
    </row>
    <row r="980" spans="7:50" x14ac:dyDescent="0.25"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 s="68"/>
      <c r="AR980" s="68"/>
      <c r="AS980" s="68"/>
      <c r="AT980" s="68"/>
      <c r="AU980" s="68"/>
      <c r="AV980" s="68"/>
      <c r="AW980" s="68"/>
      <c r="AX980" s="68"/>
    </row>
    <row r="981" spans="7:50" x14ac:dyDescent="0.25"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 s="68"/>
      <c r="AR981" s="68"/>
      <c r="AS981" s="68"/>
      <c r="AT981" s="68"/>
      <c r="AU981" s="68"/>
      <c r="AV981" s="68"/>
      <c r="AW981" s="68"/>
      <c r="AX981" s="68"/>
    </row>
    <row r="982" spans="7:50" x14ac:dyDescent="0.25"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 s="68"/>
      <c r="AR982" s="68"/>
      <c r="AS982" s="68"/>
      <c r="AT982" s="68"/>
      <c r="AU982" s="68"/>
      <c r="AV982" s="68"/>
      <c r="AW982" s="68"/>
      <c r="AX982" s="68"/>
    </row>
    <row r="983" spans="7:50" x14ac:dyDescent="0.25"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 s="68"/>
      <c r="AR983" s="68"/>
      <c r="AS983" s="68"/>
      <c r="AT983" s="68"/>
      <c r="AU983" s="68"/>
      <c r="AV983" s="68"/>
      <c r="AW983" s="68"/>
      <c r="AX983" s="68"/>
    </row>
    <row r="984" spans="7:50" x14ac:dyDescent="0.25"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 s="68"/>
      <c r="AR984" s="68"/>
      <c r="AS984" s="68"/>
      <c r="AT984" s="68"/>
      <c r="AU984" s="68"/>
      <c r="AV984" s="68"/>
      <c r="AW984" s="68"/>
      <c r="AX984" s="68"/>
    </row>
    <row r="985" spans="7:50" x14ac:dyDescent="0.25"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 s="68"/>
      <c r="AR985" s="68"/>
      <c r="AS985" s="68"/>
      <c r="AT985" s="68"/>
      <c r="AU985" s="68"/>
      <c r="AV985" s="68"/>
      <c r="AW985" s="68"/>
      <c r="AX985" s="68"/>
    </row>
    <row r="986" spans="7:50" x14ac:dyDescent="0.25"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 s="68"/>
      <c r="AR986" s="68"/>
      <c r="AS986" s="68"/>
      <c r="AT986" s="68"/>
      <c r="AU986" s="68"/>
      <c r="AV986" s="68"/>
      <c r="AW986" s="68"/>
      <c r="AX986" s="68"/>
    </row>
    <row r="987" spans="7:50" x14ac:dyDescent="0.25"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 s="68"/>
      <c r="AR987" s="68"/>
      <c r="AS987" s="68"/>
      <c r="AT987" s="68"/>
      <c r="AU987" s="68"/>
      <c r="AV987" s="68"/>
      <c r="AW987" s="68"/>
      <c r="AX987" s="68"/>
    </row>
    <row r="988" spans="7:50" x14ac:dyDescent="0.25"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 s="68"/>
      <c r="AR988" s="68"/>
      <c r="AS988" s="68"/>
      <c r="AT988" s="68"/>
      <c r="AU988" s="68"/>
      <c r="AV988" s="68"/>
      <c r="AW988" s="68"/>
      <c r="AX988" s="68"/>
    </row>
    <row r="989" spans="7:50" x14ac:dyDescent="0.25"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 s="68"/>
      <c r="AR989" s="68"/>
      <c r="AS989" s="68"/>
      <c r="AT989" s="68"/>
      <c r="AU989" s="68"/>
      <c r="AV989" s="68"/>
      <c r="AW989" s="68"/>
      <c r="AX989" s="68"/>
    </row>
    <row r="990" spans="7:50" x14ac:dyDescent="0.25"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 s="68"/>
      <c r="AR990" s="68"/>
      <c r="AS990" s="68"/>
      <c r="AT990" s="68"/>
      <c r="AU990" s="68"/>
      <c r="AV990" s="68"/>
      <c r="AW990" s="68"/>
      <c r="AX990" s="68"/>
    </row>
    <row r="991" spans="7:50" x14ac:dyDescent="0.25"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 s="68"/>
      <c r="AR991" s="68"/>
      <c r="AS991" s="68"/>
      <c r="AT991" s="68"/>
      <c r="AU991" s="68"/>
      <c r="AV991" s="68"/>
      <c r="AW991" s="68"/>
      <c r="AX991" s="68"/>
    </row>
    <row r="992" spans="7:50" x14ac:dyDescent="0.25"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 s="68"/>
      <c r="AR992" s="68"/>
      <c r="AS992" s="68"/>
      <c r="AT992" s="68"/>
      <c r="AU992" s="68"/>
      <c r="AV992" s="68"/>
      <c r="AW992" s="68"/>
      <c r="AX992" s="68"/>
    </row>
    <row r="993" spans="7:50" x14ac:dyDescent="0.25"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 s="68"/>
      <c r="AR993" s="68"/>
      <c r="AS993" s="68"/>
      <c r="AT993" s="68"/>
      <c r="AU993" s="68"/>
      <c r="AV993" s="68"/>
      <c r="AW993" s="68"/>
      <c r="AX993" s="68"/>
    </row>
    <row r="994" spans="7:50" x14ac:dyDescent="0.25"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 s="68"/>
      <c r="AR994" s="68"/>
      <c r="AS994" s="68"/>
      <c r="AT994" s="68"/>
      <c r="AU994" s="68"/>
      <c r="AV994" s="68"/>
      <c r="AW994" s="68"/>
      <c r="AX994" s="68"/>
    </row>
    <row r="995" spans="7:50" x14ac:dyDescent="0.25"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 s="68"/>
      <c r="AR995" s="68"/>
      <c r="AS995" s="68"/>
      <c r="AT995" s="68"/>
      <c r="AU995" s="68"/>
      <c r="AV995" s="68"/>
      <c r="AW995" s="68"/>
      <c r="AX995" s="68"/>
    </row>
    <row r="996" spans="7:50" x14ac:dyDescent="0.25"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 s="68"/>
      <c r="AR996" s="68"/>
      <c r="AS996" s="68"/>
      <c r="AT996" s="68"/>
      <c r="AU996" s="68"/>
      <c r="AV996" s="68"/>
      <c r="AW996" s="68"/>
      <c r="AX996" s="68"/>
    </row>
    <row r="997" spans="7:50" x14ac:dyDescent="0.25"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 s="68"/>
      <c r="AR997" s="68"/>
      <c r="AS997" s="68"/>
      <c r="AT997" s="68"/>
      <c r="AU997" s="68"/>
      <c r="AV997" s="68"/>
      <c r="AW997" s="68"/>
      <c r="AX997" s="68"/>
    </row>
    <row r="998" spans="7:50" x14ac:dyDescent="0.25"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 s="68"/>
      <c r="AR998" s="68"/>
      <c r="AS998" s="68"/>
      <c r="AT998" s="68"/>
      <c r="AU998" s="68"/>
      <c r="AV998" s="68"/>
      <c r="AW998" s="68"/>
      <c r="AX998" s="68"/>
    </row>
    <row r="999" spans="7:50" x14ac:dyDescent="0.25"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 s="68"/>
      <c r="AR999" s="68"/>
      <c r="AS999" s="68"/>
      <c r="AT999" s="68"/>
      <c r="AU999" s="68"/>
      <c r="AV999" s="68"/>
      <c r="AW999" s="68"/>
      <c r="AX999" s="68"/>
    </row>
    <row r="1000" spans="7:50" x14ac:dyDescent="0.25"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 s="68"/>
      <c r="AR1000" s="68"/>
      <c r="AS1000" s="68"/>
      <c r="AT1000" s="68"/>
      <c r="AU1000" s="68"/>
      <c r="AV1000" s="68"/>
      <c r="AW1000" s="68"/>
      <c r="AX1000" s="68"/>
    </row>
    <row r="1001" spans="7:50" x14ac:dyDescent="0.25"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 s="68"/>
      <c r="AR1001" s="68"/>
      <c r="AS1001" s="68"/>
      <c r="AT1001" s="68"/>
      <c r="AU1001" s="68"/>
      <c r="AV1001" s="68"/>
      <c r="AW1001" s="68"/>
      <c r="AX1001" s="68"/>
    </row>
    <row r="1002" spans="7:50" x14ac:dyDescent="0.25"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 s="68"/>
      <c r="AR1002" s="68"/>
      <c r="AS1002" s="68"/>
      <c r="AT1002" s="68"/>
      <c r="AU1002" s="68"/>
      <c r="AV1002" s="68"/>
      <c r="AW1002" s="68"/>
      <c r="AX1002" s="68"/>
    </row>
    <row r="1003" spans="7:50" x14ac:dyDescent="0.25"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 s="68"/>
      <c r="AR1003" s="68"/>
      <c r="AS1003" s="68"/>
      <c r="AT1003" s="68"/>
      <c r="AU1003" s="68"/>
      <c r="AV1003" s="68"/>
      <c r="AW1003" s="68"/>
      <c r="AX1003" s="68"/>
    </row>
    <row r="1004" spans="7:50" x14ac:dyDescent="0.25"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 s="68"/>
      <c r="AR1004" s="68"/>
      <c r="AS1004" s="68"/>
      <c r="AT1004" s="68"/>
      <c r="AU1004" s="68"/>
      <c r="AV1004" s="68"/>
      <c r="AW1004" s="68"/>
      <c r="AX1004" s="68"/>
    </row>
    <row r="1005" spans="7:50" x14ac:dyDescent="0.25"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 s="68"/>
      <c r="AR1005" s="68"/>
      <c r="AS1005" s="68"/>
      <c r="AT1005" s="68"/>
      <c r="AU1005" s="68"/>
      <c r="AV1005" s="68"/>
      <c r="AW1005" s="68"/>
      <c r="AX1005" s="68"/>
    </row>
    <row r="1006" spans="7:50" x14ac:dyDescent="0.25"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 s="68"/>
      <c r="AR1006" s="68"/>
      <c r="AS1006" s="68"/>
      <c r="AT1006" s="68"/>
      <c r="AU1006" s="68"/>
      <c r="AV1006" s="68"/>
      <c r="AW1006" s="68"/>
      <c r="AX1006" s="68"/>
    </row>
    <row r="1007" spans="7:50" x14ac:dyDescent="0.25"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 s="68"/>
      <c r="AR1007" s="68"/>
      <c r="AS1007" s="68"/>
      <c r="AT1007" s="68"/>
      <c r="AU1007" s="68"/>
      <c r="AV1007" s="68"/>
      <c r="AW1007" s="68"/>
      <c r="AX1007" s="68"/>
    </row>
    <row r="1008" spans="7:50" x14ac:dyDescent="0.25"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 s="68"/>
      <c r="AR1008" s="68"/>
      <c r="AS1008" s="68"/>
      <c r="AT1008" s="68"/>
      <c r="AU1008" s="68"/>
      <c r="AV1008" s="68"/>
      <c r="AW1008" s="68"/>
      <c r="AX1008" s="68"/>
    </row>
    <row r="1009" spans="7:50" x14ac:dyDescent="0.25"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 s="68"/>
      <c r="AR1009" s="68"/>
      <c r="AS1009" s="68"/>
      <c r="AT1009" s="68"/>
      <c r="AU1009" s="68"/>
      <c r="AV1009" s="68"/>
      <c r="AW1009" s="68"/>
      <c r="AX1009" s="68"/>
    </row>
    <row r="1010" spans="7:50" x14ac:dyDescent="0.25"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 s="68"/>
      <c r="AR1010" s="68"/>
      <c r="AS1010" s="68"/>
      <c r="AT1010" s="68"/>
      <c r="AU1010" s="68"/>
      <c r="AV1010" s="68"/>
      <c r="AW1010" s="68"/>
      <c r="AX1010" s="68"/>
    </row>
    <row r="1011" spans="7:50" x14ac:dyDescent="0.25"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 s="68"/>
      <c r="AR1011" s="68"/>
      <c r="AS1011" s="68"/>
      <c r="AT1011" s="68"/>
      <c r="AU1011" s="68"/>
      <c r="AV1011" s="68"/>
      <c r="AW1011" s="68"/>
      <c r="AX1011" s="68"/>
    </row>
    <row r="1012" spans="7:50" x14ac:dyDescent="0.25"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 s="68"/>
      <c r="AR1012" s="68"/>
      <c r="AS1012" s="68"/>
      <c r="AT1012" s="68"/>
      <c r="AU1012" s="68"/>
      <c r="AV1012" s="68"/>
      <c r="AW1012" s="68"/>
      <c r="AX1012" s="68"/>
    </row>
    <row r="1013" spans="7:50" x14ac:dyDescent="0.25"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 s="68"/>
      <c r="AR1013" s="68"/>
      <c r="AS1013" s="68"/>
      <c r="AT1013" s="68"/>
      <c r="AU1013" s="68"/>
      <c r="AV1013" s="68"/>
      <c r="AW1013" s="68"/>
      <c r="AX1013" s="68"/>
    </row>
    <row r="1014" spans="7:50" x14ac:dyDescent="0.25"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 s="68"/>
      <c r="AR1014" s="68"/>
      <c r="AS1014" s="68"/>
      <c r="AT1014" s="68"/>
      <c r="AU1014" s="68"/>
      <c r="AV1014" s="68"/>
      <c r="AW1014" s="68"/>
      <c r="AX1014" s="68"/>
    </row>
    <row r="1015" spans="7:50" x14ac:dyDescent="0.25"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 s="68"/>
      <c r="AR1015" s="68"/>
      <c r="AS1015" s="68"/>
      <c r="AT1015" s="68"/>
      <c r="AU1015" s="68"/>
      <c r="AV1015" s="68"/>
      <c r="AW1015" s="68"/>
      <c r="AX1015" s="68"/>
    </row>
    <row r="1016" spans="7:50" x14ac:dyDescent="0.25"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 s="68"/>
      <c r="AR1016" s="68"/>
      <c r="AS1016" s="68"/>
      <c r="AT1016" s="68"/>
      <c r="AU1016" s="68"/>
      <c r="AV1016" s="68"/>
      <c r="AW1016" s="68"/>
      <c r="AX1016" s="68"/>
    </row>
    <row r="1017" spans="7:50" x14ac:dyDescent="0.25"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 s="68"/>
      <c r="AR1017" s="68"/>
      <c r="AS1017" s="68"/>
      <c r="AT1017" s="68"/>
      <c r="AU1017" s="68"/>
      <c r="AV1017" s="68"/>
      <c r="AW1017" s="68"/>
      <c r="AX1017" s="68"/>
    </row>
    <row r="1018" spans="7:50" x14ac:dyDescent="0.25"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 s="68"/>
      <c r="AR1018" s="68"/>
      <c r="AS1018" s="68"/>
      <c r="AT1018" s="68"/>
      <c r="AU1018" s="68"/>
      <c r="AV1018" s="68"/>
      <c r="AW1018" s="68"/>
      <c r="AX1018" s="68"/>
    </row>
    <row r="1019" spans="7:50" x14ac:dyDescent="0.25"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 s="68"/>
      <c r="AR1019" s="68"/>
      <c r="AS1019" s="68"/>
      <c r="AT1019" s="68"/>
      <c r="AU1019" s="68"/>
      <c r="AV1019" s="68"/>
      <c r="AW1019" s="68"/>
      <c r="AX1019" s="68"/>
    </row>
    <row r="1020" spans="7:50" x14ac:dyDescent="0.25"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 s="68"/>
      <c r="AR1020" s="68"/>
      <c r="AS1020" s="68"/>
      <c r="AT1020" s="68"/>
      <c r="AU1020" s="68"/>
      <c r="AV1020" s="68"/>
      <c r="AW1020" s="68"/>
      <c r="AX1020" s="68"/>
    </row>
    <row r="1021" spans="7:50" x14ac:dyDescent="0.25"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 s="68"/>
      <c r="AR1021" s="68"/>
      <c r="AS1021" s="68"/>
      <c r="AT1021" s="68"/>
      <c r="AU1021" s="68"/>
      <c r="AV1021" s="68"/>
      <c r="AW1021" s="68"/>
      <c r="AX1021" s="68"/>
    </row>
  </sheetData>
  <phoneticPr fontId="5" type="noConversion"/>
  <conditionalFormatting sqref="A2:AY1021">
    <cfRule type="expression" dxfId="57" priority="7">
      <formula>$E2 ="Meeting"</formula>
    </cfRule>
    <cfRule type="expression" dxfId="56" priority="125">
      <formula>$E2 ="Muster"</formula>
    </cfRule>
  </conditionalFormatting>
  <conditionalFormatting sqref="A2:BA1021">
    <cfRule type="expression" dxfId="55" priority="268" stopIfTrue="1">
      <formula>$BA2 ="X"</formula>
    </cfRule>
    <cfRule type="expression" dxfId="54" priority="269" stopIfTrue="1">
      <formula>$BA2 ="N"</formula>
    </cfRule>
  </conditionalFormatting>
  <conditionalFormatting sqref="G2:AY1021">
    <cfRule type="cellIs" dxfId="53" priority="2" operator="equal">
      <formula>"L"</formula>
    </cfRule>
    <cfRule type="cellIs" dxfId="52" priority="3" operator="equal">
      <formula>"I"</formula>
    </cfRule>
  </conditionalFormatting>
  <conditionalFormatting sqref="AY145:AZ919">
    <cfRule type="expression" dxfId="51" priority="104">
      <formula>($F160 = "Muster")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EF21-B838-434C-9B31-71A133E1BF11}">
  <sheetPr codeName="Sheet3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customWidth="1"/>
    <col min="3" max="3" width="19" customWidth="1"/>
    <col min="4" max="4" width="11.28515625" customWidth="1"/>
    <col min="5" max="5" width="3.7109375" customWidth="1"/>
    <col min="6" max="6" width="9.140625" customWidth="1"/>
    <col min="7" max="7" width="10.710937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4.140625" bestFit="1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507</v>
      </c>
      <c r="AZ1" s="1" t="s">
        <v>508</v>
      </c>
      <c r="BA1" s="1" t="s">
        <v>509</v>
      </c>
      <c r="BB1" s="37" t="s">
        <v>510</v>
      </c>
    </row>
    <row r="2" spans="1:54" x14ac:dyDescent="0.25">
      <c r="C2" s="7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</sheetData>
  <phoneticPr fontId="5" type="noConversion"/>
  <conditionalFormatting sqref="J2:AZ2">
    <cfRule type="containsText" dxfId="50" priority="1" operator="containsText" text="I">
      <formula>NOT(ISERROR(SEARCH("I",J2)))</formula>
    </cfRule>
  </conditionalFormatting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232A-4334-4543-B020-176A923D1785}">
  <sheetPr codeName="Sheet4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42578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0.2851562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5C45-65FD-41AB-98C5-DDBB01B7C337}">
  <sheetPr codeName="Sheet5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513</v>
      </c>
      <c r="AU1" s="1" t="s">
        <v>504</v>
      </c>
      <c r="AV1" s="1" t="s">
        <v>514</v>
      </c>
      <c r="AW1" s="1" t="s">
        <v>515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D5FC-5D0B-4A12-ACD2-6C5A2566A1A8}">
  <sheetPr codeName="Sheet6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.42578125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9513-62A6-415E-8E45-9AB8AF5C41CC}">
  <sheetPr codeName="Sheet7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s="1" customFormat="1" ht="15" customHeight="1" x14ac:dyDescent="0.25">
      <c r="A2"/>
      <c r="B2"/>
      <c r="C2" s="38"/>
      <c r="D2"/>
      <c r="F2" s="10"/>
      <c r="G2" s="7"/>
      <c r="H2" s="7"/>
      <c r="I2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7A23-13D8-4AF3-975C-59DBB7E243AE}">
  <sheetPr codeName="Sheet8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19.5703125" style="7" customWidth="1"/>
    <col min="9" max="9" width="29.14062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8DC-E139-4712-AA38-A888E0D52643}">
  <sheetPr codeName="Sheet9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8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1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40BA-C965-4805-90E6-72018972D928}">
  <sheetPr codeName="Sheet10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5" hidden="1" customWidth="1"/>
    <col min="3" max="3" width="19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55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C2" s="38"/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979F-AF90-49D4-B0D2-61746537AD7E}">
  <sheetPr codeName="Sheet11"/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customWidth="1"/>
    <col min="3" max="3" width="9.7109375" style="7" customWidth="1"/>
    <col min="4" max="4" width="11.28515625" customWidth="1"/>
    <col min="5" max="5" width="3.7109375" customWidth="1"/>
    <col min="6" max="6" width="9.140625" customWidth="1"/>
    <col min="7" max="7" width="11.5703125" style="7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55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B6AE-E18C-4172-B130-52CE8560B1E9}"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14.4257812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.140625" customWidth="1"/>
    <col min="7" max="7" width="11.5703125" style="7" bestFit="1" customWidth="1"/>
    <col min="8" max="8" width="20.28515625" style="7" bestFit="1" customWidth="1"/>
    <col min="9" max="9" width="46.2851562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55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honeticPr fontId="5" type="noConversion"/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34D6-C826-49D2-AAA5-47CE14480D7F}"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0.7109375" style="7" bestFit="1" customWidth="1"/>
    <col min="8" max="8" width="20.28515625" style="7" bestFit="1" customWidth="1"/>
    <col min="9" max="9" width="28.7109375" bestFit="1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1.7109375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55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F986-AA8F-4798-9789-482CC8EA4148}">
  <dimension ref="A1:BB2"/>
  <sheetViews>
    <sheetView workbookViewId="0">
      <pane ySplit="1" topLeftCell="A2" activePane="bottomLeft" state="frozen"/>
      <selection activeCell="P1" sqref="P1"/>
      <selection pane="bottomLeft" activeCell="P1" sqref="P1"/>
    </sheetView>
  </sheetViews>
  <sheetFormatPr defaultRowHeight="15" x14ac:dyDescent="0.25"/>
  <cols>
    <col min="1" max="1" width="4" bestFit="1" customWidth="1"/>
    <col min="2" max="2" width="5" hidden="1" customWidth="1"/>
    <col min="3" max="3" width="10.7109375" style="7" hidden="1" customWidth="1"/>
    <col min="4" max="4" width="11.28515625" hidden="1" customWidth="1"/>
    <col min="5" max="5" width="3.7109375" hidden="1" customWidth="1"/>
    <col min="6" max="6" width="9" bestFit="1" customWidth="1"/>
    <col min="7" max="7" width="10.7109375" style="7" bestFit="1" customWidth="1"/>
    <col min="8" max="8" width="20.28515625" style="7" bestFit="1" customWidth="1"/>
    <col min="9" max="9" width="38.7109375" customWidth="1"/>
    <col min="10" max="24" width="3.7109375" bestFit="1" customWidth="1"/>
    <col min="25" max="25" width="3.7109375" customWidth="1"/>
    <col min="26" max="33" width="3.7109375" bestFit="1" customWidth="1"/>
    <col min="34" max="37" width="3.7109375" customWidth="1"/>
    <col min="38" max="39" width="3.7109375" bestFit="1" customWidth="1"/>
    <col min="40" max="41" width="3.7109375" customWidth="1"/>
    <col min="42" max="42" width="3.7109375" bestFit="1" customWidth="1"/>
    <col min="43" max="43" width="3.7109375" customWidth="1"/>
    <col min="44" max="45" width="3.7109375" bestFit="1" customWidth="1"/>
    <col min="46" max="53" width="3.7109375" customWidth="1"/>
    <col min="54" max="54" width="14.140625" bestFit="1" customWidth="1"/>
  </cols>
  <sheetData>
    <row r="1" spans="1:54" s="1" customFormat="1" ht="132.75" customHeight="1" x14ac:dyDescent="0.25">
      <c r="A1" s="1" t="s">
        <v>485</v>
      </c>
      <c r="B1" s="1" t="s">
        <v>486</v>
      </c>
      <c r="C1" s="55" t="s">
        <v>77</v>
      </c>
      <c r="D1" s="1" t="s">
        <v>487</v>
      </c>
      <c r="E1" s="1" t="s">
        <v>69</v>
      </c>
      <c r="F1" s="10" t="s">
        <v>84</v>
      </c>
      <c r="G1" s="7" t="s">
        <v>80</v>
      </c>
      <c r="H1" s="7" t="s">
        <v>89</v>
      </c>
      <c r="I1" t="s">
        <v>94</v>
      </c>
      <c r="J1" s="1" t="s">
        <v>21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488</v>
      </c>
      <c r="Q1" s="1" t="s">
        <v>489</v>
      </c>
      <c r="R1" s="1" t="s">
        <v>30</v>
      </c>
      <c r="S1" s="1" t="s">
        <v>32</v>
      </c>
      <c r="T1" s="1" t="s">
        <v>34</v>
      </c>
      <c r="U1" s="1" t="s">
        <v>35</v>
      </c>
      <c r="V1" s="1" t="s">
        <v>490</v>
      </c>
      <c r="W1" s="1" t="s">
        <v>491</v>
      </c>
      <c r="X1" s="1" t="s">
        <v>492</v>
      </c>
      <c r="Y1" s="1" t="s">
        <v>36</v>
      </c>
      <c r="Z1" s="1" t="s">
        <v>39</v>
      </c>
      <c r="AA1" s="1" t="s">
        <v>493</v>
      </c>
      <c r="AB1" s="1" t="s">
        <v>40</v>
      </c>
      <c r="AC1" s="1" t="s">
        <v>494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495</v>
      </c>
      <c r="AJ1" s="1" t="s">
        <v>46</v>
      </c>
      <c r="AK1" s="1" t="s">
        <v>496</v>
      </c>
      <c r="AL1" s="1" t="s">
        <v>52</v>
      </c>
      <c r="AM1" s="1" t="s">
        <v>53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62</v>
      </c>
      <c r="AX1" s="1" t="s">
        <v>506</v>
      </c>
      <c r="AY1" s="1" t="s">
        <v>511</v>
      </c>
      <c r="AZ1" s="1" t="s">
        <v>508</v>
      </c>
      <c r="BA1" s="1" t="s">
        <v>509</v>
      </c>
      <c r="BB1" s="37" t="s">
        <v>512</v>
      </c>
    </row>
    <row r="2" spans="1:54" x14ac:dyDescent="0.25">
      <c r="E2" s="1"/>
      <c r="F2" s="1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</row>
  </sheetData>
  <pageMargins left="0.7" right="0.7" top="0.75" bottom="0.75" header="0.3" footer="0.3"/>
  <pageSetup paperSize="9" orientation="portrait" horizontalDpi="0" verticalDpi="0" copie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4A0E-F5E5-4E39-B9C8-1BB734E9E553}">
  <sheetPr codeName="Sheet12"/>
  <dimension ref="A1:E43"/>
  <sheetViews>
    <sheetView topLeftCell="A13" workbookViewId="0">
      <selection activeCell="A44" sqref="A44"/>
    </sheetView>
  </sheetViews>
  <sheetFormatPr defaultRowHeight="15" x14ac:dyDescent="0.25"/>
  <cols>
    <col min="1" max="1" width="26.28515625" bestFit="1" customWidth="1"/>
    <col min="2" max="2" width="7.5703125" bestFit="1" customWidth="1"/>
    <col min="3" max="3" width="12.85546875" bestFit="1" customWidth="1"/>
    <col min="4" max="4" width="15.28515625" bestFit="1" customWidth="1"/>
    <col min="5" max="5" width="46.28515625" bestFit="1" customWidth="1"/>
    <col min="6" max="6" width="10.140625" bestFit="1" customWidth="1"/>
    <col min="7" max="7" width="10.5703125" bestFit="1" customWidth="1"/>
  </cols>
  <sheetData>
    <row r="1" spans="1:5" x14ac:dyDescent="0.25">
      <c r="A1" s="40" t="s">
        <v>516</v>
      </c>
      <c r="B1" s="41" t="s">
        <v>517</v>
      </c>
      <c r="C1" s="41" t="s">
        <v>518</v>
      </c>
      <c r="D1" s="41" t="s">
        <v>519</v>
      </c>
      <c r="E1" s="40" t="s">
        <v>487</v>
      </c>
    </row>
    <row r="2" spans="1:5" x14ac:dyDescent="0.25">
      <c r="A2" s="42" t="s">
        <v>21</v>
      </c>
      <c r="B2" s="43" t="s">
        <v>520</v>
      </c>
      <c r="C2" s="43" t="s">
        <v>521</v>
      </c>
      <c r="D2" s="43" t="s">
        <v>522</v>
      </c>
      <c r="E2" s="46" t="s">
        <v>523</v>
      </c>
    </row>
    <row r="3" spans="1:5" x14ac:dyDescent="0.25">
      <c r="A3" s="42" t="s">
        <v>23</v>
      </c>
      <c r="B3" s="43" t="s">
        <v>524</v>
      </c>
      <c r="C3" s="43" t="s">
        <v>225</v>
      </c>
      <c r="D3" s="43" t="s">
        <v>388</v>
      </c>
      <c r="E3" s="46" t="s">
        <v>525</v>
      </c>
    </row>
    <row r="4" spans="1:5" x14ac:dyDescent="0.25">
      <c r="A4" s="42" t="s">
        <v>24</v>
      </c>
      <c r="B4" s="43" t="s">
        <v>526</v>
      </c>
      <c r="C4" s="43" t="s">
        <v>527</v>
      </c>
      <c r="D4" s="43" t="s">
        <v>528</v>
      </c>
      <c r="E4" s="46" t="s">
        <v>529</v>
      </c>
    </row>
    <row r="5" spans="1:5" x14ac:dyDescent="0.25">
      <c r="A5" s="42" t="s">
        <v>25</v>
      </c>
      <c r="B5" s="43" t="s">
        <v>526</v>
      </c>
      <c r="C5" s="43" t="s">
        <v>171</v>
      </c>
      <c r="D5" s="43" t="s">
        <v>155</v>
      </c>
      <c r="E5" s="46" t="s">
        <v>530</v>
      </c>
    </row>
    <row r="6" spans="1:5" x14ac:dyDescent="0.25">
      <c r="A6" s="42" t="s">
        <v>26</v>
      </c>
      <c r="B6" s="43" t="s">
        <v>531</v>
      </c>
      <c r="C6" s="43" t="s">
        <v>532</v>
      </c>
      <c r="D6" s="43" t="s">
        <v>533</v>
      </c>
      <c r="E6" s="46" t="s">
        <v>534</v>
      </c>
    </row>
    <row r="7" spans="1:5" x14ac:dyDescent="0.25">
      <c r="A7" s="42" t="s">
        <v>27</v>
      </c>
      <c r="B7" s="43" t="s">
        <v>531</v>
      </c>
      <c r="C7" s="43" t="s">
        <v>532</v>
      </c>
      <c r="D7" s="43" t="s">
        <v>535</v>
      </c>
      <c r="E7" s="46" t="s">
        <v>536</v>
      </c>
    </row>
    <row r="8" spans="1:5" x14ac:dyDescent="0.25">
      <c r="A8" s="42" t="s">
        <v>38</v>
      </c>
      <c r="B8" s="43" t="s">
        <v>531</v>
      </c>
      <c r="C8" s="43" t="s">
        <v>537</v>
      </c>
      <c r="D8" s="43" t="s">
        <v>237</v>
      </c>
      <c r="E8" s="46" t="s">
        <v>538</v>
      </c>
    </row>
    <row r="9" spans="1:5" x14ac:dyDescent="0.25">
      <c r="A9" s="42" t="s">
        <v>29</v>
      </c>
      <c r="B9" s="43" t="s">
        <v>531</v>
      </c>
      <c r="C9" s="43" t="s">
        <v>552</v>
      </c>
      <c r="D9" s="43" t="s">
        <v>553</v>
      </c>
      <c r="E9" s="47" t="s">
        <v>554</v>
      </c>
    </row>
    <row r="10" spans="1:5" x14ac:dyDescent="0.25">
      <c r="A10" s="42" t="s">
        <v>28</v>
      </c>
      <c r="B10" s="43" t="s">
        <v>531</v>
      </c>
      <c r="C10" s="43" t="s">
        <v>278</v>
      </c>
      <c r="D10" s="43" t="s">
        <v>539</v>
      </c>
      <c r="E10" s="46" t="s">
        <v>540</v>
      </c>
    </row>
    <row r="11" spans="1:5" x14ac:dyDescent="0.25">
      <c r="A11" s="42" t="s">
        <v>37</v>
      </c>
      <c r="B11" s="43" t="s">
        <v>541</v>
      </c>
      <c r="C11" s="43" t="s">
        <v>542</v>
      </c>
      <c r="D11" s="43" t="s">
        <v>533</v>
      </c>
      <c r="E11" s="136" t="s">
        <v>543</v>
      </c>
    </row>
    <row r="12" spans="1:5" x14ac:dyDescent="0.25">
      <c r="A12" s="42" t="s">
        <v>30</v>
      </c>
      <c r="B12" s="43" t="s">
        <v>541</v>
      </c>
      <c r="C12" s="43" t="s">
        <v>544</v>
      </c>
      <c r="D12" s="43" t="s">
        <v>545</v>
      </c>
      <c r="E12" s="46" t="s">
        <v>546</v>
      </c>
    </row>
    <row r="13" spans="1:5" x14ac:dyDescent="0.25">
      <c r="A13" s="42" t="s">
        <v>32</v>
      </c>
      <c r="B13" s="43" t="s">
        <v>541</v>
      </c>
      <c r="C13" s="43" t="s">
        <v>547</v>
      </c>
      <c r="D13" s="43" t="s">
        <v>548</v>
      </c>
      <c r="E13" s="47" t="s">
        <v>549</v>
      </c>
    </row>
    <row r="14" spans="1:5" x14ac:dyDescent="0.25">
      <c r="A14" s="42" t="s">
        <v>34</v>
      </c>
      <c r="B14" s="43" t="s">
        <v>541</v>
      </c>
      <c r="C14" s="43" t="s">
        <v>148</v>
      </c>
      <c r="D14" s="43" t="s">
        <v>550</v>
      </c>
      <c r="E14" s="46" t="s">
        <v>551</v>
      </c>
    </row>
    <row r="15" spans="1:5" x14ac:dyDescent="0.25">
      <c r="A15" s="42" t="s">
        <v>36</v>
      </c>
      <c r="B15" s="43" t="s">
        <v>541</v>
      </c>
      <c r="C15" s="43" t="s">
        <v>555</v>
      </c>
      <c r="D15" s="43" t="s">
        <v>231</v>
      </c>
      <c r="E15" s="46" t="s">
        <v>556</v>
      </c>
    </row>
    <row r="16" spans="1:5" x14ac:dyDescent="0.25">
      <c r="A16" s="42" t="s">
        <v>39</v>
      </c>
      <c r="B16" s="43" t="s">
        <v>557</v>
      </c>
      <c r="C16" s="43" t="s">
        <v>558</v>
      </c>
      <c r="D16" s="43" t="s">
        <v>285</v>
      </c>
      <c r="E16" s="46" t="s">
        <v>559</v>
      </c>
    </row>
    <row r="17" spans="1:5" x14ac:dyDescent="0.25">
      <c r="A17" s="42" t="s">
        <v>40</v>
      </c>
      <c r="B17" s="43" t="s">
        <v>557</v>
      </c>
      <c r="C17" s="43" t="s">
        <v>560</v>
      </c>
      <c r="D17" s="43" t="s">
        <v>561</v>
      </c>
      <c r="E17" s="46" t="s">
        <v>562</v>
      </c>
    </row>
    <row r="18" spans="1:5" x14ac:dyDescent="0.25">
      <c r="A18" s="42" t="s">
        <v>41</v>
      </c>
      <c r="B18" s="43" t="s">
        <v>557</v>
      </c>
      <c r="C18" s="43" t="s">
        <v>563</v>
      </c>
      <c r="D18" s="43" t="s">
        <v>187</v>
      </c>
      <c r="E18" s="46" t="s">
        <v>564</v>
      </c>
    </row>
    <row r="19" spans="1:5" x14ac:dyDescent="0.25">
      <c r="A19" s="42" t="s">
        <v>42</v>
      </c>
      <c r="B19" s="43" t="s">
        <v>557</v>
      </c>
      <c r="C19" s="43" t="s">
        <v>565</v>
      </c>
      <c r="D19" s="43" t="s">
        <v>566</v>
      </c>
      <c r="E19" s="46" t="s">
        <v>567</v>
      </c>
    </row>
    <row r="20" spans="1:5" x14ac:dyDescent="0.25">
      <c r="A20" s="42" t="s">
        <v>43</v>
      </c>
      <c r="B20" s="43" t="s">
        <v>557</v>
      </c>
      <c r="C20" s="43" t="s">
        <v>568</v>
      </c>
      <c r="D20" s="43" t="s">
        <v>257</v>
      </c>
      <c r="E20" s="46" t="s">
        <v>569</v>
      </c>
    </row>
    <row r="21" spans="1:5" x14ac:dyDescent="0.25">
      <c r="A21" s="42" t="s">
        <v>44</v>
      </c>
      <c r="B21" s="43" t="s">
        <v>557</v>
      </c>
      <c r="C21" s="43" t="s">
        <v>570</v>
      </c>
      <c r="D21" s="43" t="s">
        <v>571</v>
      </c>
      <c r="E21" s="46" t="s">
        <v>572</v>
      </c>
    </row>
    <row r="22" spans="1:5" x14ac:dyDescent="0.25">
      <c r="A22" s="42" t="s">
        <v>45</v>
      </c>
      <c r="B22" s="43" t="s">
        <v>557</v>
      </c>
      <c r="C22" s="43" t="s">
        <v>573</v>
      </c>
      <c r="D22" s="43" t="s">
        <v>314</v>
      </c>
      <c r="E22" s="46" t="s">
        <v>574</v>
      </c>
    </row>
    <row r="23" spans="1:5" x14ac:dyDescent="0.25">
      <c r="A23" s="42" t="s">
        <v>46</v>
      </c>
      <c r="B23" s="43" t="s">
        <v>557</v>
      </c>
      <c r="C23" s="43" t="s">
        <v>151</v>
      </c>
      <c r="D23" s="43" t="s">
        <v>575</v>
      </c>
      <c r="E23" s="47" t="s">
        <v>576</v>
      </c>
    </row>
    <row r="24" spans="1:5" x14ac:dyDescent="0.25">
      <c r="A24" s="42" t="s">
        <v>47</v>
      </c>
      <c r="B24" s="43" t="s">
        <v>557</v>
      </c>
      <c r="C24" s="43" t="s">
        <v>577</v>
      </c>
      <c r="D24" s="43" t="s">
        <v>578</v>
      </c>
      <c r="E24" s="46" t="s">
        <v>579</v>
      </c>
    </row>
    <row r="25" spans="1:5" x14ac:dyDescent="0.25">
      <c r="A25" s="42" t="s">
        <v>48</v>
      </c>
      <c r="B25" s="43" t="s">
        <v>557</v>
      </c>
      <c r="C25" s="43" t="s">
        <v>580</v>
      </c>
      <c r="D25" s="43" t="s">
        <v>581</v>
      </c>
      <c r="E25" s="46" t="s">
        <v>582</v>
      </c>
    </row>
    <row r="26" spans="1:5" x14ac:dyDescent="0.25">
      <c r="A26" s="42" t="s">
        <v>49</v>
      </c>
      <c r="B26" s="43" t="s">
        <v>557</v>
      </c>
      <c r="C26" s="43" t="s">
        <v>342</v>
      </c>
      <c r="D26" s="43" t="s">
        <v>234</v>
      </c>
      <c r="E26" s="46" t="s">
        <v>583</v>
      </c>
    </row>
    <row r="27" spans="1:5" x14ac:dyDescent="0.25">
      <c r="A27" s="42" t="s">
        <v>50</v>
      </c>
      <c r="B27" s="43" t="s">
        <v>557</v>
      </c>
      <c r="C27" s="43" t="s">
        <v>584</v>
      </c>
      <c r="D27" s="43" t="s">
        <v>585</v>
      </c>
      <c r="E27" s="46" t="s">
        <v>586</v>
      </c>
    </row>
    <row r="28" spans="1:5" x14ac:dyDescent="0.25">
      <c r="A28" s="42" t="s">
        <v>51</v>
      </c>
      <c r="B28" s="43" t="s">
        <v>557</v>
      </c>
      <c r="C28" s="43" t="s">
        <v>587</v>
      </c>
      <c r="D28" s="43" t="s">
        <v>588</v>
      </c>
      <c r="E28" s="46" t="s">
        <v>589</v>
      </c>
    </row>
    <row r="29" spans="1:5" x14ac:dyDescent="0.25">
      <c r="A29" s="42" t="s">
        <v>52</v>
      </c>
      <c r="B29" s="43" t="s">
        <v>118</v>
      </c>
      <c r="C29" s="43" t="s">
        <v>590</v>
      </c>
      <c r="D29" s="43" t="s">
        <v>591</v>
      </c>
      <c r="E29" s="46" t="s">
        <v>592</v>
      </c>
    </row>
    <row r="30" spans="1:5" x14ac:dyDescent="0.25">
      <c r="A30" s="42" t="s">
        <v>53</v>
      </c>
      <c r="B30" s="43" t="s">
        <v>118</v>
      </c>
      <c r="C30" s="43" t="s">
        <v>593</v>
      </c>
      <c r="D30" s="43" t="s">
        <v>144</v>
      </c>
      <c r="E30" s="46" t="s">
        <v>594</v>
      </c>
    </row>
    <row r="31" spans="1:5" x14ac:dyDescent="0.25">
      <c r="A31" s="42" t="s">
        <v>54</v>
      </c>
      <c r="B31" s="43" t="s">
        <v>118</v>
      </c>
      <c r="C31" s="43" t="s">
        <v>595</v>
      </c>
      <c r="D31" s="43" t="s">
        <v>585</v>
      </c>
      <c r="E31" s="47" t="s">
        <v>596</v>
      </c>
    </row>
    <row r="32" spans="1:5" x14ac:dyDescent="0.25">
      <c r="A32" s="42" t="s">
        <v>56</v>
      </c>
      <c r="B32" s="43" t="s">
        <v>118</v>
      </c>
      <c r="C32" s="43" t="s">
        <v>597</v>
      </c>
      <c r="D32" s="43" t="s">
        <v>598</v>
      </c>
      <c r="E32" s="47" t="s">
        <v>599</v>
      </c>
    </row>
    <row r="33" spans="1:5" x14ac:dyDescent="0.25">
      <c r="A33" s="44" t="s">
        <v>57</v>
      </c>
      <c r="B33" s="45" t="s">
        <v>118</v>
      </c>
      <c r="C33" s="45" t="s">
        <v>600</v>
      </c>
      <c r="D33" s="45" t="s">
        <v>601</v>
      </c>
      <c r="E33" s="53" t="s">
        <v>602</v>
      </c>
    </row>
    <row r="34" spans="1:5" x14ac:dyDescent="0.25">
      <c r="A34" s="42" t="s">
        <v>59</v>
      </c>
      <c r="B34" s="45" t="s">
        <v>118</v>
      </c>
      <c r="C34" s="43" t="s">
        <v>597</v>
      </c>
      <c r="D34" s="43" t="s">
        <v>216</v>
      </c>
      <c r="E34" s="113" t="s">
        <v>603</v>
      </c>
    </row>
    <row r="35" spans="1:5" x14ac:dyDescent="0.25">
      <c r="A35" s="42" t="s">
        <v>60</v>
      </c>
      <c r="B35" s="45" t="s">
        <v>118</v>
      </c>
      <c r="C35" s="43" t="s">
        <v>604</v>
      </c>
      <c r="D35" s="43" t="s">
        <v>220</v>
      </c>
      <c r="E35" s="113" t="s">
        <v>605</v>
      </c>
    </row>
    <row r="36" spans="1:5" x14ac:dyDescent="0.25">
      <c r="A36" s="44" t="s">
        <v>61</v>
      </c>
      <c r="B36" s="45" t="s">
        <v>118</v>
      </c>
      <c r="C36" s="45" t="s">
        <v>606</v>
      </c>
      <c r="D36" s="45" t="s">
        <v>607</v>
      </c>
      <c r="E36" s="53" t="s">
        <v>608</v>
      </c>
    </row>
    <row r="37" spans="1:5" x14ac:dyDescent="0.25">
      <c r="A37" s="44" t="s">
        <v>62</v>
      </c>
      <c r="B37" s="45" t="s">
        <v>609</v>
      </c>
      <c r="C37" s="45" t="s">
        <v>610</v>
      </c>
      <c r="D37" s="45" t="s">
        <v>607</v>
      </c>
      <c r="E37" s="46" t="s">
        <v>611</v>
      </c>
    </row>
    <row r="38" spans="1:5" x14ac:dyDescent="0.25">
      <c r="A38" s="44" t="s">
        <v>63</v>
      </c>
      <c r="B38" s="43" t="s">
        <v>609</v>
      </c>
      <c r="C38" s="43" t="s">
        <v>612</v>
      </c>
      <c r="D38" s="43" t="s">
        <v>140</v>
      </c>
      <c r="E38" s="53" t="s">
        <v>613</v>
      </c>
    </row>
    <row r="39" spans="1:5" x14ac:dyDescent="0.25">
      <c r="A39" s="44" t="s">
        <v>64</v>
      </c>
      <c r="B39" s="43" t="s">
        <v>609</v>
      </c>
      <c r="C39" s="43" t="s">
        <v>614</v>
      </c>
      <c r="D39" s="43" t="s">
        <v>615</v>
      </c>
      <c r="E39" s="136" t="s">
        <v>616</v>
      </c>
    </row>
    <row r="40" spans="1:5" x14ac:dyDescent="0.25">
      <c r="A40" s="44" t="s">
        <v>65</v>
      </c>
      <c r="B40" s="43" t="s">
        <v>609</v>
      </c>
      <c r="C40" s="43" t="s">
        <v>617</v>
      </c>
      <c r="D40" s="43" t="s">
        <v>200</v>
      </c>
      <c r="E40" s="113" t="s">
        <v>618</v>
      </c>
    </row>
    <row r="41" spans="1:5" x14ac:dyDescent="0.25">
      <c r="A41" s="44" t="s">
        <v>66</v>
      </c>
      <c r="B41" s="45" t="s">
        <v>609</v>
      </c>
      <c r="C41" s="45" t="s">
        <v>619</v>
      </c>
      <c r="D41" s="45" t="s">
        <v>620</v>
      </c>
      <c r="E41" s="136" t="s">
        <v>621</v>
      </c>
    </row>
    <row r="42" spans="1:5" x14ac:dyDescent="0.25">
      <c r="A42" s="44" t="s">
        <v>67</v>
      </c>
      <c r="B42" s="45" t="s">
        <v>609</v>
      </c>
      <c r="C42" s="45" t="s">
        <v>622</v>
      </c>
      <c r="D42" s="45" t="s">
        <v>623</v>
      </c>
      <c r="E42" s="160"/>
    </row>
    <row r="43" spans="1:5" x14ac:dyDescent="0.25">
      <c r="A43" s="183" t="s">
        <v>68</v>
      </c>
      <c r="B43" s="184" t="s">
        <v>609</v>
      </c>
      <c r="C43" s="184" t="s">
        <v>624</v>
      </c>
      <c r="D43" s="184" t="s">
        <v>625</v>
      </c>
      <c r="E43" s="184"/>
    </row>
  </sheetData>
  <hyperlinks>
    <hyperlink ref="E30" r:id="rId1" xr:uid="{D59A6D54-7F7D-456F-BB5E-874C61C4828D}"/>
    <hyperlink ref="E22" r:id="rId2" xr:uid="{72D64080-8CA4-4570-8DED-DEE040C62025}"/>
    <hyperlink ref="E21" r:id="rId3" xr:uid="{606745AC-D5C9-41A9-84FF-E298B9173721}"/>
    <hyperlink ref="E17" r:id="rId4" xr:uid="{3A7218AB-89FB-43A8-AE06-AC91F48EB100}"/>
    <hyperlink ref="E20" r:id="rId5" xr:uid="{ACD04957-3271-4111-9EC8-EC51EB655AA2}"/>
    <hyperlink ref="E27" r:id="rId6" xr:uid="{4F46029F-F744-4E30-B523-D6C9FE98FE54}"/>
    <hyperlink ref="E29" r:id="rId7" xr:uid="{A36C8993-E0FF-491A-BEAF-F62F469FE2B0}"/>
    <hyperlink ref="E4" r:id="rId8" xr:uid="{850E470A-8A5E-4B26-AA0B-66C0848A7759}"/>
    <hyperlink ref="E7" r:id="rId9" xr:uid="{F5FA5DF3-DD46-47A3-B4D3-301EB197DAF2}"/>
    <hyperlink ref="E6" r:id="rId10" xr:uid="{87409E5C-CBD1-4E23-8DE2-ABDFD6409774}"/>
    <hyperlink ref="E24" r:id="rId11" xr:uid="{32C05E62-937A-4B86-8370-ABF2A34D24E0}"/>
    <hyperlink ref="E16" r:id="rId12" xr:uid="{F49E8853-83B1-4DBB-919B-16B8C2787868}"/>
    <hyperlink ref="E15" r:id="rId13" xr:uid="{4EE4FD0B-BDA3-4D3C-9340-DCC0C41F7751}"/>
    <hyperlink ref="E19" r:id="rId14" xr:uid="{DF515473-3E8D-4E67-83D7-CFC46CC029B8}"/>
    <hyperlink ref="E8" r:id="rId15" xr:uid="{7E3205CF-3C37-40B0-A164-20FAE1F47654}"/>
    <hyperlink ref="E3" r:id="rId16" xr:uid="{B12A8B90-4518-42C4-AB9D-8953AD5D8B58}"/>
    <hyperlink ref="E12" r:id="rId17" xr:uid="{CDAFD664-443E-4439-8B0B-27E4275E37DB}"/>
    <hyperlink ref="E14" r:id="rId18" xr:uid="{1CC7C6A1-3069-4AC7-9878-774287CED5C9}"/>
    <hyperlink ref="E2" r:id="rId19" xr:uid="{28DD64C0-A2DF-4DD8-A938-726A8F9938C7}"/>
    <hyperlink ref="E25" r:id="rId20" xr:uid="{CAE16F75-CA10-443F-BE7F-C5A3665BBC85}"/>
    <hyperlink ref="E18" r:id="rId21" xr:uid="{7A8D6FC0-5567-4ED7-8FD2-D865FE87360B}"/>
    <hyperlink ref="E5" r:id="rId22" xr:uid="{79F6081E-D23F-4055-AA65-F206F26DF8E2}"/>
    <hyperlink ref="E28" r:id="rId23" xr:uid="{9F805C16-0E61-4A57-9CE6-0880DD3CA969}"/>
    <hyperlink ref="E37" r:id="rId24" xr:uid="{F4DB095E-CA9F-488C-9250-D0F06856E2D3}"/>
    <hyperlink ref="E26" r:id="rId25" xr:uid="{312DA1B7-DFAA-4101-A53C-009EB516277A}"/>
    <hyperlink ref="E23" r:id="rId26" xr:uid="{F84C51D2-F651-494E-BACE-AEDFD38A1D6A}"/>
    <hyperlink ref="E34" r:id="rId27" xr:uid="{8F94CA42-B4CD-42D0-B835-EB53CC494511}"/>
    <hyperlink ref="E35" r:id="rId28" xr:uid="{9385F31B-F5E4-43C8-9108-0AAC24C700F5}"/>
    <hyperlink ref="E36" r:id="rId29" xr:uid="{04B24F85-3411-41A9-8B24-264D583C1782}"/>
    <hyperlink ref="E33" r:id="rId30" xr:uid="{68F10906-ED91-463C-9840-F3D5AF7D8872}"/>
    <hyperlink ref="E31" r:id="rId31" xr:uid="{58DE1764-F157-49D9-B157-CFEF48899ADE}"/>
    <hyperlink ref="E11" r:id="rId32" xr:uid="{8527F899-6967-4EF9-9B2A-0D1FC33EAFEB}"/>
    <hyperlink ref="E10" r:id="rId33" xr:uid="{BCB25B74-B757-436B-AFBD-9C630518C42E}"/>
    <hyperlink ref="E39" r:id="rId34" xr:uid="{3186DDED-B2DB-4B0A-B8A4-7C604C961200}"/>
    <hyperlink ref="E40" r:id="rId35" xr:uid="{FA2B9A73-05F2-4054-979B-B724DB3C7B00}"/>
  </hyperlinks>
  <pageMargins left="0.7" right="0.7" top="0.75" bottom="0.75" header="0.3" footer="0.3"/>
  <pageSetup orientation="portrait" r:id="rId36"/>
  <tableParts count="1">
    <tablePart r:id="rId3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B83ACF17DDE49BAC649D18A200478" ma:contentTypeVersion="18" ma:contentTypeDescription="Create a new document." ma:contentTypeScope="" ma:versionID="2e3b27f1adca400bc8ee0aaeef79cd80">
  <xsd:schema xmlns:xsd="http://www.w3.org/2001/XMLSchema" xmlns:xs="http://www.w3.org/2001/XMLSchema" xmlns:p="http://schemas.microsoft.com/office/2006/metadata/properties" xmlns:ns2="3a9062c5-d36c-4ce7-a46c-5a283cfdbeb5" xmlns:ns3="e0424590-4ee5-4f01-ac93-4fded7c46218" targetNamespace="http://schemas.microsoft.com/office/2006/metadata/properties" ma:root="true" ma:fieldsID="4a4dfcd8527756c4bddf6e64cba1a74b" ns2:_="" ns3:_="">
    <xsd:import namespace="3a9062c5-d36c-4ce7-a46c-5a283cfdbeb5"/>
    <xsd:import namespace="e0424590-4ee5-4f01-ac93-4fded7c462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Pic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062c5-d36c-4ce7-a46c-5a283cfdb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fb2ddaa-5ed4-447f-b496-e3ef92a40d98}" ma:internalName="TaxCatchAll" ma:showField="CatchAllData" ma:web="3a9062c5-d36c-4ce7-a46c-5a283cfdb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424590-4ee5-4f01-ac93-4fded7c462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db8ce30-a694-4108-9a7f-921c08d0c7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ic" ma:index="23" nillable="true" ma:displayName="Pic" ma:format="Image" ma:internalName="Pic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9062c5-d36c-4ce7-a46c-5a283cfdbeb5">
      <UserInfo>
        <DisplayName>Pukekohe Volunteers</DisplayName>
        <AccountId>81</AccountId>
        <AccountType/>
      </UserInfo>
      <UserInfo>
        <DisplayName>Pennefather, Josh</DisplayName>
        <AccountId>100</AccountId>
        <AccountType/>
      </UserInfo>
    </SharedWithUsers>
    <TaxCatchAll xmlns="3a9062c5-d36c-4ce7-a46c-5a283cfdbeb5" xsi:nil="true"/>
    <lcf76f155ced4ddcb4097134ff3c332f xmlns="e0424590-4ee5-4f01-ac93-4fded7c46218">
      <Terms xmlns="http://schemas.microsoft.com/office/infopath/2007/PartnerControls"/>
    </lcf76f155ced4ddcb4097134ff3c332f>
    <Pic xmlns="e0424590-4ee5-4f01-ac93-4fded7c46218">
      <Url xsi:nil="true"/>
      <Description xsi:nil="true"/>
    </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C03D00-296E-4499-A17B-E12DC0D1C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062c5-d36c-4ce7-a46c-5a283cfdbeb5"/>
    <ds:schemaRef ds:uri="e0424590-4ee5-4f01-ac93-4fded7c4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715137-8F0C-421E-ACCF-BAF95C7BF7E9}">
  <ds:schemaRefs>
    <ds:schemaRef ds:uri="http://schemas.microsoft.com/office/2006/metadata/properties"/>
    <ds:schemaRef ds:uri="http://schemas.microsoft.com/office/infopath/2007/PartnerControls"/>
    <ds:schemaRef ds:uri="3a9062c5-d36c-4ce7-a46c-5a283cfdbeb5"/>
    <ds:schemaRef ds:uri="e0424590-4ee5-4f01-ac93-4fded7c46218"/>
  </ds:schemaRefs>
</ds:datastoreItem>
</file>

<file path=customXml/itemProps3.xml><?xml version="1.0" encoding="utf-8"?>
<ds:datastoreItem xmlns:ds="http://schemas.openxmlformats.org/officeDocument/2006/customXml" ds:itemID="{AD2A0F35-6ACB-401E-BD7D-7B577E29D1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Call Stats</vt:lpstr>
      <vt:lpstr>Summary</vt:lpstr>
      <vt:lpstr>Total Calls</vt:lpstr>
      <vt:lpstr>Musters</vt:lpstr>
      <vt:lpstr>AllCalls26</vt:lpstr>
      <vt:lpstr>AllMusters26</vt:lpstr>
      <vt:lpstr>SMS</vt:lpstr>
      <vt:lpstr>Jan25</vt:lpstr>
      <vt:lpstr>Feb25</vt:lpstr>
      <vt:lpstr>Mar25</vt:lpstr>
      <vt:lpstr>Apr25</vt:lpstr>
      <vt:lpstr>May25</vt:lpstr>
      <vt:lpstr>Jun25</vt:lpstr>
      <vt:lpstr>Jul25</vt:lpstr>
      <vt:lpstr>Aug25</vt:lpstr>
      <vt:lpstr>Sep25</vt:lpstr>
      <vt:lpstr>Oct25</vt:lpstr>
      <vt:lpstr>Nov25</vt:lpstr>
      <vt:lpstr>Dec25</vt:lpstr>
      <vt:lpstr>Admin</vt:lpstr>
    </vt:vector>
  </TitlesOfParts>
  <Manager/>
  <Company>Fire and Emergency New Zealand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Pennefather, Joshua</dc:creator>
  <cp:keywords/>
  <dc:description/>
  <cp:lastModifiedBy>Pennefather, Josh</cp:lastModifiedBy>
  <cp:revision/>
  <dcterms:created xsi:type="dcterms:W3CDTF">2023-05-10T08:00:36Z</dcterms:created>
  <dcterms:modified xsi:type="dcterms:W3CDTF">2026-03-14T01:59:15Z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0x010100E6EB83ACF17DDE49BAC649D18A200478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